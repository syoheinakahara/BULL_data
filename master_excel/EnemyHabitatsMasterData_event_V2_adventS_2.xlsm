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40" yWindow="800" windowWidth="28800" windowHeight="197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22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C12" i="18"/>
  <c r="D12" i="18"/>
  <c r="C11" i="18"/>
  <c r="D11" i="18"/>
  <c r="M57" i="22"/>
  <c r="T57" i="22"/>
  <c r="W57" i="22"/>
  <c r="V57" i="22"/>
  <c r="X57" i="22"/>
  <c r="U57" i="22"/>
  <c r="Y57" i="22"/>
  <c r="N57" i="22"/>
  <c r="Q57" i="22"/>
  <c r="P57" i="22"/>
  <c r="R57" i="22"/>
  <c r="O57" i="22"/>
  <c r="S57" i="22"/>
  <c r="G57" i="22"/>
  <c r="J57" i="22"/>
  <c r="I57" i="22"/>
  <c r="K57" i="22"/>
  <c r="H57" i="22"/>
  <c r="L57" i="22"/>
  <c r="M56" i="22"/>
  <c r="T56" i="22"/>
  <c r="W56" i="22"/>
  <c r="V56" i="22"/>
  <c r="X56" i="22"/>
  <c r="U56" i="22"/>
  <c r="Y56" i="22"/>
  <c r="N56" i="22"/>
  <c r="Q56" i="22"/>
  <c r="P56" i="22"/>
  <c r="R56" i="22"/>
  <c r="O56" i="22"/>
  <c r="S56" i="22"/>
  <c r="G56" i="22"/>
  <c r="J56" i="22"/>
  <c r="I56" i="22"/>
  <c r="K56" i="22"/>
  <c r="H56" i="22"/>
  <c r="L56" i="22"/>
  <c r="M55" i="22"/>
  <c r="T55" i="22"/>
  <c r="W55" i="22"/>
  <c r="V55" i="22"/>
  <c r="X55" i="22"/>
  <c r="U55" i="22"/>
  <c r="Y55" i="22"/>
  <c r="N55" i="22"/>
  <c r="Q55" i="22"/>
  <c r="P55" i="22"/>
  <c r="R55" i="22"/>
  <c r="O55" i="22"/>
  <c r="S55" i="22"/>
  <c r="G55" i="22"/>
  <c r="J55" i="22"/>
  <c r="I55" i="22"/>
  <c r="K55" i="22"/>
  <c r="H55" i="22"/>
  <c r="L55" i="22"/>
  <c r="M54" i="22"/>
  <c r="T54" i="22"/>
  <c r="W54" i="22"/>
  <c r="V54" i="22"/>
  <c r="X54" i="22"/>
  <c r="U54" i="22"/>
  <c r="Y54" i="22"/>
  <c r="N54" i="22"/>
  <c r="Q54" i="22"/>
  <c r="P54" i="22"/>
  <c r="R54" i="22"/>
  <c r="O54" i="22"/>
  <c r="S54" i="22"/>
  <c r="G54" i="22"/>
  <c r="J54" i="22"/>
  <c r="I54" i="22"/>
  <c r="K54" i="22"/>
  <c r="H54" i="22"/>
  <c r="L54" i="22"/>
  <c r="M53" i="22"/>
  <c r="T53" i="22"/>
  <c r="W53" i="22"/>
  <c r="V53" i="22"/>
  <c r="X53" i="22"/>
  <c r="U53" i="22"/>
  <c r="Y53" i="22"/>
  <c r="N53" i="22"/>
  <c r="Q53" i="22"/>
  <c r="P53" i="22"/>
  <c r="R53" i="22"/>
  <c r="O53" i="22"/>
  <c r="S53" i="22"/>
  <c r="G53" i="22"/>
  <c r="J53" i="22"/>
  <c r="I53" i="22"/>
  <c r="K53" i="22"/>
  <c r="H53" i="22"/>
  <c r="L53" i="22"/>
  <c r="M52" i="22"/>
  <c r="T52" i="22"/>
  <c r="W52" i="22"/>
  <c r="V52" i="22"/>
  <c r="X52" i="22"/>
  <c r="U52" i="22"/>
  <c r="Y52" i="22"/>
  <c r="N52" i="22"/>
  <c r="Q52" i="22"/>
  <c r="P52" i="22"/>
  <c r="R52" i="22"/>
  <c r="O52" i="22"/>
  <c r="S52" i="22"/>
  <c r="G52" i="22"/>
  <c r="J52" i="22"/>
  <c r="I52" i="22"/>
  <c r="K52" i="22"/>
  <c r="H52" i="22"/>
  <c r="L52" i="22"/>
  <c r="J90" i="11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J89" i="11"/>
  <c r="O52" i="9"/>
  <c r="N52" i="9"/>
  <c r="M52" i="9"/>
  <c r="L52" i="9"/>
  <c r="K52" i="9"/>
  <c r="J52" i="9"/>
  <c r="I52" i="9"/>
  <c r="H52" i="9"/>
  <c r="G52" i="9"/>
  <c r="E52" i="9"/>
  <c r="D52" i="9"/>
  <c r="A52" i="9"/>
  <c r="J87" i="11"/>
  <c r="O51" i="9"/>
  <c r="N51" i="9"/>
  <c r="M51" i="9"/>
  <c r="L51" i="9"/>
  <c r="K51" i="9"/>
  <c r="J51" i="9"/>
  <c r="I51" i="9"/>
  <c r="H51" i="9"/>
  <c r="G51" i="9"/>
  <c r="E51" i="9"/>
  <c r="D51" i="9"/>
  <c r="A51" i="9"/>
  <c r="J85" i="11"/>
  <c r="O50" i="9"/>
  <c r="N50" i="9"/>
  <c r="M50" i="9"/>
  <c r="L50" i="9"/>
  <c r="K50" i="9"/>
  <c r="J50" i="9"/>
  <c r="I50" i="9"/>
  <c r="H50" i="9"/>
  <c r="G50" i="9"/>
  <c r="E50" i="9"/>
  <c r="D50" i="9"/>
  <c r="A50" i="9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E2" i="9"/>
  <c r="V2" i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2" i="9"/>
  <c r="J88" i="11"/>
  <c r="J86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M51" i="22"/>
  <c r="T51" i="22"/>
  <c r="W51" i="22"/>
  <c r="V51" i="22"/>
  <c r="X51" i="22"/>
  <c r="U51" i="22"/>
  <c r="Y51" i="22"/>
  <c r="N51" i="22"/>
  <c r="Q51" i="22"/>
  <c r="P51" i="22"/>
  <c r="R51" i="22"/>
  <c r="O51" i="22"/>
  <c r="S51" i="22"/>
  <c r="G51" i="22"/>
  <c r="J51" i="22"/>
  <c r="I51" i="22"/>
  <c r="K51" i="22"/>
  <c r="H51" i="22"/>
  <c r="L51" i="22"/>
  <c r="M50" i="22"/>
  <c r="T50" i="22"/>
  <c r="W50" i="22"/>
  <c r="V50" i="22"/>
  <c r="X50" i="22"/>
  <c r="U50" i="22"/>
  <c r="Y50" i="22"/>
  <c r="N50" i="22"/>
  <c r="Q50" i="22"/>
  <c r="P50" i="22"/>
  <c r="R50" i="22"/>
  <c r="O50" i="22"/>
  <c r="S50" i="22"/>
  <c r="G50" i="22"/>
  <c r="J50" i="22"/>
  <c r="I50" i="22"/>
  <c r="K50" i="22"/>
  <c r="H50" i="22"/>
  <c r="L50" i="22"/>
  <c r="M49" i="22"/>
  <c r="T49" i="22"/>
  <c r="W49" i="22"/>
  <c r="V49" i="22"/>
  <c r="X49" i="22"/>
  <c r="U49" i="22"/>
  <c r="Y49" i="22"/>
  <c r="N49" i="22"/>
  <c r="Q49" i="22"/>
  <c r="P49" i="22"/>
  <c r="R49" i="22"/>
  <c r="O49" i="22"/>
  <c r="S49" i="22"/>
  <c r="G49" i="22"/>
  <c r="J49" i="22"/>
  <c r="I49" i="22"/>
  <c r="K49" i="22"/>
  <c r="H49" i="22"/>
  <c r="L49" i="22"/>
  <c r="M48" i="22"/>
  <c r="T48" i="22"/>
  <c r="W48" i="22"/>
  <c r="V48" i="22"/>
  <c r="X48" i="22"/>
  <c r="U48" i="22"/>
  <c r="Y48" i="22"/>
  <c r="N48" i="22"/>
  <c r="Q48" i="22"/>
  <c r="P48" i="22"/>
  <c r="R48" i="22"/>
  <c r="O48" i="22"/>
  <c r="S48" i="22"/>
  <c r="G48" i="22"/>
  <c r="J48" i="22"/>
  <c r="I48" i="22"/>
  <c r="K48" i="22"/>
  <c r="H48" i="22"/>
  <c r="L48" i="22"/>
  <c r="M47" i="22"/>
  <c r="T47" i="22"/>
  <c r="W47" i="22"/>
  <c r="V47" i="22"/>
  <c r="X47" i="22"/>
  <c r="U47" i="22"/>
  <c r="Y47" i="22"/>
  <c r="N47" i="22"/>
  <c r="Q47" i="22"/>
  <c r="P47" i="22"/>
  <c r="R47" i="22"/>
  <c r="O47" i="22"/>
  <c r="S47" i="22"/>
  <c r="G47" i="22"/>
  <c r="J47" i="22"/>
  <c r="I47" i="22"/>
  <c r="K47" i="22"/>
  <c r="H47" i="22"/>
  <c r="L47" i="22"/>
  <c r="M46" i="22"/>
  <c r="T46" i="22"/>
  <c r="W46" i="22"/>
  <c r="V46" i="22"/>
  <c r="X46" i="22"/>
  <c r="U46" i="22"/>
  <c r="Y46" i="22"/>
  <c r="N46" i="22"/>
  <c r="Q46" i="22"/>
  <c r="P46" i="22"/>
  <c r="R46" i="22"/>
  <c r="O46" i="22"/>
  <c r="S46" i="22"/>
  <c r="G46" i="22"/>
  <c r="J46" i="22"/>
  <c r="I46" i="22"/>
  <c r="K46" i="22"/>
  <c r="H46" i="22"/>
  <c r="L46" i="22"/>
  <c r="M45" i="22"/>
  <c r="T45" i="22"/>
  <c r="W45" i="22"/>
  <c r="V45" i="22"/>
  <c r="X45" i="22"/>
  <c r="U45" i="22"/>
  <c r="Y45" i="22"/>
  <c r="N45" i="22"/>
  <c r="Q45" i="22"/>
  <c r="P45" i="22"/>
  <c r="R45" i="22"/>
  <c r="O45" i="22"/>
  <c r="S45" i="22"/>
  <c r="G45" i="22"/>
  <c r="J45" i="22"/>
  <c r="I45" i="22"/>
  <c r="K45" i="22"/>
  <c r="H45" i="22"/>
  <c r="L45" i="22"/>
  <c r="M44" i="22"/>
  <c r="T44" i="22"/>
  <c r="W44" i="22"/>
  <c r="V44" i="22"/>
  <c r="X44" i="22"/>
  <c r="U44" i="22"/>
  <c r="Y44" i="22"/>
  <c r="N44" i="22"/>
  <c r="Q44" i="22"/>
  <c r="P44" i="22"/>
  <c r="R44" i="22"/>
  <c r="O44" i="22"/>
  <c r="S44" i="22"/>
  <c r="G44" i="22"/>
  <c r="J44" i="22"/>
  <c r="I44" i="22"/>
  <c r="K44" i="22"/>
  <c r="H44" i="22"/>
  <c r="L44" i="22"/>
  <c r="M43" i="22"/>
  <c r="T43" i="22"/>
  <c r="W43" i="22"/>
  <c r="V43" i="22"/>
  <c r="X43" i="22"/>
  <c r="U43" i="22"/>
  <c r="Y43" i="22"/>
  <c r="N43" i="22"/>
  <c r="Q43" i="22"/>
  <c r="P43" i="22"/>
  <c r="R43" i="22"/>
  <c r="O43" i="22"/>
  <c r="S43" i="22"/>
  <c r="G43" i="22"/>
  <c r="J43" i="22"/>
  <c r="I43" i="22"/>
  <c r="K43" i="22"/>
  <c r="H43" i="22"/>
  <c r="L43" i="22"/>
  <c r="M42" i="22"/>
  <c r="T42" i="22"/>
  <c r="W42" i="22"/>
  <c r="V42" i="22"/>
  <c r="X42" i="22"/>
  <c r="U42" i="22"/>
  <c r="Y42" i="22"/>
  <c r="N42" i="22"/>
  <c r="Q42" i="22"/>
  <c r="P42" i="22"/>
  <c r="R42" i="22"/>
  <c r="O42" i="22"/>
  <c r="S42" i="22"/>
  <c r="G42" i="22"/>
  <c r="J42" i="22"/>
  <c r="I42" i="22"/>
  <c r="K42" i="22"/>
  <c r="H42" i="22"/>
  <c r="L42" i="22"/>
  <c r="M41" i="22"/>
  <c r="T41" i="22"/>
  <c r="W41" i="22"/>
  <c r="V41" i="22"/>
  <c r="X41" i="22"/>
  <c r="U41" i="22"/>
  <c r="Y41" i="22"/>
  <c r="N41" i="22"/>
  <c r="Q41" i="22"/>
  <c r="P41" i="22"/>
  <c r="R41" i="22"/>
  <c r="O41" i="22"/>
  <c r="S41" i="22"/>
  <c r="G41" i="22"/>
  <c r="J41" i="22"/>
  <c r="I41" i="22"/>
  <c r="K41" i="22"/>
  <c r="H41" i="22"/>
  <c r="L41" i="22"/>
  <c r="M40" i="22"/>
  <c r="T40" i="22"/>
  <c r="W40" i="22"/>
  <c r="V40" i="22"/>
  <c r="X40" i="22"/>
  <c r="U40" i="22"/>
  <c r="Y40" i="22"/>
  <c r="N40" i="22"/>
  <c r="Q40" i="22"/>
  <c r="P40" i="22"/>
  <c r="R40" i="22"/>
  <c r="O40" i="22"/>
  <c r="S40" i="22"/>
  <c r="G40" i="22"/>
  <c r="J40" i="22"/>
  <c r="I40" i="22"/>
  <c r="K40" i="22"/>
  <c r="H40" i="22"/>
  <c r="L40" i="22"/>
  <c r="M39" i="22"/>
  <c r="T39" i="22"/>
  <c r="W39" i="22"/>
  <c r="V39" i="22"/>
  <c r="X39" i="22"/>
  <c r="U39" i="22"/>
  <c r="Y39" i="22"/>
  <c r="N39" i="22"/>
  <c r="Q39" i="22"/>
  <c r="P39" i="22"/>
  <c r="R39" i="22"/>
  <c r="O39" i="22"/>
  <c r="S39" i="22"/>
  <c r="G39" i="22"/>
  <c r="J39" i="22"/>
  <c r="I39" i="22"/>
  <c r="K39" i="22"/>
  <c r="H39" i="22"/>
  <c r="L39" i="22"/>
  <c r="M38" i="22"/>
  <c r="T38" i="22"/>
  <c r="W38" i="22"/>
  <c r="V38" i="22"/>
  <c r="X38" i="22"/>
  <c r="U38" i="22"/>
  <c r="Y38" i="22"/>
  <c r="N38" i="22"/>
  <c r="Q38" i="22"/>
  <c r="P38" i="22"/>
  <c r="R38" i="22"/>
  <c r="O38" i="22"/>
  <c r="S38" i="22"/>
  <c r="G38" i="22"/>
  <c r="J38" i="22"/>
  <c r="I38" i="22"/>
  <c r="K38" i="22"/>
  <c r="H38" i="22"/>
  <c r="L38" i="22"/>
  <c r="M37" i="22"/>
  <c r="T37" i="22"/>
  <c r="W37" i="22"/>
  <c r="V37" i="22"/>
  <c r="X37" i="22"/>
  <c r="U37" i="22"/>
  <c r="Y37" i="22"/>
  <c r="N37" i="22"/>
  <c r="Q37" i="22"/>
  <c r="P37" i="22"/>
  <c r="R37" i="22"/>
  <c r="O37" i="22"/>
  <c r="S37" i="22"/>
  <c r="G37" i="22"/>
  <c r="J37" i="22"/>
  <c r="I37" i="22"/>
  <c r="K37" i="22"/>
  <c r="H37" i="22"/>
  <c r="L37" i="22"/>
  <c r="M36" i="22"/>
  <c r="T36" i="22"/>
  <c r="W36" i="22"/>
  <c r="V36" i="22"/>
  <c r="X36" i="22"/>
  <c r="U36" i="22"/>
  <c r="Y36" i="22"/>
  <c r="N36" i="22"/>
  <c r="Q36" i="22"/>
  <c r="P36" i="22"/>
  <c r="R36" i="22"/>
  <c r="O36" i="22"/>
  <c r="S36" i="22"/>
  <c r="G36" i="22"/>
  <c r="J36" i="22"/>
  <c r="I36" i="22"/>
  <c r="K36" i="22"/>
  <c r="H36" i="22"/>
  <c r="L36" i="22"/>
  <c r="M35" i="22"/>
  <c r="T35" i="22"/>
  <c r="W35" i="22"/>
  <c r="V35" i="22"/>
  <c r="X35" i="22"/>
  <c r="U35" i="22"/>
  <c r="Y35" i="22"/>
  <c r="N35" i="22"/>
  <c r="Q35" i="22"/>
  <c r="P35" i="22"/>
  <c r="R35" i="22"/>
  <c r="O35" i="22"/>
  <c r="S35" i="22"/>
  <c r="G35" i="22"/>
  <c r="J35" i="22"/>
  <c r="I35" i="22"/>
  <c r="K35" i="22"/>
  <c r="H35" i="22"/>
  <c r="L35" i="22"/>
  <c r="M34" i="22"/>
  <c r="T34" i="22"/>
  <c r="W34" i="22"/>
  <c r="V34" i="22"/>
  <c r="X34" i="22"/>
  <c r="U34" i="22"/>
  <c r="Y34" i="22"/>
  <c r="N34" i="22"/>
  <c r="Q34" i="22"/>
  <c r="P34" i="22"/>
  <c r="R34" i="22"/>
  <c r="O34" i="22"/>
  <c r="S34" i="22"/>
  <c r="G34" i="22"/>
  <c r="J34" i="22"/>
  <c r="I34" i="22"/>
  <c r="K34" i="22"/>
  <c r="H34" i="22"/>
  <c r="L34" i="22"/>
  <c r="M33" i="22"/>
  <c r="T33" i="22"/>
  <c r="W33" i="22"/>
  <c r="V33" i="22"/>
  <c r="X33" i="22"/>
  <c r="U33" i="22"/>
  <c r="Y33" i="22"/>
  <c r="N33" i="22"/>
  <c r="Q33" i="22"/>
  <c r="P33" i="22"/>
  <c r="R33" i="22"/>
  <c r="O33" i="22"/>
  <c r="S33" i="22"/>
  <c r="G33" i="22"/>
  <c r="J33" i="22"/>
  <c r="I33" i="22"/>
  <c r="K33" i="22"/>
  <c r="H33" i="22"/>
  <c r="L33" i="22"/>
  <c r="M32" i="22"/>
  <c r="T32" i="22"/>
  <c r="W32" i="22"/>
  <c r="V32" i="22"/>
  <c r="X32" i="22"/>
  <c r="U32" i="22"/>
  <c r="Y32" i="22"/>
  <c r="N32" i="22"/>
  <c r="Q32" i="22"/>
  <c r="P32" i="22"/>
  <c r="R32" i="22"/>
  <c r="O32" i="22"/>
  <c r="S32" i="22"/>
  <c r="G32" i="22"/>
  <c r="J32" i="22"/>
  <c r="I32" i="22"/>
  <c r="K32" i="22"/>
  <c r="H32" i="22"/>
  <c r="L32" i="22"/>
  <c r="M31" i="22"/>
  <c r="T31" i="22"/>
  <c r="W31" i="22"/>
  <c r="V31" i="22"/>
  <c r="X31" i="22"/>
  <c r="U31" i="22"/>
  <c r="Y31" i="22"/>
  <c r="N31" i="22"/>
  <c r="Q31" i="22"/>
  <c r="P31" i="22"/>
  <c r="R31" i="22"/>
  <c r="O31" i="22"/>
  <c r="S31" i="22"/>
  <c r="G31" i="22"/>
  <c r="J31" i="22"/>
  <c r="I31" i="22"/>
  <c r="K31" i="22"/>
  <c r="H31" i="22"/>
  <c r="L31" i="22"/>
  <c r="M30" i="22"/>
  <c r="T30" i="22"/>
  <c r="W30" i="22"/>
  <c r="V30" i="22"/>
  <c r="X30" i="22"/>
  <c r="U30" i="22"/>
  <c r="Y30" i="22"/>
  <c r="N30" i="22"/>
  <c r="Q30" i="22"/>
  <c r="P30" i="22"/>
  <c r="R30" i="22"/>
  <c r="O30" i="22"/>
  <c r="S30" i="22"/>
  <c r="G30" i="22"/>
  <c r="J30" i="22"/>
  <c r="I30" i="22"/>
  <c r="K30" i="22"/>
  <c r="H30" i="22"/>
  <c r="L30" i="22"/>
  <c r="M29" i="22"/>
  <c r="T29" i="22"/>
  <c r="W29" i="22"/>
  <c r="V29" i="22"/>
  <c r="X29" i="22"/>
  <c r="U29" i="22"/>
  <c r="Y29" i="22"/>
  <c r="N29" i="22"/>
  <c r="Q29" i="22"/>
  <c r="P29" i="22"/>
  <c r="R29" i="22"/>
  <c r="O29" i="22"/>
  <c r="S29" i="22"/>
  <c r="G29" i="22"/>
  <c r="J29" i="22"/>
  <c r="I29" i="22"/>
  <c r="K29" i="22"/>
  <c r="H29" i="22"/>
  <c r="L29" i="22"/>
  <c r="M28" i="22"/>
  <c r="T28" i="22"/>
  <c r="W28" i="22"/>
  <c r="V28" i="22"/>
  <c r="X28" i="22"/>
  <c r="U28" i="22"/>
  <c r="Y28" i="22"/>
  <c r="N28" i="22"/>
  <c r="Q28" i="22"/>
  <c r="P28" i="22"/>
  <c r="R28" i="22"/>
  <c r="O28" i="22"/>
  <c r="S28" i="22"/>
  <c r="G28" i="22"/>
  <c r="J28" i="22"/>
  <c r="I28" i="22"/>
  <c r="K28" i="22"/>
  <c r="H28" i="22"/>
  <c r="L28" i="22"/>
  <c r="M27" i="22"/>
  <c r="T27" i="22"/>
  <c r="W27" i="22"/>
  <c r="V27" i="22"/>
  <c r="X27" i="22"/>
  <c r="U27" i="22"/>
  <c r="Y27" i="22"/>
  <c r="N27" i="22"/>
  <c r="Q27" i="22"/>
  <c r="P27" i="22"/>
  <c r="R27" i="22"/>
  <c r="O27" i="22"/>
  <c r="S27" i="22"/>
  <c r="G27" i="22"/>
  <c r="J27" i="22"/>
  <c r="I27" i="22"/>
  <c r="K27" i="22"/>
  <c r="H27" i="22"/>
  <c r="L27" i="22"/>
  <c r="M26" i="22"/>
  <c r="T26" i="22"/>
  <c r="W26" i="22"/>
  <c r="V26" i="22"/>
  <c r="X26" i="22"/>
  <c r="U26" i="22"/>
  <c r="Y26" i="22"/>
  <c r="N26" i="22"/>
  <c r="Q26" i="22"/>
  <c r="P26" i="22"/>
  <c r="R26" i="22"/>
  <c r="O26" i="22"/>
  <c r="S26" i="22"/>
  <c r="G26" i="22"/>
  <c r="J26" i="22"/>
  <c r="I26" i="22"/>
  <c r="K26" i="22"/>
  <c r="H26" i="22"/>
  <c r="L26" i="22"/>
  <c r="M25" i="22"/>
  <c r="T25" i="22"/>
  <c r="W25" i="22"/>
  <c r="V25" i="22"/>
  <c r="X25" i="22"/>
  <c r="U25" i="22"/>
  <c r="Y25" i="22"/>
  <c r="N25" i="22"/>
  <c r="Q25" i="22"/>
  <c r="P25" i="22"/>
  <c r="R25" i="22"/>
  <c r="O25" i="22"/>
  <c r="S25" i="22"/>
  <c r="G25" i="22"/>
  <c r="J25" i="22"/>
  <c r="I25" i="22"/>
  <c r="K25" i="22"/>
  <c r="H25" i="22"/>
  <c r="L25" i="22"/>
  <c r="M24" i="22"/>
  <c r="T24" i="22"/>
  <c r="W24" i="22"/>
  <c r="V24" i="22"/>
  <c r="X24" i="22"/>
  <c r="U24" i="22"/>
  <c r="Y24" i="22"/>
  <c r="N24" i="22"/>
  <c r="Q24" i="22"/>
  <c r="P24" i="22"/>
  <c r="R24" i="22"/>
  <c r="O24" i="22"/>
  <c r="S24" i="22"/>
  <c r="G24" i="22"/>
  <c r="J24" i="22"/>
  <c r="I24" i="22"/>
  <c r="K24" i="22"/>
  <c r="H24" i="22"/>
  <c r="L24" i="22"/>
  <c r="M23" i="22"/>
  <c r="T23" i="22"/>
  <c r="W23" i="22"/>
  <c r="V23" i="22"/>
  <c r="X23" i="22"/>
  <c r="U23" i="22"/>
  <c r="Y23" i="22"/>
  <c r="N23" i="22"/>
  <c r="Q23" i="22"/>
  <c r="P23" i="22"/>
  <c r="R23" i="22"/>
  <c r="O23" i="22"/>
  <c r="S23" i="22"/>
  <c r="G23" i="22"/>
  <c r="J23" i="22"/>
  <c r="I23" i="22"/>
  <c r="K23" i="22"/>
  <c r="H23" i="22"/>
  <c r="L23" i="22"/>
  <c r="M22" i="22"/>
  <c r="T22" i="22"/>
  <c r="W22" i="22"/>
  <c r="V22" i="22"/>
  <c r="X22" i="22"/>
  <c r="U22" i="22"/>
  <c r="Y22" i="22"/>
  <c r="N22" i="22"/>
  <c r="Q22" i="22"/>
  <c r="P22" i="22"/>
  <c r="R22" i="22"/>
  <c r="O22" i="22"/>
  <c r="S22" i="22"/>
  <c r="G22" i="22"/>
  <c r="J22" i="22"/>
  <c r="I22" i="22"/>
  <c r="K22" i="22"/>
  <c r="H22" i="22"/>
  <c r="L22" i="22"/>
  <c r="M21" i="22"/>
  <c r="T21" i="22"/>
  <c r="W21" i="22"/>
  <c r="V21" i="22"/>
  <c r="X21" i="22"/>
  <c r="U21" i="22"/>
  <c r="Y21" i="22"/>
  <c r="N21" i="22"/>
  <c r="Q21" i="22"/>
  <c r="P21" i="22"/>
  <c r="R21" i="22"/>
  <c r="O21" i="22"/>
  <c r="S21" i="22"/>
  <c r="G21" i="22"/>
  <c r="J21" i="22"/>
  <c r="I21" i="22"/>
  <c r="K21" i="22"/>
  <c r="H21" i="22"/>
  <c r="L21" i="22"/>
  <c r="M20" i="22"/>
  <c r="T20" i="22"/>
  <c r="W20" i="22"/>
  <c r="V20" i="22"/>
  <c r="X20" i="22"/>
  <c r="U20" i="22"/>
  <c r="Y20" i="22"/>
  <c r="N20" i="22"/>
  <c r="Q20" i="22"/>
  <c r="P20" i="22"/>
  <c r="R20" i="22"/>
  <c r="O20" i="22"/>
  <c r="S20" i="22"/>
  <c r="G20" i="22"/>
  <c r="J20" i="22"/>
  <c r="I20" i="22"/>
  <c r="K20" i="22"/>
  <c r="H20" i="22"/>
  <c r="L20" i="22"/>
  <c r="M19" i="22"/>
  <c r="T19" i="22"/>
  <c r="W19" i="22"/>
  <c r="V19" i="22"/>
  <c r="X19" i="22"/>
  <c r="U19" i="22"/>
  <c r="Y19" i="22"/>
  <c r="N19" i="22"/>
  <c r="Q19" i="22"/>
  <c r="P19" i="22"/>
  <c r="R19" i="22"/>
  <c r="O19" i="22"/>
  <c r="S19" i="22"/>
  <c r="G19" i="22"/>
  <c r="J19" i="22"/>
  <c r="I19" i="22"/>
  <c r="K19" i="22"/>
  <c r="H19" i="22"/>
  <c r="L19" i="22"/>
  <c r="M18" i="22"/>
  <c r="T18" i="22"/>
  <c r="W18" i="22"/>
  <c r="V18" i="22"/>
  <c r="X18" i="22"/>
  <c r="U18" i="22"/>
  <c r="Y18" i="22"/>
  <c r="N18" i="22"/>
  <c r="Q18" i="22"/>
  <c r="P18" i="22"/>
  <c r="R18" i="22"/>
  <c r="O18" i="22"/>
  <c r="S18" i="22"/>
  <c r="G18" i="22"/>
  <c r="J18" i="22"/>
  <c r="I18" i="22"/>
  <c r="K18" i="22"/>
  <c r="H18" i="22"/>
  <c r="L18" i="22"/>
  <c r="M17" i="22"/>
  <c r="T17" i="22"/>
  <c r="W17" i="22"/>
  <c r="V17" i="22"/>
  <c r="X17" i="22"/>
  <c r="U17" i="22"/>
  <c r="Y17" i="22"/>
  <c r="N17" i="22"/>
  <c r="Q17" i="22"/>
  <c r="P17" i="22"/>
  <c r="R17" i="22"/>
  <c r="O17" i="22"/>
  <c r="S17" i="22"/>
  <c r="G17" i="22"/>
  <c r="J17" i="22"/>
  <c r="I17" i="22"/>
  <c r="K17" i="22"/>
  <c r="H17" i="22"/>
  <c r="L17" i="22"/>
  <c r="M16" i="22"/>
  <c r="T16" i="22"/>
  <c r="W16" i="22"/>
  <c r="V16" i="22"/>
  <c r="X16" i="22"/>
  <c r="U16" i="22"/>
  <c r="Y16" i="22"/>
  <c r="N16" i="22"/>
  <c r="Q16" i="22"/>
  <c r="P16" i="22"/>
  <c r="R16" i="22"/>
  <c r="O16" i="22"/>
  <c r="S16" i="22"/>
  <c r="G16" i="22"/>
  <c r="J16" i="22"/>
  <c r="I16" i="22"/>
  <c r="K16" i="22"/>
  <c r="H16" i="22"/>
  <c r="L16" i="22"/>
  <c r="M15" i="22"/>
  <c r="T15" i="22"/>
  <c r="W15" i="22"/>
  <c r="V15" i="22"/>
  <c r="X15" i="22"/>
  <c r="U15" i="22"/>
  <c r="Y15" i="22"/>
  <c r="N15" i="22"/>
  <c r="Q15" i="22"/>
  <c r="P15" i="22"/>
  <c r="R15" i="22"/>
  <c r="O15" i="22"/>
  <c r="S15" i="22"/>
  <c r="G15" i="22"/>
  <c r="J15" i="22"/>
  <c r="I15" i="22"/>
  <c r="K15" i="22"/>
  <c r="H15" i="22"/>
  <c r="L15" i="22"/>
  <c r="M14" i="22"/>
  <c r="T14" i="22"/>
  <c r="W14" i="22"/>
  <c r="V14" i="22"/>
  <c r="X14" i="22"/>
  <c r="U14" i="22"/>
  <c r="Y14" i="22"/>
  <c r="N14" i="22"/>
  <c r="Q14" i="22"/>
  <c r="P14" i="22"/>
  <c r="R14" i="22"/>
  <c r="O14" i="22"/>
  <c r="S14" i="22"/>
  <c r="G14" i="22"/>
  <c r="J14" i="22"/>
  <c r="I14" i="22"/>
  <c r="K14" i="22"/>
  <c r="H14" i="22"/>
  <c r="L14" i="22"/>
  <c r="M13" i="22"/>
  <c r="T13" i="22"/>
  <c r="W13" i="22"/>
  <c r="V13" i="22"/>
  <c r="X13" i="22"/>
  <c r="U13" i="22"/>
  <c r="Y13" i="22"/>
  <c r="N13" i="22"/>
  <c r="Q13" i="22"/>
  <c r="P13" i="22"/>
  <c r="R13" i="22"/>
  <c r="O13" i="22"/>
  <c r="S13" i="22"/>
  <c r="G13" i="22"/>
  <c r="J13" i="22"/>
  <c r="I13" i="22"/>
  <c r="K13" i="22"/>
  <c r="H13" i="22"/>
  <c r="L13" i="22"/>
  <c r="M12" i="22"/>
  <c r="T12" i="22"/>
  <c r="W12" i="22"/>
  <c r="V12" i="22"/>
  <c r="X12" i="22"/>
  <c r="U12" i="22"/>
  <c r="Y12" i="22"/>
  <c r="N12" i="22"/>
  <c r="Q12" i="22"/>
  <c r="P12" i="22"/>
  <c r="R12" i="22"/>
  <c r="O12" i="22"/>
  <c r="S12" i="22"/>
  <c r="G12" i="22"/>
  <c r="J12" i="22"/>
  <c r="I12" i="22"/>
  <c r="K12" i="22"/>
  <c r="H12" i="22"/>
  <c r="L12" i="22"/>
  <c r="M11" i="22"/>
  <c r="T11" i="22"/>
  <c r="W11" i="22"/>
  <c r="V11" i="22"/>
  <c r="X11" i="22"/>
  <c r="U11" i="22"/>
  <c r="Y11" i="22"/>
  <c r="N11" i="22"/>
  <c r="Q11" i="22"/>
  <c r="P11" i="22"/>
  <c r="R11" i="22"/>
  <c r="O11" i="22"/>
  <c r="S11" i="22"/>
  <c r="G11" i="22"/>
  <c r="J11" i="22"/>
  <c r="I11" i="22"/>
  <c r="K11" i="22"/>
  <c r="H11" i="22"/>
  <c r="L11" i="22"/>
  <c r="M10" i="22"/>
  <c r="T10" i="22"/>
  <c r="W10" i="22"/>
  <c r="V10" i="22"/>
  <c r="X10" i="22"/>
  <c r="U10" i="22"/>
  <c r="Y10" i="22"/>
  <c r="N10" i="22"/>
  <c r="Q10" i="22"/>
  <c r="P10" i="22"/>
  <c r="R10" i="22"/>
  <c r="O10" i="22"/>
  <c r="S10" i="22"/>
  <c r="G10" i="22"/>
  <c r="J10" i="22"/>
  <c r="I10" i="22"/>
  <c r="K10" i="22"/>
  <c r="H10" i="22"/>
  <c r="L10" i="22"/>
  <c r="M9" i="22"/>
  <c r="T9" i="22"/>
  <c r="W9" i="22"/>
  <c r="V9" i="22"/>
  <c r="X9" i="22"/>
  <c r="U9" i="22"/>
  <c r="Y9" i="22"/>
  <c r="N9" i="22"/>
  <c r="Q9" i="22"/>
  <c r="P9" i="22"/>
  <c r="R9" i="22"/>
  <c r="O9" i="22"/>
  <c r="S9" i="22"/>
  <c r="G9" i="22"/>
  <c r="J9" i="22"/>
  <c r="I9" i="22"/>
  <c r="K9" i="22"/>
  <c r="H9" i="22"/>
  <c r="L9" i="22"/>
  <c r="M8" i="22"/>
  <c r="T8" i="22"/>
  <c r="W8" i="22"/>
  <c r="V8" i="22"/>
  <c r="X8" i="22"/>
  <c r="U8" i="22"/>
  <c r="Y8" i="22"/>
  <c r="N8" i="22"/>
  <c r="Q8" i="22"/>
  <c r="P8" i="22"/>
  <c r="R8" i="22"/>
  <c r="O8" i="22"/>
  <c r="S8" i="22"/>
  <c r="G8" i="22"/>
  <c r="J8" i="22"/>
  <c r="I8" i="22"/>
  <c r="K8" i="22"/>
  <c r="H8" i="22"/>
  <c r="L8" i="22"/>
  <c r="M7" i="22"/>
  <c r="T7" i="22"/>
  <c r="W7" i="22"/>
  <c r="V7" i="22"/>
  <c r="X7" i="22"/>
  <c r="U7" i="22"/>
  <c r="Y7" i="22"/>
  <c r="N7" i="22"/>
  <c r="Q7" i="22"/>
  <c r="P7" i="22"/>
  <c r="R7" i="22"/>
  <c r="O7" i="22"/>
  <c r="S7" i="22"/>
  <c r="G7" i="22"/>
  <c r="J7" i="22"/>
  <c r="I7" i="22"/>
  <c r="K7" i="22"/>
  <c r="H7" i="22"/>
  <c r="L7" i="22"/>
  <c r="M6" i="22"/>
  <c r="T6" i="22"/>
  <c r="W6" i="22"/>
  <c r="V6" i="22"/>
  <c r="X6" i="22"/>
  <c r="U6" i="22"/>
  <c r="Y6" i="22"/>
  <c r="N6" i="22"/>
  <c r="Q6" i="22"/>
  <c r="P6" i="22"/>
  <c r="R6" i="22"/>
  <c r="O6" i="22"/>
  <c r="S6" i="22"/>
  <c r="G6" i="22"/>
  <c r="J6" i="22"/>
  <c r="I6" i="22"/>
  <c r="K6" i="22"/>
  <c r="H6" i="22"/>
  <c r="L6" i="22"/>
  <c r="M5" i="22"/>
  <c r="T5" i="22"/>
  <c r="W5" i="22"/>
  <c r="V5" i="22"/>
  <c r="X5" i="22"/>
  <c r="U5" i="22"/>
  <c r="Y5" i="22"/>
  <c r="N5" i="22"/>
  <c r="Q5" i="22"/>
  <c r="P5" i="22"/>
  <c r="R5" i="22"/>
  <c r="O5" i="22"/>
  <c r="S5" i="22"/>
  <c r="G5" i="22"/>
  <c r="J5" i="22"/>
  <c r="I5" i="22"/>
  <c r="K5" i="22"/>
  <c r="H5" i="22"/>
  <c r="L5" i="22"/>
  <c r="M4" i="22"/>
  <c r="T4" i="22"/>
  <c r="W4" i="22"/>
  <c r="V4" i="22"/>
  <c r="X4" i="22"/>
  <c r="U4" i="22"/>
  <c r="Y4" i="22"/>
  <c r="N4" i="22"/>
  <c r="Q4" i="22"/>
  <c r="P4" i="22"/>
  <c r="R4" i="22"/>
  <c r="O4" i="22"/>
  <c r="S4" i="22"/>
  <c r="G4" i="22"/>
  <c r="J4" i="22"/>
  <c r="I4" i="22"/>
  <c r="K4" i="22"/>
  <c r="H4" i="22"/>
  <c r="L4" i="22"/>
  <c r="M3" i="22"/>
  <c r="T3" i="22"/>
  <c r="W3" i="22"/>
  <c r="V3" i="22"/>
  <c r="X3" i="22"/>
  <c r="U3" i="22"/>
  <c r="Y3" i="22"/>
  <c r="N3" i="22"/>
  <c r="Q3" i="22"/>
  <c r="P3" i="22"/>
  <c r="R3" i="22"/>
  <c r="O3" i="22"/>
  <c r="S3" i="22"/>
  <c r="G3" i="22"/>
  <c r="J3" i="22"/>
  <c r="I3" i="22"/>
  <c r="K3" i="22"/>
  <c r="H3" i="22"/>
  <c r="L3" i="22"/>
  <c r="M2" i="22"/>
  <c r="T2" i="22"/>
  <c r="W2" i="22"/>
  <c r="V2" i="22"/>
  <c r="X2" i="22"/>
  <c r="U2" i="22"/>
  <c r="Y2" i="22"/>
  <c r="N2" i="22"/>
  <c r="Q2" i="22"/>
  <c r="P2" i="22"/>
  <c r="R2" i="22"/>
  <c r="O2" i="22"/>
  <c r="S2" i="22"/>
  <c r="G2" i="22"/>
  <c r="J2" i="22"/>
  <c r="I2" i="22"/>
  <c r="K2" i="22"/>
  <c r="H2" i="22"/>
  <c r="L2" i="22"/>
  <c r="A25" i="9"/>
  <c r="G25" i="9"/>
  <c r="H25" i="9"/>
  <c r="I25" i="9"/>
  <c r="J25" i="9"/>
  <c r="K25" i="9"/>
  <c r="L25" i="9"/>
  <c r="M25" i="9"/>
  <c r="N25" i="9"/>
  <c r="O25" i="9"/>
  <c r="A26" i="9"/>
  <c r="G26" i="9"/>
  <c r="H26" i="9"/>
  <c r="I26" i="9"/>
  <c r="J26" i="9"/>
  <c r="K26" i="9"/>
  <c r="L26" i="9"/>
  <c r="M26" i="9"/>
  <c r="N26" i="9"/>
  <c r="O26" i="9"/>
  <c r="A27" i="9"/>
  <c r="G27" i="9"/>
  <c r="H27" i="9"/>
  <c r="I27" i="9"/>
  <c r="J27" i="9"/>
  <c r="K27" i="9"/>
  <c r="L27" i="9"/>
  <c r="M27" i="9"/>
  <c r="N27" i="9"/>
  <c r="O27" i="9"/>
  <c r="A28" i="9"/>
  <c r="G28" i="9"/>
  <c r="H28" i="9"/>
  <c r="I28" i="9"/>
  <c r="J28" i="9"/>
  <c r="K28" i="9"/>
  <c r="L28" i="9"/>
  <c r="M28" i="9"/>
  <c r="N28" i="9"/>
  <c r="O28" i="9"/>
  <c r="A29" i="9"/>
  <c r="G29" i="9"/>
  <c r="H29" i="9"/>
  <c r="I29" i="9"/>
  <c r="J29" i="9"/>
  <c r="K29" i="9"/>
  <c r="L29" i="9"/>
  <c r="M29" i="9"/>
  <c r="N29" i="9"/>
  <c r="O29" i="9"/>
  <c r="A30" i="9"/>
  <c r="G30" i="9"/>
  <c r="H30" i="9"/>
  <c r="I30" i="9"/>
  <c r="J30" i="9"/>
  <c r="K30" i="9"/>
  <c r="L30" i="9"/>
  <c r="M30" i="9"/>
  <c r="N30" i="9"/>
  <c r="O30" i="9"/>
  <c r="A31" i="9"/>
  <c r="G31" i="9"/>
  <c r="H31" i="9"/>
  <c r="I31" i="9"/>
  <c r="J31" i="9"/>
  <c r="K31" i="9"/>
  <c r="L31" i="9"/>
  <c r="M31" i="9"/>
  <c r="N31" i="9"/>
  <c r="O31" i="9"/>
  <c r="A32" i="9"/>
  <c r="G32" i="9"/>
  <c r="H32" i="9"/>
  <c r="I32" i="9"/>
  <c r="J32" i="9"/>
  <c r="K32" i="9"/>
  <c r="L32" i="9"/>
  <c r="M32" i="9"/>
  <c r="N32" i="9"/>
  <c r="O32" i="9"/>
  <c r="A33" i="9"/>
  <c r="G33" i="9"/>
  <c r="H33" i="9"/>
  <c r="I33" i="9"/>
  <c r="J33" i="9"/>
  <c r="K33" i="9"/>
  <c r="L33" i="9"/>
  <c r="M33" i="9"/>
  <c r="N33" i="9"/>
  <c r="O33" i="9"/>
  <c r="A34" i="9"/>
  <c r="G34" i="9"/>
  <c r="H34" i="9"/>
  <c r="I34" i="9"/>
  <c r="J34" i="9"/>
  <c r="K34" i="9"/>
  <c r="L34" i="9"/>
  <c r="M34" i="9"/>
  <c r="N34" i="9"/>
  <c r="O34" i="9"/>
  <c r="A35" i="9"/>
  <c r="G35" i="9"/>
  <c r="H35" i="9"/>
  <c r="I35" i="9"/>
  <c r="J35" i="9"/>
  <c r="K35" i="9"/>
  <c r="L35" i="9"/>
  <c r="M35" i="9"/>
  <c r="N35" i="9"/>
  <c r="O35" i="9"/>
  <c r="A36" i="9"/>
  <c r="G36" i="9"/>
  <c r="H36" i="9"/>
  <c r="I36" i="9"/>
  <c r="J36" i="9"/>
  <c r="K36" i="9"/>
  <c r="L36" i="9"/>
  <c r="M36" i="9"/>
  <c r="N36" i="9"/>
  <c r="O36" i="9"/>
  <c r="A37" i="9"/>
  <c r="G37" i="9"/>
  <c r="H37" i="9"/>
  <c r="I37" i="9"/>
  <c r="J37" i="9"/>
  <c r="K37" i="9"/>
  <c r="L37" i="9"/>
  <c r="M37" i="9"/>
  <c r="N37" i="9"/>
  <c r="O37" i="9"/>
  <c r="A38" i="9"/>
  <c r="G38" i="9"/>
  <c r="H38" i="9"/>
  <c r="I38" i="9"/>
  <c r="J38" i="9"/>
  <c r="K38" i="9"/>
  <c r="L38" i="9"/>
  <c r="M38" i="9"/>
  <c r="N38" i="9"/>
  <c r="O38" i="9"/>
  <c r="A39" i="9"/>
  <c r="G39" i="9"/>
  <c r="H39" i="9"/>
  <c r="I39" i="9"/>
  <c r="J39" i="9"/>
  <c r="K39" i="9"/>
  <c r="L39" i="9"/>
  <c r="M39" i="9"/>
  <c r="N39" i="9"/>
  <c r="O39" i="9"/>
  <c r="A40" i="9"/>
  <c r="G40" i="9"/>
  <c r="H40" i="9"/>
  <c r="I40" i="9"/>
  <c r="J40" i="9"/>
  <c r="K40" i="9"/>
  <c r="L40" i="9"/>
  <c r="M40" i="9"/>
  <c r="N40" i="9"/>
  <c r="O40" i="9"/>
  <c r="A41" i="9"/>
  <c r="G41" i="9"/>
  <c r="H41" i="9"/>
  <c r="I41" i="9"/>
  <c r="J41" i="9"/>
  <c r="K41" i="9"/>
  <c r="L41" i="9"/>
  <c r="M41" i="9"/>
  <c r="N41" i="9"/>
  <c r="O41" i="9"/>
  <c r="A42" i="9"/>
  <c r="G42" i="9"/>
  <c r="H42" i="9"/>
  <c r="I42" i="9"/>
  <c r="J42" i="9"/>
  <c r="K42" i="9"/>
  <c r="L42" i="9"/>
  <c r="M42" i="9"/>
  <c r="N42" i="9"/>
  <c r="O42" i="9"/>
  <c r="A43" i="9"/>
  <c r="G43" i="9"/>
  <c r="H43" i="9"/>
  <c r="I43" i="9"/>
  <c r="J43" i="9"/>
  <c r="K43" i="9"/>
  <c r="L43" i="9"/>
  <c r="M43" i="9"/>
  <c r="N43" i="9"/>
  <c r="O43" i="9"/>
  <c r="A44" i="9"/>
  <c r="G44" i="9"/>
  <c r="H44" i="9"/>
  <c r="I44" i="9"/>
  <c r="J44" i="9"/>
  <c r="K44" i="9"/>
  <c r="L44" i="9"/>
  <c r="M44" i="9"/>
  <c r="N44" i="9"/>
  <c r="O44" i="9"/>
  <c r="A45" i="9"/>
  <c r="G45" i="9"/>
  <c r="H45" i="9"/>
  <c r="I45" i="9"/>
  <c r="J45" i="9"/>
  <c r="K45" i="9"/>
  <c r="L45" i="9"/>
  <c r="M45" i="9"/>
  <c r="N45" i="9"/>
  <c r="O45" i="9"/>
  <c r="A46" i="9"/>
  <c r="G46" i="9"/>
  <c r="H46" i="9"/>
  <c r="I46" i="9"/>
  <c r="J46" i="9"/>
  <c r="K46" i="9"/>
  <c r="L46" i="9"/>
  <c r="M46" i="9"/>
  <c r="N46" i="9"/>
  <c r="O46" i="9"/>
  <c r="A47" i="9"/>
  <c r="G47" i="9"/>
  <c r="H47" i="9"/>
  <c r="I47" i="9"/>
  <c r="J47" i="9"/>
  <c r="K47" i="9"/>
  <c r="L47" i="9"/>
  <c r="M47" i="9"/>
  <c r="N47" i="9"/>
  <c r="O47" i="9"/>
  <c r="A48" i="9"/>
  <c r="G48" i="9"/>
  <c r="H48" i="9"/>
  <c r="I48" i="9"/>
  <c r="J48" i="9"/>
  <c r="K48" i="9"/>
  <c r="L48" i="9"/>
  <c r="M48" i="9"/>
  <c r="N48" i="9"/>
  <c r="O48" i="9"/>
  <c r="A49" i="9"/>
  <c r="G49" i="9"/>
  <c r="H49" i="9"/>
  <c r="I49" i="9"/>
  <c r="J49" i="9"/>
  <c r="K49" i="9"/>
  <c r="L49" i="9"/>
  <c r="M49" i="9"/>
  <c r="N49" i="9"/>
  <c r="O49" i="9"/>
  <c r="A19" i="9"/>
  <c r="G19" i="9"/>
  <c r="H19" i="9"/>
  <c r="I19" i="9"/>
  <c r="J19" i="9"/>
  <c r="K19" i="9"/>
  <c r="L19" i="9"/>
  <c r="M19" i="9"/>
  <c r="N19" i="9"/>
  <c r="O19" i="9"/>
  <c r="A20" i="9"/>
  <c r="G20" i="9"/>
  <c r="H20" i="9"/>
  <c r="I20" i="9"/>
  <c r="J20" i="9"/>
  <c r="K20" i="9"/>
  <c r="L20" i="9"/>
  <c r="M20" i="9"/>
  <c r="N20" i="9"/>
  <c r="O20" i="9"/>
  <c r="A21" i="9"/>
  <c r="G21" i="9"/>
  <c r="H21" i="9"/>
  <c r="I21" i="9"/>
  <c r="J21" i="9"/>
  <c r="K21" i="9"/>
  <c r="L21" i="9"/>
  <c r="M21" i="9"/>
  <c r="N21" i="9"/>
  <c r="O21" i="9"/>
  <c r="A22" i="9"/>
  <c r="G22" i="9"/>
  <c r="H22" i="9"/>
  <c r="I22" i="9"/>
  <c r="J22" i="9"/>
  <c r="K22" i="9"/>
  <c r="L22" i="9"/>
  <c r="M22" i="9"/>
  <c r="N22" i="9"/>
  <c r="O22" i="9"/>
  <c r="A23" i="9"/>
  <c r="G23" i="9"/>
  <c r="H23" i="9"/>
  <c r="I23" i="9"/>
  <c r="J23" i="9"/>
  <c r="K23" i="9"/>
  <c r="L23" i="9"/>
  <c r="M23" i="9"/>
  <c r="N23" i="9"/>
  <c r="O23" i="9"/>
  <c r="A24" i="9"/>
  <c r="G24" i="9"/>
  <c r="H24" i="9"/>
  <c r="I24" i="9"/>
  <c r="J24" i="9"/>
  <c r="K24" i="9"/>
  <c r="L24" i="9"/>
  <c r="M24" i="9"/>
  <c r="N24" i="9"/>
  <c r="O24" i="9"/>
  <c r="A3" i="9"/>
  <c r="G3" i="9"/>
  <c r="H3" i="9"/>
  <c r="I3" i="9"/>
  <c r="J3" i="9"/>
  <c r="K3" i="9"/>
  <c r="L3" i="9"/>
  <c r="M3" i="9"/>
  <c r="N3" i="9"/>
  <c r="O3" i="9"/>
  <c r="A4" i="9"/>
  <c r="G4" i="9"/>
  <c r="H4" i="9"/>
  <c r="I4" i="9"/>
  <c r="J4" i="9"/>
  <c r="K4" i="9"/>
  <c r="L4" i="9"/>
  <c r="M4" i="9"/>
  <c r="N4" i="9"/>
  <c r="O4" i="9"/>
  <c r="A5" i="9"/>
  <c r="G5" i="9"/>
  <c r="H5" i="9"/>
  <c r="I5" i="9"/>
  <c r="J5" i="9"/>
  <c r="K5" i="9"/>
  <c r="L5" i="9"/>
  <c r="M5" i="9"/>
  <c r="N5" i="9"/>
  <c r="O5" i="9"/>
  <c r="A6" i="9"/>
  <c r="G6" i="9"/>
  <c r="H6" i="9"/>
  <c r="I6" i="9"/>
  <c r="J6" i="9"/>
  <c r="K6" i="9"/>
  <c r="L6" i="9"/>
  <c r="M6" i="9"/>
  <c r="N6" i="9"/>
  <c r="O6" i="9"/>
  <c r="A7" i="9"/>
  <c r="G7" i="9"/>
  <c r="H7" i="9"/>
  <c r="I7" i="9"/>
  <c r="J7" i="9"/>
  <c r="K7" i="9"/>
  <c r="L7" i="9"/>
  <c r="M7" i="9"/>
  <c r="N7" i="9"/>
  <c r="O7" i="9"/>
  <c r="A8" i="9"/>
  <c r="G8" i="9"/>
  <c r="H8" i="9"/>
  <c r="I8" i="9"/>
  <c r="J8" i="9"/>
  <c r="K8" i="9"/>
  <c r="L8" i="9"/>
  <c r="M8" i="9"/>
  <c r="N8" i="9"/>
  <c r="O8" i="9"/>
  <c r="A9" i="9"/>
  <c r="G9" i="9"/>
  <c r="H9" i="9"/>
  <c r="I9" i="9"/>
  <c r="J9" i="9"/>
  <c r="K9" i="9"/>
  <c r="L9" i="9"/>
  <c r="M9" i="9"/>
  <c r="N9" i="9"/>
  <c r="O9" i="9"/>
  <c r="A10" i="9"/>
  <c r="G10" i="9"/>
  <c r="H10" i="9"/>
  <c r="I10" i="9"/>
  <c r="J10" i="9"/>
  <c r="K10" i="9"/>
  <c r="L10" i="9"/>
  <c r="M10" i="9"/>
  <c r="N10" i="9"/>
  <c r="O10" i="9"/>
  <c r="A11" i="9"/>
  <c r="G11" i="9"/>
  <c r="H11" i="9"/>
  <c r="I11" i="9"/>
  <c r="J11" i="9"/>
  <c r="K11" i="9"/>
  <c r="L11" i="9"/>
  <c r="M11" i="9"/>
  <c r="N11" i="9"/>
  <c r="O11" i="9"/>
  <c r="A12" i="9"/>
  <c r="G12" i="9"/>
  <c r="H12" i="9"/>
  <c r="I12" i="9"/>
  <c r="J12" i="9"/>
  <c r="K12" i="9"/>
  <c r="L12" i="9"/>
  <c r="M12" i="9"/>
  <c r="N12" i="9"/>
  <c r="O12" i="9"/>
  <c r="A13" i="9"/>
  <c r="G13" i="9"/>
  <c r="H13" i="9"/>
  <c r="I13" i="9"/>
  <c r="J13" i="9"/>
  <c r="K13" i="9"/>
  <c r="L13" i="9"/>
  <c r="M13" i="9"/>
  <c r="N13" i="9"/>
  <c r="O13" i="9"/>
  <c r="A14" i="9"/>
  <c r="G14" i="9"/>
  <c r="H14" i="9"/>
  <c r="I14" i="9"/>
  <c r="J14" i="9"/>
  <c r="K14" i="9"/>
  <c r="L14" i="9"/>
  <c r="M14" i="9"/>
  <c r="N14" i="9"/>
  <c r="O14" i="9"/>
  <c r="A15" i="9"/>
  <c r="G15" i="9"/>
  <c r="H15" i="9"/>
  <c r="I15" i="9"/>
  <c r="J15" i="9"/>
  <c r="K15" i="9"/>
  <c r="L15" i="9"/>
  <c r="M15" i="9"/>
  <c r="N15" i="9"/>
  <c r="O15" i="9"/>
  <c r="A16" i="9"/>
  <c r="G16" i="9"/>
  <c r="H16" i="9"/>
  <c r="I16" i="9"/>
  <c r="J16" i="9"/>
  <c r="K16" i="9"/>
  <c r="L16" i="9"/>
  <c r="M16" i="9"/>
  <c r="N16" i="9"/>
  <c r="O16" i="9"/>
  <c r="A17" i="9"/>
  <c r="G17" i="9"/>
  <c r="H17" i="9"/>
  <c r="I17" i="9"/>
  <c r="J17" i="9"/>
  <c r="K17" i="9"/>
  <c r="L17" i="9"/>
  <c r="M17" i="9"/>
  <c r="N17" i="9"/>
  <c r="O17" i="9"/>
  <c r="A18" i="9"/>
  <c r="G18" i="9"/>
  <c r="H18" i="9"/>
  <c r="I18" i="9"/>
  <c r="J18" i="9"/>
  <c r="K18" i="9"/>
  <c r="L18" i="9"/>
  <c r="M18" i="9"/>
  <c r="N18" i="9"/>
  <c r="O18" i="9"/>
  <c r="H4" i="7"/>
  <c r="D4" i="7"/>
  <c r="F4" i="7"/>
  <c r="E4" i="7"/>
  <c r="H3" i="7"/>
  <c r="D3" i="7"/>
  <c r="F3" i="7"/>
  <c r="E3" i="7"/>
  <c r="H2" i="7"/>
  <c r="D2" i="7"/>
  <c r="F2" i="7"/>
  <c r="E2" i="7"/>
  <c r="A3" i="7"/>
  <c r="N3" i="7"/>
  <c r="O3" i="7"/>
  <c r="P3" i="7"/>
  <c r="Q3" i="7"/>
  <c r="R3" i="7"/>
  <c r="W3" i="7"/>
  <c r="A4" i="7"/>
  <c r="N4" i="7"/>
  <c r="O4" i="7"/>
  <c r="P4" i="7"/>
  <c r="Q4" i="7"/>
  <c r="R4" i="7"/>
  <c r="W4" i="7"/>
  <c r="H9" i="1"/>
  <c r="D9" i="1"/>
  <c r="F9" i="1"/>
  <c r="E9" i="1"/>
  <c r="H8" i="1"/>
  <c r="D8" i="1"/>
  <c r="F8" i="1"/>
  <c r="E8" i="1"/>
  <c r="H7" i="1"/>
  <c r="D7" i="1"/>
  <c r="F7" i="1"/>
  <c r="E7" i="1"/>
  <c r="H6" i="1"/>
  <c r="D6" i="1"/>
  <c r="F6" i="1"/>
  <c r="E6" i="1"/>
  <c r="H5" i="1"/>
  <c r="D5" i="1"/>
  <c r="F5" i="1"/>
  <c r="E5" i="1"/>
  <c r="H4" i="1"/>
  <c r="D4" i="1"/>
  <c r="F4" i="1"/>
  <c r="E4" i="1"/>
  <c r="H3" i="1"/>
  <c r="D3" i="1"/>
  <c r="F3" i="1"/>
  <c r="E3" i="1"/>
  <c r="H2" i="1"/>
  <c r="D2" i="1"/>
  <c r="F2" i="1"/>
  <c r="E2" i="1"/>
  <c r="AA4" i="1"/>
  <c r="A4" i="1"/>
  <c r="M4" i="1"/>
  <c r="N4" i="1"/>
  <c r="O4" i="1"/>
  <c r="P4" i="1"/>
  <c r="Q4" i="1"/>
  <c r="V4" i="1"/>
  <c r="AB4" i="1"/>
  <c r="AC4" i="1"/>
  <c r="AD4" i="1"/>
  <c r="AE4" i="1"/>
  <c r="AG4" i="1"/>
  <c r="A5" i="1"/>
  <c r="M5" i="1"/>
  <c r="N5" i="1"/>
  <c r="O5" i="1"/>
  <c r="P5" i="1"/>
  <c r="Q5" i="1"/>
  <c r="V5" i="1"/>
  <c r="AB5" i="1"/>
  <c r="AC5" i="1"/>
  <c r="AD5" i="1"/>
  <c r="AE5" i="1"/>
  <c r="AG5" i="1"/>
  <c r="A6" i="1"/>
  <c r="M6" i="1"/>
  <c r="N6" i="1"/>
  <c r="O6" i="1"/>
  <c r="P6" i="1"/>
  <c r="Q6" i="1"/>
  <c r="V6" i="1"/>
  <c r="AB6" i="1"/>
  <c r="AC6" i="1"/>
  <c r="AD6" i="1"/>
  <c r="AE6" i="1"/>
  <c r="AG6" i="1"/>
  <c r="A7" i="1"/>
  <c r="M7" i="1"/>
  <c r="N7" i="1"/>
  <c r="O7" i="1"/>
  <c r="P7" i="1"/>
  <c r="Q7" i="1"/>
  <c r="V7" i="1"/>
  <c r="AB7" i="1"/>
  <c r="AC7" i="1"/>
  <c r="AD7" i="1"/>
  <c r="AE7" i="1"/>
  <c r="AG7" i="1"/>
  <c r="A8" i="1"/>
  <c r="M8" i="1"/>
  <c r="N8" i="1"/>
  <c r="O8" i="1"/>
  <c r="P8" i="1"/>
  <c r="Q8" i="1"/>
  <c r="V8" i="1"/>
  <c r="AB8" i="1"/>
  <c r="AC8" i="1"/>
  <c r="AD8" i="1"/>
  <c r="AE8" i="1"/>
  <c r="AG8" i="1"/>
  <c r="AA9" i="1"/>
  <c r="A9" i="1"/>
  <c r="M9" i="1"/>
  <c r="N9" i="1"/>
  <c r="O9" i="1"/>
  <c r="P9" i="1"/>
  <c r="Q9" i="1"/>
  <c r="V9" i="1"/>
  <c r="AB9" i="1"/>
  <c r="AC9" i="1"/>
  <c r="AD9" i="1"/>
  <c r="AE9" i="1"/>
  <c r="AG9" i="1"/>
  <c r="G5" i="2"/>
  <c r="H5" i="2"/>
  <c r="E5" i="2"/>
  <c r="D5" i="2"/>
  <c r="A5" i="2"/>
  <c r="G4" i="2"/>
  <c r="H4" i="2"/>
  <c r="E4" i="2"/>
  <c r="D4" i="2"/>
  <c r="A4" i="2"/>
  <c r="G3" i="2"/>
  <c r="H3" i="2"/>
  <c r="E3" i="2"/>
  <c r="D3" i="2"/>
  <c r="A3" i="2"/>
  <c r="G2" i="2"/>
  <c r="H2" i="2"/>
  <c r="E2" i="2"/>
  <c r="D2" i="2"/>
  <c r="A2" i="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AG2" i="1"/>
  <c r="E8" i="16"/>
  <c r="E7" i="16"/>
  <c r="E6" i="16"/>
  <c r="E5" i="16"/>
  <c r="E4" i="16"/>
  <c r="E3" i="16"/>
  <c r="E2" i="16"/>
  <c r="A3" i="1"/>
  <c r="A2" i="1"/>
  <c r="AG3" i="1"/>
  <c r="A2" i="9"/>
  <c r="A2" i="7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<sst xmlns="http://schemas.openxmlformats.org/spreadsheetml/2006/main" count="1076" uniqueCount="377">
  <si>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</si>
  <si>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</si>
  <si>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</si>
  <si>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</si>
  <si>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</si>
  <si>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</si>
  <si>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</si>
  <si>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</si>
  <si>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</si>
  <si>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</si>
  <si>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</si>
  <si>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</si>
  <si>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</si>
  <si>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</si>
  <si>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</si>
  <si>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</si>
  <si>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</si>
  <si>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</si>
  <si>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</si>
  <si>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</si>
  <si>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</si>
  <si>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</si>
  <si>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</si>
  <si>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</si>
  <si>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</si>
  <si>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</si>
  <si>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</si>
  <si>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</si>
  <si>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</si>
  <si>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</si>
  <si>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</si>
  <si>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</si>
  <si>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</si>
  <si>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</si>
  <si>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</si>
  <si>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</si>
  <si>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</si>
  <si>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</si>
  <si>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</si>
  <si>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</si>
  <si>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</si>
  <si>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</si>
  <si>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</si>
  <si>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</si>
  <si>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</si>
  <si>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</si>
  <si>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</si>
  <si>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</si>
  <si>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</si>
  <si>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</si>
  <si>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</si>
  <si>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</si>
  <si>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</si>
  <si>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</si>
  <si>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</si>
  <si>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</si>
  <si>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</si>
  <si>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</si>
  <si>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</si>
  <si>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</si>
  <si>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</si>
  <si>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</si>
  <si>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</si>
  <si>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</si>
  <si>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</si>
  <si>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</si>
  <si>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</si>
  <si>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</si>
  <si>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</si>
  <si>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</si>
  <si>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</si>
  <si>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</si>
  <si>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</si>
  <si>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</si>
  <si>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</si>
  <si>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</si>
  <si>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</si>
  <si>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</si>
  <si>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</si>
  <si>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</si>
  <si>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</si>
  <si>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</si>
  <si>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</si>
  <si>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</si>
  <si>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</si>
  <si>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</si>
  <si>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</si>
  <si>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</si>
  <si>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</si>
  <si>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</si>
  <si>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</si>
  <si>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</si>
  <si>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</si>
  <si>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</si>
  <si>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</si>
  <si>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</si>
  <si>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</si>
  <si>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</si>
  <si>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</si>
  <si>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</si>
  <si>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</si>
  <si>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</si>
  <si>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</si>
  <si>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</si>
  <si>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</si>
  <si>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</si>
  <si>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</si>
  <si>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</si>
  <si>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</si>
  <si>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</si>
  <si>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</si>
  <si>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</si>
  <si>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</si>
  <si>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</si>
  <si>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</si>
  <si>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</si>
  <si>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</si>
  <si>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</si>
  <si>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</si>
  <si>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</si>
  <si>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</si>
  <si>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</si>
  <si>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</si>
  <si>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</si>
  <si>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</si>
  <si>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</si>
  <si>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</si>
  <si>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</si>
  <si>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</si>
  <si>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</si>
  <si>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</si>
  <si>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</si>
  <si>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</si>
  <si>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</si>
  <si>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</si>
  <si>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</si>
  <si>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</si>
  <si>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</si>
  <si>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</si>
  <si>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</si>
  <si>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</si>
  <si>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</si>
  <si>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</si>
  <si>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</si>
  <si>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</si>
  <si>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</si>
  <si>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</si>
  <si>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</si>
  <si>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</si>
  <si>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</si>
  <si>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</si>
  <si>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</si>
  <si>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</si>
  <si>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</si>
  <si>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</si>
  <si>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</si>
  <si>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</si>
  <si>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</si>
  <si>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</si>
  <si>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</si>
  <si>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</si>
  <si>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</si>
  <si>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</si>
  <si>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</si>
  <si>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</si>
  <si>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</si>
  <si>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</si>
  <si>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</si>
  <si>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</si>
  <si>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</si>
  <si>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</si>
  <si>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</si>
  <si>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</si>
  <si>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</si>
  <si>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</si>
  <si>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</si>
  <si>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</si>
  <si>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</si>
  <si>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</si>
  <si>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</si>
  <si>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</si>
  <si>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</si>
  <si>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</si>
  <si>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</si>
  <si>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</si>
  <si>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</si>
  <si>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</si>
  <si>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</si>
  <si>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</si>
  <si>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</si>
  <si>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</si>
  <si>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</si>
  <si>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</si>
  <si>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</si>
  <si>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</si>
  <si>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</si>
  <si>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</si>
  <si>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</si>
  <si>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</si>
  <si>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</si>
  <si>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</si>
  <si>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</si>
  <si>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</si>
  <si>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</si>
  <si>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</si>
  <si>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</si>
  <si>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</si>
  <si>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null</t>
    <phoneticPr fontId="5"/>
  </si>
  <si>
    <t>effect_param</t>
    <phoneticPr fontId="5"/>
  </si>
  <si>
    <t>language</t>
    <phoneticPr fontId="5"/>
  </si>
  <si>
    <t>name</t>
    <phoneticPr fontId="7"/>
  </si>
  <si>
    <t>comment</t>
    <phoneticPr fontId="7"/>
  </si>
  <si>
    <t>ja</t>
    <phoneticPr fontId="5"/>
  </si>
  <si>
    <t>ja</t>
    <phoneticPr fontId="5"/>
  </si>
  <si>
    <t>ジャマヲスルナ…!</t>
    <phoneticPr fontId="5"/>
  </si>
  <si>
    <t>味方全体にスキルバインド</t>
    <rPh sb="0" eb="5">
      <t>ミカt</t>
    </rPh>
    <phoneticPr fontId="5"/>
  </si>
  <si>
    <t>ルートバイオレーション</t>
    <phoneticPr fontId="5"/>
  </si>
  <si>
    <t>緑属性に対して大ダメージの攻撃</t>
    <rPh sb="0" eb="15">
      <t>ミドr</t>
    </rPh>
    <phoneticPr fontId="5"/>
  </si>
  <si>
    <t>[effect:suicide, val:1, dead_type:suicide, target:enemy_unknown, animation:enemy_suicide]</t>
    <phoneticPr fontId="5"/>
  </si>
  <si>
    <t>ゼンブ…クウ!!</t>
    <phoneticPr fontId="5"/>
  </si>
  <si>
    <t>仲間を吸収してパワーアップ</t>
    <rPh sb="0" eb="2">
      <t>ナk</t>
    </rPh>
    <rPh sb="3" eb="7">
      <t>キュウシュ</t>
    </rPh>
    <phoneticPr fontId="5"/>
  </si>
  <si>
    <t>[effect:remove_enhancement, target:unit_all, target_effect:enhance, target_type:buff, animation:frozen_wave]</t>
    <phoneticPr fontId="5"/>
  </si>
  <si>
    <t>オトナシクシロ!</t>
    <phoneticPr fontId="5"/>
  </si>
  <si>
    <t>ステータスアップを解除</t>
    <rPh sb="9" eb="11">
      <t>カ</t>
    </rPh>
    <phoneticPr fontId="5"/>
  </si>
  <si>
    <t>[effect:freq_turn, target:myself, turn:4, val:1, animation:enemy_freq_turn]</t>
    <phoneticPr fontId="5"/>
  </si>
  <si>
    <t>加速する食欲</t>
    <rPh sb="0" eb="2">
      <t>カソク</t>
    </rPh>
    <rPh sb="4" eb="6">
      <t>ショクヨク</t>
    </rPh>
    <phoneticPr fontId="5"/>
  </si>
  <si>
    <t>4ターンの間攻撃頻度アップ</t>
    <rPh sb="5" eb="6">
      <t>ア</t>
    </rPh>
    <rPh sb="6" eb="10">
      <t>コウゲk</t>
    </rPh>
    <phoneticPr fontId="5"/>
  </si>
  <si>
    <t>[effect:enhance_enemy, target:myself, turn:4, status:attack, val:1.2, calc:mul, animation:enemy_enhance_attack]</t>
    <phoneticPr fontId="5"/>
  </si>
  <si>
    <t>肥大する暴食</t>
    <rPh sb="0" eb="2">
      <t>ヒダイ</t>
    </rPh>
    <rPh sb="4" eb="6">
      <t>ボウショク</t>
    </rPh>
    <phoneticPr fontId="5"/>
  </si>
  <si>
    <t>4ターンの間攻撃力アップ</t>
    <rPh sb="5" eb="6">
      <t>ア</t>
    </rPh>
    <rPh sb="6" eb="9">
      <t>コウゲk</t>
    </rPh>
    <phoneticPr fontId="5"/>
  </si>
  <si>
    <t>[effect:nothing]</t>
    <phoneticPr fontId="5"/>
  </si>
  <si>
    <t>[effect:heal, target:enemy_all, val:0.25, animation:enemy_heal],[effect:fix_speed, target:myself, turn:2]</t>
    <phoneticPr fontId="5"/>
  </si>
  <si>
    <t>ja</t>
    <phoneticPr fontId="5"/>
  </si>
  <si>
    <t>システムリペア</t>
    <phoneticPr fontId="5"/>
  </si>
  <si>
    <t>回復</t>
    <rPh sb="0" eb="2">
      <t>カ</t>
    </rPh>
    <phoneticPr fontId="5"/>
  </si>
  <si>
    <t>[effect:fix_speed, target:myself, turn:1]</t>
    <phoneticPr fontId="5"/>
  </si>
  <si>
    <t>侵入者を発見</t>
    <rPh sb="0" eb="3">
      <t>シンニュウシャ</t>
    </rPh>
    <rPh sb="4" eb="6">
      <t>ハッケン</t>
    </rPh>
    <phoneticPr fontId="5"/>
  </si>
  <si>
    <t>警戒態勢</t>
    <rPh sb="0" eb="4">
      <t>ケ</t>
    </rPh>
    <phoneticPr fontId="5"/>
  </si>
  <si>
    <t>[effect:suicide, val:1, dead_type:escape, target:myself]</t>
    <phoneticPr fontId="5"/>
  </si>
  <si>
    <t>ja</t>
    <phoneticPr fontId="5"/>
  </si>
  <si>
    <t>迎撃に失敗！</t>
    <rPh sb="0" eb="2">
      <t>ゲイゲキ</t>
    </rPh>
    <rPh sb="3" eb="5">
      <t>シッパイ</t>
    </rPh>
    <phoneticPr fontId="5"/>
  </si>
  <si>
    <t>逃げ出した！</t>
    <rPh sb="0" eb="1">
      <t>ニ</t>
    </rPh>
    <rPh sb="2" eb="5">
      <t>ダ</t>
    </rPh>
    <phoneticPr fontId="5"/>
  </si>
  <si>
    <t>[effect:heal, target:enemy_all, val:0.25, animation:enemy_heal]</t>
    <phoneticPr fontId="5"/>
  </si>
  <si>
    <t>ja</t>
    <phoneticPr fontId="5"/>
  </si>
  <si>
    <t>システムリペア</t>
    <phoneticPr fontId="5"/>
  </si>
  <si>
    <t>[effect:fix_speed, target:myself, turn:2]</t>
    <phoneticPr fontId="5"/>
  </si>
  <si>
    <t>これより迎撃します</t>
    <rPh sb="4" eb="6">
      <t>ゲイゲキ</t>
    </rPh>
    <phoneticPr fontId="5"/>
  </si>
  <si>
    <t>警戒態勢</t>
    <phoneticPr fontId="5"/>
  </si>
  <si>
    <t>[effect:suicide, val:1, dead_type:escape, target:myself]</t>
    <phoneticPr fontId="5"/>
  </si>
  <si>
    <t>ja</t>
    <phoneticPr fontId="5"/>
  </si>
  <si>
    <t>警戒レベルを上昇！</t>
    <rPh sb="0" eb="2">
      <t>ケイカイ</t>
    </rPh>
    <rPh sb="6" eb="8">
      <t>ジョウショウ</t>
    </rPh>
    <phoneticPr fontId="5"/>
  </si>
  <si>
    <t>逃げ出した！</t>
    <rPh sb="0" eb="5">
      <t>ニg</t>
    </rPh>
    <phoneticPr fontId="5"/>
  </si>
  <si>
    <t>[effect:degrade_fever, val:1000, animation:fevergauge_down]</t>
    <phoneticPr fontId="5"/>
  </si>
  <si>
    <t>危険因子の隔離を実行</t>
    <rPh sb="0" eb="4">
      <t>キケンインシ</t>
    </rPh>
    <rPh sb="5" eb="7">
      <t>カクリ</t>
    </rPh>
    <rPh sb="8" eb="10">
      <t>ジッコウ</t>
    </rPh>
    <phoneticPr fontId="5"/>
  </si>
  <si>
    <t>[effect:damage_anti_color, target:unit_all, color:blue, val1:0.4, val2:0.2]</t>
    <phoneticPr fontId="5"/>
  </si>
  <si>
    <t>ブルーパニッシュメント</t>
    <phoneticPr fontId="5"/>
  </si>
  <si>
    <t>青属性に対して大ダメージの攻撃</t>
    <rPh sb="0" eb="1">
      <t>ア</t>
    </rPh>
    <rPh sb="1" eb="15">
      <t>ミドr</t>
    </rPh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</si>
  <si>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</si>
  <si>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敵襲である！警戒すべし！</t>
    <rPh sb="0" eb="2">
      <t>テキシュウ</t>
    </rPh>
    <rPh sb="6" eb="8">
      <t>ケイカイ</t>
    </rPh>
    <phoneticPr fontId="5"/>
  </si>
  <si>
    <t>状態異常無効</t>
    <rPh sb="0" eb="6">
      <t>jy</t>
    </rPh>
    <phoneticPr fontId="5"/>
  </si>
  <si>
    <t>[effect:rush, count:2, val:0.7]</t>
    <phoneticPr fontId="5"/>
  </si>
  <si>
    <t>ダブルレイヴン</t>
    <phoneticPr fontId="5"/>
  </si>
  <si>
    <t>連続攻撃</t>
    <rPh sb="0" eb="4">
      <t>レンゾk</t>
    </rPh>
    <phoneticPr fontId="5"/>
  </si>
  <si>
    <t>[effect:hungup, target:unit_machine, turn:4, rate:1, animation:hungup01],[effect:spread, val:0.3]</t>
    <phoneticPr fontId="5"/>
  </si>
  <si>
    <t>不届き者は排除すべし！</t>
    <rPh sb="0" eb="2">
      <t>フトド</t>
    </rPh>
    <rPh sb="3" eb="4">
      <t>モノ</t>
    </rPh>
    <rPh sb="5" eb="7">
      <t>ハイジョ</t>
    </rPh>
    <phoneticPr fontId="5"/>
  </si>
  <si>
    <t>種族マシンにスキルバインド</t>
    <rPh sb="0" eb="2">
      <t>sy</t>
    </rPh>
    <phoneticPr fontId="5"/>
  </si>
  <si>
    <t>[effect:change_panel_ratio, turn:5, block_type:heal, val:0, animation:block_incidence04]</t>
    <phoneticPr fontId="5"/>
  </si>
  <si>
    <t>アンチハート</t>
    <phoneticPr fontId="5"/>
  </si>
  <si>
    <t>5ターンの間ハートパネルが出現しない</t>
    <rPh sb="5" eb="6">
      <t>ア</t>
    </rPh>
    <rPh sb="13" eb="18">
      <t>sy</t>
    </rPh>
    <phoneticPr fontId="5"/>
  </si>
  <si>
    <t>セキュリティ再構築せよ！</t>
    <rPh sb="6" eb="9">
      <t>サイコウチク</t>
    </rPh>
    <phoneticPr fontId="5"/>
  </si>
  <si>
    <t>[effect:damage_anti_tribe, target:unit_all, tribe:animal, val1:0.5, val2:0.3]</t>
    <phoneticPr fontId="5"/>
  </si>
  <si>
    <t>無法者はデリートせよ！</t>
    <rPh sb="0" eb="2">
      <t>ムホウ</t>
    </rPh>
    <rPh sb="2" eb="3">
      <t>モノ</t>
    </rPh>
    <phoneticPr fontId="5"/>
  </si>
  <si>
    <t>種族アニマルに対して大ダメージの攻撃</t>
    <rPh sb="0" eb="2">
      <t>sy</t>
    </rPh>
    <rPh sb="7" eb="10">
      <t>タイs</t>
    </rPh>
    <rPh sb="10" eb="16">
      <t>ダ</t>
    </rPh>
    <rPh sb="16" eb="18">
      <t>コウゲk</t>
    </rPh>
    <phoneticPr fontId="5"/>
  </si>
  <si>
    <t>[effect:dis_panel, target:block_blue, turn:3, animation:enemy_dis_blue],[effect:rush, count:4, val:0.3]</t>
    <phoneticPr fontId="5"/>
  </si>
  <si>
    <t>危険因子はフリーズすべし！</t>
    <rPh sb="0" eb="4">
      <t>キケンインシ</t>
    </rPh>
    <phoneticPr fontId="5"/>
  </si>
  <si>
    <t>3ターン青パネルロック</t>
    <rPh sb="4" eb="8">
      <t>アオパネr</t>
    </rPh>
    <phoneticPr fontId="5"/>
  </si>
  <si>
    <t>[effect:change_block, new_block:jammer, target:block_heart, count:0, val:0, animation:change_block],[effect:change_block, new_block:time_bomb, target:block_blue, count:0, val:0.3, animation:change_block],[effect:change_block, new_block:block_red, target:block_yellow, count:0, val:0, animation:change_block]</t>
    <phoneticPr fontId="5"/>
  </si>
  <si>
    <t>混沌たる戦場を刮目せよ！</t>
    <rPh sb="0" eb="2">
      <t>コントン</t>
    </rPh>
    <rPh sb="4" eb="6">
      <t>センジョウ</t>
    </rPh>
    <rPh sb="7" eb="9">
      <t>カツモク</t>
    </rPh>
    <phoneticPr fontId="5"/>
  </si>
  <si>
    <t>パネル大量変換</t>
    <rPh sb="3" eb="7">
      <t>タイリョウ</t>
    </rPh>
    <phoneticPr fontId="5"/>
  </si>
  <si>
    <t>[effect:rush, count:3, val:0.4]</t>
    <phoneticPr fontId="5"/>
  </si>
  <si>
    <t>レイヴンズトリック</t>
    <phoneticPr fontId="5"/>
  </si>
  <si>
    <t>ランダムで威力が変わる攻撃！</t>
    <rPh sb="5" eb="7">
      <t>イリョク</t>
    </rPh>
    <rPh sb="8" eb="9">
      <t>カ</t>
    </rPh>
    <rPh sb="11" eb="13">
      <t>コウゲキ</t>
    </rPh>
    <phoneticPr fontId="5"/>
  </si>
  <si>
    <t>[effect:rush, count:3, val:0.5]</t>
    <phoneticPr fontId="5"/>
  </si>
  <si>
    <t>レイヴンズトリック</t>
    <phoneticPr fontId="5"/>
  </si>
  <si>
    <t>[effect:rush, count:3, val:0.55]</t>
    <phoneticPr fontId="5"/>
  </si>
  <si>
    <t>レイヴンズトリック</t>
    <phoneticPr fontId="5"/>
  </si>
  <si>
    <t>[effect:rush, count:3, val:0.6]</t>
    <phoneticPr fontId="5"/>
  </si>
  <si>
    <t>ここまで来たか、待っていたぞ！</t>
    <rPh sb="4" eb="5">
      <t>キ</t>
    </rPh>
    <rPh sb="8" eb="9">
      <t>マ</t>
    </rPh>
    <phoneticPr fontId="5"/>
  </si>
  <si>
    <t>状態異常無効＋カウンター</t>
    <rPh sb="0" eb="4">
      <t>jy</t>
    </rPh>
    <rPh sb="4" eb="6">
      <t>ムコ</t>
    </rPh>
    <phoneticPr fontId="5"/>
  </si>
  <si>
    <t>[effect:damage_anti_color, target:unit_all, color:red, val1:0.6, val2:0.28]</t>
    <phoneticPr fontId="5"/>
  </si>
  <si>
    <t>アンチ・ラグナロク</t>
    <phoneticPr fontId="5"/>
  </si>
  <si>
    <t>赤属性に対して大ダメージの攻撃</t>
    <rPh sb="0" eb="1">
      <t>アk</t>
    </rPh>
    <rPh sb="1" eb="15">
      <t>ミドr</t>
    </rPh>
    <phoneticPr fontId="5"/>
  </si>
  <si>
    <t>グングニル起動</t>
    <rPh sb="5" eb="7">
      <t>キドウ</t>
    </rPh>
    <phoneticPr fontId="5"/>
  </si>
  <si>
    <t>嫌な予感がする・・・</t>
    <rPh sb="0" eb="1">
      <t>イヤ</t>
    </rPh>
    <rPh sb="2" eb="7">
      <t>ヨカン</t>
    </rPh>
    <phoneticPr fontId="5"/>
  </si>
  <si>
    <t>イグニッション・グングニル</t>
    <phoneticPr fontId="5"/>
  </si>
  <si>
    <t>防御系スキル解除＋強力な一撃！</t>
    <rPh sb="9" eb="12">
      <t>キョウリョk</t>
    </rPh>
    <rPh sb="12" eb="14">
      <t>イチゲk</t>
    </rPh>
    <phoneticPr fontId="5"/>
  </si>
  <si>
    <t>[effect:kamikaze, val:0.35]</t>
    <phoneticPr fontId="5"/>
  </si>
  <si>
    <t>ja</t>
    <phoneticPr fontId="5"/>
  </si>
  <si>
    <t>こいつを耐えきれるか？</t>
    <rPh sb="4" eb="5">
      <t>タ</t>
    </rPh>
    <phoneticPr fontId="5"/>
  </si>
  <si>
    <t>HPを全て消費して、大ダメージ！</t>
    <rPh sb="3" eb="5">
      <t>スベt</t>
    </rPh>
    <rPh sb="5" eb="9">
      <t>ショウh</t>
    </rPh>
    <rPh sb="10" eb="15">
      <t>ダイd</t>
    </rPh>
    <phoneticPr fontId="5"/>
  </si>
  <si>
    <t>ja</t>
    <phoneticPr fontId="5"/>
  </si>
  <si>
    <t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t>
    <phoneticPr fontId="5"/>
  </si>
  <si>
    <t>ja</t>
    <phoneticPr fontId="5"/>
  </si>
  <si>
    <t>期待以上だ、レベルを上げるぞ</t>
    <rPh sb="0" eb="4">
      <t>キタイイジョウ</t>
    </rPh>
    <rPh sb="10" eb="11">
      <t>ア</t>
    </rPh>
    <phoneticPr fontId="5"/>
  </si>
  <si>
    <t>攻撃頻度アップ＋状態異常無効
＋青属性にスキルバインド</t>
    <rPh sb="8" eb="14">
      <t>jy</t>
    </rPh>
    <rPh sb="16" eb="17">
      <t>ア</t>
    </rPh>
    <rPh sb="17" eb="19">
      <t>ゾクセ</t>
    </rPh>
    <phoneticPr fontId="5"/>
  </si>
  <si>
    <t>[effect:spread, val:0.3]</t>
    <phoneticPr fontId="5"/>
  </si>
  <si>
    <t>ルーン・エングレイブ</t>
    <phoneticPr fontId="5"/>
  </si>
  <si>
    <t>全体攻撃</t>
    <rPh sb="0" eb="4">
      <t>ゼンタ</t>
    </rPh>
    <phoneticPr fontId="5"/>
  </si>
  <si>
    <t>[effect:damage_anti_tribe, target:unit_all, tribe:unknown, val1:0.85, val2:0.24]</t>
    <phoneticPr fontId="5"/>
  </si>
  <si>
    <t>ja</t>
    <phoneticPr fontId="5"/>
  </si>
  <si>
    <t>アンノーン・バスティング</t>
    <phoneticPr fontId="5"/>
  </si>
  <si>
    <t>グングニル出力上昇</t>
    <rPh sb="5" eb="7">
      <t>シュツリョク</t>
    </rPh>
    <rPh sb="7" eb="9">
      <t>ジョウショウ</t>
    </rPh>
    <phoneticPr fontId="5"/>
  </si>
  <si>
    <t>力を溜め始めた・・・</t>
    <rPh sb="0" eb="7">
      <t>チカr</t>
    </rPh>
    <phoneticPr fontId="5"/>
  </si>
  <si>
    <t>ja</t>
    <phoneticPr fontId="5"/>
  </si>
  <si>
    <t>インパクト・グングニル</t>
    <phoneticPr fontId="5"/>
  </si>
  <si>
    <t>[effect:change_panel_ratio, turn:-1, block_type:heal, val:0, animation:block_incidence04],[effect:remove_enhancement, target:unit_all, target_effect:enhance, target_type:buff, animation:frozen_wave]</t>
    <phoneticPr fontId="5"/>
  </si>
  <si>
    <t>仕切り直しだ</t>
    <rPh sb="0" eb="2">
      <t>シキ</t>
    </rPh>
    <rPh sb="3" eb="4">
      <t>ナオ</t>
    </rPh>
    <phoneticPr fontId="5"/>
  </si>
  <si>
    <t>ステータスアップ解除+ハートパネルが出現しない</t>
    <rPh sb="8" eb="10">
      <t>jy</t>
    </rPh>
    <phoneticPr fontId="5"/>
  </si>
  <si>
    <t xml:space="preserve">[effect:tolerance, target:myself, turn:-1, tolerance_effect:hungup, count:-1],[effect:tolerance,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t>
    <phoneticPr fontId="5"/>
  </si>
  <si>
    <t>ja</t>
    <phoneticPr fontId="5"/>
  </si>
  <si>
    <t>ラストスパートだ</t>
    <phoneticPr fontId="5"/>
  </si>
  <si>
    <t>ハートパネルを吸収して攻撃力アップ
＋ハートパネルが出現しない</t>
    <rPh sb="7" eb="9">
      <t>キュ</t>
    </rPh>
    <rPh sb="11" eb="17">
      <t>コウゲk</t>
    </rPh>
    <phoneticPr fontId="5"/>
  </si>
  <si>
    <t>ルーン・ラストラヴァージ</t>
    <phoneticPr fontId="5"/>
  </si>
  <si>
    <t>フィーバーゲージ減少＋全体攻撃</t>
    <rPh sb="8" eb="10">
      <t>ゲンショ</t>
    </rPh>
    <rPh sb="11" eb="13">
      <t>ゼン</t>
    </rPh>
    <rPh sb="13" eb="15">
      <t>コウゲk</t>
    </rPh>
    <phoneticPr fontId="5"/>
  </si>
  <si>
    <t>[effect:rush, count:6, val:0.16]</t>
    <phoneticPr fontId="5"/>
  </si>
  <si>
    <t>セクスタプル・グングニル</t>
    <phoneticPr fontId="5"/>
  </si>
  <si>
    <t>[effect:enhance_enemy, target:myself, turn:-1, status:attack, val:0.23, calc:mul, animation:enemy_enhance_attack],[effect:spread, val:0.45]</t>
    <phoneticPr fontId="5"/>
  </si>
  <si>
    <t>ja</t>
    <phoneticPr fontId="5"/>
  </si>
  <si>
    <t>全力を出そう</t>
    <rPh sb="0" eb="2">
      <t>ゼンリョク</t>
    </rPh>
    <rPh sb="3" eb="4">
      <t>ダ</t>
    </rPh>
    <phoneticPr fontId="5"/>
  </si>
  <si>
    <t>全体攻撃</t>
    <rPh sb="0" eb="2">
      <t>ゼン</t>
    </rPh>
    <rPh sb="2" eb="4">
      <t>コウゲk</t>
    </rPh>
    <phoneticPr fontId="5"/>
  </si>
  <si>
    <t>[effect:nothing]</t>
    <phoneticPr fontId="5"/>
  </si>
  <si>
    <t>グングニル出力最大</t>
    <rPh sb="5" eb="7">
      <t>シュツリョク</t>
    </rPh>
    <rPh sb="7" eb="9">
      <t>サイダイ</t>
    </rPh>
    <phoneticPr fontId="5"/>
  </si>
  <si>
    <t>[effect:remove_enhancement, target:unit_all, target_effect:enhance, target_type:buff, status:defense, animation:frozen_wave],[effect:remove_enhancement, target:unit_all, target_effect:reduction, target_type:buff],[effect:critical, val:2.1]</t>
    <phoneticPr fontId="5"/>
  </si>
  <si>
    <t>ja</t>
    <phoneticPr fontId="5"/>
  </si>
  <si>
    <t>ルイネーション・グングニル</t>
    <phoneticPr fontId="5"/>
  </si>
  <si>
    <t>防御系スキル解除＋強力な一撃！</t>
  </si>
  <si>
    <t>これで決着をつけよう…</t>
    <rPh sb="3" eb="5">
      <t>ケッチャク</t>
    </rPh>
    <phoneticPr fontId="5"/>
  </si>
  <si>
    <t>防御力アップ＋力を溜めている</t>
    <rPh sb="0" eb="6">
      <t>ボ</t>
    </rPh>
    <rPh sb="7" eb="9">
      <t>チカr</t>
    </rPh>
    <rPh sb="9" eb="14">
      <t>タm</t>
    </rPh>
    <phoneticPr fontId="5"/>
  </si>
  <si>
    <t>[effect:remove_enhancement, target:unit_all, target_effect:enhance, target_type:buff, animation:frozen_wave],[effect:critical, val:50.0]</t>
    <phoneticPr fontId="5"/>
  </si>
  <si>
    <t>終焉のルーン</t>
    <rPh sb="0" eb="3">
      <t>sy</t>
    </rPh>
    <phoneticPr fontId="5"/>
  </si>
  <si>
    <t>ステータスアップを解除＋激烈ダメージ！！</t>
    <rPh sb="9" eb="11">
      <t>カイジョ</t>
    </rPh>
    <rPh sb="12" eb="14">
      <t>ゲk</t>
    </rPh>
    <phoneticPr fontId="5"/>
  </si>
  <si>
    <t>[effect:suicide, val:1, dead_type:escape, target:myself]</t>
    <phoneticPr fontId="5"/>
  </si>
  <si>
    <t>逃走</t>
    <rPh sb="0" eb="2">
      <t>ト</t>
    </rPh>
    <phoneticPr fontId="5"/>
  </si>
  <si>
    <t>[effect:suicide, val:1, dead_type:escape, target:myself]</t>
    <phoneticPr fontId="5"/>
  </si>
  <si>
    <t>ja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</si>
  <si>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val:0.5, animation:enemy_counter][effect:fix_speed, target:myself, turn:3]</t>
    <phoneticPr fontId="5"/>
  </si>
  <si>
    <t>それは”鍵”か？…道理でな</t>
    <phoneticPr fontId="5"/>
  </si>
  <si>
    <t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t>
    <phoneticPr fontId="5"/>
  </si>
  <si>
    <t>麒麟を手懐けただけはある…</t>
    <rPh sb="0" eb="2">
      <t>キリン</t>
    </rPh>
    <rPh sb="3" eb="6">
      <t>テナズケル</t>
    </rPh>
    <phoneticPr fontId="5"/>
  </si>
  <si>
    <t>NG</t>
  </si>
  <si>
    <t>old</t>
  </si>
  <si>
    <t>お前になら任せられるかもしれない</t>
    <rPh sb="1" eb="3">
      <t>マ</t>
    </rPh>
    <rPh sb="5" eb="10">
      <t>マカセラr</t>
    </rPh>
    <phoneticPr fontId="5"/>
  </si>
  <si>
    <t>[effect:hungup, target:unit_all, turn:3, rate:1.0, animation:enemy_hungup],[effect:fix_speed, target:myself, turn:2]</t>
    <phoneticPr fontId="5"/>
  </si>
  <si>
    <t>フィーバーゲージ減少</t>
    <rPh sb="8" eb="10">
      <t>gensyou</t>
    </rPh>
    <phoneticPr fontId="5"/>
  </si>
  <si>
    <t>[effect:fix_speed, target:myself, turn:5],[effect:enhance_enemy, target:myself, turn:5, status:defense, val:13000, calc:add, animation:enemy_enhance_defense]</t>
    <phoneticPr fontId="5"/>
  </si>
  <si>
    <t>[effect:damage_anti_color, target:unit_all, color:green, val1:1.2, val2:0.27]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</si>
  <si>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val:0.67, animation:enemy_counter][effect:fix_speed, target:myself, turn:3]</t>
    <phoneticPr fontId="5"/>
  </si>
  <si>
    <t>ja</t>
    <phoneticPr fontId="5"/>
  </si>
  <si>
    <t>[effect:remove_enhancement, target:unit_all, target_effect:enhance, target_type:buff, status:defense, animation:frozen_wave],[effect:remove_enhancement, target:unit_all, target_effect:reduction, target_type:buff],[effect:critical, val:2.35]</t>
    <phoneticPr fontId="5"/>
  </si>
  <si>
    <t>[effect:remove_enhancement, target:unit_all, target_effect:enhance, target_type:buff, status:defense, animation:frozen_wave],[effect:remove_enhancement, target:unit_all, target_effect:reduction, target_type:buff],[effect:critical, val:2.61]</t>
    <phoneticPr fontId="5"/>
  </si>
  <si>
    <t>左右の敵を倒すと
ニーズヘッグが強くなります
倒すタイミングと順番に注意しましょう</t>
    <phoneticPr fontId="5"/>
  </si>
  <si>
    <t>回復役のストールから倒すと
有利に進めることができます</t>
    <phoneticPr fontId="5"/>
  </si>
  <si>
    <t>フギンとムニンは種族アニマルやマシンに
大ダメージの攻撃を行います
ユニットの編成に注意しましょう</t>
    <phoneticPr fontId="5"/>
  </si>
  <si>
    <t>オーディンは防御力が高いユニットです
割合ダメージスキルや防御力DOWNスキルを
使うと有利に進めることができます</t>
    <phoneticPr fontId="5"/>
  </si>
  <si>
    <t>unit</t>
  </si>
  <si>
    <t>complete</t>
    <phoneticPr fontId="5"/>
  </si>
  <si>
    <t>ALICE内で最高位のセキュリティを司る
オーディンシステム
彼の離反の背景には適合者たちの力を
見極める意図がありました</t>
    <phoneticPr fontId="5"/>
  </si>
  <si>
    <t>オーディンは表向きハートの女王勢力に
寝返っていましたが
その陰で正攻法では抑えられない事件を
未然に防いでいました</t>
    <phoneticPr fontId="5"/>
  </si>
  <si>
    <t>彼らはオーディンシステムに従属する
二対一組の補佐AIです
演算力に優れるフギンと
記憶力に優れるムニンで連携をとっています</t>
    <phoneticPr fontId="5"/>
  </si>
  <si>
    <t>貴方の力を認めたオーディンは後を託し
再びALICEの守護に就きました
これにより断絶していた
セキュリティも回復したようです</t>
    <phoneticPr fontId="5"/>
  </si>
  <si>
    <t>守護神の真意</t>
    <phoneticPr fontId="5"/>
  </si>
  <si>
    <t>守護神の策略</t>
    <phoneticPr fontId="5"/>
  </si>
  <si>
    <t>フギンとムニン</t>
    <phoneticPr fontId="5"/>
  </si>
  <si>
    <t>決着・そして</t>
    <phoneticPr fontId="5"/>
  </si>
  <si>
    <t>[effect:degrade_fever, val:1000, animation:fevergauge_down],[effect:spread, val:0.23]</t>
    <phoneticPr fontId="5"/>
  </si>
  <si>
    <t>null</t>
  </si>
  <si>
    <t>種族Unknownに対して大ダメージの攻撃</t>
    <rPh sb="0" eb="2">
      <t>sy</t>
    </rPh>
    <rPh sb="10" eb="13">
      <t>タイシt</t>
    </rPh>
    <rPh sb="13" eb="19">
      <t>ダ</t>
    </rPh>
    <rPh sb="19" eb="21">
      <t>コウゲk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</si>
</sst>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13" borderId="6" xfId="0" applyFont="1" applyFill="1" applyBorder="1" applyAlignment="1">
      <alignment vertical="center"/>
    </xf>
    <xf numFmtId="176" fontId="11" fillId="0" borderId="23" xfId="0" applyNumberFormat="1" applyFont="1" applyBorder="1" applyAlignment="1">
      <alignment horizontal="center" vertical="center"/>
    </xf>
    <xf numFmtId="0" fontId="11" fillId="0" borderId="7" xfId="0" applyFont="1" applyBorder="1" applyAlignment="1">
      <alignment vertical="center"/>
    </xf>
    <xf numFmtId="0" fontId="11" fillId="0" borderId="7" xfId="0" applyFont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176" fontId="4" fillId="31" borderId="3" xfId="0" applyNumberFormat="1" applyFont="1" applyFill="1" applyBorder="1" applyAlignment="1">
      <alignment horizontal="center" vertical="center"/>
    </xf>
    <xf numFmtId="0" fontId="16" fillId="31" borderId="7" xfId="0" applyFont="1" applyFill="1" applyBorder="1" applyAlignment="1">
      <alignment vertical="center"/>
    </xf>
    <xf numFmtId="0" fontId="16" fillId="31" borderId="7" xfId="0" applyFont="1" applyFill="1" applyBorder="1" applyAlignment="1">
      <alignment horizontal="left" vertical="center"/>
    </xf>
    <xf numFmtId="0" fontId="16" fillId="31" borderId="7" xfId="0" applyFont="1" applyFill="1" applyBorder="1" applyAlignment="1">
      <alignment horizontal="left" vertical="center" wrapText="1"/>
    </xf>
    <xf numFmtId="176" fontId="4" fillId="0" borderId="3" xfId="0" applyNumberFormat="1" applyFont="1" applyFill="1" applyBorder="1" applyAlignment="1">
      <alignment vertical="center"/>
    </xf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631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character</v>
          </cell>
          <cell r="T8" t="str">
            <v>347,347,347,347,347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125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character</v>
          </cell>
          <cell r="T12" t="str">
            <v>347,347,347,347,347,125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569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character</v>
          </cell>
          <cell r="T16" t="str">
            <v>106,107,108,357,837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339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character</v>
          </cell>
          <cell r="T20" t="str">
            <v>339,339,339,339,339,125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339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character</v>
          </cell>
          <cell r="T24" t="str">
            <v>339,339,339,339,339,125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335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character</v>
          </cell>
          <cell r="T30" t="str">
            <v>335,335,335,335,335,125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335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character</v>
          </cell>
          <cell r="T36" t="str">
            <v>335,335,335,335,335,125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335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character</v>
          </cell>
          <cell r="T42" t="str">
            <v>335,335,335,335,335,125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335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character</v>
          </cell>
          <cell r="T48" t="str">
            <v>335,335,335,335,335,122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335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character</v>
          </cell>
          <cell r="T54" t="str">
            <v>335,335,335,335,335,123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343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character</v>
          </cell>
          <cell r="T60" t="str">
            <v>343,343,343,343,343,121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347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character</v>
          </cell>
          <cell r="T66" t="str">
            <v>347,347,347,347,347,122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339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character</v>
          </cell>
          <cell r="T72" t="str">
            <v>339,339,339,339,339,123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335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character</v>
          </cell>
          <cell r="T78" t="str">
            <v>335,335,335,335,335,121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343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character</v>
          </cell>
          <cell r="T84" t="str">
            <v>343,343,343,343,343,122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347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character</v>
          </cell>
          <cell r="T90" t="str">
            <v>347,347,347,347,347,123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339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character</v>
          </cell>
          <cell r="T96" t="str">
            <v>339,339,339,339,339,121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335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character</v>
          </cell>
          <cell r="T102" t="str">
            <v>335,335,335,335,335,122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343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character</v>
          </cell>
          <cell r="T108" t="str">
            <v>343,343,343,343,343,123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347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character</v>
          </cell>
          <cell r="T114" t="str">
            <v>347,347,347,347,347,121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339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character</v>
          </cell>
          <cell r="T120" t="str">
            <v>339,339,339,339,339,122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335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character</v>
          </cell>
          <cell r="T126" t="str">
            <v>335,335,335,335,335,123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343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character</v>
          </cell>
          <cell r="T132" t="str">
            <v>343,343,343,343,343,121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347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character</v>
          </cell>
          <cell r="T138" t="str">
            <v>347,347,347,347,347,122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339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character</v>
          </cell>
          <cell r="T144" t="str">
            <v>339,339,339,339,339,123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335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character</v>
          </cell>
          <cell r="T150" t="str">
            <v>335,335,335,335,335,121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0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0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0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0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0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0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0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0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0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0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0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0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11230_1</v>
          </cell>
          <cell r="B299">
            <v>3</v>
          </cell>
          <cell r="C299">
            <v>11230</v>
          </cell>
          <cell r="D299" t="str">
            <v>未知のウィルス大捜査！</v>
          </cell>
          <cell r="E299" t="str">
            <v>2017年エイプリルフールクエスト</v>
          </cell>
          <cell r="F299">
            <v>1</v>
          </cell>
          <cell r="G299" t="str">
            <v>ja</v>
          </cell>
          <cell r="H299" t="str">
            <v>【前編】未知のウィルス大捜査</v>
          </cell>
          <cell r="I299" t="str">
            <v>2017年エイプリルフールクエスト</v>
          </cell>
          <cell r="J299">
            <v>0</v>
          </cell>
          <cell r="K299">
            <v>1</v>
          </cell>
          <cell r="L299">
            <v>41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polygon</v>
          </cell>
          <cell r="T299">
            <v>1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907</v>
          </cell>
          <cell r="AD299">
            <v>6</v>
          </cell>
          <cell r="AE299" t="str">
            <v>singleonly</v>
          </cell>
        </row>
        <row r="300">
          <cell r="A300" t="str">
            <v>11230_2</v>
          </cell>
          <cell r="B300">
            <v>3</v>
          </cell>
          <cell r="C300">
            <v>11230</v>
          </cell>
          <cell r="D300" t="str">
            <v>未知のウィルス大捜査！</v>
          </cell>
          <cell r="E300" t="str">
            <v>2017年エイプリルフールクエスト</v>
          </cell>
          <cell r="F300">
            <v>2</v>
          </cell>
          <cell r="G300" t="str">
            <v>ja</v>
          </cell>
          <cell r="H300" t="str">
            <v>【後編】未知のウィルス大捜査</v>
          </cell>
          <cell r="I300" t="str">
            <v>2017年エイプリルフールクエスト</v>
          </cell>
          <cell r="J300">
            <v>1471</v>
          </cell>
          <cell r="K300">
            <v>1</v>
          </cell>
          <cell r="L300">
            <v>41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polygon</v>
          </cell>
          <cell r="T300">
            <v>1</v>
          </cell>
          <cell r="U300">
            <v>11230</v>
          </cell>
          <cell r="V300">
            <v>1</v>
          </cell>
          <cell r="W300" t="str">
            <v>【前編】未知のウィルス大捜査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</v>
          </cell>
          <cell r="AD300">
            <v>6</v>
          </cell>
          <cell r="AE300" t="str">
            <v>singleonly</v>
          </cell>
        </row>
        <row r="301">
          <cell r="A301" t="str">
            <v>11231_1</v>
          </cell>
          <cell r="B301">
            <v>3</v>
          </cell>
          <cell r="C301">
            <v>11231</v>
          </cell>
          <cell r="D301" t="str">
            <v>桜姫の招待状</v>
          </cell>
          <cell r="E301" t="str">
            <v>2017年お花見ストーリークエスト</v>
          </cell>
          <cell r="F301">
            <v>1</v>
          </cell>
          <cell r="G301" t="str">
            <v>ja</v>
          </cell>
          <cell r="H301" t="str">
            <v>【ストーリー】桜姫の招待状</v>
          </cell>
          <cell r="I301" t="str">
            <v>2017年お花見クエスト</v>
          </cell>
          <cell r="J301">
            <v>1500</v>
          </cell>
          <cell r="K301">
            <v>1</v>
          </cell>
          <cell r="L301">
            <v>1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polygon</v>
          </cell>
          <cell r="T301">
            <v>1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1007</v>
          </cell>
          <cell r="AD301">
            <v>6</v>
          </cell>
          <cell r="AE301" t="str">
            <v>singleonly</v>
          </cell>
        </row>
        <row r="302">
          <cell r="A302" t="str">
            <v>12001_1</v>
          </cell>
          <cell r="B302">
            <v>3</v>
          </cell>
          <cell r="C302">
            <v>12001</v>
          </cell>
          <cell r="D302" t="str">
            <v>【緊急！！】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 xml:space="preserve">【初級】メタルダックを捕獲せよ！ </v>
          </cell>
          <cell r="I302" t="str">
            <v>経験値ゲリラ</v>
          </cell>
          <cell r="J302">
            <v>334</v>
          </cell>
          <cell r="K302">
            <v>8</v>
          </cell>
          <cell r="L302">
            <v>140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everyone</v>
          </cell>
        </row>
        <row r="303">
          <cell r="A303" t="str">
            <v>12001_2</v>
          </cell>
          <cell r="B303">
            <v>3</v>
          </cell>
          <cell r="C303">
            <v>12001</v>
          </cell>
          <cell r="D303" t="str">
            <v>【緊急！！】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【上級】メタルダックを捕獲せよ！ </v>
          </cell>
          <cell r="I303" t="str">
            <v>経験値ゲリラ</v>
          </cell>
          <cell r="J303">
            <v>334</v>
          </cell>
          <cell r="K303">
            <v>20</v>
          </cell>
          <cell r="L303">
            <v>350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201</v>
          </cell>
          <cell r="AD303">
            <v>6</v>
          </cell>
          <cell r="AE303" t="str">
            <v>everyone</v>
          </cell>
        </row>
        <row r="304">
          <cell r="A304" t="str">
            <v>12001_3</v>
          </cell>
          <cell r="B304">
            <v>3</v>
          </cell>
          <cell r="C304">
            <v>12001</v>
          </cell>
          <cell r="D304" t="str">
            <v>【緊急！！】 アヒル捕獲作戦</v>
          </cell>
          <cell r="E304" t="str">
            <v>ゲリラクエスト</v>
          </cell>
          <cell r="F304">
            <v>3</v>
          </cell>
          <cell r="G304" t="str">
            <v>ja</v>
          </cell>
          <cell r="H304" t="str">
            <v xml:space="preserve">【超級】メタルダックを捕獲せよ！ </v>
          </cell>
          <cell r="I304" t="str">
            <v>経験値ゲリラ</v>
          </cell>
          <cell r="J304">
            <v>334</v>
          </cell>
          <cell r="K304">
            <v>30</v>
          </cell>
          <cell r="L304">
            <v>444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7</v>
          </cell>
          <cell r="AD304">
            <v>6</v>
          </cell>
          <cell r="AE304" t="str">
            <v>everyone</v>
          </cell>
        </row>
        <row r="305">
          <cell r="A305" t="str">
            <v>12002_1</v>
          </cell>
          <cell r="B305">
            <v>3</v>
          </cell>
          <cell r="C305">
            <v>12002</v>
          </cell>
          <cell r="D305" t="str">
            <v>【マルチ専用1/2】 アヒル捕獲作戦</v>
          </cell>
          <cell r="E305" t="str">
            <v>ゲリラクエスト</v>
          </cell>
          <cell r="F305">
            <v>1</v>
          </cell>
          <cell r="G305" t="str">
            <v>ja</v>
          </cell>
          <cell r="H305" t="str">
            <v>【上級】メタルダックを捕獲せよ！</v>
          </cell>
          <cell r="I305" t="str">
            <v>経験値ゲリラ</v>
          </cell>
          <cell r="J305">
            <v>334</v>
          </cell>
          <cell r="K305">
            <v>10</v>
          </cell>
          <cell r="L305">
            <v>350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201</v>
          </cell>
          <cell r="AD305">
            <v>6</v>
          </cell>
          <cell r="AE305" t="str">
            <v>multionly</v>
          </cell>
        </row>
        <row r="306">
          <cell r="A306" t="str">
            <v>12002_2</v>
          </cell>
          <cell r="B306">
            <v>1</v>
          </cell>
          <cell r="C306">
            <v>12002</v>
          </cell>
          <cell r="D306" t="str">
            <v>【マルチ専用1/2】 アヒル捕獲作戦</v>
          </cell>
          <cell r="E306" t="str">
            <v>ゲリラクエスト</v>
          </cell>
          <cell r="F306">
            <v>2</v>
          </cell>
          <cell r="G306" t="str">
            <v>ja</v>
          </cell>
          <cell r="H306" t="str">
            <v xml:space="preserve">【超級】メタルダックを捕獲せよ！ </v>
          </cell>
          <cell r="I306" t="str">
            <v>経験値ゲリラ</v>
          </cell>
          <cell r="J306">
            <v>334</v>
          </cell>
          <cell r="K306">
            <v>15</v>
          </cell>
          <cell r="L306">
            <v>444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multionly</v>
          </cell>
        </row>
        <row r="307">
          <cell r="A307" t="str">
            <v>12003_1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1</v>
          </cell>
          <cell r="G307" t="str">
            <v>ja</v>
          </cell>
          <cell r="H307" t="str">
            <v>【超級】雷のジェントルを追え！</v>
          </cell>
          <cell r="I307" t="str">
            <v>超級ゲリラ</v>
          </cell>
          <cell r="J307">
            <v>347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12</v>
          </cell>
          <cell r="AD307">
            <v>6</v>
          </cell>
          <cell r="AE307" t="str">
            <v>singleonly</v>
          </cell>
        </row>
        <row r="308">
          <cell r="A308" t="str">
            <v>12003_2</v>
          </cell>
          <cell r="B308">
            <v>3</v>
          </cell>
          <cell r="C308">
            <v>12003</v>
          </cell>
          <cell r="D308" t="str">
            <v>【超緊急！！】メタルジェントルを追え</v>
          </cell>
          <cell r="E308" t="str">
            <v>ゲリラ【超級】</v>
          </cell>
          <cell r="F308">
            <v>2</v>
          </cell>
          <cell r="G308" t="str">
            <v>ja</v>
          </cell>
          <cell r="H308" t="str">
            <v>【超級】水のジェントルを追え！</v>
          </cell>
          <cell r="I308" t="str">
            <v>超級ゲリラ</v>
          </cell>
          <cell r="J308">
            <v>343</v>
          </cell>
          <cell r="K308">
            <v>40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5</v>
          </cell>
          <cell r="AD308">
            <v>6</v>
          </cell>
          <cell r="AE308" t="str">
            <v>singleonly</v>
          </cell>
        </row>
        <row r="309">
          <cell r="A309" t="str">
            <v>12003_3</v>
          </cell>
          <cell r="B309">
            <v>3</v>
          </cell>
          <cell r="C309">
            <v>12003</v>
          </cell>
          <cell r="D309" t="str">
            <v>【超緊急！！】メタルジェントルを追え</v>
          </cell>
          <cell r="E309" t="str">
            <v>ゲリラ【超級】</v>
          </cell>
          <cell r="F309">
            <v>3</v>
          </cell>
          <cell r="G309" t="str">
            <v>ja</v>
          </cell>
          <cell r="H309" t="str">
            <v>【超級】森のジェントルを追え！</v>
          </cell>
          <cell r="I309" t="str">
            <v>超級ゲリラ</v>
          </cell>
          <cell r="J309">
            <v>339</v>
          </cell>
          <cell r="K309">
            <v>40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7</v>
          </cell>
          <cell r="AD309">
            <v>6</v>
          </cell>
          <cell r="AE309" t="str">
            <v>singleonly</v>
          </cell>
        </row>
        <row r="310">
          <cell r="A310" t="str">
            <v>12003_4</v>
          </cell>
          <cell r="B310">
            <v>3</v>
          </cell>
          <cell r="C310">
            <v>12003</v>
          </cell>
          <cell r="D310" t="str">
            <v>【超緊急！！】メタルジェントルを追え</v>
          </cell>
          <cell r="E310" t="str">
            <v>ゲリラ【超級】</v>
          </cell>
          <cell r="F310">
            <v>4</v>
          </cell>
          <cell r="G310" t="str">
            <v>ja</v>
          </cell>
          <cell r="H310" t="str">
            <v>【超級】炎のジェントルを追え！</v>
          </cell>
          <cell r="I310" t="str">
            <v>超級ゲリラ</v>
          </cell>
          <cell r="J310">
            <v>335</v>
          </cell>
          <cell r="K310">
            <v>40</v>
          </cell>
          <cell r="L310">
            <v>500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10</v>
          </cell>
          <cell r="AD310">
            <v>6</v>
          </cell>
          <cell r="AE310" t="str">
            <v>singleonly</v>
          </cell>
        </row>
        <row r="311">
          <cell r="A311" t="str">
            <v>12004_1</v>
          </cell>
          <cell r="B311">
            <v>3</v>
          </cell>
          <cell r="C311">
            <v>12004</v>
          </cell>
          <cell r="D311" t="str">
            <v>メタルフロッグをもとめて</v>
          </cell>
          <cell r="E311" t="str">
            <v>イベントクエスト</v>
          </cell>
          <cell r="F311">
            <v>1</v>
          </cell>
          <cell r="G311" t="str">
            <v>ja</v>
          </cell>
          <cell r="H311" t="str">
            <v>【上級】メタルフロッグをもとめて</v>
          </cell>
          <cell r="I311" t="str">
            <v>経験値イベント</v>
          </cell>
          <cell r="J311">
            <v>351</v>
          </cell>
          <cell r="K311">
            <v>20</v>
          </cell>
          <cell r="L311">
            <v>100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23</v>
          </cell>
          <cell r="AD311">
            <v>6</v>
          </cell>
          <cell r="AE311" t="str">
            <v>everyone</v>
          </cell>
        </row>
        <row r="312">
          <cell r="A312" t="str">
            <v>13001_1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1</v>
          </cell>
          <cell r="G312" t="str">
            <v>ja</v>
          </cell>
          <cell r="H312" t="str">
            <v>チャレンジタワー 1F</v>
          </cell>
          <cell r="I312" t="str">
            <v>試練の塔</v>
          </cell>
          <cell r="J312">
            <v>345</v>
          </cell>
          <cell r="K312">
            <v>3</v>
          </cell>
          <cell r="L312">
            <v>120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345,345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13001_2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2</v>
          </cell>
          <cell r="G313" t="str">
            <v>ja</v>
          </cell>
          <cell r="H313" t="str">
            <v>チャレンジタワー 2F</v>
          </cell>
          <cell r="I313" t="str">
            <v>試練の塔</v>
          </cell>
          <cell r="J313">
            <v>333</v>
          </cell>
          <cell r="K313">
            <v>4</v>
          </cell>
          <cell r="L313">
            <v>176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333,333</v>
          </cell>
          <cell r="U313">
            <v>13001</v>
          </cell>
          <cell r="V313">
            <v>1</v>
          </cell>
          <cell r="W313" t="str">
            <v>チャレンジタワー 1F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13001_3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3</v>
          </cell>
          <cell r="G314" t="str">
            <v>ja</v>
          </cell>
          <cell r="H314" t="str">
            <v>チャレンジタワー 3F</v>
          </cell>
          <cell r="I314" t="str">
            <v>試練の塔</v>
          </cell>
          <cell r="J314">
            <v>337</v>
          </cell>
          <cell r="K314">
            <v>5</v>
          </cell>
          <cell r="L314">
            <v>242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337,337</v>
          </cell>
          <cell r="U314">
            <v>13001</v>
          </cell>
          <cell r="V314">
            <v>2</v>
          </cell>
          <cell r="W314" t="str">
            <v>チャレンジタワー 2F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13001_4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4</v>
          </cell>
          <cell r="G315" t="str">
            <v>ja</v>
          </cell>
          <cell r="H315" t="str">
            <v>チャレンジタワー 4F</v>
          </cell>
          <cell r="I315" t="str">
            <v>試練の塔</v>
          </cell>
          <cell r="J315">
            <v>341</v>
          </cell>
          <cell r="K315">
            <v>7</v>
          </cell>
          <cell r="L315">
            <v>508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341,341</v>
          </cell>
          <cell r="U315">
            <v>13001</v>
          </cell>
          <cell r="V315">
            <v>3</v>
          </cell>
          <cell r="W315" t="str">
            <v>チャレンジタワー 3F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13001_5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5</v>
          </cell>
          <cell r="G316" t="str">
            <v>ja</v>
          </cell>
          <cell r="H316" t="str">
            <v>チャレンジタワー 5F</v>
          </cell>
          <cell r="I316" t="str">
            <v>試練の塔</v>
          </cell>
          <cell r="J316">
            <v>333</v>
          </cell>
          <cell r="K316">
            <v>7</v>
          </cell>
          <cell r="L316">
            <v>280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333,337,341,345</v>
          </cell>
          <cell r="U316">
            <v>13001</v>
          </cell>
          <cell r="V316">
            <v>4</v>
          </cell>
          <cell r="W316" t="str">
            <v>チャレンジタワー 4F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13001_6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6</v>
          </cell>
          <cell r="G317" t="str">
            <v>ja</v>
          </cell>
          <cell r="H317" t="str">
            <v>チャレンジタワー 6F</v>
          </cell>
          <cell r="I317" t="str">
            <v>試練の塔</v>
          </cell>
          <cell r="J317">
            <v>346</v>
          </cell>
          <cell r="K317">
            <v>8</v>
          </cell>
          <cell r="L317">
            <v>474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346,345</v>
          </cell>
          <cell r="U317">
            <v>13001</v>
          </cell>
          <cell r="V317">
            <v>5</v>
          </cell>
          <cell r="W317" t="str">
            <v>チャレンジタワー 5F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13001_7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7</v>
          </cell>
          <cell r="G318" t="str">
            <v>ja</v>
          </cell>
          <cell r="H318" t="str">
            <v>チャレンジタワー 7F</v>
          </cell>
          <cell r="I318" t="str">
            <v>試練の塔</v>
          </cell>
          <cell r="J318">
            <v>342</v>
          </cell>
          <cell r="K318">
            <v>8</v>
          </cell>
          <cell r="L318">
            <v>486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342,341</v>
          </cell>
          <cell r="U318">
            <v>13001</v>
          </cell>
          <cell r="V318">
            <v>6</v>
          </cell>
          <cell r="W318" t="str">
            <v>チャレンジタワー 6F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13001_8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8</v>
          </cell>
          <cell r="G319" t="str">
            <v>ja</v>
          </cell>
          <cell r="H319" t="str">
            <v>チャレンジタワー 8F</v>
          </cell>
          <cell r="I319" t="str">
            <v>試練の塔</v>
          </cell>
          <cell r="J319">
            <v>334</v>
          </cell>
          <cell r="K319">
            <v>10</v>
          </cell>
          <cell r="L319">
            <v>1006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334,333</v>
          </cell>
          <cell r="U319">
            <v>13001</v>
          </cell>
          <cell r="V319">
            <v>7</v>
          </cell>
          <cell r="W319" t="str">
            <v>チャレンジタワー 7F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13001_9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9</v>
          </cell>
          <cell r="G320" t="str">
            <v>ja</v>
          </cell>
          <cell r="H320" t="str">
            <v>チャレンジタワー 9F</v>
          </cell>
          <cell r="I320" t="str">
            <v>試練の塔</v>
          </cell>
          <cell r="J320">
            <v>338</v>
          </cell>
          <cell r="K320">
            <v>10</v>
          </cell>
          <cell r="L320">
            <v>702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337,337,338</v>
          </cell>
          <cell r="U320">
            <v>13001</v>
          </cell>
          <cell r="V320">
            <v>8</v>
          </cell>
          <cell r="W320" t="str">
            <v>チャレンジタワー 8F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13001_10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10</v>
          </cell>
          <cell r="G321" t="str">
            <v>ja</v>
          </cell>
          <cell r="H321" t="str">
            <v>チャレンジタワー 10F</v>
          </cell>
          <cell r="I321" t="str">
            <v>試練の塔</v>
          </cell>
          <cell r="J321">
            <v>346</v>
          </cell>
          <cell r="K321">
            <v>11</v>
          </cell>
          <cell r="L321">
            <v>788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346,333,337,341</v>
          </cell>
          <cell r="U321">
            <v>13001</v>
          </cell>
          <cell r="V321">
            <v>9</v>
          </cell>
          <cell r="W321" t="str">
            <v>チャレンジタワー 9F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13001_11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11</v>
          </cell>
          <cell r="G322" t="str">
            <v>ja</v>
          </cell>
          <cell r="H322" t="str">
            <v>チャレンジタワー 11F</v>
          </cell>
          <cell r="I322" t="str">
            <v>試練の塔</v>
          </cell>
          <cell r="J322">
            <v>346</v>
          </cell>
          <cell r="K322">
            <v>12</v>
          </cell>
          <cell r="L322">
            <v>936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346,346</v>
          </cell>
          <cell r="U322">
            <v>13001</v>
          </cell>
          <cell r="V322">
            <v>10</v>
          </cell>
          <cell r="W322" t="str">
            <v>チャレンジタワー 10F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13001_12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12</v>
          </cell>
          <cell r="G323" t="str">
            <v>ja</v>
          </cell>
          <cell r="H323" t="str">
            <v>チャレンジタワー 12F</v>
          </cell>
          <cell r="I323" t="str">
            <v>試練の塔</v>
          </cell>
          <cell r="J323">
            <v>342</v>
          </cell>
          <cell r="K323">
            <v>13</v>
          </cell>
          <cell r="L323">
            <v>1601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342,342</v>
          </cell>
          <cell r="U323">
            <v>13001</v>
          </cell>
          <cell r="V323">
            <v>11</v>
          </cell>
          <cell r="W323" t="str">
            <v>チャレンジタワー 11F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13001_13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13</v>
          </cell>
          <cell r="G324" t="str">
            <v>ja</v>
          </cell>
          <cell r="H324" t="str">
            <v>チャレンジタワー 13F</v>
          </cell>
          <cell r="I324" t="str">
            <v>試練の塔</v>
          </cell>
          <cell r="J324">
            <v>338</v>
          </cell>
          <cell r="K324">
            <v>14</v>
          </cell>
          <cell r="L324">
            <v>945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</v>
          </cell>
          <cell r="U324">
            <v>13001</v>
          </cell>
          <cell r="V324">
            <v>12</v>
          </cell>
          <cell r="W324" t="str">
            <v>チャレンジタワー 12F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13001_14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14</v>
          </cell>
          <cell r="G325" t="str">
            <v>ja</v>
          </cell>
          <cell r="H325" t="str">
            <v>チャレンジタワー 14F</v>
          </cell>
          <cell r="I325" t="str">
            <v>試練の塔</v>
          </cell>
          <cell r="J325">
            <v>334</v>
          </cell>
          <cell r="K325">
            <v>14</v>
          </cell>
          <cell r="L325">
            <v>1188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334,334</v>
          </cell>
          <cell r="U325">
            <v>13001</v>
          </cell>
          <cell r="V325">
            <v>13</v>
          </cell>
          <cell r="W325" t="str">
            <v>チャレンジタワー 13F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13001_15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15</v>
          </cell>
          <cell r="G326" t="str">
            <v>ja</v>
          </cell>
          <cell r="H326" t="str">
            <v>チャレンジタワー 15F</v>
          </cell>
          <cell r="I326" t="str">
            <v>試練の塔</v>
          </cell>
          <cell r="J326">
            <v>316</v>
          </cell>
          <cell r="K326">
            <v>14</v>
          </cell>
          <cell r="L326">
            <v>1008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316</v>
          </cell>
          <cell r="U326">
            <v>13001</v>
          </cell>
          <cell r="V326">
            <v>14</v>
          </cell>
          <cell r="W326" t="str">
            <v>チャレンジタワー 14F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13001_16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16</v>
          </cell>
          <cell r="G327" t="str">
            <v>ja</v>
          </cell>
          <cell r="H327" t="str">
            <v>チャレンジタワー 16F</v>
          </cell>
          <cell r="I327" t="str">
            <v>試練の塔</v>
          </cell>
          <cell r="J327">
            <v>338</v>
          </cell>
          <cell r="K327">
            <v>16</v>
          </cell>
          <cell r="L327">
            <v>2573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338,338,337</v>
          </cell>
          <cell r="U327">
            <v>13001</v>
          </cell>
          <cell r="V327">
            <v>15</v>
          </cell>
          <cell r="W327" t="str">
            <v>チャレンジタワー 15F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13001_17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17</v>
          </cell>
          <cell r="G328" t="str">
            <v>ja</v>
          </cell>
          <cell r="H328" t="str">
            <v>チャレンジタワー 17F</v>
          </cell>
          <cell r="I328" t="str">
            <v>試練の塔</v>
          </cell>
          <cell r="J328">
            <v>346</v>
          </cell>
          <cell r="K328">
            <v>16</v>
          </cell>
          <cell r="L328">
            <v>1568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346,346,345</v>
          </cell>
          <cell r="U328">
            <v>13001</v>
          </cell>
          <cell r="V328">
            <v>16</v>
          </cell>
          <cell r="W328" t="str">
            <v>チャレンジタワー 16F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13001_18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18</v>
          </cell>
          <cell r="G329" t="str">
            <v>ja</v>
          </cell>
          <cell r="H329" t="str">
            <v>チャレンジタワー 18F</v>
          </cell>
          <cell r="I329" t="str">
            <v>試練の塔</v>
          </cell>
          <cell r="J329">
            <v>334</v>
          </cell>
          <cell r="K329">
            <v>17</v>
          </cell>
          <cell r="L329">
            <v>1821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334,334,333</v>
          </cell>
          <cell r="U329">
            <v>13001</v>
          </cell>
          <cell r="V329">
            <v>17</v>
          </cell>
          <cell r="W329" t="str">
            <v>チャレンジタワー 17F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13001_19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19</v>
          </cell>
          <cell r="G330" t="str">
            <v>ja</v>
          </cell>
          <cell r="H330" t="str">
            <v>チャレンジタワー 19F</v>
          </cell>
          <cell r="I330" t="str">
            <v>試練の塔</v>
          </cell>
          <cell r="J330">
            <v>342</v>
          </cell>
          <cell r="K330">
            <v>18</v>
          </cell>
          <cell r="L330">
            <v>2108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342,342,341</v>
          </cell>
          <cell r="U330">
            <v>13001</v>
          </cell>
          <cell r="V330">
            <v>18</v>
          </cell>
          <cell r="W330" t="str">
            <v>チャレンジタワー 18F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13001_20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20</v>
          </cell>
          <cell r="G331" t="str">
            <v>ja</v>
          </cell>
          <cell r="H331" t="str">
            <v>チャレンジタワー 20F</v>
          </cell>
          <cell r="I331" t="str">
            <v>試練の塔</v>
          </cell>
          <cell r="J331">
            <v>318</v>
          </cell>
          <cell r="K331">
            <v>18</v>
          </cell>
          <cell r="L331">
            <v>1620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318</v>
          </cell>
          <cell r="U331">
            <v>13001</v>
          </cell>
          <cell r="V331">
            <v>19</v>
          </cell>
          <cell r="W331" t="str">
            <v>チャレンジタワー 19F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13001_21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21</v>
          </cell>
          <cell r="G332" t="str">
            <v>ja</v>
          </cell>
          <cell r="H332" t="str">
            <v>チャレンジタワー 21F</v>
          </cell>
          <cell r="I332" t="str">
            <v>試練の塔</v>
          </cell>
          <cell r="J332" t="str">
            <v>335</v>
          </cell>
          <cell r="K332">
            <v>18</v>
          </cell>
          <cell r="L332">
            <v>1620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334,335,335</v>
          </cell>
          <cell r="U332">
            <v>13001</v>
          </cell>
          <cell r="V332">
            <v>20</v>
          </cell>
          <cell r="W332" t="str">
            <v>チャレンジタワー 20F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13001_22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22</v>
          </cell>
          <cell r="G333" t="str">
            <v>ja</v>
          </cell>
          <cell r="H333" t="str">
            <v>チャレンジタワー 22F</v>
          </cell>
          <cell r="I333" t="str">
            <v>試練の塔</v>
          </cell>
          <cell r="J333" t="str">
            <v>339</v>
          </cell>
          <cell r="K333">
            <v>18</v>
          </cell>
          <cell r="L333">
            <v>1620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338,339,339</v>
          </cell>
          <cell r="U333">
            <v>13001</v>
          </cell>
          <cell r="V333">
            <v>21</v>
          </cell>
          <cell r="W333" t="str">
            <v>チャレンジタワー 21F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13001_23</v>
          </cell>
          <cell r="B334">
            <v>3</v>
          </cell>
          <cell r="C334">
            <v>13001</v>
          </cell>
          <cell r="D334" t="str">
            <v>チャレンジタワー(ソロ専用)</v>
          </cell>
          <cell r="E334" t="str">
            <v>試練の塔</v>
          </cell>
          <cell r="F334">
            <v>23</v>
          </cell>
          <cell r="G334" t="str">
            <v>ja</v>
          </cell>
          <cell r="H334" t="str">
            <v>チャレンジタワー 23F</v>
          </cell>
          <cell r="I334" t="str">
            <v>試練の塔</v>
          </cell>
          <cell r="J334" t="str">
            <v>347</v>
          </cell>
          <cell r="K334">
            <v>20</v>
          </cell>
          <cell r="L334">
            <v>1821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346,347,347</v>
          </cell>
          <cell r="U334">
            <v>13001</v>
          </cell>
          <cell r="V334">
            <v>22</v>
          </cell>
          <cell r="W334" t="str">
            <v>チャレンジタワー 22F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13001_24</v>
          </cell>
          <cell r="B335">
            <v>3</v>
          </cell>
          <cell r="C335">
            <v>13001</v>
          </cell>
          <cell r="D335" t="str">
            <v>チャレンジタワー(ソロ専用)</v>
          </cell>
          <cell r="E335" t="str">
            <v>試練の塔</v>
          </cell>
          <cell r="F335">
            <v>24</v>
          </cell>
          <cell r="G335" t="str">
            <v>ja</v>
          </cell>
          <cell r="H335" t="str">
            <v>チャレンジタワー 24F</v>
          </cell>
          <cell r="I335" t="str">
            <v>試練の塔</v>
          </cell>
          <cell r="J335" t="str">
            <v>343</v>
          </cell>
          <cell r="K335">
            <v>20</v>
          </cell>
          <cell r="L335">
            <v>2871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342,343,343</v>
          </cell>
          <cell r="U335">
            <v>13001</v>
          </cell>
          <cell r="V335">
            <v>23</v>
          </cell>
          <cell r="W335" t="str">
            <v>チャレンジタワー 23F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13001_25</v>
          </cell>
          <cell r="B336">
            <v>3</v>
          </cell>
          <cell r="C336">
            <v>13001</v>
          </cell>
          <cell r="D336" t="str">
            <v>チャレンジタワー(ソロ専用)</v>
          </cell>
          <cell r="E336" t="str">
            <v>試練の塔</v>
          </cell>
          <cell r="F336">
            <v>25</v>
          </cell>
          <cell r="G336" t="str">
            <v>ja</v>
          </cell>
          <cell r="H336" t="str">
            <v>チャレンジタワー 25F</v>
          </cell>
          <cell r="I336" t="str">
            <v>試練の塔</v>
          </cell>
          <cell r="J336" t="str">
            <v>368</v>
          </cell>
          <cell r="K336">
            <v>22</v>
          </cell>
          <cell r="L336">
            <v>3740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368</v>
          </cell>
          <cell r="U336">
            <v>13001</v>
          </cell>
          <cell r="V336">
            <v>24</v>
          </cell>
          <cell r="W336" t="str">
            <v>チャレンジタワー 24F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13101_1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1</v>
          </cell>
          <cell r="G337" t="str">
            <v>ja</v>
          </cell>
          <cell r="H337" t="str">
            <v>チャレンジタワー 1F</v>
          </cell>
          <cell r="I337" t="str">
            <v>試練の塔</v>
          </cell>
          <cell r="J337">
            <v>345</v>
          </cell>
          <cell r="K337">
            <v>3</v>
          </cell>
          <cell r="L337">
            <v>120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345,345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13101_2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2</v>
          </cell>
          <cell r="G338" t="str">
            <v>ja</v>
          </cell>
          <cell r="H338" t="str">
            <v>チャレンジタワー 2F</v>
          </cell>
          <cell r="I338" t="str">
            <v>試練の塔</v>
          </cell>
          <cell r="J338">
            <v>333</v>
          </cell>
          <cell r="K338">
            <v>4</v>
          </cell>
          <cell r="L338">
            <v>176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333,333</v>
          </cell>
          <cell r="U338">
            <v>13101</v>
          </cell>
          <cell r="V338">
            <v>1</v>
          </cell>
          <cell r="W338" t="str">
            <v>チャレンジタワー 1F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13101_3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3</v>
          </cell>
          <cell r="G339" t="str">
            <v>ja</v>
          </cell>
          <cell r="H339" t="str">
            <v>チャレンジタワー 3F</v>
          </cell>
          <cell r="I339" t="str">
            <v>試練の塔</v>
          </cell>
          <cell r="J339">
            <v>337</v>
          </cell>
          <cell r="K339">
            <v>5</v>
          </cell>
          <cell r="L339">
            <v>242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337,337</v>
          </cell>
          <cell r="U339">
            <v>13101</v>
          </cell>
          <cell r="V339">
            <v>2</v>
          </cell>
          <cell r="W339" t="str">
            <v>チャレンジタワー 2F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13101_4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4</v>
          </cell>
          <cell r="G340" t="str">
            <v>ja</v>
          </cell>
          <cell r="H340" t="str">
            <v>チャレンジタワー 4F</v>
          </cell>
          <cell r="I340" t="str">
            <v>試練の塔</v>
          </cell>
          <cell r="J340">
            <v>341</v>
          </cell>
          <cell r="K340">
            <v>7</v>
          </cell>
          <cell r="L340">
            <v>508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341,341</v>
          </cell>
          <cell r="U340">
            <v>13101</v>
          </cell>
          <cell r="V340">
            <v>3</v>
          </cell>
          <cell r="W340" t="str">
            <v>チャレンジタワー 3F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13101_5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5</v>
          </cell>
          <cell r="G341" t="str">
            <v>ja</v>
          </cell>
          <cell r="H341" t="str">
            <v>チャレンジタワー 5F</v>
          </cell>
          <cell r="I341" t="str">
            <v>試練の塔</v>
          </cell>
          <cell r="J341">
            <v>333</v>
          </cell>
          <cell r="K341">
            <v>7</v>
          </cell>
          <cell r="L341">
            <v>280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333,337,341,345</v>
          </cell>
          <cell r="U341">
            <v>13101</v>
          </cell>
          <cell r="V341">
            <v>4</v>
          </cell>
          <cell r="W341" t="str">
            <v>チャレンジタワー 4F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13101_6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6</v>
          </cell>
          <cell r="G342" t="str">
            <v>ja</v>
          </cell>
          <cell r="H342" t="str">
            <v>チャレンジタワー 6F</v>
          </cell>
          <cell r="I342" t="str">
            <v>試練の塔</v>
          </cell>
          <cell r="J342">
            <v>346</v>
          </cell>
          <cell r="K342">
            <v>8</v>
          </cell>
          <cell r="L342">
            <v>474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346,345</v>
          </cell>
          <cell r="U342">
            <v>13101</v>
          </cell>
          <cell r="V342">
            <v>5</v>
          </cell>
          <cell r="W342" t="str">
            <v>チャレンジタワー 5F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13101_7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7</v>
          </cell>
          <cell r="G343" t="str">
            <v>ja</v>
          </cell>
          <cell r="H343" t="str">
            <v>チャレンジタワー 7F</v>
          </cell>
          <cell r="I343" t="str">
            <v>試練の塔</v>
          </cell>
          <cell r="J343">
            <v>342</v>
          </cell>
          <cell r="K343">
            <v>8</v>
          </cell>
          <cell r="L343">
            <v>486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342,341</v>
          </cell>
          <cell r="U343">
            <v>13101</v>
          </cell>
          <cell r="V343">
            <v>6</v>
          </cell>
          <cell r="W343" t="str">
            <v>チャレンジタワー 6F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13101_8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8</v>
          </cell>
          <cell r="G344" t="str">
            <v>ja</v>
          </cell>
          <cell r="H344" t="str">
            <v>チャレンジタワー 8F</v>
          </cell>
          <cell r="I344" t="str">
            <v>試練の塔</v>
          </cell>
          <cell r="J344">
            <v>334</v>
          </cell>
          <cell r="K344">
            <v>10</v>
          </cell>
          <cell r="L344">
            <v>1006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334,333</v>
          </cell>
          <cell r="U344">
            <v>13101</v>
          </cell>
          <cell r="V344">
            <v>7</v>
          </cell>
          <cell r="W344" t="str">
            <v>チャレンジタワー 7F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13101_9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9</v>
          </cell>
          <cell r="G345" t="str">
            <v>ja</v>
          </cell>
          <cell r="H345" t="str">
            <v>チャレンジタワー 9F</v>
          </cell>
          <cell r="I345" t="str">
            <v>試練の塔</v>
          </cell>
          <cell r="J345">
            <v>338</v>
          </cell>
          <cell r="K345">
            <v>10</v>
          </cell>
          <cell r="L345">
            <v>702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337,337,338</v>
          </cell>
          <cell r="U345">
            <v>13101</v>
          </cell>
          <cell r="V345">
            <v>8</v>
          </cell>
          <cell r="W345" t="str">
            <v>チャレンジタワー 8F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13101_10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10</v>
          </cell>
          <cell r="G346" t="str">
            <v>ja</v>
          </cell>
          <cell r="H346" t="str">
            <v>チャレンジタワー 10F</v>
          </cell>
          <cell r="I346" t="str">
            <v>試練の塔</v>
          </cell>
          <cell r="J346">
            <v>346</v>
          </cell>
          <cell r="K346">
            <v>11</v>
          </cell>
          <cell r="L346">
            <v>788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346,333,337,341</v>
          </cell>
          <cell r="U346">
            <v>13101</v>
          </cell>
          <cell r="V346">
            <v>9</v>
          </cell>
          <cell r="W346" t="str">
            <v>チャレンジタワー 9F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13101_11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11</v>
          </cell>
          <cell r="G347" t="str">
            <v>ja</v>
          </cell>
          <cell r="H347" t="str">
            <v>チャレンジタワー 11F</v>
          </cell>
          <cell r="I347" t="str">
            <v>試練の塔</v>
          </cell>
          <cell r="J347">
            <v>346</v>
          </cell>
          <cell r="K347">
            <v>12</v>
          </cell>
          <cell r="L347">
            <v>936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346,346</v>
          </cell>
          <cell r="U347">
            <v>13101</v>
          </cell>
          <cell r="V347">
            <v>10</v>
          </cell>
          <cell r="W347" t="str">
            <v>チャレンジタワー 10F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13101_12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12</v>
          </cell>
          <cell r="G348" t="str">
            <v>ja</v>
          </cell>
          <cell r="H348" t="str">
            <v>チャレンジタワー 12F</v>
          </cell>
          <cell r="I348" t="str">
            <v>試練の塔</v>
          </cell>
          <cell r="J348">
            <v>342</v>
          </cell>
          <cell r="K348">
            <v>13</v>
          </cell>
          <cell r="L348">
            <v>1601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342,342</v>
          </cell>
          <cell r="U348">
            <v>13101</v>
          </cell>
          <cell r="V348">
            <v>11</v>
          </cell>
          <cell r="W348" t="str">
            <v>チャレンジタワー 11F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13101_13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13</v>
          </cell>
          <cell r="G349" t="str">
            <v>ja</v>
          </cell>
          <cell r="H349" t="str">
            <v>チャレンジタワー 13F</v>
          </cell>
          <cell r="I349" t="str">
            <v>試練の塔</v>
          </cell>
          <cell r="J349">
            <v>338</v>
          </cell>
          <cell r="K349">
            <v>14</v>
          </cell>
          <cell r="L349">
            <v>945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</v>
          </cell>
          <cell r="U349">
            <v>13101</v>
          </cell>
          <cell r="V349">
            <v>12</v>
          </cell>
          <cell r="W349" t="str">
            <v>チャレンジタワー 12F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13101_14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14</v>
          </cell>
          <cell r="G350" t="str">
            <v>ja</v>
          </cell>
          <cell r="H350" t="str">
            <v>チャレンジタワー 14F</v>
          </cell>
          <cell r="I350" t="str">
            <v>試練の塔</v>
          </cell>
          <cell r="J350">
            <v>334</v>
          </cell>
          <cell r="K350">
            <v>14</v>
          </cell>
          <cell r="L350">
            <v>1188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334,334</v>
          </cell>
          <cell r="U350">
            <v>13101</v>
          </cell>
          <cell r="V350">
            <v>13</v>
          </cell>
          <cell r="W350" t="str">
            <v>チャレンジタワー 13F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13101_15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15</v>
          </cell>
          <cell r="G351" t="str">
            <v>ja</v>
          </cell>
          <cell r="H351" t="str">
            <v>チャレンジタワー 15F</v>
          </cell>
          <cell r="I351" t="str">
            <v>試練の塔</v>
          </cell>
          <cell r="J351">
            <v>316</v>
          </cell>
          <cell r="K351">
            <v>14</v>
          </cell>
          <cell r="L351">
            <v>1008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316</v>
          </cell>
          <cell r="U351">
            <v>13101</v>
          </cell>
          <cell r="V351">
            <v>14</v>
          </cell>
          <cell r="W351" t="str">
            <v>チャレンジタワー 14F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13101_16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16</v>
          </cell>
          <cell r="G352" t="str">
            <v>ja</v>
          </cell>
          <cell r="H352" t="str">
            <v>チャレンジタワー 16F</v>
          </cell>
          <cell r="I352" t="str">
            <v>試練の塔</v>
          </cell>
          <cell r="J352">
            <v>338</v>
          </cell>
          <cell r="K352">
            <v>16</v>
          </cell>
          <cell r="L352">
            <v>2573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338,338,337</v>
          </cell>
          <cell r="U352">
            <v>13101</v>
          </cell>
          <cell r="V352">
            <v>15</v>
          </cell>
          <cell r="W352" t="str">
            <v>チャレンジタワー 15F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13101_17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17</v>
          </cell>
          <cell r="G353" t="str">
            <v>ja</v>
          </cell>
          <cell r="H353" t="str">
            <v>チャレンジタワー 17F</v>
          </cell>
          <cell r="I353" t="str">
            <v>試練の塔</v>
          </cell>
          <cell r="J353">
            <v>346</v>
          </cell>
          <cell r="K353">
            <v>16</v>
          </cell>
          <cell r="L353">
            <v>1568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346,346,345</v>
          </cell>
          <cell r="U353">
            <v>13101</v>
          </cell>
          <cell r="V353">
            <v>16</v>
          </cell>
          <cell r="W353" t="str">
            <v>チャレンジタワー 16F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13101_18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18</v>
          </cell>
          <cell r="G354" t="str">
            <v>ja</v>
          </cell>
          <cell r="H354" t="str">
            <v>チャレンジタワー 18F</v>
          </cell>
          <cell r="I354" t="str">
            <v>試練の塔</v>
          </cell>
          <cell r="J354">
            <v>334</v>
          </cell>
          <cell r="K354">
            <v>17</v>
          </cell>
          <cell r="L354">
            <v>1821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334,334,333</v>
          </cell>
          <cell r="U354">
            <v>13101</v>
          </cell>
          <cell r="V354">
            <v>17</v>
          </cell>
          <cell r="W354" t="str">
            <v>チャレンジタワー 17F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13101_19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19</v>
          </cell>
          <cell r="G355" t="str">
            <v>ja</v>
          </cell>
          <cell r="H355" t="str">
            <v>チャレンジタワー 19F</v>
          </cell>
          <cell r="I355" t="str">
            <v>試練の塔</v>
          </cell>
          <cell r="J355">
            <v>342</v>
          </cell>
          <cell r="K355">
            <v>18</v>
          </cell>
          <cell r="L355">
            <v>2108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342,342,341</v>
          </cell>
          <cell r="U355">
            <v>13101</v>
          </cell>
          <cell r="V355">
            <v>18</v>
          </cell>
          <cell r="W355" t="str">
            <v>チャレンジタワー 18F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13101_20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20</v>
          </cell>
          <cell r="G356" t="str">
            <v>ja</v>
          </cell>
          <cell r="H356" t="str">
            <v>チャレンジタワー 20F</v>
          </cell>
          <cell r="I356" t="str">
            <v>試練の塔</v>
          </cell>
          <cell r="J356">
            <v>318</v>
          </cell>
          <cell r="K356">
            <v>18</v>
          </cell>
          <cell r="L356">
            <v>1620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318</v>
          </cell>
          <cell r="U356">
            <v>13101</v>
          </cell>
          <cell r="V356">
            <v>19</v>
          </cell>
          <cell r="W356" t="str">
            <v>チャレンジタワー 19F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13101_21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21</v>
          </cell>
          <cell r="G357" t="str">
            <v>ja</v>
          </cell>
          <cell r="H357" t="str">
            <v>チャレンジタワー 21F</v>
          </cell>
          <cell r="I357" t="str">
            <v>試練の塔</v>
          </cell>
          <cell r="J357" t="str">
            <v>335</v>
          </cell>
          <cell r="K357">
            <v>18</v>
          </cell>
          <cell r="L357">
            <v>1620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334,335,335</v>
          </cell>
          <cell r="U357">
            <v>13101</v>
          </cell>
          <cell r="V357">
            <v>20</v>
          </cell>
          <cell r="W357" t="str">
            <v>チャレンジタワー 20F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13101_22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22</v>
          </cell>
          <cell r="G358" t="str">
            <v>ja</v>
          </cell>
          <cell r="H358" t="str">
            <v>チャレンジタワー 22F</v>
          </cell>
          <cell r="I358" t="str">
            <v>試練の塔</v>
          </cell>
          <cell r="J358" t="str">
            <v>339</v>
          </cell>
          <cell r="K358">
            <v>18</v>
          </cell>
          <cell r="L358">
            <v>1620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338,339,339</v>
          </cell>
          <cell r="U358">
            <v>13101</v>
          </cell>
          <cell r="V358">
            <v>21</v>
          </cell>
          <cell r="W358" t="str">
            <v>チャレンジタワー 21F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13101_23</v>
          </cell>
          <cell r="B359">
            <v>1</v>
          </cell>
          <cell r="C359">
            <v>13101</v>
          </cell>
          <cell r="D359" t="str">
            <v>チャレンジタワー</v>
          </cell>
          <cell r="E359" t="str">
            <v>リセット型チャレンジタワー</v>
          </cell>
          <cell r="F359">
            <v>23</v>
          </cell>
          <cell r="G359" t="str">
            <v>ja</v>
          </cell>
          <cell r="H359" t="str">
            <v>チャレンジタワー 23F</v>
          </cell>
          <cell r="I359" t="str">
            <v>試練の塔</v>
          </cell>
          <cell r="J359" t="str">
            <v>347</v>
          </cell>
          <cell r="K359">
            <v>20</v>
          </cell>
          <cell r="L359">
            <v>1821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346,347,347</v>
          </cell>
          <cell r="U359">
            <v>13101</v>
          </cell>
          <cell r="V359">
            <v>22</v>
          </cell>
          <cell r="W359" t="str">
            <v>チャレンジタワー 22F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</v>
          </cell>
          <cell r="AD359">
            <v>6</v>
          </cell>
          <cell r="AE359" t="str">
            <v>singleonly</v>
          </cell>
        </row>
        <row r="360">
          <cell r="A360" t="str">
            <v>13101_24</v>
          </cell>
          <cell r="B360">
            <v>1</v>
          </cell>
          <cell r="C360">
            <v>13101</v>
          </cell>
          <cell r="D360" t="str">
            <v>チャレンジタワー</v>
          </cell>
          <cell r="E360" t="str">
            <v>リセット型チャレンジタワー</v>
          </cell>
          <cell r="F360">
            <v>24</v>
          </cell>
          <cell r="G360" t="str">
            <v>ja</v>
          </cell>
          <cell r="H360" t="str">
            <v>チャレンジタワー 24F</v>
          </cell>
          <cell r="I360" t="str">
            <v>試練の塔</v>
          </cell>
          <cell r="J360" t="str">
            <v>343</v>
          </cell>
          <cell r="K360">
            <v>20</v>
          </cell>
          <cell r="L360">
            <v>2871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342,343,343</v>
          </cell>
          <cell r="U360">
            <v>13101</v>
          </cell>
          <cell r="V360">
            <v>23</v>
          </cell>
          <cell r="W360" t="str">
            <v>チャレンジタワー 23F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</v>
          </cell>
          <cell r="AD360">
            <v>6</v>
          </cell>
          <cell r="AE360" t="str">
            <v>singleonly</v>
          </cell>
        </row>
        <row r="361">
          <cell r="A361" t="str">
            <v>13101_25</v>
          </cell>
          <cell r="B361">
            <v>1</v>
          </cell>
          <cell r="C361">
            <v>13101</v>
          </cell>
          <cell r="D361" t="str">
            <v>チャレンジタワー</v>
          </cell>
          <cell r="E361" t="str">
            <v>リセット型チャレンジタワー</v>
          </cell>
          <cell r="F361">
            <v>25</v>
          </cell>
          <cell r="G361" t="str">
            <v>ja</v>
          </cell>
          <cell r="H361" t="str">
            <v>チャレンジタワー 25F</v>
          </cell>
          <cell r="I361" t="str">
            <v>試練の塔</v>
          </cell>
          <cell r="J361" t="str">
            <v>368</v>
          </cell>
          <cell r="K361">
            <v>22</v>
          </cell>
          <cell r="L361">
            <v>3740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368</v>
          </cell>
          <cell r="U361">
            <v>13101</v>
          </cell>
          <cell r="V361">
            <v>24</v>
          </cell>
          <cell r="W361" t="str">
            <v>チャレンジタワー 24F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26</v>
          </cell>
          <cell r="AD361">
            <v>6</v>
          </cell>
          <cell r="AE361" t="str">
            <v>singleonly</v>
          </cell>
        </row>
        <row r="362">
          <cell r="A362" t="str">
            <v>13300_1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1</v>
          </cell>
          <cell r="G362" t="str">
            <v>ja</v>
          </cell>
          <cell r="H362" t="str">
            <v>1階 コスト制限なし</v>
          </cell>
          <cell r="I362" t="str">
            <v>タワーオブザクイーン</v>
          </cell>
          <cell r="J362">
            <v>347</v>
          </cell>
          <cell r="K362">
            <v>15</v>
          </cell>
          <cell r="L362">
            <v>750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347,347,347,837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13300_2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2</v>
          </cell>
          <cell r="G363" t="str">
            <v>ja</v>
          </cell>
          <cell r="H363" t="str">
            <v>2階 コスト制限なし</v>
          </cell>
          <cell r="I363" t="str">
            <v>タワーオブザクイーン</v>
          </cell>
          <cell r="J363">
            <v>343</v>
          </cell>
          <cell r="K363">
            <v>18</v>
          </cell>
          <cell r="L363">
            <v>990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343,343,343,342</v>
          </cell>
          <cell r="U363">
            <v>13300</v>
          </cell>
          <cell r="V363">
            <v>1</v>
          </cell>
          <cell r="W363" t="str">
            <v>1階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13300_3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3</v>
          </cell>
          <cell r="G364" t="str">
            <v>ja</v>
          </cell>
          <cell r="H364" t="str">
            <v>3階 コスト制限なし</v>
          </cell>
          <cell r="I364" t="str">
            <v>タワーオブザクイーン</v>
          </cell>
          <cell r="J364">
            <v>335</v>
          </cell>
          <cell r="K364">
            <v>19</v>
          </cell>
          <cell r="L364">
            <v>1140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335,335,335,334</v>
          </cell>
          <cell r="U364">
            <v>13300</v>
          </cell>
          <cell r="V364">
            <v>2</v>
          </cell>
          <cell r="W364" t="str">
            <v>2階 コスト制限なし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13300_4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4</v>
          </cell>
          <cell r="G365" t="str">
            <v>ja</v>
          </cell>
          <cell r="H365" t="str">
            <v>4階 コスト制限なし</v>
          </cell>
          <cell r="I365" t="str">
            <v>タワーオブザクイーン</v>
          </cell>
          <cell r="J365">
            <v>339</v>
          </cell>
          <cell r="K365">
            <v>20</v>
          </cell>
          <cell r="L365">
            <v>1300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339,339,339,338</v>
          </cell>
          <cell r="U365">
            <v>13300</v>
          </cell>
          <cell r="V365">
            <v>3</v>
          </cell>
          <cell r="W365" t="str">
            <v>3階 コスト制限なし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13300_5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5</v>
          </cell>
          <cell r="G366" t="str">
            <v>ja</v>
          </cell>
          <cell r="H366" t="str">
            <v>5階 コスト30以下限定</v>
          </cell>
          <cell r="I366" t="str">
            <v>タワーオブザクイーン</v>
          </cell>
          <cell r="J366">
            <v>837</v>
          </cell>
          <cell r="K366">
            <v>24</v>
          </cell>
          <cell r="L366">
            <v>1680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837,610,125</v>
          </cell>
          <cell r="U366">
            <v>13300</v>
          </cell>
          <cell r="V366">
            <v>4</v>
          </cell>
          <cell r="W366" t="str">
            <v>4階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13300_6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6</v>
          </cell>
          <cell r="G367" t="str">
            <v>ja</v>
          </cell>
          <cell r="H367" t="str">
            <v>6階 コスト30以下ヒューマン限定</v>
          </cell>
          <cell r="I367" t="str">
            <v>タワーオブザクイーン</v>
          </cell>
          <cell r="J367">
            <v>612</v>
          </cell>
          <cell r="K367">
            <v>25</v>
          </cell>
          <cell r="L367">
            <v>1875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612,612,355</v>
          </cell>
          <cell r="U367">
            <v>13300</v>
          </cell>
          <cell r="V367">
            <v>5</v>
          </cell>
          <cell r="W367" t="str">
            <v>5階 コスト30以下限定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13300_7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7</v>
          </cell>
          <cell r="G368" t="str">
            <v>ja</v>
          </cell>
          <cell r="H368" t="str">
            <v>7階 コスト制限なし</v>
          </cell>
          <cell r="I368" t="str">
            <v>タワーオブザクイーン</v>
          </cell>
          <cell r="J368">
            <v>613</v>
          </cell>
          <cell r="K368">
            <v>28</v>
          </cell>
          <cell r="L368">
            <v>2240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character</v>
          </cell>
          <cell r="T368" t="str">
            <v>613,613,353</v>
          </cell>
          <cell r="U368">
            <v>13300</v>
          </cell>
          <cell r="V368">
            <v>6</v>
          </cell>
          <cell r="W368" t="str">
            <v>6階 コスト30以下ヒューマン限定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13300_8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8</v>
          </cell>
          <cell r="G369" t="str">
            <v>ja</v>
          </cell>
          <cell r="H369" t="str">
            <v>8階 コスト28以下限定</v>
          </cell>
          <cell r="I369" t="str">
            <v>タワーオブザクイーン</v>
          </cell>
          <cell r="J369">
            <v>611</v>
          </cell>
          <cell r="K369">
            <v>30</v>
          </cell>
          <cell r="L369">
            <v>2550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611,611,349</v>
          </cell>
          <cell r="U369">
            <v>13300</v>
          </cell>
          <cell r="V369">
            <v>7</v>
          </cell>
          <cell r="W369" t="str">
            <v>7階 コスト制限なし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13300_9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9</v>
          </cell>
          <cell r="G370" t="str">
            <v>ja</v>
          </cell>
          <cell r="H370" t="str">
            <v>9階 コスト28以下ヒューマン限定</v>
          </cell>
          <cell r="I370" t="str">
            <v>タワーオブザクイーン</v>
          </cell>
          <cell r="J370">
            <v>610</v>
          </cell>
          <cell r="K370">
            <v>31</v>
          </cell>
          <cell r="L370">
            <v>2790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837,610,125</v>
          </cell>
          <cell r="U370">
            <v>13300</v>
          </cell>
          <cell r="V370">
            <v>8</v>
          </cell>
          <cell r="W370" t="str">
            <v>8階 コスト28以下限定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13300_10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10</v>
          </cell>
          <cell r="G371" t="str">
            <v>ja</v>
          </cell>
          <cell r="H371" t="str">
            <v>10階 ボナンザ 現る！</v>
          </cell>
          <cell r="I371" t="str">
            <v>タワーオブザクイーン</v>
          </cell>
          <cell r="J371">
            <v>0</v>
          </cell>
          <cell r="K371">
            <v>35</v>
          </cell>
          <cell r="L371">
            <v>3325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polygon</v>
          </cell>
          <cell r="T371" t="str">
            <v>2</v>
          </cell>
          <cell r="U371">
            <v>13300</v>
          </cell>
          <cell r="V371">
            <v>9</v>
          </cell>
          <cell r="W371" t="str">
            <v>9階 コスト28以下ヒューマン限定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13300_11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11</v>
          </cell>
          <cell r="G372" t="str">
            <v>ja</v>
          </cell>
          <cell r="H372" t="str">
            <v>11階 コスト30以下限定</v>
          </cell>
          <cell r="I372" t="str">
            <v>タワーオブザクイーン</v>
          </cell>
          <cell r="J372">
            <v>612</v>
          </cell>
          <cell r="K372">
            <v>37</v>
          </cell>
          <cell r="L372">
            <v>3700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612,612,612,351</v>
          </cell>
          <cell r="U372">
            <v>13300</v>
          </cell>
          <cell r="V372">
            <v>10</v>
          </cell>
          <cell r="W372" t="str">
            <v>10階 ボナンザ 現る！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13300_12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12</v>
          </cell>
          <cell r="G373" t="str">
            <v>ja</v>
          </cell>
          <cell r="H373" t="str">
            <v>12階 コスト30以下ヒューマン限定</v>
          </cell>
          <cell r="I373" t="str">
            <v>タワーオブザクイーン</v>
          </cell>
          <cell r="J373">
            <v>613</v>
          </cell>
          <cell r="K373">
            <v>38</v>
          </cell>
          <cell r="L373">
            <v>3990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613,613,613,346</v>
          </cell>
          <cell r="U373">
            <v>13300</v>
          </cell>
          <cell r="V373">
            <v>11</v>
          </cell>
          <cell r="W373" t="str">
            <v>11階 コスト30以下限定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13300_13</v>
          </cell>
          <cell r="B374">
            <v>3</v>
          </cell>
          <cell r="C374">
            <v>13300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13</v>
          </cell>
          <cell r="G374" t="str">
            <v>ja</v>
          </cell>
          <cell r="H374" t="str">
            <v>13階 コスト制限なし</v>
          </cell>
          <cell r="I374" t="str">
            <v>タワーオブザクイーン</v>
          </cell>
          <cell r="J374">
            <v>611</v>
          </cell>
          <cell r="K374">
            <v>39</v>
          </cell>
          <cell r="L374">
            <v>4290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611,611,611,338</v>
          </cell>
          <cell r="U374">
            <v>13300</v>
          </cell>
          <cell r="V374">
            <v>12</v>
          </cell>
          <cell r="W374" t="str">
            <v>12階 コスト30以下ヒューマン限定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13300_14</v>
          </cell>
          <cell r="B375">
            <v>3</v>
          </cell>
          <cell r="C375">
            <v>13300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14</v>
          </cell>
          <cell r="G375" t="str">
            <v>ja</v>
          </cell>
          <cell r="H375" t="str">
            <v>14階 コスト制限なし</v>
          </cell>
          <cell r="I375" t="str">
            <v>タワーオブザクイーン</v>
          </cell>
          <cell r="J375">
            <v>614</v>
          </cell>
          <cell r="K375">
            <v>40</v>
          </cell>
          <cell r="L375">
            <v>4600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614,611,334,334</v>
          </cell>
          <cell r="U375">
            <v>13300</v>
          </cell>
          <cell r="V375">
            <v>13</v>
          </cell>
          <cell r="W375" t="str">
            <v>13階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13300_15</v>
          </cell>
          <cell r="B376">
            <v>3</v>
          </cell>
          <cell r="C376">
            <v>13300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15</v>
          </cell>
          <cell r="G376" t="str">
            <v>ja</v>
          </cell>
          <cell r="H376" t="str">
            <v>15階 アヴァルシアの女王 ボナンザ</v>
          </cell>
          <cell r="I376" t="str">
            <v>タワーオブザクイーン</v>
          </cell>
          <cell r="J376">
            <v>1115</v>
          </cell>
          <cell r="K376">
            <v>50</v>
          </cell>
          <cell r="L376">
            <v>6250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1114</v>
          </cell>
          <cell r="U376">
            <v>13300</v>
          </cell>
          <cell r="V376">
            <v>14</v>
          </cell>
          <cell r="W376" t="str">
            <v>14階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13301_1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1</v>
          </cell>
          <cell r="G377" t="str">
            <v>ja</v>
          </cell>
          <cell r="H377" t="str">
            <v>1階 コスト制限なし</v>
          </cell>
          <cell r="I377" t="str">
            <v>タワーオブザクイーン</v>
          </cell>
          <cell r="J377">
            <v>347</v>
          </cell>
          <cell r="K377">
            <v>15</v>
          </cell>
          <cell r="L377">
            <v>750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347,837,347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13301_2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2</v>
          </cell>
          <cell r="G378" t="str">
            <v>ja</v>
          </cell>
          <cell r="H378" t="str">
            <v>2階 コスト制限なし</v>
          </cell>
          <cell r="I378" t="str">
            <v>タワーオブザクイーン</v>
          </cell>
          <cell r="J378">
            <v>343</v>
          </cell>
          <cell r="K378">
            <v>18</v>
          </cell>
          <cell r="L378">
            <v>990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343,343,343</v>
          </cell>
          <cell r="U378">
            <v>13301</v>
          </cell>
          <cell r="V378">
            <v>1</v>
          </cell>
          <cell r="W378" t="str">
            <v>1階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13301_3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3</v>
          </cell>
          <cell r="G379" t="str">
            <v>ja</v>
          </cell>
          <cell r="H379" t="str">
            <v>3階 コスト制限なし</v>
          </cell>
          <cell r="I379" t="str">
            <v>タワーオブザクイーン</v>
          </cell>
          <cell r="J379">
            <v>335</v>
          </cell>
          <cell r="K379">
            <v>19</v>
          </cell>
          <cell r="L379">
            <v>1140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335,335,335</v>
          </cell>
          <cell r="U379">
            <v>13301</v>
          </cell>
          <cell r="V379">
            <v>2</v>
          </cell>
          <cell r="W379" t="str">
            <v>2階 コスト制限なし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13301_4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4</v>
          </cell>
          <cell r="G380" t="str">
            <v>ja</v>
          </cell>
          <cell r="H380" t="str">
            <v>4階 コスト制限なし</v>
          </cell>
          <cell r="I380" t="str">
            <v>タワーオブザクイーン</v>
          </cell>
          <cell r="J380">
            <v>339</v>
          </cell>
          <cell r="K380">
            <v>20</v>
          </cell>
          <cell r="L380">
            <v>1300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339,339,339</v>
          </cell>
          <cell r="U380">
            <v>13301</v>
          </cell>
          <cell r="V380">
            <v>3</v>
          </cell>
          <cell r="W380" t="str">
            <v>3階 コスト制限なし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13301_5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5</v>
          </cell>
          <cell r="G381" t="str">
            <v>ja</v>
          </cell>
          <cell r="H381" t="str">
            <v>5階 コスト30以下限定</v>
          </cell>
          <cell r="I381" t="str">
            <v>タワーオブザクイーン</v>
          </cell>
          <cell r="J381">
            <v>837</v>
          </cell>
          <cell r="K381">
            <v>24</v>
          </cell>
          <cell r="L381">
            <v>1680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837,610,125</v>
          </cell>
          <cell r="U381">
            <v>13301</v>
          </cell>
          <cell r="V381">
            <v>4</v>
          </cell>
          <cell r="W381" t="str">
            <v>4階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13301_6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6</v>
          </cell>
          <cell r="G382" t="str">
            <v>ja</v>
          </cell>
          <cell r="H382" t="str">
            <v>6階 コスト30以下ヒューマン限定</v>
          </cell>
          <cell r="I382" t="str">
            <v>タワーオブザクイーン</v>
          </cell>
          <cell r="J382">
            <v>612</v>
          </cell>
          <cell r="K382">
            <v>25</v>
          </cell>
          <cell r="L382">
            <v>1875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612,612,355</v>
          </cell>
          <cell r="U382">
            <v>13301</v>
          </cell>
          <cell r="V382">
            <v>5</v>
          </cell>
          <cell r="W382" t="str">
            <v>5階 コスト30以下限定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13301_7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7</v>
          </cell>
          <cell r="G383" t="str">
            <v>ja</v>
          </cell>
          <cell r="H383" t="str">
            <v>7階 コスト制限なし</v>
          </cell>
          <cell r="I383" t="str">
            <v>タワーオブザクイーン</v>
          </cell>
          <cell r="J383">
            <v>613</v>
          </cell>
          <cell r="K383">
            <v>28</v>
          </cell>
          <cell r="L383">
            <v>2240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character</v>
          </cell>
          <cell r="T383" t="str">
            <v>613,613,353</v>
          </cell>
          <cell r="U383">
            <v>13301</v>
          </cell>
          <cell r="V383">
            <v>6</v>
          </cell>
          <cell r="W383" t="str">
            <v>6階 コスト30以下ヒューマン限定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13301_8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8</v>
          </cell>
          <cell r="G384" t="str">
            <v>ja</v>
          </cell>
          <cell r="H384" t="str">
            <v>8階 コスト28以下限定</v>
          </cell>
          <cell r="I384" t="str">
            <v>タワーオブザクイーン</v>
          </cell>
          <cell r="J384">
            <v>611</v>
          </cell>
          <cell r="K384">
            <v>30</v>
          </cell>
          <cell r="L384">
            <v>2550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611,611,349</v>
          </cell>
          <cell r="U384">
            <v>13301</v>
          </cell>
          <cell r="V384">
            <v>7</v>
          </cell>
          <cell r="W384" t="str">
            <v>7階 コスト制限なし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13301_9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9</v>
          </cell>
          <cell r="G385" t="str">
            <v>ja</v>
          </cell>
          <cell r="H385" t="str">
            <v>9階 コスト28以下ヒューマン限定</v>
          </cell>
          <cell r="I385" t="str">
            <v>タワーオブザクイーン</v>
          </cell>
          <cell r="J385">
            <v>837</v>
          </cell>
          <cell r="K385">
            <v>31</v>
          </cell>
          <cell r="L385">
            <v>2790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837,610,125</v>
          </cell>
          <cell r="U385">
            <v>13301</v>
          </cell>
          <cell r="V385">
            <v>8</v>
          </cell>
          <cell r="W385" t="str">
            <v>8階 コスト28以下限定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13301_10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10</v>
          </cell>
          <cell r="G386" t="str">
            <v>ja</v>
          </cell>
          <cell r="H386" t="str">
            <v>10階 ボナンザ 現る！</v>
          </cell>
          <cell r="I386" t="str">
            <v>タワーオブザクイーン</v>
          </cell>
          <cell r="J386">
            <v>0</v>
          </cell>
          <cell r="K386">
            <v>35</v>
          </cell>
          <cell r="L386">
            <v>3325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 t="str">
            <v>2</v>
          </cell>
          <cell r="U386">
            <v>13301</v>
          </cell>
          <cell r="V386">
            <v>9</v>
          </cell>
          <cell r="W386" t="str">
            <v>9階 コスト28以下ヒューマン限定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13301_11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11</v>
          </cell>
          <cell r="G387" t="str">
            <v>ja</v>
          </cell>
          <cell r="H387" t="str">
            <v>11階 コスト30以下限定</v>
          </cell>
          <cell r="I387" t="str">
            <v>タワーオブザクイーン</v>
          </cell>
          <cell r="J387">
            <v>612</v>
          </cell>
          <cell r="K387">
            <v>37</v>
          </cell>
          <cell r="L387">
            <v>3700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612,612,612</v>
          </cell>
          <cell r="U387">
            <v>13301</v>
          </cell>
          <cell r="V387">
            <v>10</v>
          </cell>
          <cell r="W387" t="str">
            <v>10階 ボナンザ 現る！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13301_12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12</v>
          </cell>
          <cell r="G388" t="str">
            <v>ja</v>
          </cell>
          <cell r="H388" t="str">
            <v>12階 コスト30以下ヒューマン限定</v>
          </cell>
          <cell r="I388" t="str">
            <v>タワーオブザクイーン</v>
          </cell>
          <cell r="J388">
            <v>613</v>
          </cell>
          <cell r="K388">
            <v>38</v>
          </cell>
          <cell r="L388">
            <v>3990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613,613,613</v>
          </cell>
          <cell r="U388">
            <v>13301</v>
          </cell>
          <cell r="V388">
            <v>11</v>
          </cell>
          <cell r="W388" t="str">
            <v>11階 コスト30以下限定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13301_13</v>
          </cell>
          <cell r="B389">
            <v>3</v>
          </cell>
          <cell r="C389">
            <v>13301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13</v>
          </cell>
          <cell r="G389" t="str">
            <v>ja</v>
          </cell>
          <cell r="H389" t="str">
            <v>13階 コスト制限なし</v>
          </cell>
          <cell r="I389" t="str">
            <v>タワーオブザクイーン</v>
          </cell>
          <cell r="J389">
            <v>611</v>
          </cell>
          <cell r="K389">
            <v>39</v>
          </cell>
          <cell r="L389">
            <v>4290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611,611,611</v>
          </cell>
          <cell r="U389">
            <v>13301</v>
          </cell>
          <cell r="V389">
            <v>12</v>
          </cell>
          <cell r="W389" t="str">
            <v>12階 コスト30以下ヒューマン限定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13301_14</v>
          </cell>
          <cell r="B390">
            <v>3</v>
          </cell>
          <cell r="C390">
            <v>13301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14</v>
          </cell>
          <cell r="G390" t="str">
            <v>ja</v>
          </cell>
          <cell r="H390" t="str">
            <v>14階 コスト制限なし</v>
          </cell>
          <cell r="I390" t="str">
            <v>タワーオブザクイーン</v>
          </cell>
          <cell r="J390">
            <v>614</v>
          </cell>
          <cell r="K390">
            <v>40</v>
          </cell>
          <cell r="L390">
            <v>4600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614,611,351</v>
          </cell>
          <cell r="U390">
            <v>13301</v>
          </cell>
          <cell r="V390">
            <v>13</v>
          </cell>
          <cell r="W390" t="str">
            <v>13階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13301_15</v>
          </cell>
          <cell r="B391">
            <v>3</v>
          </cell>
          <cell r="C391">
            <v>13301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15</v>
          </cell>
          <cell r="G391" t="str">
            <v>ja</v>
          </cell>
          <cell r="H391" t="str">
            <v>15階 アヴァルシアの女王 ボナンザ</v>
          </cell>
          <cell r="I391" t="str">
            <v>タワーオブザクイーン</v>
          </cell>
          <cell r="J391">
            <v>1115</v>
          </cell>
          <cell r="K391">
            <v>50</v>
          </cell>
          <cell r="L391">
            <v>6250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1114</v>
          </cell>
          <cell r="U391">
            <v>13301</v>
          </cell>
          <cell r="V391">
            <v>14</v>
          </cell>
          <cell r="W391" t="str">
            <v>14階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13302_1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1</v>
          </cell>
          <cell r="G392" t="str">
            <v>ja</v>
          </cell>
          <cell r="H392" t="str">
            <v>1階 コスト制限なし</v>
          </cell>
          <cell r="I392" t="str">
            <v>タワーオブザクイーン</v>
          </cell>
          <cell r="J392">
            <v>347</v>
          </cell>
          <cell r="K392">
            <v>10</v>
          </cell>
          <cell r="L392">
            <v>600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347,837,347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13302_2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2</v>
          </cell>
          <cell r="G393" t="str">
            <v>ja</v>
          </cell>
          <cell r="H393" t="str">
            <v>2階 コスト制限なし</v>
          </cell>
          <cell r="I393" t="str">
            <v>タワーオブザクイーン</v>
          </cell>
          <cell r="J393">
            <v>343</v>
          </cell>
          <cell r="K393">
            <v>11</v>
          </cell>
          <cell r="L393">
            <v>860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343,343,125</v>
          </cell>
          <cell r="U393">
            <v>13302</v>
          </cell>
          <cell r="V393">
            <v>1</v>
          </cell>
          <cell r="W393" t="str">
            <v>1階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13302_3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3</v>
          </cell>
          <cell r="G394" t="str">
            <v>ja</v>
          </cell>
          <cell r="H394" t="str">
            <v>3階 コスト制限なし</v>
          </cell>
          <cell r="I394" t="str">
            <v>タワーオブザクイーン</v>
          </cell>
          <cell r="J394">
            <v>335</v>
          </cell>
          <cell r="K394">
            <v>12</v>
          </cell>
          <cell r="L394">
            <v>1140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335,335,125</v>
          </cell>
          <cell r="U394">
            <v>13302</v>
          </cell>
          <cell r="V394">
            <v>2</v>
          </cell>
          <cell r="W394" t="str">
            <v>2階 コスト制限なし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13302_4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4</v>
          </cell>
          <cell r="G395" t="str">
            <v>ja</v>
          </cell>
          <cell r="H395" t="str">
            <v>4階 コスト制限なし</v>
          </cell>
          <cell r="I395" t="str">
            <v>タワーオブザクイーン</v>
          </cell>
          <cell r="J395">
            <v>339</v>
          </cell>
          <cell r="K395">
            <v>13</v>
          </cell>
          <cell r="L395">
            <v>1440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339,339,125</v>
          </cell>
          <cell r="U395">
            <v>13302</v>
          </cell>
          <cell r="V395">
            <v>3</v>
          </cell>
          <cell r="W395" t="str">
            <v>3階 コスト制限なし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13302_5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5</v>
          </cell>
          <cell r="G396" t="str">
            <v>ja</v>
          </cell>
          <cell r="H396" t="str">
            <v>5階 コスト30以下限定</v>
          </cell>
          <cell r="I396" t="str">
            <v>タワーオブザクイーン</v>
          </cell>
          <cell r="J396">
            <v>837</v>
          </cell>
          <cell r="K396">
            <v>14</v>
          </cell>
          <cell r="L396">
            <v>1760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837,610,610</v>
          </cell>
          <cell r="U396">
            <v>13302</v>
          </cell>
          <cell r="V396">
            <v>4</v>
          </cell>
          <cell r="W396" t="str">
            <v>4階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13302_6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6</v>
          </cell>
          <cell r="G397" t="str">
            <v>ja</v>
          </cell>
          <cell r="H397" t="str">
            <v>6階 コスト30以下ヒューマン限定</v>
          </cell>
          <cell r="I397" t="str">
            <v>タワーオブザクイーン</v>
          </cell>
          <cell r="J397">
            <v>612</v>
          </cell>
          <cell r="K397">
            <v>15</v>
          </cell>
          <cell r="L397">
            <v>2100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612,612,355</v>
          </cell>
          <cell r="U397">
            <v>13302</v>
          </cell>
          <cell r="V397">
            <v>5</v>
          </cell>
          <cell r="W397" t="str">
            <v>5階 コスト30以下限定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13302_7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7</v>
          </cell>
          <cell r="G398" t="str">
            <v>ja</v>
          </cell>
          <cell r="H398" t="str">
            <v>7階 コスト制限なし</v>
          </cell>
          <cell r="I398" t="str">
            <v>タワーオブザクイーン</v>
          </cell>
          <cell r="J398">
            <v>613</v>
          </cell>
          <cell r="K398">
            <v>16</v>
          </cell>
          <cell r="L398">
            <v>2460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character</v>
          </cell>
          <cell r="T398" t="str">
            <v>613,613,353</v>
          </cell>
          <cell r="U398">
            <v>13302</v>
          </cell>
          <cell r="V398">
            <v>6</v>
          </cell>
          <cell r="W398" t="str">
            <v>6階 コスト30以下ヒューマン限定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13302_8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8</v>
          </cell>
          <cell r="G399" t="str">
            <v>ja</v>
          </cell>
          <cell r="H399" t="str">
            <v>8階 コスト28以下限定</v>
          </cell>
          <cell r="I399" t="str">
            <v>タワーオブザクイーン</v>
          </cell>
          <cell r="J399">
            <v>611</v>
          </cell>
          <cell r="K399">
            <v>17</v>
          </cell>
          <cell r="L399">
            <v>2840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611,611,349</v>
          </cell>
          <cell r="U399">
            <v>13302</v>
          </cell>
          <cell r="V399">
            <v>7</v>
          </cell>
          <cell r="W399" t="str">
            <v>7階 コスト制限なし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13302_9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9</v>
          </cell>
          <cell r="G400" t="str">
            <v>ja</v>
          </cell>
          <cell r="H400" t="str">
            <v>9階 コスト28以下ヒューマン限定</v>
          </cell>
          <cell r="I400" t="str">
            <v>タワーオブザクイーン</v>
          </cell>
          <cell r="J400">
            <v>837</v>
          </cell>
          <cell r="K400">
            <v>18</v>
          </cell>
          <cell r="L400">
            <v>3240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837,614,351</v>
          </cell>
          <cell r="U400">
            <v>13302</v>
          </cell>
          <cell r="V400">
            <v>8</v>
          </cell>
          <cell r="W400" t="str">
            <v>8階 コスト28以下限定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13302_10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10</v>
          </cell>
          <cell r="G401" t="str">
            <v>ja</v>
          </cell>
          <cell r="H401" t="str">
            <v>10階 ボナンザ 現る！</v>
          </cell>
          <cell r="I401" t="str">
            <v>タワーオブザクイーン</v>
          </cell>
          <cell r="J401">
            <v>0</v>
          </cell>
          <cell r="K401">
            <v>19</v>
          </cell>
          <cell r="L401">
            <v>3660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 t="str">
            <v>7</v>
          </cell>
          <cell r="U401">
            <v>13302</v>
          </cell>
          <cell r="V401">
            <v>9</v>
          </cell>
          <cell r="W401" t="str">
            <v>9階 コスト28以下ヒューマン限定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13302_11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11</v>
          </cell>
          <cell r="G402" t="str">
            <v>ja</v>
          </cell>
          <cell r="H402" t="str">
            <v>11階 コスト30以下限定</v>
          </cell>
          <cell r="I402" t="str">
            <v>タワーオブザクイーン</v>
          </cell>
          <cell r="J402">
            <v>612</v>
          </cell>
          <cell r="K402">
            <v>20</v>
          </cell>
          <cell r="L402">
            <v>4100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612,612,612</v>
          </cell>
          <cell r="U402">
            <v>13302</v>
          </cell>
          <cell r="V402">
            <v>10</v>
          </cell>
          <cell r="W402" t="str">
            <v>10階 ボナンザ 現る！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13302_12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12</v>
          </cell>
          <cell r="G403" t="str">
            <v>ja</v>
          </cell>
          <cell r="H403" t="str">
            <v>12階 コスト30以下ヒューマン限定</v>
          </cell>
          <cell r="I403" t="str">
            <v>タワーオブザクイーン</v>
          </cell>
          <cell r="J403">
            <v>613</v>
          </cell>
          <cell r="K403">
            <v>21</v>
          </cell>
          <cell r="L403">
            <v>4560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613,613,613</v>
          </cell>
          <cell r="U403">
            <v>13302</v>
          </cell>
          <cell r="V403">
            <v>11</v>
          </cell>
          <cell r="W403" t="str">
            <v>11階 コスト30以下限定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13302_13</v>
          </cell>
          <cell r="B404">
            <v>3</v>
          </cell>
          <cell r="C404">
            <v>13302</v>
          </cell>
          <cell r="D404" t="str">
            <v>タワーオブザクイーン -アヴァルシア-</v>
          </cell>
          <cell r="E404" t="str">
            <v>タワーオブザクイーン1本目</v>
          </cell>
          <cell r="F404">
            <v>13</v>
          </cell>
          <cell r="G404" t="str">
            <v>ja</v>
          </cell>
          <cell r="H404" t="str">
            <v>13階 コスト制限なし</v>
          </cell>
          <cell r="I404" t="str">
            <v>タワーオブザクイーン</v>
          </cell>
          <cell r="J404">
            <v>611</v>
          </cell>
          <cell r="K404">
            <v>22</v>
          </cell>
          <cell r="L404">
            <v>5040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611,611,611</v>
          </cell>
          <cell r="U404">
            <v>13302</v>
          </cell>
          <cell r="V404">
            <v>12</v>
          </cell>
          <cell r="W404" t="str">
            <v>12階 コスト30以下ヒューマン限定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965</v>
          </cell>
          <cell r="AD404">
            <v>6</v>
          </cell>
          <cell r="AE404" t="str">
            <v>singleonly</v>
          </cell>
        </row>
        <row r="405">
          <cell r="A405" t="str">
            <v>13302_14</v>
          </cell>
          <cell r="B405">
            <v>3</v>
          </cell>
          <cell r="C405">
            <v>13302</v>
          </cell>
          <cell r="D405" t="str">
            <v>タワーオブザクイーン -アヴァルシア-</v>
          </cell>
          <cell r="E405" t="str">
            <v>タワーオブザクイーン1本目</v>
          </cell>
          <cell r="F405">
            <v>14</v>
          </cell>
          <cell r="G405" t="str">
            <v>ja</v>
          </cell>
          <cell r="H405" t="str">
            <v>14階 コスト制限なし</v>
          </cell>
          <cell r="I405" t="str">
            <v>タワーオブザクイーン</v>
          </cell>
          <cell r="J405">
            <v>614</v>
          </cell>
          <cell r="K405">
            <v>23</v>
          </cell>
          <cell r="L405">
            <v>5540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614,614</v>
          </cell>
          <cell r="U405">
            <v>13302</v>
          </cell>
          <cell r="V405">
            <v>13</v>
          </cell>
          <cell r="W405" t="str">
            <v>13階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965</v>
          </cell>
          <cell r="AD405">
            <v>6</v>
          </cell>
          <cell r="AE405" t="str">
            <v>singleonly</v>
          </cell>
        </row>
        <row r="406">
          <cell r="A406" t="str">
            <v>13302_15</v>
          </cell>
          <cell r="B406">
            <v>3</v>
          </cell>
          <cell r="C406">
            <v>13302</v>
          </cell>
          <cell r="D406" t="str">
            <v>タワーオブザクイーン -アヴァルシア-</v>
          </cell>
          <cell r="E406" t="str">
            <v>タワーオブザクイーン1本目</v>
          </cell>
          <cell r="F406">
            <v>15</v>
          </cell>
          <cell r="G406" t="str">
            <v>ja</v>
          </cell>
          <cell r="H406" t="str">
            <v>15階 アヴァルシアの女王 ボナンザ</v>
          </cell>
          <cell r="I406" t="str">
            <v>タワーオブザクイーン</v>
          </cell>
          <cell r="J406">
            <v>1115</v>
          </cell>
          <cell r="K406">
            <v>50</v>
          </cell>
          <cell r="L406">
            <v>10000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1114</v>
          </cell>
          <cell r="U406">
            <v>13302</v>
          </cell>
          <cell r="V406">
            <v>14</v>
          </cell>
          <cell r="W406" t="str">
            <v>14階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965</v>
          </cell>
          <cell r="AD406">
            <v>6</v>
          </cell>
          <cell r="AE406" t="str">
            <v>singleonly</v>
          </cell>
        </row>
        <row r="407">
          <cell r="A407" t="str">
            <v>13400_1</v>
          </cell>
          <cell r="B407">
            <v>3</v>
          </cell>
          <cell r="C407">
            <v>13400</v>
          </cell>
          <cell r="D407" t="str">
            <v>タワーオブザクイーン -エルフラム-</v>
          </cell>
          <cell r="E407" t="str">
            <v>タワーオブザクイーン2本目</v>
          </cell>
          <cell r="F407">
            <v>1</v>
          </cell>
          <cell r="G407" t="str">
            <v>ja</v>
          </cell>
          <cell r="H407" t="str">
            <v>1階 コスト制限なし</v>
          </cell>
          <cell r="I407" t="str">
            <v>タワーオブザクイーン</v>
          </cell>
          <cell r="J407">
            <v>347</v>
          </cell>
          <cell r="K407">
            <v>10</v>
          </cell>
          <cell r="L407">
            <v>600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347,837,347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13400_2</v>
          </cell>
          <cell r="B408">
            <v>3</v>
          </cell>
          <cell r="C408">
            <v>13400</v>
          </cell>
          <cell r="D408" t="str">
            <v>タワーオブザクイーン -エルフラム-</v>
          </cell>
          <cell r="E408" t="str">
            <v>タワーオブザクイーン2本目</v>
          </cell>
          <cell r="F408">
            <v>2</v>
          </cell>
          <cell r="G408" t="str">
            <v>ja</v>
          </cell>
          <cell r="H408" t="str">
            <v>2階 コスト制限なし</v>
          </cell>
          <cell r="I408" t="str">
            <v>タワーオブザクイーン</v>
          </cell>
          <cell r="J408">
            <v>343</v>
          </cell>
          <cell r="K408">
            <v>11</v>
          </cell>
          <cell r="L408">
            <v>860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343,343,125</v>
          </cell>
          <cell r="U408">
            <v>13400</v>
          </cell>
          <cell r="V408">
            <v>1</v>
          </cell>
          <cell r="W408" t="str">
            <v>1階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13400_3</v>
          </cell>
          <cell r="B409">
            <v>3</v>
          </cell>
          <cell r="C409">
            <v>13400</v>
          </cell>
          <cell r="D409" t="str">
            <v>タワーオブザクイーン -エルフラム-</v>
          </cell>
          <cell r="E409" t="str">
            <v>タワーオブザクイーン2本目</v>
          </cell>
          <cell r="F409">
            <v>3</v>
          </cell>
          <cell r="G409" t="str">
            <v>ja</v>
          </cell>
          <cell r="H409" t="str">
            <v>3階 コスト制限なし</v>
          </cell>
          <cell r="I409" t="str">
            <v>タワーオブザクイーン</v>
          </cell>
          <cell r="J409">
            <v>335</v>
          </cell>
          <cell r="K409">
            <v>12</v>
          </cell>
          <cell r="L409">
            <v>1140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335,335,125</v>
          </cell>
          <cell r="U409">
            <v>13400</v>
          </cell>
          <cell r="V409">
            <v>2</v>
          </cell>
          <cell r="W409" t="str">
            <v>2階 コスト制限なし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13400_4</v>
          </cell>
          <cell r="B410">
            <v>3</v>
          </cell>
          <cell r="C410">
            <v>13400</v>
          </cell>
          <cell r="D410" t="str">
            <v>タワーオブザクイーン -エルフラム-</v>
          </cell>
          <cell r="E410" t="str">
            <v>タワーオブザクイーン2本目</v>
          </cell>
          <cell r="F410">
            <v>4</v>
          </cell>
          <cell r="G410" t="str">
            <v>ja</v>
          </cell>
          <cell r="H410" t="str">
            <v>4階 コスト制限なし</v>
          </cell>
          <cell r="I410" t="str">
            <v>タワーオブザクイーン</v>
          </cell>
          <cell r="J410">
            <v>339</v>
          </cell>
          <cell r="K410">
            <v>13</v>
          </cell>
          <cell r="L410">
            <v>1440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339,339,125</v>
          </cell>
          <cell r="U410">
            <v>13400</v>
          </cell>
          <cell r="V410">
            <v>3</v>
          </cell>
          <cell r="W410" t="str">
            <v>3階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13400_5</v>
          </cell>
          <cell r="B411">
            <v>3</v>
          </cell>
          <cell r="C411">
            <v>13400</v>
          </cell>
          <cell r="D411" t="str">
            <v>タワーオブザクイーン -エルフラム-</v>
          </cell>
          <cell r="E411" t="str">
            <v>タワーオブザクイーン2本目</v>
          </cell>
          <cell r="F411">
            <v>5</v>
          </cell>
          <cell r="G411" t="str">
            <v>ja</v>
          </cell>
          <cell r="H411" t="str">
            <v>5階 バランスタイプ限定</v>
          </cell>
          <cell r="I411" t="str">
            <v>タワーオブザクイーン</v>
          </cell>
          <cell r="J411">
            <v>837</v>
          </cell>
          <cell r="K411">
            <v>14</v>
          </cell>
          <cell r="L411">
            <v>1760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 t="str">
            <v>837,610,610</v>
          </cell>
          <cell r="U411">
            <v>13400</v>
          </cell>
          <cell r="V411">
            <v>4</v>
          </cell>
          <cell r="W411" t="str">
            <v>4階 コスト制限なし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13400_6</v>
          </cell>
          <cell r="B412">
            <v>3</v>
          </cell>
          <cell r="C412">
            <v>13400</v>
          </cell>
          <cell r="D412" t="str">
            <v>タワーオブザクイーン -エルフラム-</v>
          </cell>
          <cell r="E412" t="str">
            <v>タワーオブザクイーン2本目</v>
          </cell>
          <cell r="F412">
            <v>6</v>
          </cell>
          <cell r="G412" t="str">
            <v>ja</v>
          </cell>
          <cell r="H412" t="str">
            <v>6階 コスト制限なし</v>
          </cell>
          <cell r="I412" t="str">
            <v>タワーオブザクイーン</v>
          </cell>
          <cell r="J412">
            <v>612</v>
          </cell>
          <cell r="K412">
            <v>15</v>
          </cell>
          <cell r="L412">
            <v>2100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612,612,355</v>
          </cell>
          <cell r="U412">
            <v>13400</v>
          </cell>
          <cell r="V412">
            <v>5</v>
          </cell>
          <cell r="W412" t="str">
            <v>5階 バランスタイプ限定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13400_7</v>
          </cell>
          <cell r="B413">
            <v>3</v>
          </cell>
          <cell r="C413">
            <v>13400</v>
          </cell>
          <cell r="D413" t="str">
            <v>タワーオブザクイーン -エルフラム-</v>
          </cell>
          <cell r="E413" t="str">
            <v>タワーオブザクイーン2本目</v>
          </cell>
          <cell r="F413">
            <v>7</v>
          </cell>
          <cell r="G413" t="str">
            <v>ja</v>
          </cell>
          <cell r="H413" t="str">
            <v>7階 コスト30以下限定</v>
          </cell>
          <cell r="I413" t="str">
            <v>タワーオブザクイーン</v>
          </cell>
          <cell r="J413">
            <v>613</v>
          </cell>
          <cell r="K413">
            <v>16</v>
          </cell>
          <cell r="L413">
            <v>2460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character</v>
          </cell>
          <cell r="T413" t="str">
            <v>613,613,353</v>
          </cell>
          <cell r="U413">
            <v>13400</v>
          </cell>
          <cell r="V413">
            <v>6</v>
          </cell>
          <cell r="W413" t="str">
            <v>6階 コスト制限なし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13400_8</v>
          </cell>
          <cell r="B414">
            <v>3</v>
          </cell>
          <cell r="C414">
            <v>13400</v>
          </cell>
          <cell r="D414" t="str">
            <v>タワーオブザクイーン -エルフラム-</v>
          </cell>
          <cell r="E414" t="str">
            <v>タワーオブザクイーン2本目</v>
          </cell>
          <cell r="F414">
            <v>8</v>
          </cell>
          <cell r="G414" t="str">
            <v>ja</v>
          </cell>
          <cell r="H414" t="str">
            <v>8階 ハートパネルが出現しない！</v>
          </cell>
          <cell r="I414" t="str">
            <v>タワーオブザクイーン</v>
          </cell>
          <cell r="J414">
            <v>611</v>
          </cell>
          <cell r="K414">
            <v>17</v>
          </cell>
          <cell r="L414">
            <v>2840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0</v>
          </cell>
          <cell r="R414">
            <v>3</v>
          </cell>
          <cell r="S414" t="str">
            <v>character</v>
          </cell>
          <cell r="T414" t="str">
            <v>611,611,349</v>
          </cell>
          <cell r="U414">
            <v>13400</v>
          </cell>
          <cell r="V414">
            <v>7</v>
          </cell>
          <cell r="W414" t="str">
            <v>7階 コスト30以下限定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13400_9</v>
          </cell>
          <cell r="B415">
            <v>3</v>
          </cell>
          <cell r="C415">
            <v>13400</v>
          </cell>
          <cell r="D415" t="str">
            <v>タワーオブザクイーン -エルフラム-</v>
          </cell>
          <cell r="E415" t="str">
            <v>タワーオブザクイーン2本目</v>
          </cell>
          <cell r="F415">
            <v>9</v>
          </cell>
          <cell r="G415" t="str">
            <v>ja</v>
          </cell>
          <cell r="H415" t="str">
            <v>9階 攻撃タイプ限定</v>
          </cell>
          <cell r="I415" t="str">
            <v>タワーオブザクイーン</v>
          </cell>
          <cell r="J415">
            <v>837</v>
          </cell>
          <cell r="K415">
            <v>18</v>
          </cell>
          <cell r="L415">
            <v>3240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837,614,351</v>
          </cell>
          <cell r="U415">
            <v>13400</v>
          </cell>
          <cell r="V415">
            <v>8</v>
          </cell>
          <cell r="W415" t="str">
            <v>8階 ハートパネルが出現しない！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13400_10</v>
          </cell>
          <cell r="B416">
            <v>3</v>
          </cell>
          <cell r="C416">
            <v>13400</v>
          </cell>
          <cell r="D416" t="str">
            <v>タワーオブザクイーン -エルフラム-</v>
          </cell>
          <cell r="E416" t="str">
            <v>タワーオブザクイーン2本目</v>
          </cell>
          <cell r="F416">
            <v>10</v>
          </cell>
          <cell r="G416" t="str">
            <v>ja</v>
          </cell>
          <cell r="H416" t="str">
            <v>10階 ローズ 現る！</v>
          </cell>
          <cell r="I416" t="str">
            <v>タワーオブザクイーン</v>
          </cell>
          <cell r="J416">
            <v>0</v>
          </cell>
          <cell r="K416">
            <v>19</v>
          </cell>
          <cell r="L416">
            <v>3660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polygon</v>
          </cell>
          <cell r="T416" t="str">
            <v>7</v>
          </cell>
          <cell r="U416">
            <v>13400</v>
          </cell>
          <cell r="V416">
            <v>9</v>
          </cell>
          <cell r="W416" t="str">
            <v>9階 攻撃タイプ限定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13400_11</v>
          </cell>
          <cell r="B417">
            <v>3</v>
          </cell>
          <cell r="C417">
            <v>13400</v>
          </cell>
          <cell r="D417" t="str">
            <v>タワーオブザクイーン -エルフラム-</v>
          </cell>
          <cell r="E417" t="str">
            <v>タワーオブザクイーン2本目</v>
          </cell>
          <cell r="F417">
            <v>11</v>
          </cell>
          <cell r="G417" t="str">
            <v>ja</v>
          </cell>
          <cell r="H417" t="str">
            <v>11階 コスト制限なし</v>
          </cell>
          <cell r="I417" t="str">
            <v>タワーオブザクイーン</v>
          </cell>
          <cell r="J417">
            <v>612</v>
          </cell>
          <cell r="K417">
            <v>20</v>
          </cell>
          <cell r="L417">
            <v>4100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612,612,612</v>
          </cell>
          <cell r="U417">
            <v>13400</v>
          </cell>
          <cell r="V417">
            <v>10</v>
          </cell>
          <cell r="W417" t="str">
            <v>10階 ローズ 現る！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13400_12</v>
          </cell>
          <cell r="B418">
            <v>3</v>
          </cell>
          <cell r="C418">
            <v>13400</v>
          </cell>
          <cell r="D418" t="str">
            <v>タワーオブザクイーン -エルフラム-</v>
          </cell>
          <cell r="E418" t="str">
            <v>タワーオブザクイーン2本目</v>
          </cell>
          <cell r="F418">
            <v>12</v>
          </cell>
          <cell r="G418" t="str">
            <v>ja</v>
          </cell>
          <cell r="H418" t="str">
            <v>12階 コスト制限なし</v>
          </cell>
          <cell r="I418" t="str">
            <v>タワーオブザクイーン</v>
          </cell>
          <cell r="J418">
            <v>613</v>
          </cell>
          <cell r="K418">
            <v>21</v>
          </cell>
          <cell r="L418">
            <v>4560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 t="str">
            <v>613,613,613</v>
          </cell>
          <cell r="U418">
            <v>13400</v>
          </cell>
          <cell r="V418">
            <v>11</v>
          </cell>
          <cell r="W418" t="str">
            <v>11階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13400_13</v>
          </cell>
          <cell r="B419">
            <v>3</v>
          </cell>
          <cell r="C419">
            <v>13400</v>
          </cell>
          <cell r="D419" t="str">
            <v>タワーオブザクイーン -エルフラム-</v>
          </cell>
          <cell r="E419" t="str">
            <v>タワーオブザクイーン2本目</v>
          </cell>
          <cell r="F419">
            <v>13</v>
          </cell>
          <cell r="G419" t="str">
            <v>ja</v>
          </cell>
          <cell r="H419" t="str">
            <v>13階 コスト30以下限定</v>
          </cell>
          <cell r="I419" t="str">
            <v>タワーオブザクイーン</v>
          </cell>
          <cell r="J419">
            <v>611</v>
          </cell>
          <cell r="K419">
            <v>22</v>
          </cell>
          <cell r="L419">
            <v>5040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character</v>
          </cell>
          <cell r="T419" t="str">
            <v>611,611,611</v>
          </cell>
          <cell r="U419">
            <v>13400</v>
          </cell>
          <cell r="V419">
            <v>12</v>
          </cell>
          <cell r="W419" t="str">
            <v>12階 コスト制限なし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976</v>
          </cell>
          <cell r="AD419">
            <v>6</v>
          </cell>
          <cell r="AE419" t="str">
            <v>singleonly</v>
          </cell>
        </row>
        <row r="420">
          <cell r="A420" t="str">
            <v>13400_14</v>
          </cell>
          <cell r="B420">
            <v>3</v>
          </cell>
          <cell r="C420">
            <v>13400</v>
          </cell>
          <cell r="D420" t="str">
            <v>タワーオブザクイーン -エルフラム-</v>
          </cell>
          <cell r="E420" t="str">
            <v>タワーオブザクイーン2本目</v>
          </cell>
          <cell r="F420">
            <v>14</v>
          </cell>
          <cell r="G420" t="str">
            <v>ja</v>
          </cell>
          <cell r="H420" t="str">
            <v>14階 コスト制限なし</v>
          </cell>
          <cell r="I420" t="str">
            <v>タワーオブザクイーン</v>
          </cell>
          <cell r="J420">
            <v>614</v>
          </cell>
          <cell r="K420">
            <v>23</v>
          </cell>
          <cell r="L420">
            <v>5540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character</v>
          </cell>
          <cell r="T420" t="str">
            <v>614,614</v>
          </cell>
          <cell r="U420">
            <v>13400</v>
          </cell>
          <cell r="V420">
            <v>13</v>
          </cell>
          <cell r="W420" t="str">
            <v>13階 コスト30以下限定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976</v>
          </cell>
          <cell r="AD420">
            <v>6</v>
          </cell>
          <cell r="AE420" t="str">
            <v>singleonly</v>
          </cell>
        </row>
        <row r="421">
          <cell r="A421" t="str">
            <v>13400_15</v>
          </cell>
          <cell r="B421">
            <v>3</v>
          </cell>
          <cell r="C421">
            <v>13400</v>
          </cell>
          <cell r="D421" t="str">
            <v>タワーオブザクイーン -エルフラム-</v>
          </cell>
          <cell r="E421" t="str">
            <v>タワーオブザクイーン2本目</v>
          </cell>
          <cell r="F421">
            <v>15</v>
          </cell>
          <cell r="G421" t="str">
            <v>ja</v>
          </cell>
          <cell r="H421" t="str">
            <v>15階 エルフラムの女王 ローズ</v>
          </cell>
          <cell r="I421" t="str">
            <v>タワーオブザクイーン</v>
          </cell>
          <cell r="J421">
            <v>1269</v>
          </cell>
          <cell r="K421">
            <v>50</v>
          </cell>
          <cell r="L421">
            <v>10000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character</v>
          </cell>
          <cell r="T421">
            <v>1268</v>
          </cell>
          <cell r="U421">
            <v>13400</v>
          </cell>
          <cell r="V421">
            <v>14</v>
          </cell>
          <cell r="W421" t="str">
            <v>14階 コスト制限なし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976</v>
          </cell>
          <cell r="AD421">
            <v>6</v>
          </cell>
          <cell r="AE421" t="str">
            <v>singleonly</v>
          </cell>
        </row>
        <row r="422">
          <cell r="A422" t="str">
            <v>14001_1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1</v>
          </cell>
          <cell r="G422" t="str">
            <v>ja</v>
          </cell>
          <cell r="H422" t="str">
            <v>【超級】雷ファミリー（ハートなし）</v>
          </cell>
          <cell r="I422" t="str">
            <v>【ロッククエスト】経験値</v>
          </cell>
          <cell r="J422">
            <v>347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12</v>
          </cell>
          <cell r="AD422">
            <v>6</v>
          </cell>
          <cell r="AE422" t="str">
            <v>singleonly</v>
          </cell>
        </row>
        <row r="423">
          <cell r="A423" t="str">
            <v>14001_2</v>
          </cell>
          <cell r="B423">
            <v>3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2</v>
          </cell>
          <cell r="G423" t="str">
            <v>ja</v>
          </cell>
          <cell r="H423" t="str">
            <v>【超級】水ファミリー（ハートなし）</v>
          </cell>
          <cell r="I423" t="str">
            <v>【ロッククエスト】経験値</v>
          </cell>
          <cell r="J423">
            <v>343</v>
          </cell>
          <cell r="K423">
            <v>1</v>
          </cell>
          <cell r="L423">
            <v>500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5</v>
          </cell>
          <cell r="AD423">
            <v>6</v>
          </cell>
          <cell r="AE423" t="str">
            <v>singleonly</v>
          </cell>
        </row>
        <row r="424">
          <cell r="A424" t="str">
            <v>14001_3</v>
          </cell>
          <cell r="B424">
            <v>3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3</v>
          </cell>
          <cell r="G424" t="str">
            <v>ja</v>
          </cell>
          <cell r="H424" t="str">
            <v>【超級】森ファミリー（ハートなし）</v>
          </cell>
          <cell r="I424" t="str">
            <v>【ロッククエスト】経験値</v>
          </cell>
          <cell r="J424">
            <v>339</v>
          </cell>
          <cell r="K424">
            <v>1</v>
          </cell>
          <cell r="L424">
            <v>500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7</v>
          </cell>
          <cell r="AD424">
            <v>6</v>
          </cell>
          <cell r="AE424" t="str">
            <v>singleonly</v>
          </cell>
        </row>
        <row r="425">
          <cell r="A425" t="str">
            <v>14001_4</v>
          </cell>
          <cell r="B425">
            <v>3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4</v>
          </cell>
          <cell r="G425" t="str">
            <v>ja</v>
          </cell>
          <cell r="H425" t="str">
            <v>【超級】炎ファミリー（ハートなし）</v>
          </cell>
          <cell r="I425" t="str">
            <v>【ロッククエスト】経験値</v>
          </cell>
          <cell r="J425">
            <v>335</v>
          </cell>
          <cell r="K425">
            <v>1</v>
          </cell>
          <cell r="L425">
            <v>500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10</v>
          </cell>
          <cell r="AD425">
            <v>6</v>
          </cell>
          <cell r="AE425" t="str">
            <v>singleonly</v>
          </cell>
        </row>
        <row r="426">
          <cell r="A426" t="str">
            <v>14001_5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5</v>
          </cell>
          <cell r="G426" t="str">
            <v>ja</v>
          </cell>
          <cell r="H426" t="str">
            <v>【超絶級】雷のサミット（ハートなし）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14001_6</v>
          </cell>
          <cell r="B427">
            <v>0</v>
          </cell>
          <cell r="C427">
            <v>14001</v>
          </cell>
          <cell r="D427" t="str">
            <v>【ロック】経験値/ソロ</v>
          </cell>
          <cell r="E427" t="str">
            <v>【ロック】経験値/ソロ</v>
          </cell>
          <cell r="F427">
            <v>6</v>
          </cell>
          <cell r="G427" t="str">
            <v>ja</v>
          </cell>
          <cell r="H427" t="str">
            <v>【超絶級】水のサミット（ハートなし）</v>
          </cell>
          <cell r="I427" t="str">
            <v>【ロッククエスト】経験値</v>
          </cell>
          <cell r="J427">
            <v>334</v>
          </cell>
          <cell r="K427">
            <v>1</v>
          </cell>
          <cell r="L427">
            <v>350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201</v>
          </cell>
          <cell r="AD427">
            <v>6</v>
          </cell>
          <cell r="AE427" t="str">
            <v>singleonly</v>
          </cell>
        </row>
        <row r="428">
          <cell r="A428" t="str">
            <v>14001_7</v>
          </cell>
          <cell r="B428">
            <v>0</v>
          </cell>
          <cell r="C428">
            <v>14001</v>
          </cell>
          <cell r="D428" t="str">
            <v>【ロック】経験値/ソロ</v>
          </cell>
          <cell r="E428" t="str">
            <v>【ロック】経験値/ソロ</v>
          </cell>
          <cell r="F428">
            <v>7</v>
          </cell>
          <cell r="G428" t="str">
            <v>ja</v>
          </cell>
          <cell r="H428" t="str">
            <v>【超絶級】森のサミット（ハートなし）</v>
          </cell>
          <cell r="I428" t="str">
            <v>【ロッククエスト】経験値</v>
          </cell>
          <cell r="J428">
            <v>334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201</v>
          </cell>
          <cell r="AD428">
            <v>6</v>
          </cell>
          <cell r="AE428" t="str">
            <v>singleonly</v>
          </cell>
        </row>
        <row r="429">
          <cell r="A429" t="str">
            <v>14001_8</v>
          </cell>
          <cell r="B429">
            <v>0</v>
          </cell>
          <cell r="C429">
            <v>14001</v>
          </cell>
          <cell r="D429" t="str">
            <v>【ロック】経験値/ソロ</v>
          </cell>
          <cell r="E429" t="str">
            <v>【ロック】経験値/ソロ</v>
          </cell>
          <cell r="F429">
            <v>8</v>
          </cell>
          <cell r="G429" t="str">
            <v>ja</v>
          </cell>
          <cell r="H429" t="str">
            <v>【超絶級】炎のサミット（ハートなし）</v>
          </cell>
          <cell r="I429" t="str">
            <v>【ロッククエスト】経験値</v>
          </cell>
          <cell r="J429">
            <v>334</v>
          </cell>
          <cell r="K429">
            <v>1</v>
          </cell>
          <cell r="L429">
            <v>350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201</v>
          </cell>
          <cell r="AD429">
            <v>6</v>
          </cell>
          <cell r="AE429" t="str">
            <v>singleonly</v>
          </cell>
        </row>
        <row r="430">
          <cell r="A430" t="str">
            <v>14002_1</v>
          </cell>
          <cell r="B430">
            <v>3</v>
          </cell>
          <cell r="C430">
            <v>14002</v>
          </cell>
          <cell r="D430" t="str">
            <v>【ロック】ビット/ソロ</v>
          </cell>
          <cell r="E430" t="str">
            <v>【ロック】ビット/ソロ</v>
          </cell>
          <cell r="F430">
            <v>1</v>
          </cell>
          <cell r="G430" t="str">
            <v>ja</v>
          </cell>
          <cell r="H430" t="str">
            <v>【超級】ハイローラー（ハートなし）</v>
          </cell>
          <cell r="I430" t="str">
            <v>【ロッククエスト】ビット</v>
          </cell>
          <cell r="J430">
            <v>119</v>
          </cell>
          <cell r="K430">
            <v>1</v>
          </cell>
          <cell r="L430">
            <v>777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105</v>
          </cell>
          <cell r="AD430">
            <v>6</v>
          </cell>
          <cell r="AE430" t="str">
            <v>singleonly</v>
          </cell>
        </row>
        <row r="431">
          <cell r="A431" t="str">
            <v>14002_2</v>
          </cell>
          <cell r="B431">
            <v>0</v>
          </cell>
          <cell r="C431">
            <v>14002</v>
          </cell>
          <cell r="D431" t="str">
            <v>【ロック】ビット/ソロ</v>
          </cell>
          <cell r="E431" t="str">
            <v>【ロック】ビット/ソロ</v>
          </cell>
          <cell r="F431">
            <v>2</v>
          </cell>
          <cell r="G431" t="str">
            <v>ja</v>
          </cell>
          <cell r="H431" t="str">
            <v>【上級】ゴールドカジノ （ハートなし）</v>
          </cell>
          <cell r="I431" t="str">
            <v>【ロッククエスト】ビット</v>
          </cell>
          <cell r="J431">
            <v>119</v>
          </cell>
          <cell r="K431">
            <v>1</v>
          </cell>
          <cell r="L431">
            <v>350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105</v>
          </cell>
          <cell r="AD431">
            <v>6</v>
          </cell>
          <cell r="AE431" t="str">
            <v>singleonly</v>
          </cell>
        </row>
        <row r="432">
          <cell r="A432" t="str">
            <v>14003_1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1</v>
          </cell>
          <cell r="G432" t="str">
            <v>ja</v>
          </cell>
          <cell r="H432" t="str">
            <v>【超級】果実の楽園（ハートなし）</v>
          </cell>
          <cell r="I432" t="str">
            <v>【ロッククエスト】限界突破</v>
          </cell>
          <cell r="J432">
            <v>125</v>
          </cell>
          <cell r="K432">
            <v>1</v>
          </cell>
          <cell r="L432">
            <v>860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14003_2</v>
          </cell>
          <cell r="B433">
            <v>3</v>
          </cell>
          <cell r="C433">
            <v>14003</v>
          </cell>
          <cell r="D433" t="str">
            <v>【ロック】限界突破/ソロ</v>
          </cell>
          <cell r="E433" t="str">
            <v>【ロック】限界突破/ソロ</v>
          </cell>
          <cell r="F433">
            <v>2</v>
          </cell>
          <cell r="G433" t="str">
            <v>ja</v>
          </cell>
          <cell r="H433" t="str">
            <v>【超級】攻めの極意（ハートなし）</v>
          </cell>
          <cell r="I433" t="str">
            <v>【ロッククエスト】限界突破</v>
          </cell>
          <cell r="J433">
            <v>611</v>
          </cell>
          <cell r="K433">
            <v>1</v>
          </cell>
          <cell r="L433">
            <v>999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10</v>
          </cell>
          <cell r="AD433">
            <v>6</v>
          </cell>
          <cell r="AE433" t="str">
            <v>singleonly</v>
          </cell>
        </row>
        <row r="434">
          <cell r="A434" t="str">
            <v>14003_3</v>
          </cell>
          <cell r="B434">
            <v>3</v>
          </cell>
          <cell r="C434">
            <v>14003</v>
          </cell>
          <cell r="D434" t="str">
            <v>【ロック】限界突破/ソロ</v>
          </cell>
          <cell r="E434" t="str">
            <v>【ロック】限界突破/ソロ</v>
          </cell>
          <cell r="F434">
            <v>3</v>
          </cell>
          <cell r="G434" t="str">
            <v>ja</v>
          </cell>
          <cell r="H434" t="str">
            <v>【超級】癒しの極意（ハートなし）</v>
          </cell>
          <cell r="I434" t="str">
            <v>【ロッククエスト】限界突破</v>
          </cell>
          <cell r="J434">
            <v>613</v>
          </cell>
          <cell r="K434">
            <v>1</v>
          </cell>
          <cell r="L434">
            <v>999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singleonly</v>
          </cell>
        </row>
        <row r="435">
          <cell r="A435" t="str">
            <v>14003_4</v>
          </cell>
          <cell r="B435">
            <v>3</v>
          </cell>
          <cell r="C435">
            <v>14003</v>
          </cell>
          <cell r="D435" t="str">
            <v>【ロック】限界突破/ソロ</v>
          </cell>
          <cell r="E435" t="str">
            <v>【ロック】限界突破/ソロ</v>
          </cell>
          <cell r="F435">
            <v>4</v>
          </cell>
          <cell r="G435" t="str">
            <v>ja</v>
          </cell>
          <cell r="H435" t="str">
            <v>【超級】生命の極意（ハートなし）</v>
          </cell>
          <cell r="I435" t="str">
            <v>【ロッククエスト】限界突破</v>
          </cell>
          <cell r="J435">
            <v>612</v>
          </cell>
          <cell r="K435">
            <v>1</v>
          </cell>
          <cell r="L435">
            <v>999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singleonly</v>
          </cell>
        </row>
        <row r="436">
          <cell r="A436" t="str">
            <v>14004_1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1</v>
          </cell>
          <cell r="G436" t="str">
            <v>ja</v>
          </cell>
          <cell r="H436" t="str">
            <v>【超級】雷ファミリー（ハートなし）</v>
          </cell>
          <cell r="I436" t="str">
            <v>【ロッククエスト】経験値</v>
          </cell>
          <cell r="J436">
            <v>347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12</v>
          </cell>
          <cell r="AD436">
            <v>6</v>
          </cell>
          <cell r="AE436" t="str">
            <v>lineonly</v>
          </cell>
        </row>
        <row r="437">
          <cell r="A437" t="str">
            <v>14004_2</v>
          </cell>
          <cell r="B437">
            <v>1</v>
          </cell>
          <cell r="C437">
            <v>14004</v>
          </cell>
          <cell r="D437" t="str">
            <v>【ロック】経験値/LINEマルチ</v>
          </cell>
          <cell r="E437" t="str">
            <v>【ロック】経験値/LINEマルチ</v>
          </cell>
          <cell r="F437">
            <v>2</v>
          </cell>
          <cell r="G437" t="str">
            <v>ja</v>
          </cell>
          <cell r="H437" t="str">
            <v>【超級】水ファミリー（ハートなし）</v>
          </cell>
          <cell r="I437" t="str">
            <v>【ロッククエスト】経験値</v>
          </cell>
          <cell r="J437">
            <v>343</v>
          </cell>
          <cell r="K437">
            <v>1</v>
          </cell>
          <cell r="L437">
            <v>500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5</v>
          </cell>
          <cell r="AD437">
            <v>6</v>
          </cell>
          <cell r="AE437" t="str">
            <v>lineonly</v>
          </cell>
        </row>
        <row r="438">
          <cell r="A438" t="str">
            <v>14004_3</v>
          </cell>
          <cell r="B438">
            <v>1</v>
          </cell>
          <cell r="C438">
            <v>14004</v>
          </cell>
          <cell r="D438" t="str">
            <v>【ロック】経験値/LINEマルチ</v>
          </cell>
          <cell r="E438" t="str">
            <v>【ロック】経験値/LINEマルチ</v>
          </cell>
          <cell r="F438">
            <v>3</v>
          </cell>
          <cell r="G438" t="str">
            <v>ja</v>
          </cell>
          <cell r="H438" t="str">
            <v>【超級】森ファミリー（ハートなし）</v>
          </cell>
          <cell r="I438" t="str">
            <v>【ロッククエスト】経験値</v>
          </cell>
          <cell r="J438">
            <v>339</v>
          </cell>
          <cell r="K438">
            <v>1</v>
          </cell>
          <cell r="L438">
            <v>500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14004_4</v>
          </cell>
          <cell r="B439">
            <v>1</v>
          </cell>
          <cell r="C439">
            <v>14004</v>
          </cell>
          <cell r="D439" t="str">
            <v>【ロック】経験値/LINEマルチ</v>
          </cell>
          <cell r="E439" t="str">
            <v>【ロック】経験値/LINEマルチ</v>
          </cell>
          <cell r="F439">
            <v>4</v>
          </cell>
          <cell r="G439" t="str">
            <v>ja</v>
          </cell>
          <cell r="H439" t="str">
            <v>【超級】炎ファミリー（ハートなし）</v>
          </cell>
          <cell r="I439" t="str">
            <v>【ロッククエスト】経験値</v>
          </cell>
          <cell r="J439">
            <v>335</v>
          </cell>
          <cell r="K439">
            <v>1</v>
          </cell>
          <cell r="L439">
            <v>500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0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10</v>
          </cell>
          <cell r="AD439">
            <v>6</v>
          </cell>
          <cell r="AE439" t="str">
            <v>lineonly</v>
          </cell>
        </row>
        <row r="440">
          <cell r="A440" t="str">
            <v>14005_1</v>
          </cell>
          <cell r="B440">
            <v>1</v>
          </cell>
          <cell r="C440">
            <v>14005</v>
          </cell>
          <cell r="D440" t="str">
            <v>【ロック】ビット/LINEマルチ</v>
          </cell>
          <cell r="E440" t="str">
            <v>【ロック】ビット/LINEマルチ</v>
          </cell>
          <cell r="F440">
            <v>1</v>
          </cell>
          <cell r="G440" t="str">
            <v>ja</v>
          </cell>
          <cell r="H440" t="str">
            <v>【超級】ハイローラー（ハートなし）</v>
          </cell>
          <cell r="I440" t="str">
            <v>【ロッククエスト】ビット</v>
          </cell>
          <cell r="J440">
            <v>119</v>
          </cell>
          <cell r="K440">
            <v>1</v>
          </cell>
          <cell r="L440">
            <v>777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0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105</v>
          </cell>
          <cell r="AD440">
            <v>6</v>
          </cell>
          <cell r="AE440" t="str">
            <v>lineonly</v>
          </cell>
        </row>
        <row r="441">
          <cell r="A441" t="str">
            <v>14006_1</v>
          </cell>
          <cell r="B441">
            <v>1</v>
          </cell>
          <cell r="C441">
            <v>14006</v>
          </cell>
          <cell r="D441" t="str">
            <v>【ロック】限界突破/LINEマルチ</v>
          </cell>
          <cell r="E441" t="str">
            <v>【ロック】限界突破/LINEマルチ</v>
          </cell>
          <cell r="F441">
            <v>1</v>
          </cell>
          <cell r="G441" t="str">
            <v>ja</v>
          </cell>
          <cell r="H441" t="str">
            <v>【超級】果実の楽園（ハートなし）</v>
          </cell>
          <cell r="I441" t="str">
            <v>【ロッククエスト】限界突破</v>
          </cell>
          <cell r="J441">
            <v>125</v>
          </cell>
          <cell r="K441">
            <v>1</v>
          </cell>
          <cell r="L441">
            <v>860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0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7</v>
          </cell>
          <cell r="AD441">
            <v>6</v>
          </cell>
          <cell r="AE441" t="str">
            <v>lineonly</v>
          </cell>
        </row>
        <row r="442">
          <cell r="A442" t="str">
            <v>15027_1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1</v>
          </cell>
          <cell r="G442" t="str">
            <v>ja</v>
          </cell>
          <cell r="H442" t="str">
            <v>27-1. 登山道入口</v>
          </cell>
          <cell r="J442" t="str">
            <v>NULL</v>
          </cell>
          <cell r="K442">
            <v>18</v>
          </cell>
          <cell r="L442">
            <v>3740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26</v>
          </cell>
          <cell r="V442">
            <v>6</v>
          </cell>
          <cell r="W442" t="str">
            <v>26-6．【1回のみ】ボーナスステージ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anytime</v>
          </cell>
          <cell r="AC442">
            <v>27</v>
          </cell>
          <cell r="AD442">
            <v>6</v>
          </cell>
          <cell r="AE442" t="str">
            <v>everyone</v>
          </cell>
        </row>
        <row r="443">
          <cell r="A443" t="str">
            <v>15027_2</v>
          </cell>
          <cell r="B443">
            <v>3</v>
          </cell>
          <cell r="C443">
            <v>15027</v>
          </cell>
          <cell r="D443" t="str">
            <v>27. 雷雨の登山道</v>
          </cell>
          <cell r="E443" t="str">
            <v>黄青DL6</v>
          </cell>
          <cell r="F443">
            <v>2</v>
          </cell>
          <cell r="G443" t="str">
            <v>ja</v>
          </cell>
          <cell r="H443" t="str">
            <v>27-2. 霊峰の守護者</v>
          </cell>
          <cell r="J443" t="str">
            <v>NULL</v>
          </cell>
          <cell r="K443">
            <v>19</v>
          </cell>
          <cell r="L443">
            <v>4140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1</v>
          </cell>
          <cell r="W443" t="str">
            <v>27-1. 登山道入口</v>
          </cell>
          <cell r="X443">
            <v>0</v>
          </cell>
          <cell r="Y443">
            <v>1</v>
          </cell>
          <cell r="Z443">
            <v>0</v>
          </cell>
          <cell r="AA443">
            <v>1</v>
          </cell>
          <cell r="AB443" t="str">
            <v>anytime</v>
          </cell>
          <cell r="AC443">
            <v>27</v>
          </cell>
          <cell r="AD443">
            <v>6</v>
          </cell>
          <cell r="AE443" t="str">
            <v>everyone</v>
          </cell>
        </row>
        <row r="444">
          <cell r="A444" t="str">
            <v>15027_3</v>
          </cell>
          <cell r="B444">
            <v>3</v>
          </cell>
          <cell r="C444">
            <v>15027</v>
          </cell>
          <cell r="D444" t="str">
            <v>27. 雷雨の登山道</v>
          </cell>
          <cell r="E444" t="str">
            <v>黄青DL6</v>
          </cell>
          <cell r="F444">
            <v>3</v>
          </cell>
          <cell r="G444" t="str">
            <v>ja</v>
          </cell>
          <cell r="H444" t="str">
            <v>27-3. 山岳の王者</v>
          </cell>
          <cell r="J444" t="str">
            <v>NULL</v>
          </cell>
          <cell r="K444">
            <v>22</v>
          </cell>
          <cell r="L444">
            <v>5250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15027</v>
          </cell>
          <cell r="V444">
            <v>2</v>
          </cell>
          <cell r="W444" t="str">
            <v>27-2. 霊峰の守護者</v>
          </cell>
          <cell r="X444">
            <v>0</v>
          </cell>
          <cell r="Y444">
            <v>1</v>
          </cell>
          <cell r="Z444">
            <v>0</v>
          </cell>
          <cell r="AA444">
            <v>1</v>
          </cell>
          <cell r="AB444" t="str">
            <v>anytime</v>
          </cell>
          <cell r="AC444">
            <v>27</v>
          </cell>
          <cell r="AD444">
            <v>6</v>
          </cell>
          <cell r="AE444" t="str">
            <v>everyone</v>
          </cell>
        </row>
        <row r="445">
          <cell r="A445" t="str">
            <v>15027_4</v>
          </cell>
          <cell r="B445">
            <v>3</v>
          </cell>
          <cell r="C445">
            <v>15027</v>
          </cell>
          <cell r="D445" t="str">
            <v>27. 雷雨の登山道</v>
          </cell>
          <cell r="E445" t="str">
            <v>黄青DL6</v>
          </cell>
          <cell r="F445">
            <v>4</v>
          </cell>
          <cell r="G445" t="str">
            <v>ja</v>
          </cell>
          <cell r="H445" t="str">
            <v>27-4. 【1回のみ】ボーナスステージ</v>
          </cell>
          <cell r="I445" t="str">
            <v>ボーナス</v>
          </cell>
          <cell r="J445">
            <v>343</v>
          </cell>
          <cell r="K445">
            <v>1</v>
          </cell>
          <cell r="L445">
            <v>1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character</v>
          </cell>
          <cell r="T445" t="str">
            <v>343,343,343,343,343,608</v>
          </cell>
          <cell r="U445">
            <v>15027</v>
          </cell>
          <cell r="V445">
            <v>3</v>
          </cell>
          <cell r="W445" t="str">
            <v>27-3. 山岳の王者</v>
          </cell>
          <cell r="X445">
            <v>0</v>
          </cell>
          <cell r="Y445">
            <v>1</v>
          </cell>
          <cell r="Z445">
            <v>0</v>
          </cell>
          <cell r="AA445">
            <v>1</v>
          </cell>
          <cell r="AB445" t="str">
            <v>once</v>
          </cell>
          <cell r="AC445">
            <v>27</v>
          </cell>
          <cell r="AD445">
            <v>6</v>
          </cell>
          <cell r="AE445" t="str">
            <v>singleonly</v>
          </cell>
        </row>
        <row r="446">
          <cell r="A446" t="str">
            <v>15028_1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1</v>
          </cell>
          <cell r="G446" t="str">
            <v>ja</v>
          </cell>
          <cell r="H446" t="str">
            <v>28-1. 轟翼のかまど</v>
          </cell>
          <cell r="J446" t="str">
            <v>NULL</v>
          </cell>
          <cell r="K446">
            <v>18</v>
          </cell>
          <cell r="L446">
            <v>3870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15027</v>
          </cell>
          <cell r="V446">
            <v>4</v>
          </cell>
          <cell r="W446" t="str">
            <v>27-4. 【1回のみ】ボーナスステージ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anytime</v>
          </cell>
          <cell r="AC446">
            <v>28</v>
          </cell>
          <cell r="AD446">
            <v>6</v>
          </cell>
          <cell r="AE446" t="str">
            <v>everyone</v>
          </cell>
        </row>
        <row r="447">
          <cell r="A447" t="str">
            <v>15028_2</v>
          </cell>
          <cell r="B447">
            <v>3</v>
          </cell>
          <cell r="C447">
            <v>15028</v>
          </cell>
          <cell r="D447" t="str">
            <v>28. 暴風と灼熱の罪浄</v>
          </cell>
          <cell r="E447" t="str">
            <v>赤緑DL6</v>
          </cell>
          <cell r="F447">
            <v>2</v>
          </cell>
          <cell r="G447" t="str">
            <v>ja</v>
          </cell>
          <cell r="H447" t="str">
            <v>28-2. 空の寝殿</v>
          </cell>
          <cell r="J447" t="str">
            <v>NULL</v>
          </cell>
          <cell r="K447">
            <v>19</v>
          </cell>
          <cell r="L447">
            <v>4500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1</v>
          </cell>
          <cell r="W447" t="str">
            <v>28-1. 轟翼のかまど</v>
          </cell>
          <cell r="X447">
            <v>1</v>
          </cell>
          <cell r="Y447">
            <v>0</v>
          </cell>
          <cell r="Z447">
            <v>1</v>
          </cell>
          <cell r="AA447">
            <v>0</v>
          </cell>
          <cell r="AB447" t="str">
            <v>anytime</v>
          </cell>
          <cell r="AC447">
            <v>28</v>
          </cell>
          <cell r="AD447">
            <v>6</v>
          </cell>
          <cell r="AE447" t="str">
            <v>everyone</v>
          </cell>
        </row>
        <row r="448">
          <cell r="A448" t="str">
            <v>15028_3</v>
          </cell>
          <cell r="B448">
            <v>3</v>
          </cell>
          <cell r="C448">
            <v>15028</v>
          </cell>
          <cell r="D448" t="str">
            <v>28. 暴風と灼熱の罪浄</v>
          </cell>
          <cell r="E448" t="str">
            <v>赤緑DL6</v>
          </cell>
          <cell r="F448">
            <v>3</v>
          </cell>
          <cell r="G448" t="str">
            <v>ja</v>
          </cell>
          <cell r="H448" t="str">
            <v>28-3. 縛風の洞窟</v>
          </cell>
          <cell r="J448" t="str">
            <v>NULL</v>
          </cell>
          <cell r="K448">
            <v>22</v>
          </cell>
          <cell r="L448">
            <v>5580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15028</v>
          </cell>
          <cell r="V448">
            <v>2</v>
          </cell>
          <cell r="W448" t="str">
            <v>28-2. 空の寝殿</v>
          </cell>
          <cell r="X448">
            <v>1</v>
          </cell>
          <cell r="Y448">
            <v>0</v>
          </cell>
          <cell r="Z448">
            <v>1</v>
          </cell>
          <cell r="AA448">
            <v>0</v>
          </cell>
          <cell r="AB448" t="str">
            <v>anytime</v>
          </cell>
          <cell r="AC448">
            <v>28</v>
          </cell>
          <cell r="AD448">
            <v>6</v>
          </cell>
          <cell r="AE448" t="str">
            <v>everyone</v>
          </cell>
        </row>
        <row r="449">
          <cell r="A449" t="str">
            <v>15028_4</v>
          </cell>
          <cell r="B449">
            <v>3</v>
          </cell>
          <cell r="C449">
            <v>15028</v>
          </cell>
          <cell r="D449" t="str">
            <v>28. 暴風と灼熱の罪浄</v>
          </cell>
          <cell r="E449" t="str">
            <v>赤緑DL6</v>
          </cell>
          <cell r="F449">
            <v>4</v>
          </cell>
          <cell r="G449" t="str">
            <v>ja</v>
          </cell>
          <cell r="H449" t="str">
            <v>28-4. 【1回のみ】ボーナスステージ</v>
          </cell>
          <cell r="I449" t="str">
            <v>ボーナス</v>
          </cell>
          <cell r="J449">
            <v>347</v>
          </cell>
          <cell r="K449">
            <v>1</v>
          </cell>
          <cell r="L449">
            <v>1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character</v>
          </cell>
          <cell r="T449" t="str">
            <v>347,347,347,347,347,609</v>
          </cell>
          <cell r="U449">
            <v>15028</v>
          </cell>
          <cell r="V449">
            <v>3</v>
          </cell>
          <cell r="W449" t="str">
            <v>28-3. 縛風の洞窟</v>
          </cell>
          <cell r="X449">
            <v>1</v>
          </cell>
          <cell r="Y449">
            <v>0</v>
          </cell>
          <cell r="Z449">
            <v>1</v>
          </cell>
          <cell r="AA449">
            <v>0</v>
          </cell>
          <cell r="AB449" t="str">
            <v>once</v>
          </cell>
          <cell r="AC449">
            <v>28</v>
          </cell>
          <cell r="AD449">
            <v>6</v>
          </cell>
          <cell r="AE449" t="str">
            <v>singleonly</v>
          </cell>
        </row>
        <row r="450">
          <cell r="A450" t="str">
            <v>15029_1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1</v>
          </cell>
          <cell r="G450" t="str">
            <v>ja</v>
          </cell>
          <cell r="H450" t="str">
            <v>29-1. 雪の中のケモノたち</v>
          </cell>
          <cell r="J450" t="str">
            <v>NULL</v>
          </cell>
          <cell r="K450">
            <v>18</v>
          </cell>
          <cell r="L450">
            <v>4210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15028</v>
          </cell>
          <cell r="V450">
            <v>4</v>
          </cell>
          <cell r="W450" t="str">
            <v>28-4. 【1回のみ】ボーナスステージ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anytime</v>
          </cell>
          <cell r="AC450">
            <v>29</v>
          </cell>
          <cell r="AD450">
            <v>6</v>
          </cell>
          <cell r="AE450" t="str">
            <v>everyone</v>
          </cell>
        </row>
        <row r="451">
          <cell r="A451" t="str">
            <v>15029_2</v>
          </cell>
          <cell r="B451">
            <v>3</v>
          </cell>
          <cell r="C451">
            <v>15029</v>
          </cell>
          <cell r="D451" t="str">
            <v>29. 雪の望郷</v>
          </cell>
          <cell r="E451" t="str">
            <v>緑黄DL6</v>
          </cell>
          <cell r="F451">
            <v>2</v>
          </cell>
          <cell r="G451" t="str">
            <v>ja</v>
          </cell>
          <cell r="H451" t="str">
            <v>29-2. ねこみみマフラー</v>
          </cell>
          <cell r="J451" t="str">
            <v>NULL</v>
          </cell>
          <cell r="K451">
            <v>19</v>
          </cell>
          <cell r="L451">
            <v>4800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1</v>
          </cell>
          <cell r="W451" t="str">
            <v>29-1. 雪の中のケモノたち</v>
          </cell>
          <cell r="X451">
            <v>0</v>
          </cell>
          <cell r="Y451">
            <v>0</v>
          </cell>
          <cell r="Z451">
            <v>1</v>
          </cell>
          <cell r="AA451">
            <v>1</v>
          </cell>
          <cell r="AB451" t="str">
            <v>anytime</v>
          </cell>
          <cell r="AC451">
            <v>29</v>
          </cell>
          <cell r="AD451">
            <v>6</v>
          </cell>
          <cell r="AE451" t="str">
            <v>everyone</v>
          </cell>
        </row>
        <row r="452">
          <cell r="A452" t="str">
            <v>15029_3</v>
          </cell>
          <cell r="B452">
            <v>3</v>
          </cell>
          <cell r="C452">
            <v>15029</v>
          </cell>
          <cell r="D452" t="str">
            <v>29. 雪の望郷</v>
          </cell>
          <cell r="E452" t="str">
            <v>緑黄DL6</v>
          </cell>
          <cell r="F452">
            <v>3</v>
          </cell>
          <cell r="G452" t="str">
            <v>ja</v>
          </cell>
          <cell r="H452" t="str">
            <v>29-3. 仕立屋と兄妹</v>
          </cell>
          <cell r="J452" t="str">
            <v>NULL</v>
          </cell>
          <cell r="K452">
            <v>22</v>
          </cell>
          <cell r="L452">
            <v>5970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15029</v>
          </cell>
          <cell r="V452">
            <v>2</v>
          </cell>
          <cell r="W452" t="str">
            <v>29-2. ねこみみマフラー</v>
          </cell>
          <cell r="X452">
            <v>0</v>
          </cell>
          <cell r="Y452">
            <v>0</v>
          </cell>
          <cell r="Z452">
            <v>1</v>
          </cell>
          <cell r="AA452">
            <v>1</v>
          </cell>
          <cell r="AB452" t="str">
            <v>anytime</v>
          </cell>
          <cell r="AC452">
            <v>29</v>
          </cell>
          <cell r="AD452">
            <v>6</v>
          </cell>
          <cell r="AE452" t="str">
            <v>everyone</v>
          </cell>
        </row>
        <row r="453">
          <cell r="A453" t="str">
            <v>15029_4</v>
          </cell>
          <cell r="B453">
            <v>3</v>
          </cell>
          <cell r="C453">
            <v>15029</v>
          </cell>
          <cell r="D453" t="str">
            <v>29. 雪の望郷</v>
          </cell>
          <cell r="E453" t="str">
            <v>緑黄DL6</v>
          </cell>
          <cell r="F453">
            <v>4</v>
          </cell>
          <cell r="G453" t="str">
            <v>ja</v>
          </cell>
          <cell r="H453" t="str">
            <v>29-4. 【1回のみ】ボーナスステージ</v>
          </cell>
          <cell r="I453" t="str">
            <v>ボーナス</v>
          </cell>
          <cell r="J453">
            <v>339</v>
          </cell>
          <cell r="K453">
            <v>1</v>
          </cell>
          <cell r="L453">
            <v>1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character</v>
          </cell>
          <cell r="T453" t="str">
            <v>339,339,339,339,339,607</v>
          </cell>
          <cell r="U453">
            <v>15029</v>
          </cell>
          <cell r="V453">
            <v>3</v>
          </cell>
          <cell r="W453" t="str">
            <v>29-3. 仕立屋と兄妹</v>
          </cell>
          <cell r="X453">
            <v>0</v>
          </cell>
          <cell r="Y453">
            <v>0</v>
          </cell>
          <cell r="Z453">
            <v>1</v>
          </cell>
          <cell r="AA453">
            <v>1</v>
          </cell>
          <cell r="AB453" t="str">
            <v>once</v>
          </cell>
          <cell r="AC453">
            <v>29</v>
          </cell>
          <cell r="AD453">
            <v>6</v>
          </cell>
          <cell r="AE453" t="str">
            <v>singleonly</v>
          </cell>
        </row>
        <row r="454">
          <cell r="A454" t="str">
            <v>15030_1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1</v>
          </cell>
          <cell r="G454" t="str">
            <v>ja</v>
          </cell>
          <cell r="H454" t="str">
            <v>30-1. 月夜に煌めく刃</v>
          </cell>
          <cell r="J454" t="str">
            <v>NULL</v>
          </cell>
          <cell r="K454">
            <v>18</v>
          </cell>
          <cell r="L454">
            <v>4460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15029</v>
          </cell>
          <cell r="V454">
            <v>4</v>
          </cell>
          <cell r="W454" t="str">
            <v>29-4. 【1回のみ】ボーナスステージ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anytime</v>
          </cell>
          <cell r="AC454">
            <v>30</v>
          </cell>
          <cell r="AD454">
            <v>6</v>
          </cell>
          <cell r="AE454" t="str">
            <v>everyone</v>
          </cell>
        </row>
        <row r="455">
          <cell r="A455" t="str">
            <v>15030_2</v>
          </cell>
          <cell r="B455">
            <v>3</v>
          </cell>
          <cell r="C455">
            <v>15030</v>
          </cell>
          <cell r="D455" t="str">
            <v>30. 月夜のオールドシティ</v>
          </cell>
          <cell r="E455" t="str">
            <v>赤青DL6</v>
          </cell>
          <cell r="F455">
            <v>2</v>
          </cell>
          <cell r="G455" t="str">
            <v>ja</v>
          </cell>
          <cell r="H455" t="str">
            <v>30-2. 深夜のお茶会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1</v>
          </cell>
          <cell r="W455" t="str">
            <v>30-1. 月夜に煌めく刃</v>
          </cell>
          <cell r="X455">
            <v>1</v>
          </cell>
          <cell r="Y455">
            <v>1</v>
          </cell>
          <cell r="Z455">
            <v>0</v>
          </cell>
          <cell r="AA455">
            <v>0</v>
          </cell>
          <cell r="AB455" t="str">
            <v>anytime</v>
          </cell>
          <cell r="AC455">
            <v>30</v>
          </cell>
          <cell r="AD455">
            <v>6</v>
          </cell>
          <cell r="AE455" t="str">
            <v>everyone</v>
          </cell>
        </row>
        <row r="456">
          <cell r="A456" t="str">
            <v>15030_3</v>
          </cell>
          <cell r="B456">
            <v>3</v>
          </cell>
          <cell r="C456">
            <v>15030</v>
          </cell>
          <cell r="D456" t="str">
            <v>30. 月夜のオールドシティ</v>
          </cell>
          <cell r="E456" t="str">
            <v>赤青DL6</v>
          </cell>
          <cell r="F456">
            <v>3</v>
          </cell>
          <cell r="G456" t="str">
            <v>ja</v>
          </cell>
          <cell r="H456" t="str">
            <v>30-3. 月影の襲撃者</v>
          </cell>
          <cell r="J456" t="str">
            <v>NULL</v>
          </cell>
          <cell r="K456">
            <v>22</v>
          </cell>
          <cell r="L456">
            <v>6370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15030</v>
          </cell>
          <cell r="V456">
            <v>2</v>
          </cell>
          <cell r="W456" t="str">
            <v>30-2. 深夜のお茶会</v>
          </cell>
          <cell r="X456">
            <v>1</v>
          </cell>
          <cell r="Y456">
            <v>1</v>
          </cell>
          <cell r="Z456">
            <v>0</v>
          </cell>
          <cell r="AA456">
            <v>0</v>
          </cell>
          <cell r="AB456" t="str">
            <v>anytime</v>
          </cell>
          <cell r="AC456">
            <v>30</v>
          </cell>
          <cell r="AD456">
            <v>6</v>
          </cell>
          <cell r="AE456" t="str">
            <v>everyone</v>
          </cell>
        </row>
        <row r="457">
          <cell r="A457" t="str">
            <v>15030_4</v>
          </cell>
          <cell r="B457">
            <v>3</v>
          </cell>
          <cell r="C457">
            <v>15030</v>
          </cell>
          <cell r="D457" t="str">
            <v>30. 月夜のオールドシティ</v>
          </cell>
          <cell r="E457" t="str">
            <v>赤青DL6</v>
          </cell>
          <cell r="F457">
            <v>4</v>
          </cell>
          <cell r="G457" t="str">
            <v>ja</v>
          </cell>
          <cell r="H457" t="str">
            <v>30-4. 【1回のみ】ボーナスステージ</v>
          </cell>
          <cell r="I457" t="str">
            <v>ボーナス</v>
          </cell>
          <cell r="J457">
            <v>335</v>
          </cell>
          <cell r="K457">
            <v>1</v>
          </cell>
          <cell r="L457">
            <v>1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character</v>
          </cell>
          <cell r="T457" t="str">
            <v>335,335,335,335,335,607,608,609</v>
          </cell>
          <cell r="U457">
            <v>15030</v>
          </cell>
          <cell r="V457">
            <v>3</v>
          </cell>
          <cell r="W457" t="str">
            <v>30-3. 月影の襲撃者</v>
          </cell>
          <cell r="X457">
            <v>1</v>
          </cell>
          <cell r="Y457">
            <v>1</v>
          </cell>
          <cell r="Z457">
            <v>0</v>
          </cell>
          <cell r="AA457">
            <v>0</v>
          </cell>
          <cell r="AB457" t="str">
            <v>once</v>
          </cell>
          <cell r="AC457">
            <v>30</v>
          </cell>
          <cell r="AD457">
            <v>6</v>
          </cell>
          <cell r="AE457" t="str">
            <v>singleonly</v>
          </cell>
        </row>
        <row r="458">
          <cell r="A458" t="str">
            <v>15031_1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1</v>
          </cell>
          <cell r="G458" t="str">
            <v>ja</v>
          </cell>
          <cell r="H458" t="str">
            <v>31-1. 忍び寄る影</v>
          </cell>
          <cell r="J458" t="str">
            <v>NULL</v>
          </cell>
          <cell r="K458">
            <v>19</v>
          </cell>
          <cell r="L458">
            <v>5040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15030</v>
          </cell>
          <cell r="V458">
            <v>4</v>
          </cell>
          <cell r="W458" t="str">
            <v>30-4. 【1回のみ】ボーナスステージ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anytime</v>
          </cell>
          <cell r="AC458">
            <v>31</v>
          </cell>
          <cell r="AD458">
            <v>6</v>
          </cell>
          <cell r="AE458" t="str">
            <v>everyone</v>
          </cell>
        </row>
        <row r="459">
          <cell r="A459" t="str">
            <v>15031_2</v>
          </cell>
          <cell r="B459">
            <v>3</v>
          </cell>
          <cell r="C459">
            <v>15031</v>
          </cell>
          <cell r="D459" t="str">
            <v>31. 桜花乱城</v>
          </cell>
          <cell r="E459" t="str">
            <v>混色DL6</v>
          </cell>
          <cell r="F459">
            <v>2</v>
          </cell>
          <cell r="G459" t="str">
            <v>ja</v>
          </cell>
          <cell r="H459" t="str">
            <v>31-2. 赤鉄の将</v>
          </cell>
          <cell r="J459" t="str">
            <v>NULL</v>
          </cell>
          <cell r="K459">
            <v>21</v>
          </cell>
          <cell r="L459">
            <v>5760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>
            <v>15031</v>
          </cell>
          <cell r="V459">
            <v>1</v>
          </cell>
          <cell r="W459" t="str">
            <v>31-1. 忍び寄る影</v>
          </cell>
          <cell r="X459">
            <v>1</v>
          </cell>
          <cell r="Y459">
            <v>1</v>
          </cell>
          <cell r="Z459">
            <v>1</v>
          </cell>
          <cell r="AA459">
            <v>1</v>
          </cell>
          <cell r="AB459" t="str">
            <v>anytime</v>
          </cell>
          <cell r="AC459">
            <v>31</v>
          </cell>
          <cell r="AD459">
            <v>6</v>
          </cell>
          <cell r="AE459" t="str">
            <v>everyone</v>
          </cell>
        </row>
        <row r="460">
          <cell r="A460" t="str">
            <v>15031_3</v>
          </cell>
          <cell r="B460">
            <v>3</v>
          </cell>
          <cell r="C460">
            <v>15031</v>
          </cell>
          <cell r="D460" t="str">
            <v>31. 桜花乱城</v>
          </cell>
          <cell r="E460" t="str">
            <v>混色DL6</v>
          </cell>
          <cell r="F460">
            <v>3</v>
          </cell>
          <cell r="G460" t="str">
            <v>ja</v>
          </cell>
          <cell r="H460" t="str">
            <v>31-3. 神域の試練</v>
          </cell>
          <cell r="J460" t="str">
            <v>NULL</v>
          </cell>
          <cell r="K460">
            <v>24</v>
          </cell>
          <cell r="L460">
            <v>7200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>
            <v>15031</v>
          </cell>
          <cell r="V460">
            <v>2</v>
          </cell>
          <cell r="W460" t="str">
            <v>31-2. 赤鉄の将</v>
          </cell>
          <cell r="X460">
            <v>1</v>
          </cell>
          <cell r="Y460">
            <v>1</v>
          </cell>
          <cell r="Z460">
            <v>1</v>
          </cell>
          <cell r="AA460">
            <v>1</v>
          </cell>
          <cell r="AB460" t="str">
            <v>anytime</v>
          </cell>
          <cell r="AC460">
            <v>31</v>
          </cell>
          <cell r="AD460">
            <v>6</v>
          </cell>
          <cell r="AE460" t="str">
            <v>everyone</v>
          </cell>
        </row>
        <row r="461">
          <cell r="A461" t="str">
            <v>15031_4</v>
          </cell>
          <cell r="B461">
            <v>3</v>
          </cell>
          <cell r="C461">
            <v>15031</v>
          </cell>
          <cell r="D461" t="str">
            <v>31. 桜花乱城</v>
          </cell>
          <cell r="E461" t="str">
            <v>混色DL6</v>
          </cell>
          <cell r="F461">
            <v>4</v>
          </cell>
          <cell r="G461" t="str">
            <v>ja</v>
          </cell>
          <cell r="H461" t="str">
            <v>31-4. 【1回のみ】ボーナスステージ</v>
          </cell>
          <cell r="I461" t="str">
            <v>ボーナス</v>
          </cell>
          <cell r="J461">
            <v>343</v>
          </cell>
          <cell r="K461">
            <v>1</v>
          </cell>
          <cell r="L461">
            <v>1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character</v>
          </cell>
          <cell r="T461" t="str">
            <v>343,343,343,343,343,607,608,609</v>
          </cell>
          <cell r="U461">
            <v>15031</v>
          </cell>
          <cell r="V461">
            <v>3</v>
          </cell>
          <cell r="W461" t="str">
            <v>31-3. 神域の試練</v>
          </cell>
          <cell r="X461">
            <v>1</v>
          </cell>
          <cell r="Y461">
            <v>1</v>
          </cell>
          <cell r="Z461">
            <v>1</v>
          </cell>
          <cell r="AA461">
            <v>1</v>
          </cell>
          <cell r="AB461" t="str">
            <v>once</v>
          </cell>
          <cell r="AC461">
            <v>31</v>
          </cell>
          <cell r="AD461">
            <v>6</v>
          </cell>
          <cell r="AE461" t="str">
            <v>singleonly</v>
          </cell>
        </row>
        <row r="462">
          <cell r="A462" t="str">
            <v>20001_1</v>
          </cell>
          <cell r="B462">
            <v>3</v>
          </cell>
          <cell r="C462">
            <v>20001</v>
          </cell>
          <cell r="D462" t="str">
            <v>紅き執行者</v>
          </cell>
          <cell r="E462" t="str">
            <v>ドロップイベント1-1</v>
          </cell>
          <cell r="F462">
            <v>1</v>
          </cell>
          <cell r="G462" t="str">
            <v>ja</v>
          </cell>
          <cell r="H462" t="str">
            <v xml:space="preserve">【初級】紅き執行者 </v>
          </cell>
          <cell r="I462" t="str">
            <v>初級</v>
          </cell>
          <cell r="J462">
            <v>262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14</v>
          </cell>
          <cell r="AD462">
            <v>6</v>
          </cell>
          <cell r="AE462" t="str">
            <v>everyone</v>
          </cell>
        </row>
        <row r="463">
          <cell r="A463" t="str">
            <v>20001_2</v>
          </cell>
          <cell r="B463">
            <v>3</v>
          </cell>
          <cell r="C463">
            <v>20001</v>
          </cell>
          <cell r="D463" t="str">
            <v>紅き執行者</v>
          </cell>
          <cell r="E463" t="str">
            <v>ドロップイベント1-1</v>
          </cell>
          <cell r="F463">
            <v>2</v>
          </cell>
          <cell r="G463" t="str">
            <v>ja</v>
          </cell>
          <cell r="H463" t="str">
            <v>【中級】紅き執行者</v>
          </cell>
          <cell r="I463" t="str">
            <v>中級</v>
          </cell>
          <cell r="J463">
            <v>262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14</v>
          </cell>
          <cell r="AD463">
            <v>6</v>
          </cell>
          <cell r="AE463" t="str">
            <v>everyone</v>
          </cell>
        </row>
        <row r="464">
          <cell r="A464" t="str">
            <v>20001_3</v>
          </cell>
          <cell r="B464">
            <v>3</v>
          </cell>
          <cell r="C464">
            <v>20001</v>
          </cell>
          <cell r="D464" t="str">
            <v>紅き執行者</v>
          </cell>
          <cell r="E464" t="str">
            <v>ドロップイベント1-1</v>
          </cell>
          <cell r="F464">
            <v>3</v>
          </cell>
          <cell r="G464" t="str">
            <v>ja</v>
          </cell>
          <cell r="H464" t="str">
            <v xml:space="preserve">【上級】紅き執行者 </v>
          </cell>
          <cell r="I464" t="str">
            <v>上級</v>
          </cell>
          <cell r="J464">
            <v>263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14</v>
          </cell>
          <cell r="AD464">
            <v>6</v>
          </cell>
          <cell r="AE464" t="str">
            <v>everyone</v>
          </cell>
        </row>
        <row r="465">
          <cell r="A465" t="str">
            <v>20002_1</v>
          </cell>
          <cell r="B465">
            <v>3</v>
          </cell>
          <cell r="C465">
            <v>20002</v>
          </cell>
          <cell r="D465" t="str">
            <v>孤高の一角獣</v>
          </cell>
          <cell r="E465" t="str">
            <v>ドロップイベント1-2</v>
          </cell>
          <cell r="F465">
            <v>1</v>
          </cell>
          <cell r="G465" t="str">
            <v>ja</v>
          </cell>
          <cell r="H465" t="str">
            <v>【初級】孤高の一角獣</v>
          </cell>
          <cell r="I465" t="str">
            <v>初級</v>
          </cell>
          <cell r="J465">
            <v>264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0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19</v>
          </cell>
          <cell r="AD465">
            <v>6</v>
          </cell>
          <cell r="AE465" t="str">
            <v>everyone</v>
          </cell>
        </row>
        <row r="466">
          <cell r="A466" t="str">
            <v>20002_2</v>
          </cell>
          <cell r="B466">
            <v>3</v>
          </cell>
          <cell r="C466">
            <v>20002</v>
          </cell>
          <cell r="D466" t="str">
            <v>孤高の一角獣</v>
          </cell>
          <cell r="E466" t="str">
            <v>ドロップイベント1-2</v>
          </cell>
          <cell r="F466">
            <v>2</v>
          </cell>
          <cell r="G466" t="str">
            <v>ja</v>
          </cell>
          <cell r="H466" t="str">
            <v>【中級】孤高の一角獣</v>
          </cell>
          <cell r="I466" t="str">
            <v>中級</v>
          </cell>
          <cell r="J466">
            <v>264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0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19</v>
          </cell>
          <cell r="AD466">
            <v>6</v>
          </cell>
          <cell r="AE466" t="str">
            <v>everyone</v>
          </cell>
        </row>
        <row r="467">
          <cell r="A467" t="str">
            <v>20002_3</v>
          </cell>
          <cell r="B467">
            <v>3</v>
          </cell>
          <cell r="C467">
            <v>20002</v>
          </cell>
          <cell r="D467" t="str">
            <v>孤高の一角獣</v>
          </cell>
          <cell r="E467" t="str">
            <v>ドロップイベント1-2</v>
          </cell>
          <cell r="F467">
            <v>3</v>
          </cell>
          <cell r="G467" t="str">
            <v>ja</v>
          </cell>
          <cell r="H467" t="str">
            <v>【上級】孤高の一角獣</v>
          </cell>
          <cell r="I467" t="str">
            <v>上級</v>
          </cell>
          <cell r="J467">
            <v>265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19</v>
          </cell>
          <cell r="AD467">
            <v>6</v>
          </cell>
          <cell r="AE467" t="str">
            <v>everyone</v>
          </cell>
        </row>
        <row r="468">
          <cell r="A468" t="str">
            <v>20003_1</v>
          </cell>
          <cell r="B468">
            <v>3</v>
          </cell>
          <cell r="C468">
            <v>20003</v>
          </cell>
          <cell r="D468" t="str">
            <v>忍び寄る短剣</v>
          </cell>
          <cell r="E468" t="str">
            <v>ドロップイベント1-3</v>
          </cell>
          <cell r="F468">
            <v>1</v>
          </cell>
          <cell r="G468" t="str">
            <v>ja</v>
          </cell>
          <cell r="H468" t="str">
            <v xml:space="preserve">【初級】忍び寄る短剣 </v>
          </cell>
          <cell r="I468" t="str">
            <v>初級</v>
          </cell>
          <cell r="J468">
            <v>266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11</v>
          </cell>
          <cell r="AD468">
            <v>6</v>
          </cell>
          <cell r="AE468" t="str">
            <v>everyone</v>
          </cell>
        </row>
        <row r="469">
          <cell r="A469" t="str">
            <v>20003_2</v>
          </cell>
          <cell r="B469">
            <v>3</v>
          </cell>
          <cell r="C469">
            <v>20003</v>
          </cell>
          <cell r="D469" t="str">
            <v>忍び寄る短剣</v>
          </cell>
          <cell r="E469" t="str">
            <v>ドロップイベント1-3</v>
          </cell>
          <cell r="F469">
            <v>2</v>
          </cell>
          <cell r="G469" t="str">
            <v>ja</v>
          </cell>
          <cell r="H469" t="str">
            <v xml:space="preserve">【中級】忍び寄る短剣 </v>
          </cell>
          <cell r="I469" t="str">
            <v>中級</v>
          </cell>
          <cell r="J469">
            <v>266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11</v>
          </cell>
          <cell r="AD469">
            <v>6</v>
          </cell>
          <cell r="AE469" t="str">
            <v>everyone</v>
          </cell>
        </row>
        <row r="470">
          <cell r="A470" t="str">
            <v>20003_3</v>
          </cell>
          <cell r="B470">
            <v>3</v>
          </cell>
          <cell r="C470">
            <v>20003</v>
          </cell>
          <cell r="D470" t="str">
            <v>忍び寄る短剣</v>
          </cell>
          <cell r="E470" t="str">
            <v>ドロップイベント1-3</v>
          </cell>
          <cell r="F470">
            <v>3</v>
          </cell>
          <cell r="G470" t="str">
            <v>ja</v>
          </cell>
          <cell r="H470" t="str">
            <v xml:space="preserve">【上級】忍び寄る短剣 </v>
          </cell>
          <cell r="I470" t="str">
            <v>上級</v>
          </cell>
          <cell r="J470">
            <v>267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11</v>
          </cell>
          <cell r="AD470">
            <v>6</v>
          </cell>
          <cell r="AE470" t="str">
            <v>everyone</v>
          </cell>
        </row>
        <row r="471">
          <cell r="A471" t="str">
            <v>20004_1</v>
          </cell>
          <cell r="B471">
            <v>3</v>
          </cell>
          <cell r="C471">
            <v>20004</v>
          </cell>
          <cell r="D471" t="str">
            <v>雷雲からの刺客</v>
          </cell>
          <cell r="E471" t="str">
            <v>ドロップイベント1-4</v>
          </cell>
          <cell r="F471">
            <v>1</v>
          </cell>
          <cell r="G471" t="str">
            <v>ja</v>
          </cell>
          <cell r="H471" t="str">
            <v>【初級】雷雲からの刺客</v>
          </cell>
          <cell r="I471" t="str">
            <v>初級</v>
          </cell>
          <cell r="J471">
            <v>268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4</v>
          </cell>
          <cell r="AD471">
            <v>6</v>
          </cell>
          <cell r="AE471" t="str">
            <v>everyone</v>
          </cell>
        </row>
        <row r="472">
          <cell r="A472" t="str">
            <v>20004_2</v>
          </cell>
          <cell r="B472">
            <v>3</v>
          </cell>
          <cell r="C472">
            <v>20004</v>
          </cell>
          <cell r="D472" t="str">
            <v>雷雲からの刺客</v>
          </cell>
          <cell r="E472" t="str">
            <v>ドロップイベント1-4</v>
          </cell>
          <cell r="F472">
            <v>2</v>
          </cell>
          <cell r="G472" t="str">
            <v>ja</v>
          </cell>
          <cell r="H472" t="str">
            <v>【中級】雷雲からの刺客</v>
          </cell>
          <cell r="I472" t="str">
            <v>中級</v>
          </cell>
          <cell r="J472">
            <v>268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4</v>
          </cell>
          <cell r="AD472">
            <v>6</v>
          </cell>
          <cell r="AE472" t="str">
            <v>everyone</v>
          </cell>
        </row>
        <row r="473">
          <cell r="A473" t="str">
            <v>20004_3</v>
          </cell>
          <cell r="B473">
            <v>3</v>
          </cell>
          <cell r="C473">
            <v>20004</v>
          </cell>
          <cell r="D473" t="str">
            <v>雷雲からの刺客</v>
          </cell>
          <cell r="E473" t="str">
            <v>ドロップイベント1-4</v>
          </cell>
          <cell r="F473">
            <v>3</v>
          </cell>
          <cell r="G473" t="str">
            <v>ja</v>
          </cell>
          <cell r="H473" t="str">
            <v>【上級】雷雲からの刺客</v>
          </cell>
          <cell r="I473" t="str">
            <v>上級</v>
          </cell>
          <cell r="J473">
            <v>269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3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4</v>
          </cell>
          <cell r="AD473">
            <v>6</v>
          </cell>
          <cell r="AE473" t="str">
            <v>everyone</v>
          </cell>
        </row>
        <row r="474">
          <cell r="A474" t="str">
            <v>20005_1</v>
          </cell>
          <cell r="B474">
            <v>3</v>
          </cell>
          <cell r="C474">
            <v>20005</v>
          </cell>
          <cell r="D474" t="str">
            <v>ザ・キャノン</v>
          </cell>
          <cell r="E474" t="str">
            <v>ドロップイベント2-2</v>
          </cell>
          <cell r="F474">
            <v>1</v>
          </cell>
          <cell r="G474" t="str">
            <v>ja</v>
          </cell>
          <cell r="H474" t="str">
            <v>【初級】ザ・キャノン(4タップ）</v>
          </cell>
          <cell r="I474" t="str">
            <v>初級</v>
          </cell>
          <cell r="J474">
            <v>286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4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14</v>
          </cell>
          <cell r="AD474">
            <v>6</v>
          </cell>
          <cell r="AE474" t="str">
            <v>everyone</v>
          </cell>
        </row>
        <row r="475">
          <cell r="A475" t="str">
            <v>20005_2</v>
          </cell>
          <cell r="B475">
            <v>3</v>
          </cell>
          <cell r="C475">
            <v>20005</v>
          </cell>
          <cell r="D475" t="str">
            <v>ザ・キャノン</v>
          </cell>
          <cell r="E475" t="str">
            <v>ドロップイベント2-2</v>
          </cell>
          <cell r="F475">
            <v>2</v>
          </cell>
          <cell r="G475" t="str">
            <v>ja</v>
          </cell>
          <cell r="H475" t="str">
            <v>【中級】ザ・キャノン(4タップ)</v>
          </cell>
          <cell r="I475" t="str">
            <v>中級</v>
          </cell>
          <cell r="J475">
            <v>286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4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14</v>
          </cell>
          <cell r="AD475">
            <v>6</v>
          </cell>
          <cell r="AE475" t="str">
            <v>everyone</v>
          </cell>
        </row>
        <row r="476">
          <cell r="A476" t="str">
            <v>20005_3</v>
          </cell>
          <cell r="B476">
            <v>3</v>
          </cell>
          <cell r="C476">
            <v>20005</v>
          </cell>
          <cell r="D476" t="str">
            <v>ザ・キャノン</v>
          </cell>
          <cell r="E476" t="str">
            <v>ドロップイベント2-2</v>
          </cell>
          <cell r="F476">
            <v>3</v>
          </cell>
          <cell r="G476" t="str">
            <v>ja</v>
          </cell>
          <cell r="H476" t="str">
            <v>【上級】ザ・キャノン(4タップ)</v>
          </cell>
          <cell r="I476" t="str">
            <v>上級</v>
          </cell>
          <cell r="J476">
            <v>287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4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14</v>
          </cell>
          <cell r="AD476">
            <v>6</v>
          </cell>
          <cell r="AE476" t="str">
            <v>everyone</v>
          </cell>
        </row>
        <row r="477">
          <cell r="A477" t="str">
            <v>20006_1</v>
          </cell>
          <cell r="B477">
            <v>3</v>
          </cell>
          <cell r="C477">
            <v>20006</v>
          </cell>
          <cell r="D477" t="str">
            <v>スチール・プレデター</v>
          </cell>
          <cell r="E477" t="str">
            <v>ドロップイベント2-3</v>
          </cell>
          <cell r="F477">
            <v>1</v>
          </cell>
          <cell r="G477" t="str">
            <v>ja</v>
          </cell>
          <cell r="H477" t="str">
            <v>【初級】スチール・プレデター</v>
          </cell>
          <cell r="I477" t="str">
            <v>初級</v>
          </cell>
          <cell r="J477">
            <v>280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2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19</v>
          </cell>
          <cell r="AD477">
            <v>6</v>
          </cell>
          <cell r="AE477" t="str">
            <v>everyone</v>
          </cell>
        </row>
        <row r="478">
          <cell r="A478" t="str">
            <v>20006_2</v>
          </cell>
          <cell r="B478">
            <v>3</v>
          </cell>
          <cell r="C478">
            <v>20006</v>
          </cell>
          <cell r="D478" t="str">
            <v>スチール・プレデター</v>
          </cell>
          <cell r="E478" t="str">
            <v>ドロップイベント2-3</v>
          </cell>
          <cell r="F478">
            <v>2</v>
          </cell>
          <cell r="G478" t="str">
            <v>ja</v>
          </cell>
          <cell r="H478" t="str">
            <v>【中級】スチール・プレデター</v>
          </cell>
          <cell r="I478" t="str">
            <v>中級</v>
          </cell>
          <cell r="J478">
            <v>280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2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19</v>
          </cell>
          <cell r="AD478">
            <v>6</v>
          </cell>
          <cell r="AE478" t="str">
            <v>everyone</v>
          </cell>
        </row>
        <row r="479">
          <cell r="A479" t="str">
            <v>20006_3</v>
          </cell>
          <cell r="B479">
            <v>3</v>
          </cell>
          <cell r="C479">
            <v>20006</v>
          </cell>
          <cell r="D479" t="str">
            <v>スチール・プレデター</v>
          </cell>
          <cell r="E479" t="str">
            <v>ドロップイベント2-3</v>
          </cell>
          <cell r="F479">
            <v>3</v>
          </cell>
          <cell r="G479" t="str">
            <v>ja</v>
          </cell>
          <cell r="H479" t="str">
            <v>【上級】スチール・プレデター</v>
          </cell>
          <cell r="I479" t="str">
            <v>上級</v>
          </cell>
          <cell r="J479">
            <v>281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2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19</v>
          </cell>
          <cell r="AD479">
            <v>6</v>
          </cell>
          <cell r="AE479" t="str">
            <v>everyone</v>
          </cell>
        </row>
        <row r="480">
          <cell r="A480" t="str">
            <v>20007_1</v>
          </cell>
          <cell r="B480">
            <v>3</v>
          </cell>
          <cell r="C480">
            <v>20007</v>
          </cell>
          <cell r="D480" t="str">
            <v>女王陛下の処刑龍</v>
          </cell>
          <cell r="E480" t="str">
            <v>ドロップイベント2-1</v>
          </cell>
          <cell r="F480">
            <v>1</v>
          </cell>
          <cell r="G480" t="str">
            <v>ja</v>
          </cell>
          <cell r="H480" t="str">
            <v>【初級】女王陛下の処刑龍</v>
          </cell>
          <cell r="I480" t="str">
            <v>初級</v>
          </cell>
          <cell r="J480">
            <v>282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4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17</v>
          </cell>
          <cell r="AD480">
            <v>6</v>
          </cell>
          <cell r="AE480" t="str">
            <v>everyone</v>
          </cell>
        </row>
        <row r="481">
          <cell r="A481" t="str">
            <v>20007_2</v>
          </cell>
          <cell r="B481">
            <v>3</v>
          </cell>
          <cell r="C481">
            <v>20007</v>
          </cell>
          <cell r="D481" t="str">
            <v>女王陛下の処刑龍</v>
          </cell>
          <cell r="E481" t="str">
            <v>ドロップイベント2-1</v>
          </cell>
          <cell r="F481">
            <v>2</v>
          </cell>
          <cell r="G481" t="str">
            <v>ja</v>
          </cell>
          <cell r="H481" t="str">
            <v>【中級】女王陛下の処刑龍</v>
          </cell>
          <cell r="I481" t="str">
            <v>中級</v>
          </cell>
          <cell r="J481">
            <v>282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4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17</v>
          </cell>
          <cell r="AD481">
            <v>6</v>
          </cell>
          <cell r="AE481" t="str">
            <v>everyone</v>
          </cell>
        </row>
        <row r="482">
          <cell r="A482" t="str">
            <v>20007_3</v>
          </cell>
          <cell r="B482">
            <v>3</v>
          </cell>
          <cell r="C482">
            <v>20007</v>
          </cell>
          <cell r="D482" t="str">
            <v>女王陛下の処刑龍</v>
          </cell>
          <cell r="E482" t="str">
            <v>ドロップイベント2-1</v>
          </cell>
          <cell r="F482">
            <v>3</v>
          </cell>
          <cell r="G482" t="str">
            <v>ja</v>
          </cell>
          <cell r="H482" t="str">
            <v>【上級】女王陛下の処刑龍</v>
          </cell>
          <cell r="I482" t="str">
            <v>上級</v>
          </cell>
          <cell r="J482">
            <v>283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4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17</v>
          </cell>
          <cell r="AD482">
            <v>6</v>
          </cell>
          <cell r="AE482" t="str">
            <v>everyone</v>
          </cell>
        </row>
        <row r="483">
          <cell r="A483" t="str">
            <v>20008_1</v>
          </cell>
          <cell r="B483">
            <v>3</v>
          </cell>
          <cell r="C483">
            <v>20008</v>
          </cell>
          <cell r="D483" t="str">
            <v>天翔ける金轟機龍</v>
          </cell>
          <cell r="E483" t="str">
            <v>ドロップイベント2-4</v>
          </cell>
          <cell r="F483">
            <v>1</v>
          </cell>
          <cell r="G483" t="str">
            <v>ja</v>
          </cell>
          <cell r="H483" t="str">
            <v>【初級】天翔ける金轟機龍</v>
          </cell>
          <cell r="I483" t="str">
            <v>初級</v>
          </cell>
          <cell r="J483">
            <v>284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8</v>
          </cell>
          <cell r="AD483">
            <v>6</v>
          </cell>
          <cell r="AE483" t="str">
            <v>everyone</v>
          </cell>
        </row>
        <row r="484">
          <cell r="A484" t="str">
            <v>20008_2</v>
          </cell>
          <cell r="B484">
            <v>3</v>
          </cell>
          <cell r="C484">
            <v>20008</v>
          </cell>
          <cell r="D484" t="str">
            <v>天翔ける金轟機龍</v>
          </cell>
          <cell r="E484" t="str">
            <v>ドロップイベント2-4</v>
          </cell>
          <cell r="F484">
            <v>2</v>
          </cell>
          <cell r="G484" t="str">
            <v>ja</v>
          </cell>
          <cell r="H484" t="str">
            <v>【中級】天翔ける金轟機龍</v>
          </cell>
          <cell r="I484" t="str">
            <v>中級</v>
          </cell>
          <cell r="J484">
            <v>284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8</v>
          </cell>
          <cell r="AD484">
            <v>6</v>
          </cell>
          <cell r="AE484" t="str">
            <v>everyone</v>
          </cell>
        </row>
        <row r="485">
          <cell r="A485" t="str">
            <v>20008_3</v>
          </cell>
          <cell r="B485">
            <v>3</v>
          </cell>
          <cell r="C485">
            <v>20008</v>
          </cell>
          <cell r="D485" t="str">
            <v>天翔ける金轟機龍</v>
          </cell>
          <cell r="E485" t="str">
            <v>ドロップイベント2-4</v>
          </cell>
          <cell r="F485">
            <v>3</v>
          </cell>
          <cell r="G485" t="str">
            <v>ja</v>
          </cell>
          <cell r="H485" t="str">
            <v>【上級】天翔ける金轟機龍</v>
          </cell>
          <cell r="I485" t="str">
            <v>上級</v>
          </cell>
          <cell r="J485">
            <v>285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8</v>
          </cell>
          <cell r="AD485">
            <v>6</v>
          </cell>
          <cell r="AE485" t="str">
            <v>everyone</v>
          </cell>
        </row>
        <row r="486">
          <cell r="A486" t="str">
            <v>20009_1</v>
          </cell>
          <cell r="B486">
            <v>0</v>
          </cell>
          <cell r="C486">
            <v>20009</v>
          </cell>
          <cell r="D486" t="str">
            <v>迫り来る窒息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【初級】迫り来る窒息</v>
          </cell>
          <cell r="I486" t="str">
            <v>初級</v>
          </cell>
          <cell r="J486" t="str">
            <v>NULL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25</v>
          </cell>
          <cell r="AD486">
            <v>5</v>
          </cell>
          <cell r="AE486" t="str">
            <v>everyone</v>
          </cell>
        </row>
        <row r="487">
          <cell r="A487" t="str">
            <v>20009_2</v>
          </cell>
          <cell r="B487">
            <v>3</v>
          </cell>
          <cell r="C487">
            <v>20009</v>
          </cell>
          <cell r="D487" t="str">
            <v>迫り来る窒息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【中級】迫り来る窒息</v>
          </cell>
          <cell r="I487" t="str">
            <v>中級</v>
          </cell>
          <cell r="J487">
            <v>302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25</v>
          </cell>
          <cell r="AD487">
            <v>5</v>
          </cell>
          <cell r="AE487" t="str">
            <v>everyone</v>
          </cell>
        </row>
        <row r="488">
          <cell r="A488" t="str">
            <v>20009_3</v>
          </cell>
          <cell r="B488">
            <v>3</v>
          </cell>
          <cell r="C488">
            <v>20009</v>
          </cell>
          <cell r="D488" t="str">
            <v>迫り来る窒息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【上級】迫り来る窒息</v>
          </cell>
          <cell r="I488" t="str">
            <v>上級</v>
          </cell>
          <cell r="J488">
            <v>303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25</v>
          </cell>
          <cell r="AD488">
            <v>5</v>
          </cell>
          <cell r="AE488" t="str">
            <v>everyone</v>
          </cell>
        </row>
        <row r="489">
          <cell r="A489" t="str">
            <v>20010_1</v>
          </cell>
          <cell r="B489">
            <v>3</v>
          </cell>
          <cell r="C489">
            <v>20010</v>
          </cell>
          <cell r="D489" t="str">
            <v>悪夢の一目惚れ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【初級】悪夢の一目惚れ</v>
          </cell>
          <cell r="I489" t="str">
            <v>初級</v>
          </cell>
          <cell r="J489">
            <v>304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0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2601</v>
          </cell>
          <cell r="AD489">
            <v>6</v>
          </cell>
          <cell r="AE489" t="str">
            <v>everyone</v>
          </cell>
        </row>
        <row r="490">
          <cell r="A490" t="str">
            <v>20010_2</v>
          </cell>
          <cell r="B490">
            <v>3</v>
          </cell>
          <cell r="C490">
            <v>20010</v>
          </cell>
          <cell r="D490" t="str">
            <v>悪夢の一目惚れ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【中級】悪夢の一目惚れ</v>
          </cell>
          <cell r="I490" t="str">
            <v>中級</v>
          </cell>
          <cell r="J490">
            <v>304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0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2601</v>
          </cell>
          <cell r="AD490">
            <v>6</v>
          </cell>
          <cell r="AE490" t="str">
            <v>everyone</v>
          </cell>
        </row>
        <row r="491">
          <cell r="A491" t="str">
            <v>20010_3</v>
          </cell>
          <cell r="B491">
            <v>3</v>
          </cell>
          <cell r="C491">
            <v>20010</v>
          </cell>
          <cell r="D491" t="str">
            <v>悪夢の一目惚れ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【上級】悪夢の一目惚れ</v>
          </cell>
          <cell r="I491" t="str">
            <v>上級</v>
          </cell>
          <cell r="J491">
            <v>305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0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2601</v>
          </cell>
          <cell r="AD491">
            <v>6</v>
          </cell>
          <cell r="AE491" t="str">
            <v>everyone</v>
          </cell>
        </row>
        <row r="492">
          <cell r="A492" t="str">
            <v>20011_1</v>
          </cell>
          <cell r="B492">
            <v>3</v>
          </cell>
          <cell r="C492">
            <v>20011</v>
          </cell>
          <cell r="D492" t="str">
            <v>すべてが灰になる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【初級】すべてが灰になる</v>
          </cell>
          <cell r="I492" t="str">
            <v>初級</v>
          </cell>
          <cell r="J492">
            <v>298</v>
          </cell>
          <cell r="K492">
            <v>8</v>
          </cell>
          <cell r="L492">
            <v>384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10</v>
          </cell>
          <cell r="AD492">
            <v>5</v>
          </cell>
          <cell r="AE492" t="str">
            <v>everyone</v>
          </cell>
        </row>
        <row r="493">
          <cell r="A493" t="str">
            <v>20011_2</v>
          </cell>
          <cell r="B493">
            <v>3</v>
          </cell>
          <cell r="C493">
            <v>20011</v>
          </cell>
          <cell r="D493" t="str">
            <v>すべてが灰になる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【中級】すべてが灰になる</v>
          </cell>
          <cell r="I493" t="str">
            <v>中級</v>
          </cell>
          <cell r="J493">
            <v>298</v>
          </cell>
          <cell r="K493">
            <v>15</v>
          </cell>
          <cell r="L493">
            <v>1200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10</v>
          </cell>
          <cell r="AD493">
            <v>5</v>
          </cell>
          <cell r="AE493" t="str">
            <v>everyone</v>
          </cell>
        </row>
        <row r="494">
          <cell r="A494" t="str">
            <v>20011_3</v>
          </cell>
          <cell r="B494">
            <v>3</v>
          </cell>
          <cell r="C494">
            <v>20011</v>
          </cell>
          <cell r="D494" t="str">
            <v>すべてが灰になる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【上級】すべてが灰になる</v>
          </cell>
          <cell r="I494" t="str">
            <v>上級</v>
          </cell>
          <cell r="J494">
            <v>299</v>
          </cell>
          <cell r="K494">
            <v>20</v>
          </cell>
          <cell r="L494">
            <v>2000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10</v>
          </cell>
          <cell r="AD494">
            <v>5</v>
          </cell>
          <cell r="AE494" t="str">
            <v>everyone</v>
          </cell>
        </row>
        <row r="495">
          <cell r="A495" t="str">
            <v>20012_1</v>
          </cell>
          <cell r="B495">
            <v>3</v>
          </cell>
          <cell r="C495">
            <v>20012</v>
          </cell>
          <cell r="D495" t="str">
            <v>罪と劇薬</v>
          </cell>
          <cell r="E495" t="str">
            <v>ドロップイベント3</v>
          </cell>
          <cell r="F495">
            <v>1</v>
          </cell>
          <cell r="G495" t="str">
            <v>ja</v>
          </cell>
          <cell r="H495" t="str">
            <v>【初級】罪と劇薬</v>
          </cell>
          <cell r="I495" t="str">
            <v>初級</v>
          </cell>
          <cell r="J495">
            <v>300</v>
          </cell>
          <cell r="K495">
            <v>8</v>
          </cell>
          <cell r="L495">
            <v>384</v>
          </cell>
          <cell r="M495">
            <v>0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19</v>
          </cell>
          <cell r="AD495">
            <v>6</v>
          </cell>
          <cell r="AE495" t="str">
            <v>everyone</v>
          </cell>
        </row>
        <row r="496">
          <cell r="A496" t="str">
            <v>20012_2</v>
          </cell>
          <cell r="B496">
            <v>3</v>
          </cell>
          <cell r="C496">
            <v>20012</v>
          </cell>
          <cell r="D496" t="str">
            <v>罪と劇薬</v>
          </cell>
          <cell r="E496" t="str">
            <v>ドロップイベント3</v>
          </cell>
          <cell r="F496">
            <v>2</v>
          </cell>
          <cell r="G496" t="str">
            <v>ja</v>
          </cell>
          <cell r="H496" t="str">
            <v>【中級】罪と劇薬</v>
          </cell>
          <cell r="I496" t="str">
            <v>中級</v>
          </cell>
          <cell r="J496">
            <v>300</v>
          </cell>
          <cell r="K496">
            <v>15</v>
          </cell>
          <cell r="L496">
            <v>1200</v>
          </cell>
          <cell r="M496">
            <v>0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19</v>
          </cell>
          <cell r="AD496">
            <v>6</v>
          </cell>
          <cell r="AE496" t="str">
            <v>everyone</v>
          </cell>
        </row>
        <row r="497">
          <cell r="A497" t="str">
            <v>20012_3</v>
          </cell>
          <cell r="B497">
            <v>3</v>
          </cell>
          <cell r="C497">
            <v>20012</v>
          </cell>
          <cell r="D497" t="str">
            <v>罪と劇薬</v>
          </cell>
          <cell r="E497" t="str">
            <v>ドロップイベント3</v>
          </cell>
          <cell r="F497">
            <v>3</v>
          </cell>
          <cell r="G497" t="str">
            <v>ja</v>
          </cell>
          <cell r="H497" t="str">
            <v>【上級】罪と劇薬</v>
          </cell>
          <cell r="I497" t="str">
            <v>上級</v>
          </cell>
          <cell r="J497">
            <v>301</v>
          </cell>
          <cell r="K497">
            <v>20</v>
          </cell>
          <cell r="L497">
            <v>2000</v>
          </cell>
          <cell r="M497">
            <v>0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19</v>
          </cell>
          <cell r="AD497">
            <v>6</v>
          </cell>
          <cell r="AE497" t="str">
            <v>everyone</v>
          </cell>
        </row>
        <row r="498">
          <cell r="A498" t="str">
            <v>20013_1</v>
          </cell>
          <cell r="B498">
            <v>3</v>
          </cell>
          <cell r="C498">
            <v>20013</v>
          </cell>
          <cell r="D498" t="str">
            <v>天の時、地の利、人の和</v>
          </cell>
          <cell r="E498" t="str">
            <v>ドロップイベント4</v>
          </cell>
          <cell r="F498">
            <v>1</v>
          </cell>
          <cell r="G498" t="str">
            <v>ja</v>
          </cell>
          <cell r="H498" t="str">
            <v>【初級】天の時、地の利、人の和</v>
          </cell>
          <cell r="I498" t="str">
            <v>初級</v>
          </cell>
          <cell r="J498">
            <v>720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10</v>
          </cell>
          <cell r="AD498">
            <v>6</v>
          </cell>
          <cell r="AE498" t="str">
            <v>everyone</v>
          </cell>
        </row>
        <row r="499">
          <cell r="A499" t="str">
            <v>20013_2</v>
          </cell>
          <cell r="B499">
            <v>3</v>
          </cell>
          <cell r="C499">
            <v>20013</v>
          </cell>
          <cell r="D499" t="str">
            <v>天の時、地の利、人の和</v>
          </cell>
          <cell r="E499" t="str">
            <v>ドロップイベント4</v>
          </cell>
          <cell r="F499">
            <v>2</v>
          </cell>
          <cell r="G499" t="str">
            <v>ja</v>
          </cell>
          <cell r="H499" t="str">
            <v>【中級】天の時、地の利、人の和</v>
          </cell>
          <cell r="I499" t="str">
            <v>中級</v>
          </cell>
          <cell r="J499">
            <v>720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10</v>
          </cell>
          <cell r="AD499">
            <v>6</v>
          </cell>
          <cell r="AE499" t="str">
            <v>everyone</v>
          </cell>
        </row>
        <row r="500">
          <cell r="A500" t="str">
            <v>20013_3</v>
          </cell>
          <cell r="B500">
            <v>3</v>
          </cell>
          <cell r="C500">
            <v>20013</v>
          </cell>
          <cell r="D500" t="str">
            <v>天の時、地の利、人の和</v>
          </cell>
          <cell r="E500" t="str">
            <v>ドロップイベント4</v>
          </cell>
          <cell r="F500">
            <v>3</v>
          </cell>
          <cell r="G500" t="str">
            <v>ja</v>
          </cell>
          <cell r="H500" t="str">
            <v>【上級】天の時、地の利、人の和</v>
          </cell>
          <cell r="I500" t="str">
            <v>上級</v>
          </cell>
          <cell r="J500">
            <v>721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10</v>
          </cell>
          <cell r="AD500">
            <v>6</v>
          </cell>
          <cell r="AE500" t="str">
            <v>everyone</v>
          </cell>
        </row>
        <row r="501">
          <cell r="A501" t="str">
            <v>20014_1</v>
          </cell>
          <cell r="B501">
            <v>3</v>
          </cell>
          <cell r="C501">
            <v>20014</v>
          </cell>
          <cell r="D501" t="str">
            <v>魅了する歌声</v>
          </cell>
          <cell r="E501" t="str">
            <v>天使と悪魔編1</v>
          </cell>
          <cell r="F501">
            <v>1</v>
          </cell>
          <cell r="G501" t="str">
            <v>ja</v>
          </cell>
          <cell r="H501" t="str">
            <v>【初級】魅了する歌声</v>
          </cell>
          <cell r="I501" t="str">
            <v>初級</v>
          </cell>
          <cell r="J501">
            <v>842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17</v>
          </cell>
          <cell r="AD501">
            <v>4</v>
          </cell>
          <cell r="AE501" t="str">
            <v>everyone</v>
          </cell>
        </row>
        <row r="502">
          <cell r="A502" t="str">
            <v>20014_2</v>
          </cell>
          <cell r="B502">
            <v>3</v>
          </cell>
          <cell r="C502">
            <v>20014</v>
          </cell>
          <cell r="D502" t="str">
            <v>魅了する歌声</v>
          </cell>
          <cell r="E502" t="str">
            <v>天使と悪魔編1</v>
          </cell>
          <cell r="F502">
            <v>2</v>
          </cell>
          <cell r="G502" t="str">
            <v>ja</v>
          </cell>
          <cell r="H502" t="str">
            <v>【中級】魅了する歌声</v>
          </cell>
          <cell r="I502" t="str">
            <v>中級</v>
          </cell>
          <cell r="J502">
            <v>842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17</v>
          </cell>
          <cell r="AD502">
            <v>4</v>
          </cell>
          <cell r="AE502" t="str">
            <v>everyone</v>
          </cell>
        </row>
        <row r="503">
          <cell r="A503" t="str">
            <v>20014_3</v>
          </cell>
          <cell r="B503">
            <v>3</v>
          </cell>
          <cell r="C503">
            <v>20014</v>
          </cell>
          <cell r="D503" t="str">
            <v>魅了する歌声</v>
          </cell>
          <cell r="E503" t="str">
            <v>天使と悪魔編1</v>
          </cell>
          <cell r="F503">
            <v>3</v>
          </cell>
          <cell r="G503" t="str">
            <v>ja</v>
          </cell>
          <cell r="H503" t="str">
            <v>【上級】魅了する歌声</v>
          </cell>
          <cell r="I503" t="str">
            <v>上級</v>
          </cell>
          <cell r="J503">
            <v>842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17</v>
          </cell>
          <cell r="AD503">
            <v>4</v>
          </cell>
          <cell r="AE503" t="str">
            <v>everyone</v>
          </cell>
        </row>
        <row r="504">
          <cell r="A504" t="str">
            <v>20015_1</v>
          </cell>
          <cell r="B504">
            <v>3</v>
          </cell>
          <cell r="C504">
            <v>20015</v>
          </cell>
          <cell r="D504" t="str">
            <v>妄執とり憑く美貌の妃</v>
          </cell>
          <cell r="E504" t="str">
            <v>おとぎ話シリーズ3</v>
          </cell>
          <cell r="F504">
            <v>1</v>
          </cell>
          <cell r="G504" t="str">
            <v>ja</v>
          </cell>
          <cell r="H504" t="str">
            <v>【初級】妄執とり憑く美貌の妃</v>
          </cell>
          <cell r="I504" t="str">
            <v>初級</v>
          </cell>
          <cell r="J504">
            <v>856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6</v>
          </cell>
          <cell r="AD504">
            <v>6</v>
          </cell>
          <cell r="AE504" t="str">
            <v>everyone</v>
          </cell>
        </row>
        <row r="505">
          <cell r="A505" t="str">
            <v>20015_2</v>
          </cell>
          <cell r="B505">
            <v>3</v>
          </cell>
          <cell r="C505">
            <v>20015</v>
          </cell>
          <cell r="D505" t="str">
            <v>妄執とり憑く美貌の妃</v>
          </cell>
          <cell r="E505" t="str">
            <v>おとぎ話シリーズ3</v>
          </cell>
          <cell r="F505">
            <v>2</v>
          </cell>
          <cell r="G505" t="str">
            <v>ja</v>
          </cell>
          <cell r="H505" t="str">
            <v>【中級】妄執とり憑く美貌の妃</v>
          </cell>
          <cell r="I505" t="str">
            <v>中級</v>
          </cell>
          <cell r="J505">
            <v>856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6</v>
          </cell>
          <cell r="AD505">
            <v>6</v>
          </cell>
          <cell r="AE505" t="str">
            <v>everyone</v>
          </cell>
        </row>
        <row r="506">
          <cell r="A506" t="str">
            <v>20015_3</v>
          </cell>
          <cell r="B506">
            <v>3</v>
          </cell>
          <cell r="C506">
            <v>20015</v>
          </cell>
          <cell r="D506" t="str">
            <v>妄執とり憑く美貌の妃</v>
          </cell>
          <cell r="E506" t="str">
            <v>おとぎ話シリーズ3</v>
          </cell>
          <cell r="F506">
            <v>3</v>
          </cell>
          <cell r="G506" t="str">
            <v>ja</v>
          </cell>
          <cell r="H506" t="str">
            <v>【上級】妄執とり憑く美貌の妃</v>
          </cell>
          <cell r="I506" t="str">
            <v>上級</v>
          </cell>
          <cell r="J506">
            <v>857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6</v>
          </cell>
          <cell r="AD506">
            <v>6</v>
          </cell>
          <cell r="AE506" t="str">
            <v>everyone</v>
          </cell>
        </row>
        <row r="507">
          <cell r="A507" t="str">
            <v>20016_1</v>
          </cell>
          <cell r="B507">
            <v>3</v>
          </cell>
          <cell r="C507">
            <v>20016</v>
          </cell>
          <cell r="D507" t="str">
            <v>寡黙な翼竜の侵攻</v>
          </cell>
          <cell r="E507" t="str">
            <v>ギリシャ神話01</v>
          </cell>
          <cell r="F507">
            <v>1</v>
          </cell>
          <cell r="G507" t="str">
            <v>ja</v>
          </cell>
          <cell r="H507" t="str">
            <v>【初級】寡黙な翼竜の侵攻</v>
          </cell>
          <cell r="I507" t="str">
            <v>初級</v>
          </cell>
          <cell r="J507">
            <v>739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13</v>
          </cell>
          <cell r="AD507">
            <v>6</v>
          </cell>
          <cell r="AE507" t="str">
            <v>everyone</v>
          </cell>
        </row>
        <row r="508">
          <cell r="A508" t="str">
            <v>20016_2</v>
          </cell>
          <cell r="B508">
            <v>3</v>
          </cell>
          <cell r="C508">
            <v>20016</v>
          </cell>
          <cell r="D508" t="str">
            <v>寡黙な翼竜の侵攻</v>
          </cell>
          <cell r="E508" t="str">
            <v>ギリシャ神話01</v>
          </cell>
          <cell r="F508">
            <v>2</v>
          </cell>
          <cell r="G508" t="str">
            <v>ja</v>
          </cell>
          <cell r="H508" t="str">
            <v>【中級】寡黙な翼竜の侵攻</v>
          </cell>
          <cell r="I508" t="str">
            <v>中級</v>
          </cell>
          <cell r="J508">
            <v>739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13</v>
          </cell>
          <cell r="AD508">
            <v>6</v>
          </cell>
          <cell r="AE508" t="str">
            <v>everyone</v>
          </cell>
        </row>
        <row r="509">
          <cell r="A509" t="str">
            <v>20016_3</v>
          </cell>
          <cell r="B509">
            <v>3</v>
          </cell>
          <cell r="C509">
            <v>20016</v>
          </cell>
          <cell r="D509" t="str">
            <v>寡黙な翼竜の侵攻</v>
          </cell>
          <cell r="E509" t="str">
            <v>ギリシャ神話01</v>
          </cell>
          <cell r="F509">
            <v>3</v>
          </cell>
          <cell r="G509" t="str">
            <v>ja</v>
          </cell>
          <cell r="H509" t="str">
            <v>【上級】寡黙な翼竜の侵攻</v>
          </cell>
          <cell r="I509" t="str">
            <v>上級</v>
          </cell>
          <cell r="J509">
            <v>739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13</v>
          </cell>
          <cell r="AD509">
            <v>6</v>
          </cell>
          <cell r="AE509" t="str">
            <v>everyone</v>
          </cell>
        </row>
        <row r="510">
          <cell r="A510" t="str">
            <v>20017_1</v>
          </cell>
          <cell r="B510">
            <v>3</v>
          </cell>
          <cell r="C510">
            <v>20017</v>
          </cell>
          <cell r="D510" t="str">
            <v>隻腕の提督</v>
          </cell>
          <cell r="E510" t="str">
            <v>フランス革命01</v>
          </cell>
          <cell r="F510">
            <v>1</v>
          </cell>
          <cell r="G510" t="str">
            <v>ja</v>
          </cell>
          <cell r="H510" t="str">
            <v>【初級】隻腕の提督</v>
          </cell>
          <cell r="I510" t="str">
            <v>初級</v>
          </cell>
          <cell r="J510">
            <v>932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0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24</v>
          </cell>
          <cell r="AD510">
            <v>6</v>
          </cell>
          <cell r="AE510" t="str">
            <v>everyone</v>
          </cell>
        </row>
        <row r="511">
          <cell r="A511" t="str">
            <v>20017_2</v>
          </cell>
          <cell r="B511">
            <v>3</v>
          </cell>
          <cell r="C511">
            <v>20017</v>
          </cell>
          <cell r="D511" t="str">
            <v>隻腕の提督</v>
          </cell>
          <cell r="E511" t="str">
            <v>フランス革命01</v>
          </cell>
          <cell r="F511">
            <v>2</v>
          </cell>
          <cell r="G511" t="str">
            <v>ja</v>
          </cell>
          <cell r="H511" t="str">
            <v>【中級】隻腕の提督</v>
          </cell>
          <cell r="I511" t="str">
            <v>中級</v>
          </cell>
          <cell r="J511">
            <v>932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0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24</v>
          </cell>
          <cell r="AD511">
            <v>6</v>
          </cell>
          <cell r="AE511" t="str">
            <v>everyone</v>
          </cell>
        </row>
        <row r="512">
          <cell r="A512" t="str">
            <v>20017_3</v>
          </cell>
          <cell r="B512">
            <v>3</v>
          </cell>
          <cell r="C512">
            <v>20017</v>
          </cell>
          <cell r="D512" t="str">
            <v>隻腕の提督</v>
          </cell>
          <cell r="E512" t="str">
            <v>フランス革命01</v>
          </cell>
          <cell r="F512">
            <v>3</v>
          </cell>
          <cell r="G512" t="str">
            <v>ja</v>
          </cell>
          <cell r="H512" t="str">
            <v>【上級】隻腕の提督</v>
          </cell>
          <cell r="I512" t="str">
            <v>上級</v>
          </cell>
          <cell r="J512">
            <v>932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0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24</v>
          </cell>
          <cell r="AD512">
            <v>6</v>
          </cell>
          <cell r="AE512" t="str">
            <v>everyone</v>
          </cell>
        </row>
        <row r="513">
          <cell r="A513" t="str">
            <v>20018_1</v>
          </cell>
          <cell r="B513">
            <v>3</v>
          </cell>
          <cell r="C513">
            <v>20018</v>
          </cell>
          <cell r="D513" t="str">
            <v>魂を屠る黒影</v>
          </cell>
          <cell r="E513" t="str">
            <v>エジプト01</v>
          </cell>
          <cell r="F513">
            <v>1</v>
          </cell>
          <cell r="G513" t="str">
            <v>ja</v>
          </cell>
          <cell r="H513" t="str">
            <v>【初級】魂を屠る黒影</v>
          </cell>
          <cell r="I513" t="str">
            <v>初級</v>
          </cell>
          <cell r="J513">
            <v>1005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7</v>
          </cell>
          <cell r="AD513">
            <v>6</v>
          </cell>
          <cell r="AE513" t="str">
            <v>everyone</v>
          </cell>
        </row>
        <row r="514">
          <cell r="A514" t="str">
            <v>20018_2</v>
          </cell>
          <cell r="B514">
            <v>3</v>
          </cell>
          <cell r="C514">
            <v>20018</v>
          </cell>
          <cell r="D514" t="str">
            <v>魂を屠る黒影</v>
          </cell>
          <cell r="E514" t="str">
            <v>エジプト01</v>
          </cell>
          <cell r="F514">
            <v>2</v>
          </cell>
          <cell r="G514" t="str">
            <v>ja</v>
          </cell>
          <cell r="H514" t="str">
            <v>【中級】魂を屠る黒影</v>
          </cell>
          <cell r="I514" t="str">
            <v>中級</v>
          </cell>
          <cell r="J514">
            <v>1005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7</v>
          </cell>
          <cell r="AD514">
            <v>6</v>
          </cell>
          <cell r="AE514" t="str">
            <v>everyone</v>
          </cell>
        </row>
        <row r="515">
          <cell r="A515" t="str">
            <v>20018_3</v>
          </cell>
          <cell r="B515">
            <v>3</v>
          </cell>
          <cell r="C515">
            <v>20018</v>
          </cell>
          <cell r="D515" t="str">
            <v>魂を屠る黒影</v>
          </cell>
          <cell r="E515" t="str">
            <v>エジプト01</v>
          </cell>
          <cell r="F515">
            <v>3</v>
          </cell>
          <cell r="G515" t="str">
            <v>ja</v>
          </cell>
          <cell r="H515" t="str">
            <v>【上級】魂を屠る黒影</v>
          </cell>
          <cell r="I515" t="str">
            <v>上級</v>
          </cell>
          <cell r="J515">
            <v>1005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7</v>
          </cell>
          <cell r="AD515">
            <v>6</v>
          </cell>
          <cell r="AE515" t="str">
            <v>everyone</v>
          </cell>
        </row>
        <row r="516">
          <cell r="A516" t="str">
            <v>20019_1</v>
          </cell>
          <cell r="B516">
            <v>3</v>
          </cell>
          <cell r="C516">
            <v>20019</v>
          </cell>
          <cell r="D516" t="str">
            <v>灼熱の舞姫</v>
          </cell>
          <cell r="E516" t="str">
            <v>平安01</v>
          </cell>
          <cell r="F516">
            <v>1</v>
          </cell>
          <cell r="G516" t="str">
            <v>ja</v>
          </cell>
          <cell r="H516" t="str">
            <v>【初級】灼熱の舞姫</v>
          </cell>
          <cell r="I516" t="str">
            <v>初級</v>
          </cell>
          <cell r="J516">
            <v>1020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</v>
          </cell>
          <cell r="AD516">
            <v>6</v>
          </cell>
          <cell r="AE516" t="str">
            <v>everyone</v>
          </cell>
        </row>
        <row r="517">
          <cell r="A517" t="str">
            <v>20019_2</v>
          </cell>
          <cell r="B517">
            <v>3</v>
          </cell>
          <cell r="C517">
            <v>20019</v>
          </cell>
          <cell r="D517" t="str">
            <v>灼熱の舞姫</v>
          </cell>
          <cell r="E517" t="str">
            <v>平安01</v>
          </cell>
          <cell r="F517">
            <v>2</v>
          </cell>
          <cell r="G517" t="str">
            <v>ja</v>
          </cell>
          <cell r="H517" t="str">
            <v>【中級】灼熱の舞姫</v>
          </cell>
          <cell r="I517" t="str">
            <v>中級</v>
          </cell>
          <cell r="J517">
            <v>1020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</v>
          </cell>
          <cell r="AD517">
            <v>6</v>
          </cell>
          <cell r="AE517" t="str">
            <v>everyone</v>
          </cell>
        </row>
        <row r="518">
          <cell r="A518" t="str">
            <v>20019_3</v>
          </cell>
          <cell r="B518">
            <v>3</v>
          </cell>
          <cell r="C518">
            <v>20019</v>
          </cell>
          <cell r="D518" t="str">
            <v>灼熱の舞姫</v>
          </cell>
          <cell r="E518" t="str">
            <v>平安01</v>
          </cell>
          <cell r="F518">
            <v>3</v>
          </cell>
          <cell r="G518" t="str">
            <v>ja</v>
          </cell>
          <cell r="H518" t="str">
            <v>【上級】灼熱の舞姫</v>
          </cell>
          <cell r="I518" t="str">
            <v>上級</v>
          </cell>
          <cell r="J518">
            <v>1020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</v>
          </cell>
          <cell r="AD518">
            <v>6</v>
          </cell>
          <cell r="AE518" t="str">
            <v>everyone</v>
          </cell>
        </row>
        <row r="519">
          <cell r="A519" t="str">
            <v>20020_1</v>
          </cell>
          <cell r="B519">
            <v>3</v>
          </cell>
          <cell r="C519">
            <v>20020</v>
          </cell>
          <cell r="D519" t="str">
            <v>変幻自在の風</v>
          </cell>
          <cell r="E519" t="str">
            <v>メソポタミア01</v>
          </cell>
          <cell r="F519">
            <v>1</v>
          </cell>
          <cell r="G519" t="str">
            <v>ja</v>
          </cell>
          <cell r="H519" t="str">
            <v>【初級】変幻自在の風</v>
          </cell>
          <cell r="I519" t="str">
            <v>初級</v>
          </cell>
          <cell r="J519">
            <v>1060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23</v>
          </cell>
          <cell r="AD519">
            <v>6</v>
          </cell>
          <cell r="AE519" t="str">
            <v>everyone</v>
          </cell>
        </row>
        <row r="520">
          <cell r="A520" t="str">
            <v>20020_2</v>
          </cell>
          <cell r="B520">
            <v>3</v>
          </cell>
          <cell r="C520">
            <v>20020</v>
          </cell>
          <cell r="D520" t="str">
            <v>変幻自在の風</v>
          </cell>
          <cell r="E520" t="str">
            <v>メソポタミア01</v>
          </cell>
          <cell r="F520">
            <v>2</v>
          </cell>
          <cell r="G520" t="str">
            <v>ja</v>
          </cell>
          <cell r="H520" t="str">
            <v>【中級】変幻自在の風</v>
          </cell>
          <cell r="I520" t="str">
            <v>中級</v>
          </cell>
          <cell r="J520">
            <v>1060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23</v>
          </cell>
          <cell r="AD520">
            <v>6</v>
          </cell>
          <cell r="AE520" t="str">
            <v>everyone</v>
          </cell>
        </row>
        <row r="521">
          <cell r="A521" t="str">
            <v>20020_3</v>
          </cell>
          <cell r="B521">
            <v>3</v>
          </cell>
          <cell r="C521">
            <v>20020</v>
          </cell>
          <cell r="D521" t="str">
            <v>変幻自在の風</v>
          </cell>
          <cell r="E521" t="str">
            <v>メソポタミア01</v>
          </cell>
          <cell r="F521">
            <v>3</v>
          </cell>
          <cell r="G521" t="str">
            <v>ja</v>
          </cell>
          <cell r="H521" t="str">
            <v>【上級】変幻自在の風</v>
          </cell>
          <cell r="I521" t="str">
            <v>上級</v>
          </cell>
          <cell r="J521">
            <v>1060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23</v>
          </cell>
          <cell r="AD521">
            <v>6</v>
          </cell>
          <cell r="AE521" t="str">
            <v>everyone</v>
          </cell>
        </row>
        <row r="522">
          <cell r="A522" t="str">
            <v>20021_1</v>
          </cell>
          <cell r="B522">
            <v>3</v>
          </cell>
          <cell r="C522">
            <v>20021</v>
          </cell>
          <cell r="D522" t="str">
            <v>ペインター・オブ・ラブ</v>
          </cell>
          <cell r="E522" t="str">
            <v>画家シリーズ01</v>
          </cell>
          <cell r="F522">
            <v>1</v>
          </cell>
          <cell r="G522" t="str">
            <v>ja</v>
          </cell>
          <cell r="H522" t="str">
            <v>【初級】ペインター・オブ・ラブ</v>
          </cell>
          <cell r="I522" t="str">
            <v>初級</v>
          </cell>
          <cell r="J522">
            <v>1095</v>
          </cell>
          <cell r="K522">
            <v>8</v>
          </cell>
          <cell r="L522">
            <v>384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4</v>
          </cell>
          <cell r="AD522">
            <v>6</v>
          </cell>
          <cell r="AE522" t="str">
            <v>everyone</v>
          </cell>
        </row>
        <row r="523">
          <cell r="A523" t="str">
            <v>20021_2</v>
          </cell>
          <cell r="B523">
            <v>3</v>
          </cell>
          <cell r="C523">
            <v>20021</v>
          </cell>
          <cell r="D523" t="str">
            <v>ペインター・オブ・ラブ</v>
          </cell>
          <cell r="E523" t="str">
            <v>画家シリーズ01</v>
          </cell>
          <cell r="F523">
            <v>2</v>
          </cell>
          <cell r="G523" t="str">
            <v>ja</v>
          </cell>
          <cell r="H523" t="str">
            <v>【中級】ペインター・オブ・ラブ</v>
          </cell>
          <cell r="I523" t="str">
            <v>中級</v>
          </cell>
          <cell r="J523">
            <v>1095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4</v>
          </cell>
          <cell r="AD523">
            <v>6</v>
          </cell>
          <cell r="AE523" t="str">
            <v>everyone</v>
          </cell>
        </row>
        <row r="524">
          <cell r="A524" t="str">
            <v>20021_3</v>
          </cell>
          <cell r="B524">
            <v>3</v>
          </cell>
          <cell r="C524">
            <v>20021</v>
          </cell>
          <cell r="D524" t="str">
            <v>ペインター・オブ・ラブ</v>
          </cell>
          <cell r="E524" t="str">
            <v>画家シリーズ01</v>
          </cell>
          <cell r="F524">
            <v>3</v>
          </cell>
          <cell r="G524" t="str">
            <v>ja</v>
          </cell>
          <cell r="H524" t="str">
            <v>【上級】ペインター・オブ・ラブ</v>
          </cell>
          <cell r="I524" t="str">
            <v>上級</v>
          </cell>
          <cell r="J524">
            <v>1095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4</v>
          </cell>
          <cell r="AD524">
            <v>6</v>
          </cell>
          <cell r="AE524" t="str">
            <v>everyone</v>
          </cell>
        </row>
        <row r="525">
          <cell r="A525" t="str">
            <v>20022_1</v>
          </cell>
          <cell r="B525">
            <v>3</v>
          </cell>
          <cell r="C525">
            <v>20022</v>
          </cell>
          <cell r="D525" t="str">
            <v>年を越える宴</v>
          </cell>
          <cell r="E525" t="str">
            <v>季節イベント</v>
          </cell>
          <cell r="F525">
            <v>1</v>
          </cell>
          <cell r="G525" t="str">
            <v>ja</v>
          </cell>
          <cell r="H525" t="str">
            <v>【上級】年を越える宴（ハートなし）</v>
          </cell>
          <cell r="I525" t="str">
            <v>2016年年忘れクエスト</v>
          </cell>
          <cell r="J525">
            <v>377</v>
          </cell>
          <cell r="K525">
            <v>10</v>
          </cell>
          <cell r="L525">
            <v>350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0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901</v>
          </cell>
          <cell r="AD525">
            <v>6</v>
          </cell>
          <cell r="AE525" t="str">
            <v>multionly</v>
          </cell>
        </row>
        <row r="526">
          <cell r="A526" t="str">
            <v>30001_1</v>
          </cell>
          <cell r="B526">
            <v>3</v>
          </cell>
          <cell r="C526">
            <v>30001</v>
          </cell>
          <cell r="D526" t="str">
            <v>ハンター・オブ・ハンター</v>
          </cell>
          <cell r="E526" t="str">
            <v>ドロップイベント1-1（マルチ専用）</v>
          </cell>
          <cell r="F526">
            <v>1</v>
          </cell>
          <cell r="G526" t="str">
            <v>ja</v>
          </cell>
          <cell r="H526" t="str">
            <v xml:space="preserve">【中級】ハンター・オブ・ハンター </v>
          </cell>
          <cell r="I526" t="str">
            <v>中級</v>
          </cell>
          <cell r="J526">
            <v>270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7</v>
          </cell>
          <cell r="AD526">
            <v>6</v>
          </cell>
          <cell r="AE526" t="str">
            <v>everyone</v>
          </cell>
        </row>
        <row r="527">
          <cell r="A527" t="str">
            <v>30001_2</v>
          </cell>
          <cell r="B527">
            <v>3</v>
          </cell>
          <cell r="C527">
            <v>30001</v>
          </cell>
          <cell r="D527" t="str">
            <v>ハンター・オブ・ハンター</v>
          </cell>
          <cell r="E527" t="str">
            <v>ドロップイベント1-1（マルチ専用）</v>
          </cell>
          <cell r="F527">
            <v>2</v>
          </cell>
          <cell r="G527" t="str">
            <v>ja</v>
          </cell>
          <cell r="H527" t="str">
            <v xml:space="preserve">【上級】ハンター・オブ・ハンター </v>
          </cell>
          <cell r="I527" t="str">
            <v>上級</v>
          </cell>
          <cell r="J527">
            <v>270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7</v>
          </cell>
          <cell r="AD527">
            <v>6</v>
          </cell>
          <cell r="AE527" t="str">
            <v>everyone</v>
          </cell>
        </row>
        <row r="528">
          <cell r="A528" t="str">
            <v>30001_3</v>
          </cell>
          <cell r="B528">
            <v>3</v>
          </cell>
          <cell r="C528">
            <v>30001</v>
          </cell>
          <cell r="D528" t="str">
            <v>ハンター・オブ・ハンター</v>
          </cell>
          <cell r="E528" t="str">
            <v>ドロップイベント1-1（マルチ専用）</v>
          </cell>
          <cell r="F528">
            <v>3</v>
          </cell>
          <cell r="G528" t="str">
            <v>ja</v>
          </cell>
          <cell r="H528" t="str">
            <v xml:space="preserve">【超級】ハンター・オブ・ハンター </v>
          </cell>
          <cell r="I528" t="str">
            <v>超級</v>
          </cell>
          <cell r="J528">
            <v>271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7</v>
          </cell>
          <cell r="AD528">
            <v>6</v>
          </cell>
          <cell r="AE528" t="str">
            <v>everyone</v>
          </cell>
        </row>
        <row r="529">
          <cell r="A529" t="str">
            <v>30002_1</v>
          </cell>
          <cell r="B529">
            <v>3</v>
          </cell>
          <cell r="C529">
            <v>30002</v>
          </cell>
          <cell r="D529" t="str">
            <v>トリックスター</v>
          </cell>
          <cell r="E529" t="str">
            <v>ドロップイベント1-2（マルチ専用）</v>
          </cell>
          <cell r="F529">
            <v>1</v>
          </cell>
          <cell r="G529" t="str">
            <v>ja</v>
          </cell>
          <cell r="H529" t="str">
            <v xml:space="preserve">【中級】トリックスター </v>
          </cell>
          <cell r="I529" t="str">
            <v>中級</v>
          </cell>
          <cell r="J529">
            <v>272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17</v>
          </cell>
          <cell r="AD529">
            <v>6</v>
          </cell>
          <cell r="AE529" t="str">
            <v>everyone</v>
          </cell>
        </row>
        <row r="530">
          <cell r="A530" t="str">
            <v>30002_2</v>
          </cell>
          <cell r="B530">
            <v>3</v>
          </cell>
          <cell r="C530">
            <v>30002</v>
          </cell>
          <cell r="D530" t="str">
            <v>トリックスター</v>
          </cell>
          <cell r="E530" t="str">
            <v>ドロップイベント1-2（マルチ専用）</v>
          </cell>
          <cell r="F530">
            <v>2</v>
          </cell>
          <cell r="G530" t="str">
            <v>ja</v>
          </cell>
          <cell r="H530" t="str">
            <v xml:space="preserve">【上級】トリックスター </v>
          </cell>
          <cell r="I530" t="str">
            <v>上級</v>
          </cell>
          <cell r="J530">
            <v>272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17</v>
          </cell>
          <cell r="AD530">
            <v>6</v>
          </cell>
          <cell r="AE530" t="str">
            <v>everyone</v>
          </cell>
        </row>
        <row r="531">
          <cell r="A531" t="str">
            <v>30002_3</v>
          </cell>
          <cell r="B531">
            <v>3</v>
          </cell>
          <cell r="C531">
            <v>30002</v>
          </cell>
          <cell r="D531" t="str">
            <v>トリックスター</v>
          </cell>
          <cell r="E531" t="str">
            <v>ドロップイベント1-2（マルチ専用）</v>
          </cell>
          <cell r="F531">
            <v>3</v>
          </cell>
          <cell r="G531" t="str">
            <v>ja</v>
          </cell>
          <cell r="H531" t="str">
            <v xml:space="preserve">【超級】トリックスター </v>
          </cell>
          <cell r="I531" t="str">
            <v>超級</v>
          </cell>
          <cell r="J531">
            <v>273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17</v>
          </cell>
          <cell r="AD531">
            <v>6</v>
          </cell>
          <cell r="AE531" t="str">
            <v>everyone</v>
          </cell>
        </row>
        <row r="532">
          <cell r="A532" t="str">
            <v>30003_1</v>
          </cell>
          <cell r="B532">
            <v>3</v>
          </cell>
          <cell r="C532">
            <v>30003</v>
          </cell>
          <cell r="D532" t="str">
            <v>打ち下ろされる砕棒</v>
          </cell>
          <cell r="E532" t="str">
            <v>ドロップイベント1-3（マルチ専用）</v>
          </cell>
          <cell r="F532">
            <v>1</v>
          </cell>
          <cell r="G532" t="str">
            <v>ja</v>
          </cell>
          <cell r="H532" t="str">
            <v xml:space="preserve">【中級】打ち下ろされる砕棒 </v>
          </cell>
          <cell r="I532" t="str">
            <v>中級</v>
          </cell>
          <cell r="J532">
            <v>274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20</v>
          </cell>
          <cell r="AD532">
            <v>6</v>
          </cell>
          <cell r="AE532" t="str">
            <v>everyone</v>
          </cell>
        </row>
        <row r="533">
          <cell r="A533" t="str">
            <v>30003_2</v>
          </cell>
          <cell r="B533">
            <v>3</v>
          </cell>
          <cell r="C533">
            <v>30003</v>
          </cell>
          <cell r="D533" t="str">
            <v>打ち下ろされる砕棒</v>
          </cell>
          <cell r="E533" t="str">
            <v>ドロップイベント1-3（マルチ専用）</v>
          </cell>
          <cell r="F533">
            <v>2</v>
          </cell>
          <cell r="G533" t="str">
            <v>ja</v>
          </cell>
          <cell r="H533" t="str">
            <v>【上級】打ち下ろされる砕棒</v>
          </cell>
          <cell r="I533" t="str">
            <v>上級</v>
          </cell>
          <cell r="J533">
            <v>274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20</v>
          </cell>
          <cell r="AD533">
            <v>6</v>
          </cell>
          <cell r="AE533" t="str">
            <v>everyone</v>
          </cell>
        </row>
        <row r="534">
          <cell r="A534" t="str">
            <v>30003_3</v>
          </cell>
          <cell r="B534">
            <v>3</v>
          </cell>
          <cell r="C534">
            <v>30003</v>
          </cell>
          <cell r="D534" t="str">
            <v>打ち下ろされる砕棒</v>
          </cell>
          <cell r="E534" t="str">
            <v>ドロップイベント1-3（マルチ専用）</v>
          </cell>
          <cell r="F534">
            <v>3</v>
          </cell>
          <cell r="G534" t="str">
            <v>ja</v>
          </cell>
          <cell r="H534" t="str">
            <v xml:space="preserve">【超級】打ち下ろされる砕棒 </v>
          </cell>
          <cell r="I534" t="str">
            <v>超級</v>
          </cell>
          <cell r="J534">
            <v>275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20</v>
          </cell>
          <cell r="AD534">
            <v>6</v>
          </cell>
          <cell r="AE534" t="str">
            <v>everyone</v>
          </cell>
        </row>
        <row r="535">
          <cell r="A535" t="str">
            <v>30004_1</v>
          </cell>
          <cell r="B535">
            <v>3</v>
          </cell>
          <cell r="C535">
            <v>30004</v>
          </cell>
          <cell r="D535" t="str">
            <v>危険な仲裁者</v>
          </cell>
          <cell r="E535" t="str">
            <v>ドロップイベント1-4（マルチ専用）</v>
          </cell>
          <cell r="F535">
            <v>1</v>
          </cell>
          <cell r="G535" t="str">
            <v>ja</v>
          </cell>
          <cell r="H535" t="str">
            <v xml:space="preserve">【中級】危険な仲裁者 </v>
          </cell>
          <cell r="I535" t="str">
            <v>中級</v>
          </cell>
          <cell r="J535">
            <v>276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14</v>
          </cell>
          <cell r="AD535">
            <v>6</v>
          </cell>
          <cell r="AE535" t="str">
            <v>everyone</v>
          </cell>
        </row>
        <row r="536">
          <cell r="A536" t="str">
            <v>30004_2</v>
          </cell>
          <cell r="B536">
            <v>3</v>
          </cell>
          <cell r="C536">
            <v>30004</v>
          </cell>
          <cell r="D536" t="str">
            <v>危険な仲裁者</v>
          </cell>
          <cell r="E536" t="str">
            <v>ドロップイベント1-4（マルチ専用）</v>
          </cell>
          <cell r="F536">
            <v>2</v>
          </cell>
          <cell r="G536" t="str">
            <v>ja</v>
          </cell>
          <cell r="H536" t="str">
            <v xml:space="preserve">【上級】危険な仲裁者 </v>
          </cell>
          <cell r="I536" t="str">
            <v>上級</v>
          </cell>
          <cell r="J536">
            <v>276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14</v>
          </cell>
          <cell r="AD536">
            <v>6</v>
          </cell>
          <cell r="AE536" t="str">
            <v>everyone</v>
          </cell>
        </row>
        <row r="537">
          <cell r="A537" t="str">
            <v>30004_3</v>
          </cell>
          <cell r="B537">
            <v>3</v>
          </cell>
          <cell r="C537">
            <v>30004</v>
          </cell>
          <cell r="D537" t="str">
            <v>危険な仲裁者</v>
          </cell>
          <cell r="E537" t="str">
            <v>ドロップイベント1-4（マルチ専用）</v>
          </cell>
          <cell r="F537">
            <v>3</v>
          </cell>
          <cell r="G537" t="str">
            <v>ja</v>
          </cell>
          <cell r="H537" t="str">
            <v xml:space="preserve">【超級】危険な仲裁者 </v>
          </cell>
          <cell r="I537" t="str">
            <v>超級</v>
          </cell>
          <cell r="J537">
            <v>277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14</v>
          </cell>
          <cell r="AD537">
            <v>6</v>
          </cell>
          <cell r="AE537" t="str">
            <v>everyone</v>
          </cell>
        </row>
        <row r="538">
          <cell r="A538" t="str">
            <v>30005_1</v>
          </cell>
          <cell r="B538">
            <v>3</v>
          </cell>
          <cell r="C538">
            <v>30005</v>
          </cell>
          <cell r="D538" t="str">
            <v>ニンゲンにしてあげる☆</v>
          </cell>
          <cell r="E538" t="str">
            <v>ドロップイベント2-1（マルチ専用）</v>
          </cell>
          <cell r="F538">
            <v>1</v>
          </cell>
          <cell r="G538" t="str">
            <v>ja</v>
          </cell>
          <cell r="H538" t="str">
            <v xml:space="preserve">【中級】ニンゲンにしてあげる </v>
          </cell>
          <cell r="I538" t="str">
            <v>中級</v>
          </cell>
          <cell r="J538">
            <v>290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11</v>
          </cell>
          <cell r="AD538">
            <v>6</v>
          </cell>
          <cell r="AE538" t="str">
            <v>everyone</v>
          </cell>
        </row>
        <row r="539">
          <cell r="A539" t="str">
            <v>30005_2</v>
          </cell>
          <cell r="B539">
            <v>3</v>
          </cell>
          <cell r="C539">
            <v>30005</v>
          </cell>
          <cell r="D539" t="str">
            <v>ニンゲンにしてあげる☆</v>
          </cell>
          <cell r="E539" t="str">
            <v>ドロップイベント2-1（マルチ専用）</v>
          </cell>
          <cell r="F539">
            <v>2</v>
          </cell>
          <cell r="G539" t="str">
            <v>ja</v>
          </cell>
          <cell r="H539" t="str">
            <v xml:space="preserve">【上級】ニンゲンにしてあげる </v>
          </cell>
          <cell r="I539" t="str">
            <v>上級</v>
          </cell>
          <cell r="J539">
            <v>290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11</v>
          </cell>
          <cell r="AD539">
            <v>6</v>
          </cell>
          <cell r="AE539" t="str">
            <v>everyone</v>
          </cell>
        </row>
        <row r="540">
          <cell r="A540" t="str">
            <v>30005_3</v>
          </cell>
          <cell r="B540">
            <v>3</v>
          </cell>
          <cell r="C540">
            <v>30005</v>
          </cell>
          <cell r="D540" t="str">
            <v>ニンゲンにしてあげる☆</v>
          </cell>
          <cell r="E540" t="str">
            <v>ドロップイベント2-1（マルチ専用）</v>
          </cell>
          <cell r="F540">
            <v>3</v>
          </cell>
          <cell r="G540" t="str">
            <v>ja</v>
          </cell>
          <cell r="H540" t="str">
            <v>【超級】ニンゲンにしてあげる</v>
          </cell>
          <cell r="I540" t="str">
            <v>超級</v>
          </cell>
          <cell r="J540">
            <v>291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11</v>
          </cell>
          <cell r="AD540">
            <v>6</v>
          </cell>
          <cell r="AE540" t="str">
            <v>everyone</v>
          </cell>
        </row>
        <row r="541">
          <cell r="A541" t="str">
            <v>30006_1</v>
          </cell>
          <cell r="B541">
            <v>3</v>
          </cell>
          <cell r="C541">
            <v>30006</v>
          </cell>
          <cell r="D541" t="str">
            <v>それはお前を食べるためさ</v>
          </cell>
          <cell r="E541" t="str">
            <v>ドロップイベント2-3（マルチ専用）</v>
          </cell>
          <cell r="F541">
            <v>1</v>
          </cell>
          <cell r="G541" t="str">
            <v>ja</v>
          </cell>
          <cell r="H541" t="str">
            <v>【中級】それはお前を食べるためさ</v>
          </cell>
          <cell r="I541" t="str">
            <v>中級</v>
          </cell>
          <cell r="J541">
            <v>294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7</v>
          </cell>
          <cell r="AD541">
            <v>6</v>
          </cell>
          <cell r="AE541" t="str">
            <v>everyone</v>
          </cell>
        </row>
        <row r="542">
          <cell r="A542" t="str">
            <v>30006_2</v>
          </cell>
          <cell r="B542">
            <v>3</v>
          </cell>
          <cell r="C542">
            <v>30006</v>
          </cell>
          <cell r="D542" t="str">
            <v>それはお前を食べるためさ</v>
          </cell>
          <cell r="E542" t="str">
            <v>ドロップイベント2-3（マルチ専用）</v>
          </cell>
          <cell r="F542">
            <v>2</v>
          </cell>
          <cell r="G542" t="str">
            <v>ja</v>
          </cell>
          <cell r="H542" t="str">
            <v>【上級】それはお前を食べるためさ</v>
          </cell>
          <cell r="I542" t="str">
            <v>上級</v>
          </cell>
          <cell r="J542">
            <v>294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7</v>
          </cell>
          <cell r="AD542">
            <v>6</v>
          </cell>
          <cell r="AE542" t="str">
            <v>everyone</v>
          </cell>
        </row>
        <row r="543">
          <cell r="A543" t="str">
            <v>30006_3</v>
          </cell>
          <cell r="B543">
            <v>3</v>
          </cell>
          <cell r="C543">
            <v>30006</v>
          </cell>
          <cell r="D543" t="str">
            <v>それはお前を食べるためさ</v>
          </cell>
          <cell r="E543" t="str">
            <v>ドロップイベント2-3（マルチ専用）</v>
          </cell>
          <cell r="F543">
            <v>3</v>
          </cell>
          <cell r="G543" t="str">
            <v>ja</v>
          </cell>
          <cell r="H543" t="str">
            <v>【超級】それはお前を食べるためさ</v>
          </cell>
          <cell r="I543" t="str">
            <v>超級</v>
          </cell>
          <cell r="J543">
            <v>295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7</v>
          </cell>
          <cell r="AD543">
            <v>6</v>
          </cell>
          <cell r="AE543" t="str">
            <v>everyone</v>
          </cell>
        </row>
        <row r="544">
          <cell r="A544" t="str">
            <v>30007_1</v>
          </cell>
          <cell r="B544">
            <v>3</v>
          </cell>
          <cell r="C544">
            <v>30007</v>
          </cell>
          <cell r="D544" t="str">
            <v>ガラスの靴は私のもの</v>
          </cell>
          <cell r="E544" t="str">
            <v>ドロップイベント2-2（マルチ専用）</v>
          </cell>
          <cell r="F544">
            <v>1</v>
          </cell>
          <cell r="G544" t="str">
            <v>ja</v>
          </cell>
          <cell r="H544" t="str">
            <v xml:space="preserve">【中級】ガラスの靴は私のもの </v>
          </cell>
          <cell r="I544" t="str">
            <v>中級</v>
          </cell>
          <cell r="J544">
            <v>292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</v>
          </cell>
          <cell r="AD544">
            <v>6</v>
          </cell>
          <cell r="AE544" t="str">
            <v>everyone</v>
          </cell>
        </row>
        <row r="545">
          <cell r="A545" t="str">
            <v>30007_2</v>
          </cell>
          <cell r="B545">
            <v>3</v>
          </cell>
          <cell r="C545">
            <v>30007</v>
          </cell>
          <cell r="D545" t="str">
            <v>ガラスの靴は私のもの</v>
          </cell>
          <cell r="E545" t="str">
            <v>ドロップイベント2-2（マルチ専用）</v>
          </cell>
          <cell r="F545">
            <v>2</v>
          </cell>
          <cell r="G545" t="str">
            <v>ja</v>
          </cell>
          <cell r="H545" t="str">
            <v>【上級】ガラスの靴は私のもの</v>
          </cell>
          <cell r="I545" t="str">
            <v>上級</v>
          </cell>
          <cell r="J545">
            <v>292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</v>
          </cell>
          <cell r="AD545">
            <v>6</v>
          </cell>
          <cell r="AE545" t="str">
            <v>everyone</v>
          </cell>
        </row>
        <row r="546">
          <cell r="A546" t="str">
            <v>30007_3</v>
          </cell>
          <cell r="B546">
            <v>3</v>
          </cell>
          <cell r="C546">
            <v>30007</v>
          </cell>
          <cell r="D546" t="str">
            <v>ガラスの靴は私のもの</v>
          </cell>
          <cell r="E546" t="str">
            <v>ドロップイベント2-2（マルチ専用）</v>
          </cell>
          <cell r="F546">
            <v>3</v>
          </cell>
          <cell r="G546" t="str">
            <v>ja</v>
          </cell>
          <cell r="H546" t="str">
            <v xml:space="preserve">【超級】ガラスの靴は私のもの </v>
          </cell>
          <cell r="I546" t="str">
            <v>超級</v>
          </cell>
          <cell r="J546">
            <v>293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</v>
          </cell>
          <cell r="AD546">
            <v>6</v>
          </cell>
          <cell r="AE546" t="str">
            <v>everyone</v>
          </cell>
        </row>
        <row r="547">
          <cell r="A547" t="str">
            <v>30008_1</v>
          </cell>
          <cell r="B547">
            <v>3</v>
          </cell>
          <cell r="C547">
            <v>30008</v>
          </cell>
          <cell r="D547" t="str">
            <v>わたしの嫁を返してもらおう</v>
          </cell>
          <cell r="E547" t="str">
            <v>ドロップイベント2-4（マルチ専用）</v>
          </cell>
          <cell r="F547">
            <v>1</v>
          </cell>
          <cell r="G547" t="str">
            <v>ja</v>
          </cell>
          <cell r="H547" t="str">
            <v>【中級】わたしの嫁を返してもらおう</v>
          </cell>
          <cell r="I547" t="str">
            <v>中級</v>
          </cell>
          <cell r="J547">
            <v>288</v>
          </cell>
          <cell r="K547">
            <v>15</v>
          </cell>
          <cell r="L547">
            <v>1200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22</v>
          </cell>
          <cell r="AD547">
            <v>6</v>
          </cell>
          <cell r="AE547" t="str">
            <v>everyone</v>
          </cell>
        </row>
        <row r="548">
          <cell r="A548" t="str">
            <v>30008_2</v>
          </cell>
          <cell r="B548">
            <v>3</v>
          </cell>
          <cell r="C548">
            <v>30008</v>
          </cell>
          <cell r="D548" t="str">
            <v>わたしの嫁を返してもらおう</v>
          </cell>
          <cell r="E548" t="str">
            <v>ドロップイベント2-4（マルチ専用）</v>
          </cell>
          <cell r="F548">
            <v>2</v>
          </cell>
          <cell r="G548" t="str">
            <v>ja</v>
          </cell>
          <cell r="H548" t="str">
            <v>【上級】わたしの嫁を返してもらおう</v>
          </cell>
          <cell r="I548" t="str">
            <v>上級</v>
          </cell>
          <cell r="J548">
            <v>288</v>
          </cell>
          <cell r="K548">
            <v>20</v>
          </cell>
          <cell r="L548">
            <v>2000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22</v>
          </cell>
          <cell r="AD548">
            <v>6</v>
          </cell>
          <cell r="AE548" t="str">
            <v>everyone</v>
          </cell>
        </row>
        <row r="549">
          <cell r="A549" t="str">
            <v>30008_3</v>
          </cell>
          <cell r="B549">
            <v>3</v>
          </cell>
          <cell r="C549">
            <v>30008</v>
          </cell>
          <cell r="D549" t="str">
            <v>わたしの嫁を返してもらおう</v>
          </cell>
          <cell r="E549" t="str">
            <v>ドロップイベント2-4（マルチ専用）</v>
          </cell>
          <cell r="F549">
            <v>3</v>
          </cell>
          <cell r="G549" t="str">
            <v>ja</v>
          </cell>
          <cell r="H549" t="str">
            <v>【超級】わたしの嫁を返してもらおう</v>
          </cell>
          <cell r="I549" t="str">
            <v>超級</v>
          </cell>
          <cell r="J549">
            <v>289</v>
          </cell>
          <cell r="K549">
            <v>30</v>
          </cell>
          <cell r="L549">
            <v>3300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22</v>
          </cell>
          <cell r="AD549">
            <v>6</v>
          </cell>
          <cell r="AE549" t="str">
            <v>everyone</v>
          </cell>
        </row>
        <row r="550">
          <cell r="A550" t="str">
            <v>30009_3</v>
          </cell>
          <cell r="B550">
            <v>0</v>
          </cell>
          <cell r="C550">
            <v>30009</v>
          </cell>
          <cell r="D550" t="str">
            <v>復活の捕食者</v>
          </cell>
          <cell r="E550" t="str">
            <v>ドロップイベント3（マルチ専用）</v>
          </cell>
          <cell r="F550">
            <v>3</v>
          </cell>
          <cell r="G550" t="str">
            <v>ja</v>
          </cell>
          <cell r="H550" t="str">
            <v>【上級】復活の捕食者</v>
          </cell>
          <cell r="I550" t="str">
            <v>上級</v>
          </cell>
          <cell r="J550">
            <v>312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2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8</v>
          </cell>
          <cell r="AD550">
            <v>6</v>
          </cell>
          <cell r="AE550" t="str">
            <v>everyone</v>
          </cell>
        </row>
        <row r="551">
          <cell r="A551" t="str">
            <v>30009_1</v>
          </cell>
          <cell r="B551">
            <v>3</v>
          </cell>
          <cell r="C551">
            <v>30009</v>
          </cell>
          <cell r="D551" t="str">
            <v>復活の捕食者</v>
          </cell>
          <cell r="E551" t="str">
            <v>ドロップイベント3（マルチ専用）</v>
          </cell>
          <cell r="F551">
            <v>1</v>
          </cell>
          <cell r="G551" t="str">
            <v>ja</v>
          </cell>
          <cell r="H551" t="str">
            <v>【超級】復活の捕食者</v>
          </cell>
          <cell r="I551" t="str">
            <v>超級</v>
          </cell>
          <cell r="J551">
            <v>312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2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8</v>
          </cell>
          <cell r="AD551">
            <v>6</v>
          </cell>
          <cell r="AE551" t="str">
            <v>everyone</v>
          </cell>
        </row>
        <row r="552">
          <cell r="A552" t="str">
            <v>30009_2</v>
          </cell>
          <cell r="B552">
            <v>3</v>
          </cell>
          <cell r="C552">
            <v>30009</v>
          </cell>
          <cell r="D552" t="str">
            <v>復活の捕食者</v>
          </cell>
          <cell r="E552" t="str">
            <v>ドロップイベント3（マルチ専用）</v>
          </cell>
          <cell r="F552">
            <v>2</v>
          </cell>
          <cell r="G552" t="str">
            <v>ja</v>
          </cell>
          <cell r="H552" t="str">
            <v>【超絶級】復活の捕食者</v>
          </cell>
          <cell r="I552" t="str">
            <v>超絶級</v>
          </cell>
          <cell r="J552">
            <v>312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2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8</v>
          </cell>
          <cell r="AD552">
            <v>6</v>
          </cell>
          <cell r="AE552" t="str">
            <v>everyone</v>
          </cell>
        </row>
        <row r="553">
          <cell r="A553" t="str">
            <v>30010_1</v>
          </cell>
          <cell r="B553">
            <v>3</v>
          </cell>
          <cell r="C553">
            <v>30010</v>
          </cell>
          <cell r="D553" t="str">
            <v>最大最凶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【上級】最大最凶</v>
          </cell>
          <cell r="I553" t="str">
            <v>上級</v>
          </cell>
          <cell r="J553">
            <v>306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2</v>
          </cell>
          <cell r="AD553">
            <v>7</v>
          </cell>
          <cell r="AE553" t="str">
            <v>everyone</v>
          </cell>
        </row>
        <row r="554">
          <cell r="A554" t="str">
            <v>30010_2</v>
          </cell>
          <cell r="B554">
            <v>3</v>
          </cell>
          <cell r="C554">
            <v>30010</v>
          </cell>
          <cell r="D554" t="str">
            <v>最大最凶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【超級】最大最凶</v>
          </cell>
          <cell r="I554" t="str">
            <v>超級</v>
          </cell>
          <cell r="J554">
            <v>306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2</v>
          </cell>
          <cell r="AD554">
            <v>7</v>
          </cell>
          <cell r="AE554" t="str">
            <v>everyone</v>
          </cell>
        </row>
        <row r="555">
          <cell r="A555" t="str">
            <v>30010_3</v>
          </cell>
          <cell r="B555">
            <v>3</v>
          </cell>
          <cell r="C555">
            <v>30010</v>
          </cell>
          <cell r="D555" t="str">
            <v>最大最凶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【超絶級】最大最凶</v>
          </cell>
          <cell r="I555" t="str">
            <v>超絶級</v>
          </cell>
          <cell r="J555">
            <v>306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2</v>
          </cell>
          <cell r="AD555">
            <v>7</v>
          </cell>
          <cell r="AE555" t="str">
            <v>everyone</v>
          </cell>
        </row>
        <row r="556">
          <cell r="A556" t="str">
            <v>30011_1</v>
          </cell>
          <cell r="B556">
            <v>3</v>
          </cell>
          <cell r="C556">
            <v>30011</v>
          </cell>
          <cell r="D556" t="str">
            <v>気怠い巨読者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【上級】気怠い巨読者</v>
          </cell>
          <cell r="I556" t="str">
            <v>上級</v>
          </cell>
          <cell r="J556">
            <v>308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2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19</v>
          </cell>
          <cell r="AD556">
            <v>6</v>
          </cell>
          <cell r="AE556" t="str">
            <v>everyone</v>
          </cell>
        </row>
        <row r="557">
          <cell r="A557" t="str">
            <v>30011_2</v>
          </cell>
          <cell r="B557">
            <v>3</v>
          </cell>
          <cell r="C557">
            <v>30011</v>
          </cell>
          <cell r="D557" t="str">
            <v>気怠い巨読者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【超級】気怠い巨読者</v>
          </cell>
          <cell r="I557" t="str">
            <v>超級</v>
          </cell>
          <cell r="J557">
            <v>308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2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19</v>
          </cell>
          <cell r="AD557">
            <v>6</v>
          </cell>
          <cell r="AE557" t="str">
            <v>everyone</v>
          </cell>
        </row>
        <row r="558">
          <cell r="A558" t="str">
            <v>30011_3</v>
          </cell>
          <cell r="B558">
            <v>3</v>
          </cell>
          <cell r="C558">
            <v>30011</v>
          </cell>
          <cell r="D558" t="str">
            <v>気怠い巨読者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【超絶級】気怠い巨読者</v>
          </cell>
          <cell r="I558" t="str">
            <v>超絶級</v>
          </cell>
          <cell r="J558">
            <v>309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2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19</v>
          </cell>
          <cell r="AD558">
            <v>6</v>
          </cell>
          <cell r="AE558" t="str">
            <v>everyone</v>
          </cell>
        </row>
        <row r="559">
          <cell r="A559" t="str">
            <v>30012_1</v>
          </cell>
          <cell r="B559">
            <v>3</v>
          </cell>
          <cell r="C559">
            <v>30012</v>
          </cell>
          <cell r="D559" t="str">
            <v>底なしの胃袋</v>
          </cell>
          <cell r="E559" t="str">
            <v>ドロップイベント3（マルチ専用）</v>
          </cell>
          <cell r="F559">
            <v>1</v>
          </cell>
          <cell r="G559" t="str">
            <v>ja</v>
          </cell>
          <cell r="H559" t="str">
            <v>【上級】底なしの胃袋</v>
          </cell>
          <cell r="I559" t="str">
            <v>上級</v>
          </cell>
          <cell r="J559">
            <v>310</v>
          </cell>
          <cell r="K559">
            <v>20</v>
          </cell>
          <cell r="L559">
            <v>2000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0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5</v>
          </cell>
          <cell r="AD559">
            <v>6</v>
          </cell>
          <cell r="AE559" t="str">
            <v>everyone</v>
          </cell>
        </row>
        <row r="560">
          <cell r="A560" t="str">
            <v>30012_2</v>
          </cell>
          <cell r="B560">
            <v>3</v>
          </cell>
          <cell r="C560">
            <v>30012</v>
          </cell>
          <cell r="D560" t="str">
            <v>底なしの胃袋</v>
          </cell>
          <cell r="E560" t="str">
            <v>ドロップイベント3（マルチ専用）</v>
          </cell>
          <cell r="F560">
            <v>2</v>
          </cell>
          <cell r="G560" t="str">
            <v>ja</v>
          </cell>
          <cell r="H560" t="str">
            <v>【超級】底なしの胃袋</v>
          </cell>
          <cell r="I560" t="str">
            <v>超級</v>
          </cell>
          <cell r="J560">
            <v>310</v>
          </cell>
          <cell r="K560">
            <v>30</v>
          </cell>
          <cell r="L560">
            <v>3300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0</v>
          </cell>
          <cell r="R560">
            <v>3</v>
          </cell>
          <cell r="S560" t="str">
            <v>none</v>
          </cell>
          <cell r="T560">
            <v>0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5</v>
          </cell>
          <cell r="AD560">
            <v>6</v>
          </cell>
          <cell r="AE560" t="str">
            <v>everyone</v>
          </cell>
        </row>
        <row r="561">
          <cell r="A561" t="str">
            <v>30012_3</v>
          </cell>
          <cell r="B561">
            <v>3</v>
          </cell>
          <cell r="C561">
            <v>30012</v>
          </cell>
          <cell r="D561" t="str">
            <v>底なしの胃袋</v>
          </cell>
          <cell r="E561" t="str">
            <v>ドロップイベント3（マルチ専用）</v>
          </cell>
          <cell r="F561">
            <v>3</v>
          </cell>
          <cell r="G561" t="str">
            <v>ja</v>
          </cell>
          <cell r="H561" t="str">
            <v>【超絶級】底なしの胃袋</v>
          </cell>
          <cell r="I561" t="str">
            <v>超絶級</v>
          </cell>
          <cell r="J561">
            <v>310</v>
          </cell>
          <cell r="K561">
            <v>35</v>
          </cell>
          <cell r="L561">
            <v>4200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0</v>
          </cell>
          <cell r="R561">
            <v>3</v>
          </cell>
          <cell r="S561" t="str">
            <v>polygon</v>
          </cell>
          <cell r="T561">
            <v>1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5</v>
          </cell>
          <cell r="AD561">
            <v>6</v>
          </cell>
          <cell r="AE561" t="str">
            <v>everyone</v>
          </cell>
        </row>
        <row r="562">
          <cell r="A562" t="str">
            <v>30013_1</v>
          </cell>
          <cell r="B562">
            <v>3</v>
          </cell>
          <cell r="C562">
            <v>30013</v>
          </cell>
          <cell r="D562" t="str">
            <v>決戦・竜宮城</v>
          </cell>
          <cell r="E562" t="str">
            <v>ドロップイベント4（マルチ専用）</v>
          </cell>
          <cell r="F562">
            <v>1</v>
          </cell>
          <cell r="G562" t="str">
            <v>ja</v>
          </cell>
          <cell r="H562" t="str">
            <v>【超級】決戦・竜宮城</v>
          </cell>
          <cell r="I562" t="str">
            <v>超級</v>
          </cell>
          <cell r="J562">
            <v>418</v>
          </cell>
          <cell r="K562">
            <v>30</v>
          </cell>
          <cell r="L562">
            <v>3300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none</v>
          </cell>
          <cell r="T562">
            <v>0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17</v>
          </cell>
          <cell r="AD562">
            <v>6</v>
          </cell>
          <cell r="AE562" t="str">
            <v>everyone</v>
          </cell>
        </row>
        <row r="563">
          <cell r="A563" t="str">
            <v>30013_2</v>
          </cell>
          <cell r="B563">
            <v>3</v>
          </cell>
          <cell r="C563">
            <v>30013</v>
          </cell>
          <cell r="D563" t="str">
            <v>決戦・竜宮城</v>
          </cell>
          <cell r="E563" t="str">
            <v>ドロップイベント4（マルチ専用）</v>
          </cell>
          <cell r="F563">
            <v>2</v>
          </cell>
          <cell r="G563" t="str">
            <v>ja</v>
          </cell>
          <cell r="H563" t="str">
            <v>【超絶級】決戦・竜宮城</v>
          </cell>
          <cell r="I563" t="str">
            <v>超絶級</v>
          </cell>
          <cell r="J563">
            <v>419</v>
          </cell>
          <cell r="K563">
            <v>35</v>
          </cell>
          <cell r="L563">
            <v>4200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polygon</v>
          </cell>
          <cell r="T563">
            <v>1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17</v>
          </cell>
          <cell r="AD563">
            <v>6</v>
          </cell>
          <cell r="AE563" t="str">
            <v>everyone</v>
          </cell>
        </row>
        <row r="564">
          <cell r="A564" t="str">
            <v>30014_1</v>
          </cell>
          <cell r="B564">
            <v>3</v>
          </cell>
          <cell r="C564">
            <v>30014</v>
          </cell>
          <cell r="D564" t="str">
            <v>親指を突き立てろ！</v>
          </cell>
          <cell r="E564" t="str">
            <v>ドロップイベント4（マルチ専用）</v>
          </cell>
          <cell r="F564">
            <v>1</v>
          </cell>
          <cell r="G564" t="str">
            <v>ja</v>
          </cell>
          <cell r="H564" t="str">
            <v>【超級】親指を突き立てろ！</v>
          </cell>
          <cell r="I564" t="str">
            <v>超級</v>
          </cell>
          <cell r="J564">
            <v>420</v>
          </cell>
          <cell r="K564">
            <v>30</v>
          </cell>
          <cell r="L564">
            <v>3300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none</v>
          </cell>
          <cell r="T564">
            <v>0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23</v>
          </cell>
          <cell r="AD564">
            <v>5</v>
          </cell>
          <cell r="AE564" t="str">
            <v>everyone</v>
          </cell>
        </row>
        <row r="565">
          <cell r="A565" t="str">
            <v>30014_2</v>
          </cell>
          <cell r="B565">
            <v>3</v>
          </cell>
          <cell r="C565">
            <v>30014</v>
          </cell>
          <cell r="D565" t="str">
            <v>親指を突き立てろ！</v>
          </cell>
          <cell r="E565" t="str">
            <v>ドロップイベント4（マルチ専用）</v>
          </cell>
          <cell r="F565">
            <v>2</v>
          </cell>
          <cell r="G565" t="str">
            <v>ja</v>
          </cell>
          <cell r="H565" t="str">
            <v>【超絶級】親指を突き立てろ！</v>
          </cell>
          <cell r="I565" t="str">
            <v>超絶級</v>
          </cell>
          <cell r="J565">
            <v>421</v>
          </cell>
          <cell r="K565">
            <v>35</v>
          </cell>
          <cell r="L565">
            <v>4200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polygon</v>
          </cell>
          <cell r="T565">
            <v>1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23</v>
          </cell>
          <cell r="AD565">
            <v>5</v>
          </cell>
          <cell r="AE565" t="str">
            <v>everyone</v>
          </cell>
        </row>
        <row r="566">
          <cell r="A566" t="str">
            <v>30015_1</v>
          </cell>
          <cell r="B566">
            <v>3</v>
          </cell>
          <cell r="C566">
            <v>30015</v>
          </cell>
          <cell r="D566" t="str">
            <v>兄妹の大冒険</v>
          </cell>
          <cell r="E566" t="str">
            <v>ドロップイベント4（マルチ専用）</v>
          </cell>
          <cell r="F566">
            <v>1</v>
          </cell>
          <cell r="G566" t="str">
            <v>ja</v>
          </cell>
          <cell r="H566" t="str">
            <v>【超級】兄妹の大冒険</v>
          </cell>
          <cell r="I566" t="str">
            <v>超級</v>
          </cell>
          <cell r="J566">
            <v>422</v>
          </cell>
          <cell r="K566">
            <v>30</v>
          </cell>
          <cell r="L566">
            <v>3300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none</v>
          </cell>
          <cell r="T566">
            <v>0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16</v>
          </cell>
          <cell r="AD566">
            <v>6</v>
          </cell>
          <cell r="AE566" t="str">
            <v>everyone</v>
          </cell>
        </row>
        <row r="567">
          <cell r="A567" t="str">
            <v>30015_2</v>
          </cell>
          <cell r="B567">
            <v>3</v>
          </cell>
          <cell r="C567">
            <v>30015</v>
          </cell>
          <cell r="D567" t="str">
            <v>兄妹の大冒険</v>
          </cell>
          <cell r="E567" t="str">
            <v>ドロップイベント4（マルチ専用）</v>
          </cell>
          <cell r="F567">
            <v>2</v>
          </cell>
          <cell r="G567" t="str">
            <v>ja</v>
          </cell>
          <cell r="H567" t="str">
            <v>【超絶級】兄妹の大冒険</v>
          </cell>
          <cell r="I567" t="str">
            <v>超絶級</v>
          </cell>
          <cell r="J567">
            <v>423</v>
          </cell>
          <cell r="K567">
            <v>35</v>
          </cell>
          <cell r="L567">
            <v>4200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polygon</v>
          </cell>
          <cell r="T567">
            <v>1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16</v>
          </cell>
          <cell r="AD567">
            <v>6</v>
          </cell>
          <cell r="AE567" t="str">
            <v>everyone</v>
          </cell>
        </row>
        <row r="568">
          <cell r="A568" t="str">
            <v>30016_1</v>
          </cell>
          <cell r="B568">
            <v>3</v>
          </cell>
          <cell r="C568">
            <v>30016</v>
          </cell>
          <cell r="D568" t="str">
            <v>私がワニの天敵よ？</v>
          </cell>
          <cell r="E568" t="str">
            <v>ドロップイベント4（マルチ専用）</v>
          </cell>
          <cell r="F568">
            <v>1</v>
          </cell>
          <cell r="G568" t="str">
            <v>ja</v>
          </cell>
          <cell r="H568" t="str">
            <v>【超級】私がワニの天敵よ？</v>
          </cell>
          <cell r="I568" t="str">
            <v>超級</v>
          </cell>
          <cell r="J568">
            <v>424</v>
          </cell>
          <cell r="K568">
            <v>30</v>
          </cell>
          <cell r="L568">
            <v>3300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none</v>
          </cell>
          <cell r="T568">
            <v>0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4</v>
          </cell>
          <cell r="AD568">
            <v>6</v>
          </cell>
          <cell r="AE568" t="str">
            <v>everyone</v>
          </cell>
        </row>
        <row r="569">
          <cell r="A569" t="str">
            <v>30016_2</v>
          </cell>
          <cell r="B569">
            <v>3</v>
          </cell>
          <cell r="C569">
            <v>30016</v>
          </cell>
          <cell r="D569" t="str">
            <v>私がワニの天敵よ？</v>
          </cell>
          <cell r="E569" t="str">
            <v>ドロップイベント4（マルチ専用）</v>
          </cell>
          <cell r="F569">
            <v>2</v>
          </cell>
          <cell r="G569" t="str">
            <v>ja</v>
          </cell>
          <cell r="H569" t="str">
            <v>【超絶級】私がワニの天敵よ？</v>
          </cell>
          <cell r="I569" t="str">
            <v>超絶級</v>
          </cell>
          <cell r="J569">
            <v>425</v>
          </cell>
          <cell r="K569">
            <v>35</v>
          </cell>
          <cell r="L569">
            <v>4200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polygon</v>
          </cell>
          <cell r="T569">
            <v>1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4</v>
          </cell>
          <cell r="AD569">
            <v>6</v>
          </cell>
          <cell r="AE569" t="str">
            <v>everyone</v>
          </cell>
        </row>
        <row r="570">
          <cell r="A570" t="str">
            <v>30017_1</v>
          </cell>
          <cell r="B570">
            <v>3</v>
          </cell>
          <cell r="C570">
            <v>30017</v>
          </cell>
          <cell r="D570" t="str">
            <v>狩人の挽歌</v>
          </cell>
          <cell r="E570" t="str">
            <v>ドロップイベント5（マルチ専用）</v>
          </cell>
          <cell r="F570">
            <v>1</v>
          </cell>
          <cell r="G570" t="str">
            <v>ja</v>
          </cell>
          <cell r="H570" t="str">
            <v>【超級】狩人の挽歌</v>
          </cell>
          <cell r="I570" t="str">
            <v>超級</v>
          </cell>
          <cell r="J570">
            <v>452</v>
          </cell>
          <cell r="K570">
            <v>30</v>
          </cell>
          <cell r="L570">
            <v>3300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none</v>
          </cell>
          <cell r="T570">
            <v>0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20</v>
          </cell>
          <cell r="AD570">
            <v>6</v>
          </cell>
          <cell r="AE570" t="str">
            <v>multionly</v>
          </cell>
        </row>
        <row r="571">
          <cell r="A571" t="str">
            <v>30017_2</v>
          </cell>
          <cell r="B571">
            <v>3</v>
          </cell>
          <cell r="C571">
            <v>30017</v>
          </cell>
          <cell r="D571" t="str">
            <v>狩人の挽歌</v>
          </cell>
          <cell r="E571" t="str">
            <v>ドロップイベント5（マルチ専用）</v>
          </cell>
          <cell r="F571">
            <v>2</v>
          </cell>
          <cell r="G571" t="str">
            <v>ja</v>
          </cell>
          <cell r="H571" t="str">
            <v>【超絶級】狩人の挽歌</v>
          </cell>
          <cell r="I571" t="str">
            <v>超絶級</v>
          </cell>
          <cell r="J571">
            <v>453</v>
          </cell>
          <cell r="K571">
            <v>35</v>
          </cell>
          <cell r="L571">
            <v>4200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20</v>
          </cell>
          <cell r="AD571">
            <v>6</v>
          </cell>
          <cell r="AE571" t="str">
            <v>multionly</v>
          </cell>
        </row>
        <row r="572">
          <cell r="A572" t="str">
            <v>30018_1</v>
          </cell>
          <cell r="B572">
            <v>3</v>
          </cell>
          <cell r="C572">
            <v>30018</v>
          </cell>
          <cell r="D572" t="str">
            <v>バックストリートファイト</v>
          </cell>
          <cell r="E572" t="str">
            <v>ドロップイベント5（マルチ専用）</v>
          </cell>
          <cell r="F572">
            <v>1</v>
          </cell>
          <cell r="G572" t="str">
            <v>ja</v>
          </cell>
          <cell r="H572" t="str">
            <v>【超級】バックストリートファイト</v>
          </cell>
          <cell r="I572" t="str">
            <v>超級</v>
          </cell>
          <cell r="J572">
            <v>454</v>
          </cell>
          <cell r="K572">
            <v>30</v>
          </cell>
          <cell r="L572">
            <v>3300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0</v>
          </cell>
          <cell r="R572">
            <v>3</v>
          </cell>
          <cell r="S572" t="str">
            <v>none</v>
          </cell>
          <cell r="T572">
            <v>0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14</v>
          </cell>
          <cell r="AD572">
            <v>6</v>
          </cell>
          <cell r="AE572" t="str">
            <v>everyone</v>
          </cell>
        </row>
        <row r="573">
          <cell r="A573" t="str">
            <v>30018_2</v>
          </cell>
          <cell r="B573">
            <v>3</v>
          </cell>
          <cell r="C573">
            <v>30018</v>
          </cell>
          <cell r="D573" t="str">
            <v>バックストリートファイト</v>
          </cell>
          <cell r="E573" t="str">
            <v>ドロップイベント5（マルチ専用）</v>
          </cell>
          <cell r="F573">
            <v>2</v>
          </cell>
          <cell r="G573" t="str">
            <v>ja</v>
          </cell>
          <cell r="H573" t="str">
            <v>【超絶級】バックストリートファイト</v>
          </cell>
          <cell r="I573" t="str">
            <v>超絶級</v>
          </cell>
          <cell r="J573">
            <v>455</v>
          </cell>
          <cell r="K573">
            <v>35</v>
          </cell>
          <cell r="L573">
            <v>4200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0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14</v>
          </cell>
          <cell r="AD573">
            <v>6</v>
          </cell>
          <cell r="AE573" t="str">
            <v>everyone</v>
          </cell>
        </row>
        <row r="574">
          <cell r="A574" t="str">
            <v>30019_1</v>
          </cell>
          <cell r="B574">
            <v>3</v>
          </cell>
          <cell r="C574">
            <v>30019</v>
          </cell>
          <cell r="D574" t="str">
            <v>狙撃は終わらない</v>
          </cell>
          <cell r="E574" t="str">
            <v>ドロップイベント5（マルチ専用）</v>
          </cell>
          <cell r="F574">
            <v>1</v>
          </cell>
          <cell r="G574" t="str">
            <v>ja</v>
          </cell>
          <cell r="H574" t="str">
            <v>【超級】狙撃は終わらない</v>
          </cell>
          <cell r="I574" t="str">
            <v>超級</v>
          </cell>
          <cell r="J574">
            <v>456</v>
          </cell>
          <cell r="K574">
            <v>30</v>
          </cell>
          <cell r="L574">
            <v>3300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none</v>
          </cell>
          <cell r="T574">
            <v>0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24</v>
          </cell>
          <cell r="AD574">
            <v>6</v>
          </cell>
          <cell r="AE574" t="str">
            <v>multionly</v>
          </cell>
        </row>
        <row r="575">
          <cell r="A575" t="str">
            <v>30019_2</v>
          </cell>
          <cell r="B575">
            <v>3</v>
          </cell>
          <cell r="C575">
            <v>30019</v>
          </cell>
          <cell r="D575" t="str">
            <v>狙撃は終わらない</v>
          </cell>
          <cell r="E575" t="str">
            <v>ドロップイベント5（マルチ専用）</v>
          </cell>
          <cell r="F575">
            <v>2</v>
          </cell>
          <cell r="G575" t="str">
            <v>ja</v>
          </cell>
          <cell r="H575" t="str">
            <v>【超絶級】狙撃は終わらない</v>
          </cell>
          <cell r="I575" t="str">
            <v>超絶級</v>
          </cell>
          <cell r="J575">
            <v>457</v>
          </cell>
          <cell r="K575">
            <v>35</v>
          </cell>
          <cell r="L575">
            <v>4200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24</v>
          </cell>
          <cell r="AD575">
            <v>6</v>
          </cell>
          <cell r="AE575" t="str">
            <v>multionly</v>
          </cell>
        </row>
        <row r="576">
          <cell r="A576" t="str">
            <v>30020_1</v>
          </cell>
          <cell r="B576">
            <v>3</v>
          </cell>
          <cell r="C576">
            <v>30020</v>
          </cell>
          <cell r="D576" t="str">
            <v>若造よ、身の程を知れ</v>
          </cell>
          <cell r="E576" t="str">
            <v>ドロップイベント5（マルチ専用）</v>
          </cell>
          <cell r="F576">
            <v>1</v>
          </cell>
          <cell r="G576" t="str">
            <v>ja</v>
          </cell>
          <cell r="H576" t="str">
            <v>【超級】若造よ、身の程を知れ</v>
          </cell>
          <cell r="I576" t="str">
            <v>超級</v>
          </cell>
          <cell r="J576">
            <v>458</v>
          </cell>
          <cell r="K576">
            <v>30</v>
          </cell>
          <cell r="L576">
            <v>3300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13</v>
          </cell>
          <cell r="AD576">
            <v>6</v>
          </cell>
          <cell r="AE576" t="str">
            <v>everyone</v>
          </cell>
        </row>
        <row r="577">
          <cell r="A577" t="str">
            <v>30020_2</v>
          </cell>
          <cell r="B577">
            <v>3</v>
          </cell>
          <cell r="C577">
            <v>30020</v>
          </cell>
          <cell r="D577" t="str">
            <v>若造よ、身の程を知れ</v>
          </cell>
          <cell r="E577" t="str">
            <v>ドロップイベント5（マルチ専用）</v>
          </cell>
          <cell r="F577">
            <v>2</v>
          </cell>
          <cell r="G577" t="str">
            <v>ja</v>
          </cell>
          <cell r="H577" t="str">
            <v>【超絶級】若造よ、身の程を知れ</v>
          </cell>
          <cell r="I577" t="str">
            <v>超絶級</v>
          </cell>
          <cell r="J577">
            <v>459</v>
          </cell>
          <cell r="K577">
            <v>35</v>
          </cell>
          <cell r="L577">
            <v>4200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13</v>
          </cell>
          <cell r="AD577">
            <v>6</v>
          </cell>
          <cell r="AE577" t="str">
            <v>everyone</v>
          </cell>
        </row>
        <row r="578">
          <cell r="A578" t="str">
            <v>30021_1</v>
          </cell>
          <cell r="B578">
            <v>3</v>
          </cell>
          <cell r="C578">
            <v>30021</v>
          </cell>
          <cell r="D578" t="str">
            <v>野獣死すべしっ！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【中級】野獣死すべしっ！</v>
          </cell>
          <cell r="I578" t="str">
            <v>中級</v>
          </cell>
          <cell r="J578">
            <v>502</v>
          </cell>
          <cell r="K578">
            <v>15</v>
          </cell>
          <cell r="L578">
            <v>1200</v>
          </cell>
          <cell r="M578">
            <v>1</v>
          </cell>
          <cell r="N578">
            <v>1</v>
          </cell>
          <cell r="O578">
            <v>0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14</v>
          </cell>
          <cell r="AD578">
            <v>6</v>
          </cell>
          <cell r="AE578" t="str">
            <v>everyone</v>
          </cell>
        </row>
        <row r="579">
          <cell r="A579" t="str">
            <v>30021_2</v>
          </cell>
          <cell r="B579">
            <v>3</v>
          </cell>
          <cell r="C579">
            <v>30021</v>
          </cell>
          <cell r="D579" t="str">
            <v>野獣死すべしっ！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【上級】野獣死すべしっ！</v>
          </cell>
          <cell r="I579" t="str">
            <v>上級</v>
          </cell>
          <cell r="J579">
            <v>502</v>
          </cell>
          <cell r="K579">
            <v>20</v>
          </cell>
          <cell r="L579">
            <v>2000</v>
          </cell>
          <cell r="M579">
            <v>1</v>
          </cell>
          <cell r="N579">
            <v>1</v>
          </cell>
          <cell r="O579">
            <v>0</v>
          </cell>
          <cell r="P579">
            <v>1</v>
          </cell>
          <cell r="Q579">
            <v>1</v>
          </cell>
          <cell r="R579">
            <v>3</v>
          </cell>
          <cell r="S579" t="str">
            <v>none</v>
          </cell>
          <cell r="T579">
            <v>0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14</v>
          </cell>
          <cell r="AD579">
            <v>6</v>
          </cell>
          <cell r="AE579" t="str">
            <v>everyone</v>
          </cell>
        </row>
        <row r="580">
          <cell r="A580" t="str">
            <v>30021_3</v>
          </cell>
          <cell r="B580">
            <v>3</v>
          </cell>
          <cell r="C580">
            <v>30021</v>
          </cell>
          <cell r="D580" t="str">
            <v>野獣死すべしっ！</v>
          </cell>
          <cell r="E580" t="str">
            <v>ドロップイベント6（マルチ専用）</v>
          </cell>
          <cell r="F580">
            <v>3</v>
          </cell>
          <cell r="G580" t="str">
            <v>ja</v>
          </cell>
          <cell r="H580" t="str">
            <v>【超級】野獣死すべしっ！</v>
          </cell>
          <cell r="I580" t="str">
            <v>超級</v>
          </cell>
          <cell r="J580">
            <v>503</v>
          </cell>
          <cell r="K580">
            <v>30</v>
          </cell>
          <cell r="L580">
            <v>3300</v>
          </cell>
          <cell r="M580">
            <v>1</v>
          </cell>
          <cell r="N580">
            <v>1</v>
          </cell>
          <cell r="O580">
            <v>0</v>
          </cell>
          <cell r="P580">
            <v>1</v>
          </cell>
          <cell r="Q580">
            <v>1</v>
          </cell>
          <cell r="R580">
            <v>3</v>
          </cell>
          <cell r="S580" t="str">
            <v>polygon</v>
          </cell>
          <cell r="T580">
            <v>1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14</v>
          </cell>
          <cell r="AD580">
            <v>6</v>
          </cell>
          <cell r="AE580" t="str">
            <v>everyone</v>
          </cell>
        </row>
        <row r="581">
          <cell r="A581" t="str">
            <v>30022_1</v>
          </cell>
          <cell r="B581">
            <v>3</v>
          </cell>
          <cell r="C581">
            <v>30022</v>
          </cell>
          <cell r="D581" t="str">
            <v>凶鼠ネコを咬む</v>
          </cell>
          <cell r="E581" t="str">
            <v>ドロップイベント6（マルチ専用）</v>
          </cell>
          <cell r="F581">
            <v>1</v>
          </cell>
          <cell r="G581" t="str">
            <v>ja</v>
          </cell>
          <cell r="H581" t="str">
            <v>【超級】凶鼠ネコを咬む</v>
          </cell>
          <cell r="I581" t="str">
            <v>超級</v>
          </cell>
          <cell r="J581">
            <v>504</v>
          </cell>
          <cell r="K581">
            <v>30</v>
          </cell>
          <cell r="L581">
            <v>3300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6</v>
          </cell>
          <cell r="AD581">
            <v>6</v>
          </cell>
          <cell r="AE581" t="str">
            <v>everyone</v>
          </cell>
        </row>
        <row r="582">
          <cell r="A582" t="str">
            <v>30022_2</v>
          </cell>
          <cell r="B582">
            <v>3</v>
          </cell>
          <cell r="C582">
            <v>30022</v>
          </cell>
          <cell r="D582" t="str">
            <v>凶鼠ネコを咬む</v>
          </cell>
          <cell r="E582" t="str">
            <v>ドロップイベント6（マルチ専用）</v>
          </cell>
          <cell r="F582">
            <v>2</v>
          </cell>
          <cell r="G582" t="str">
            <v>ja</v>
          </cell>
          <cell r="H582" t="str">
            <v>【超絶級】凶鼠ネコを咬む</v>
          </cell>
          <cell r="I582" t="str">
            <v>超絶級</v>
          </cell>
          <cell r="J582">
            <v>505</v>
          </cell>
          <cell r="K582">
            <v>35</v>
          </cell>
          <cell r="L582">
            <v>4200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6</v>
          </cell>
          <cell r="AD582">
            <v>6</v>
          </cell>
          <cell r="AE582" t="str">
            <v>everyone</v>
          </cell>
        </row>
        <row r="583">
          <cell r="A583" t="str">
            <v>30023_1</v>
          </cell>
          <cell r="B583">
            <v>3</v>
          </cell>
          <cell r="C583">
            <v>30023</v>
          </cell>
          <cell r="D583" t="str">
            <v>隔離からのエスケイプ</v>
          </cell>
          <cell r="E583" t="str">
            <v>ドロップイベント6（マルチ専用）</v>
          </cell>
          <cell r="F583">
            <v>1</v>
          </cell>
          <cell r="G583" t="str">
            <v>ja</v>
          </cell>
          <cell r="H583" t="str">
            <v>【中級】隔離からのエスケイプ</v>
          </cell>
          <cell r="I583" t="str">
            <v>中級</v>
          </cell>
          <cell r="J583">
            <v>506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25</v>
          </cell>
          <cell r="AD583">
            <v>6</v>
          </cell>
          <cell r="AE583" t="str">
            <v>everyone</v>
          </cell>
        </row>
        <row r="584">
          <cell r="A584" t="str">
            <v>30023_2</v>
          </cell>
          <cell r="B584">
            <v>3</v>
          </cell>
          <cell r="C584">
            <v>30023</v>
          </cell>
          <cell r="D584" t="str">
            <v>隔離からのエスケイプ</v>
          </cell>
          <cell r="E584" t="str">
            <v>ドロップイベント6（マルチ専用）</v>
          </cell>
          <cell r="F584">
            <v>2</v>
          </cell>
          <cell r="G584" t="str">
            <v>ja</v>
          </cell>
          <cell r="H584" t="str">
            <v>【上級】隔離からのエスケイプ</v>
          </cell>
          <cell r="I584" t="str">
            <v>上級</v>
          </cell>
          <cell r="J584">
            <v>506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25</v>
          </cell>
          <cell r="AD584">
            <v>6</v>
          </cell>
          <cell r="AE584" t="str">
            <v>everyone</v>
          </cell>
        </row>
        <row r="585">
          <cell r="A585" t="str">
            <v>30023_3</v>
          </cell>
          <cell r="B585">
            <v>3</v>
          </cell>
          <cell r="C585">
            <v>30023</v>
          </cell>
          <cell r="D585" t="str">
            <v>隔離からのエスケイプ</v>
          </cell>
          <cell r="E585" t="str">
            <v>ドロップイベント6（マルチ専用）</v>
          </cell>
          <cell r="F585">
            <v>3</v>
          </cell>
          <cell r="G585" t="str">
            <v>ja</v>
          </cell>
          <cell r="H585" t="str">
            <v>【超級】隔離からのエスケイプ</v>
          </cell>
          <cell r="I585" t="str">
            <v>超級</v>
          </cell>
          <cell r="J585">
            <v>507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25</v>
          </cell>
          <cell r="AD585">
            <v>6</v>
          </cell>
          <cell r="AE585" t="str">
            <v>everyone</v>
          </cell>
        </row>
        <row r="586">
          <cell r="A586" t="str">
            <v>30024_1</v>
          </cell>
          <cell r="B586">
            <v>3</v>
          </cell>
          <cell r="C586">
            <v>30024</v>
          </cell>
          <cell r="D586" t="str">
            <v>雷鎚の選定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【中級】雷鎚の選定</v>
          </cell>
          <cell r="I586" t="str">
            <v>中級</v>
          </cell>
          <cell r="J586">
            <v>583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20</v>
          </cell>
          <cell r="AD586">
            <v>6</v>
          </cell>
          <cell r="AE586" t="str">
            <v>multionly</v>
          </cell>
        </row>
        <row r="587">
          <cell r="A587" t="str">
            <v>30024_2</v>
          </cell>
          <cell r="B587">
            <v>3</v>
          </cell>
          <cell r="C587">
            <v>30024</v>
          </cell>
          <cell r="D587" t="str">
            <v>雷鎚の選定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【上級】雷鎚の選定</v>
          </cell>
          <cell r="I587" t="str">
            <v>上級</v>
          </cell>
          <cell r="J587">
            <v>583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20</v>
          </cell>
          <cell r="AD587">
            <v>6</v>
          </cell>
          <cell r="AE587" t="str">
            <v>multionly</v>
          </cell>
        </row>
        <row r="588">
          <cell r="A588" t="str">
            <v>30024_3</v>
          </cell>
          <cell r="B588">
            <v>3</v>
          </cell>
          <cell r="C588">
            <v>30024</v>
          </cell>
          <cell r="D588" t="str">
            <v>雷鎚の選定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【超級】雷鎚の選定</v>
          </cell>
          <cell r="I588" t="str">
            <v>超級</v>
          </cell>
          <cell r="J588">
            <v>584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20</v>
          </cell>
          <cell r="AD588">
            <v>6</v>
          </cell>
          <cell r="AE588" t="str">
            <v>multionly</v>
          </cell>
        </row>
        <row r="589">
          <cell r="A589" t="str">
            <v>30025_1</v>
          </cell>
          <cell r="B589">
            <v>3</v>
          </cell>
          <cell r="C589">
            <v>30025</v>
          </cell>
          <cell r="D589" t="str">
            <v>真実の探求者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【中級】真実の探求者</v>
          </cell>
          <cell r="I589" t="str">
            <v>中級</v>
          </cell>
          <cell r="J589">
            <v>579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7</v>
          </cell>
          <cell r="AD589">
            <v>6</v>
          </cell>
          <cell r="AE589" t="str">
            <v>everyone</v>
          </cell>
        </row>
        <row r="590">
          <cell r="A590" t="str">
            <v>30025_2</v>
          </cell>
          <cell r="B590">
            <v>3</v>
          </cell>
          <cell r="C590">
            <v>30025</v>
          </cell>
          <cell r="D590" t="str">
            <v>真実の探求者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【上級】真実の探求者</v>
          </cell>
          <cell r="I590" t="str">
            <v>上級</v>
          </cell>
          <cell r="J590">
            <v>579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7</v>
          </cell>
          <cell r="AD590">
            <v>6</v>
          </cell>
          <cell r="AE590" t="str">
            <v>everyone</v>
          </cell>
        </row>
        <row r="591">
          <cell r="A591" t="str">
            <v>30025_3</v>
          </cell>
          <cell r="B591">
            <v>3</v>
          </cell>
          <cell r="C591">
            <v>30025</v>
          </cell>
          <cell r="D591" t="str">
            <v>真実の探求者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【超級】真実の探求者</v>
          </cell>
          <cell r="I591" t="str">
            <v>超級</v>
          </cell>
          <cell r="J591">
            <v>580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7</v>
          </cell>
          <cell r="AD591">
            <v>6</v>
          </cell>
          <cell r="AE591" t="str">
            <v>everyone</v>
          </cell>
        </row>
        <row r="592">
          <cell r="A592" t="str">
            <v>30026_1</v>
          </cell>
          <cell r="B592">
            <v>3</v>
          </cell>
          <cell r="C592">
            <v>30026</v>
          </cell>
          <cell r="D592" t="str">
            <v>道を阻む妖精夫婦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【中級】道を阻む妖精夫婦</v>
          </cell>
          <cell r="I592" t="str">
            <v>中級</v>
          </cell>
          <cell r="J592">
            <v>577</v>
          </cell>
          <cell r="K592">
            <v>15</v>
          </cell>
          <cell r="L592">
            <v>1200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21</v>
          </cell>
          <cell r="AD592">
            <v>6</v>
          </cell>
          <cell r="AE592" t="str">
            <v>everyone</v>
          </cell>
        </row>
        <row r="593">
          <cell r="A593" t="str">
            <v>30026_2</v>
          </cell>
          <cell r="B593">
            <v>3</v>
          </cell>
          <cell r="C593">
            <v>30026</v>
          </cell>
          <cell r="D593" t="str">
            <v>道を阻む妖精夫婦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【上級】道を阻む妖精夫婦</v>
          </cell>
          <cell r="I593" t="str">
            <v>上級</v>
          </cell>
          <cell r="J593">
            <v>577</v>
          </cell>
          <cell r="K593">
            <v>20</v>
          </cell>
          <cell r="L593">
            <v>2000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21</v>
          </cell>
          <cell r="AD593">
            <v>6</v>
          </cell>
          <cell r="AE593" t="str">
            <v>everyone</v>
          </cell>
        </row>
        <row r="594">
          <cell r="A594" t="str">
            <v>30026_3</v>
          </cell>
          <cell r="B594">
            <v>3</v>
          </cell>
          <cell r="C594">
            <v>30026</v>
          </cell>
          <cell r="D594" t="str">
            <v>道を阻む妖精夫婦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【超級】道を阻む妖精夫婦</v>
          </cell>
          <cell r="I594" t="str">
            <v>超級</v>
          </cell>
          <cell r="J594">
            <v>578</v>
          </cell>
          <cell r="K594">
            <v>30</v>
          </cell>
          <cell r="L594">
            <v>3300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21</v>
          </cell>
          <cell r="AD594">
            <v>6</v>
          </cell>
          <cell r="AE594" t="str">
            <v>everyone</v>
          </cell>
        </row>
        <row r="595">
          <cell r="A595" t="str">
            <v>30027_1</v>
          </cell>
          <cell r="B595">
            <v>3</v>
          </cell>
          <cell r="C595">
            <v>30027</v>
          </cell>
          <cell r="D595" t="str">
            <v>凍りつくまで愛してあげる</v>
          </cell>
          <cell r="E595" t="str">
            <v>ドロップイベント7（マルチ専用）</v>
          </cell>
          <cell r="F595">
            <v>1</v>
          </cell>
          <cell r="G595" t="str">
            <v>ja</v>
          </cell>
          <cell r="H595" t="str">
            <v>【中級】凍りつくまで愛してあげる</v>
          </cell>
          <cell r="I595" t="str">
            <v>中級</v>
          </cell>
          <cell r="J595">
            <v>646</v>
          </cell>
          <cell r="K595">
            <v>15</v>
          </cell>
          <cell r="L595">
            <v>1200</v>
          </cell>
          <cell r="M595">
            <v>0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</v>
          </cell>
          <cell r="AD595">
            <v>6</v>
          </cell>
          <cell r="AE595" t="str">
            <v>everyone</v>
          </cell>
        </row>
        <row r="596">
          <cell r="A596" t="str">
            <v>30027_2</v>
          </cell>
          <cell r="B596">
            <v>3</v>
          </cell>
          <cell r="C596">
            <v>30027</v>
          </cell>
          <cell r="D596" t="str">
            <v>凍りつくまで愛してあげる</v>
          </cell>
          <cell r="E596" t="str">
            <v>ドロップイベント7（マルチ専用）</v>
          </cell>
          <cell r="F596">
            <v>2</v>
          </cell>
          <cell r="G596" t="str">
            <v>ja</v>
          </cell>
          <cell r="H596" t="str">
            <v>【上級】凍りつくまで愛してあげる</v>
          </cell>
          <cell r="I596" t="str">
            <v>上級</v>
          </cell>
          <cell r="J596">
            <v>646</v>
          </cell>
          <cell r="K596">
            <v>20</v>
          </cell>
          <cell r="L596">
            <v>2000</v>
          </cell>
          <cell r="M596">
            <v>0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</v>
          </cell>
          <cell r="AD596">
            <v>6</v>
          </cell>
          <cell r="AE596" t="str">
            <v>everyone</v>
          </cell>
        </row>
        <row r="597">
          <cell r="A597" t="str">
            <v>30027_3</v>
          </cell>
          <cell r="B597">
            <v>3</v>
          </cell>
          <cell r="C597">
            <v>30027</v>
          </cell>
          <cell r="D597" t="str">
            <v>凍りつくまで愛してあげる</v>
          </cell>
          <cell r="E597" t="str">
            <v>ドロップイベント7（マルチ専用）</v>
          </cell>
          <cell r="F597">
            <v>3</v>
          </cell>
          <cell r="G597" t="str">
            <v>ja</v>
          </cell>
          <cell r="H597" t="str">
            <v>【超級】凍りつくまで愛してあげる</v>
          </cell>
          <cell r="I597" t="str">
            <v>超級</v>
          </cell>
          <cell r="J597">
            <v>647</v>
          </cell>
          <cell r="K597">
            <v>30</v>
          </cell>
          <cell r="L597">
            <v>3300</v>
          </cell>
          <cell r="M597">
            <v>0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9</v>
          </cell>
          <cell r="AD597">
            <v>6</v>
          </cell>
          <cell r="AE597" t="str">
            <v>everyone</v>
          </cell>
        </row>
        <row r="598">
          <cell r="A598" t="str">
            <v>30028_1</v>
          </cell>
          <cell r="B598">
            <v>3</v>
          </cell>
          <cell r="C598">
            <v>30028</v>
          </cell>
          <cell r="D598" t="str">
            <v>最悪の刺客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【中級】最悪の刺客</v>
          </cell>
          <cell r="I598" t="str">
            <v>中級</v>
          </cell>
          <cell r="J598">
            <v>650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2601</v>
          </cell>
          <cell r="AD598">
            <v>6</v>
          </cell>
          <cell r="AE598" t="str">
            <v>everyone</v>
          </cell>
        </row>
        <row r="599">
          <cell r="A599" t="str">
            <v>30028_2</v>
          </cell>
          <cell r="B599">
            <v>3</v>
          </cell>
          <cell r="C599">
            <v>30028</v>
          </cell>
          <cell r="D599" t="str">
            <v>最悪の刺客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【上級】最悪の刺客</v>
          </cell>
          <cell r="I599" t="str">
            <v>上級</v>
          </cell>
          <cell r="J599">
            <v>650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2601</v>
          </cell>
          <cell r="AD599">
            <v>6</v>
          </cell>
          <cell r="AE599" t="str">
            <v>everyone</v>
          </cell>
        </row>
        <row r="600">
          <cell r="A600" t="str">
            <v>30028_3</v>
          </cell>
          <cell r="B600">
            <v>3</v>
          </cell>
          <cell r="C600">
            <v>30028</v>
          </cell>
          <cell r="D600" t="str">
            <v>最悪の刺客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【超級】最悪の刺客</v>
          </cell>
          <cell r="I600" t="str">
            <v>超級</v>
          </cell>
          <cell r="J600">
            <v>651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2601</v>
          </cell>
          <cell r="AD600">
            <v>6</v>
          </cell>
          <cell r="AE600" t="str">
            <v>everyone</v>
          </cell>
        </row>
        <row r="601">
          <cell r="A601" t="str">
            <v>30029_1</v>
          </cell>
          <cell r="B601">
            <v>3</v>
          </cell>
          <cell r="C601">
            <v>30029</v>
          </cell>
          <cell r="D601" t="str">
            <v>全ては主のために</v>
          </cell>
          <cell r="E601" t="str">
            <v>ドロップイベント8（マルチ専用）</v>
          </cell>
          <cell r="F601">
            <v>1</v>
          </cell>
          <cell r="G601" t="str">
            <v>ja</v>
          </cell>
          <cell r="H601" t="str">
            <v>【中級】全ては主のために</v>
          </cell>
          <cell r="I601" t="str">
            <v>中級</v>
          </cell>
          <cell r="J601">
            <v>648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5</v>
          </cell>
          <cell r="AD601">
            <v>6</v>
          </cell>
          <cell r="AE601" t="str">
            <v>everyone</v>
          </cell>
        </row>
        <row r="602">
          <cell r="A602" t="str">
            <v>30029_2</v>
          </cell>
          <cell r="B602">
            <v>3</v>
          </cell>
          <cell r="C602">
            <v>30029</v>
          </cell>
          <cell r="D602" t="str">
            <v>全ては主のために</v>
          </cell>
          <cell r="E602" t="str">
            <v>ドロップイベント8（マルチ専用）</v>
          </cell>
          <cell r="F602">
            <v>2</v>
          </cell>
          <cell r="G602" t="str">
            <v>ja</v>
          </cell>
          <cell r="H602" t="str">
            <v>【上級】全ては主のために</v>
          </cell>
          <cell r="I602" t="str">
            <v>上級</v>
          </cell>
          <cell r="J602">
            <v>648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5</v>
          </cell>
          <cell r="AD602">
            <v>6</v>
          </cell>
          <cell r="AE602" t="str">
            <v>everyone</v>
          </cell>
        </row>
        <row r="603">
          <cell r="A603" t="str">
            <v>30029_3</v>
          </cell>
          <cell r="B603">
            <v>3</v>
          </cell>
          <cell r="C603">
            <v>30029</v>
          </cell>
          <cell r="D603" t="str">
            <v>全ては主のために</v>
          </cell>
          <cell r="E603" t="str">
            <v>ドロップイベント8（マルチ専用）</v>
          </cell>
          <cell r="F603">
            <v>3</v>
          </cell>
          <cell r="G603" t="str">
            <v>ja</v>
          </cell>
          <cell r="H603" t="str">
            <v>【超級】全ては主のために</v>
          </cell>
          <cell r="I603" t="str">
            <v>超級</v>
          </cell>
          <cell r="J603">
            <v>648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5</v>
          </cell>
          <cell r="AD603">
            <v>6</v>
          </cell>
          <cell r="AE603" t="str">
            <v>everyone</v>
          </cell>
        </row>
        <row r="604">
          <cell r="A604" t="str">
            <v>30030_1</v>
          </cell>
          <cell r="B604">
            <v>3</v>
          </cell>
          <cell r="C604">
            <v>30030</v>
          </cell>
          <cell r="D604" t="str">
            <v>ここは誰の箱庭じゃ？</v>
          </cell>
          <cell r="E604" t="str">
            <v>ドロップイベント9（マルチ専用）</v>
          </cell>
          <cell r="F604">
            <v>1</v>
          </cell>
          <cell r="G604" t="str">
            <v>ja</v>
          </cell>
          <cell r="H604" t="str">
            <v>【中級】ここは誰の箱庭じゃ？</v>
          </cell>
          <cell r="I604" t="str">
            <v>中級</v>
          </cell>
          <cell r="J604">
            <v>652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8</v>
          </cell>
          <cell r="AD604">
            <v>6</v>
          </cell>
          <cell r="AE604" t="str">
            <v>everyone</v>
          </cell>
        </row>
        <row r="605">
          <cell r="A605" t="str">
            <v>30030_2</v>
          </cell>
          <cell r="B605">
            <v>3</v>
          </cell>
          <cell r="C605">
            <v>30030</v>
          </cell>
          <cell r="D605" t="str">
            <v>ここは誰の箱庭じゃ？</v>
          </cell>
          <cell r="E605" t="str">
            <v>ドロップイベント9（マルチ専用）</v>
          </cell>
          <cell r="F605">
            <v>2</v>
          </cell>
          <cell r="G605" t="str">
            <v>ja</v>
          </cell>
          <cell r="H605" t="str">
            <v>【上級】ここは誰の箱庭じゃ？</v>
          </cell>
          <cell r="I605" t="str">
            <v>上級</v>
          </cell>
          <cell r="J605">
            <v>653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8</v>
          </cell>
          <cell r="AD605">
            <v>6</v>
          </cell>
          <cell r="AE605" t="str">
            <v>everyone</v>
          </cell>
        </row>
        <row r="606">
          <cell r="A606" t="str">
            <v>30030_3</v>
          </cell>
          <cell r="B606">
            <v>3</v>
          </cell>
          <cell r="C606">
            <v>30030</v>
          </cell>
          <cell r="D606" t="str">
            <v>ここは誰の箱庭じゃ？</v>
          </cell>
          <cell r="E606" t="str">
            <v>ドロップイベント9（マルチ専用）</v>
          </cell>
          <cell r="F606">
            <v>3</v>
          </cell>
          <cell r="G606" t="str">
            <v>ja</v>
          </cell>
          <cell r="H606" t="str">
            <v>【超級】ここは誰の箱庭じゃ？</v>
          </cell>
          <cell r="I606" t="str">
            <v>超級</v>
          </cell>
          <cell r="J606">
            <v>653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8</v>
          </cell>
          <cell r="AD606">
            <v>6</v>
          </cell>
          <cell r="AE606" t="str">
            <v>everyone</v>
          </cell>
        </row>
        <row r="607">
          <cell r="A607" t="str">
            <v>30031_1</v>
          </cell>
          <cell r="B607">
            <v>3</v>
          </cell>
          <cell r="C607">
            <v>30031</v>
          </cell>
          <cell r="D607" t="str">
            <v>力への羨望</v>
          </cell>
          <cell r="E607" t="str">
            <v>ドロップイベント10（マルチ専用）</v>
          </cell>
          <cell r="F607">
            <v>1</v>
          </cell>
          <cell r="G607" t="str">
            <v>ja</v>
          </cell>
          <cell r="H607" t="str">
            <v>【中級】力への羨望</v>
          </cell>
          <cell r="I607" t="str">
            <v>中級</v>
          </cell>
          <cell r="J607">
            <v>764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20</v>
          </cell>
          <cell r="AD607">
            <v>6</v>
          </cell>
          <cell r="AE607" t="str">
            <v>everyone</v>
          </cell>
        </row>
        <row r="608">
          <cell r="A608" t="str">
            <v>30031_2</v>
          </cell>
          <cell r="B608">
            <v>3</v>
          </cell>
          <cell r="C608">
            <v>30031</v>
          </cell>
          <cell r="D608" t="str">
            <v>力への羨望</v>
          </cell>
          <cell r="E608" t="str">
            <v>ドロップイベント10（マルチ専用）</v>
          </cell>
          <cell r="F608">
            <v>2</v>
          </cell>
          <cell r="G608" t="str">
            <v>ja</v>
          </cell>
          <cell r="H608" t="str">
            <v>【上級】力への羨望</v>
          </cell>
          <cell r="I608" t="str">
            <v>上級</v>
          </cell>
          <cell r="J608">
            <v>764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20</v>
          </cell>
          <cell r="AD608">
            <v>6</v>
          </cell>
          <cell r="AE608" t="str">
            <v>everyone</v>
          </cell>
        </row>
        <row r="609">
          <cell r="A609" t="str">
            <v>30031_3</v>
          </cell>
          <cell r="B609">
            <v>3</v>
          </cell>
          <cell r="C609">
            <v>30031</v>
          </cell>
          <cell r="D609" t="str">
            <v>力への羨望</v>
          </cell>
          <cell r="E609" t="str">
            <v>ドロップイベント10（マルチ専用）</v>
          </cell>
          <cell r="F609">
            <v>3</v>
          </cell>
          <cell r="G609" t="str">
            <v>ja</v>
          </cell>
          <cell r="H609" t="str">
            <v>【超級】力への羨望</v>
          </cell>
          <cell r="I609" t="str">
            <v>超級</v>
          </cell>
          <cell r="J609">
            <v>765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20</v>
          </cell>
          <cell r="AD609">
            <v>6</v>
          </cell>
          <cell r="AE609" t="str">
            <v>everyone</v>
          </cell>
        </row>
        <row r="610">
          <cell r="A610" t="str">
            <v>30032_1</v>
          </cell>
          <cell r="B610">
            <v>3</v>
          </cell>
          <cell r="C610">
            <v>30032</v>
          </cell>
          <cell r="D610" t="str">
            <v>赤き竜の制裁</v>
          </cell>
          <cell r="E610" t="str">
            <v>円卓2（マルチ専用）</v>
          </cell>
          <cell r="F610">
            <v>1</v>
          </cell>
          <cell r="G610" t="str">
            <v>ja</v>
          </cell>
          <cell r="H610" t="str">
            <v>【中級】赤き竜の制裁</v>
          </cell>
          <cell r="I610" t="str">
            <v>中級</v>
          </cell>
          <cell r="J610">
            <v>767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14</v>
          </cell>
          <cell r="AD610">
            <v>6</v>
          </cell>
          <cell r="AE610" t="str">
            <v>everyone</v>
          </cell>
        </row>
        <row r="611">
          <cell r="A611" t="str">
            <v>30032_2</v>
          </cell>
          <cell r="B611">
            <v>3</v>
          </cell>
          <cell r="C611">
            <v>30032</v>
          </cell>
          <cell r="D611" t="str">
            <v>赤き竜の制裁</v>
          </cell>
          <cell r="E611" t="str">
            <v>円卓2（マルチ専用）</v>
          </cell>
          <cell r="F611">
            <v>2</v>
          </cell>
          <cell r="G611" t="str">
            <v>ja</v>
          </cell>
          <cell r="H611" t="str">
            <v>【上級】赤き竜の制裁</v>
          </cell>
          <cell r="I611" t="str">
            <v>上級</v>
          </cell>
          <cell r="J611">
            <v>767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14</v>
          </cell>
          <cell r="AD611">
            <v>6</v>
          </cell>
          <cell r="AE611" t="str">
            <v>everyone</v>
          </cell>
        </row>
        <row r="612">
          <cell r="A612" t="str">
            <v>30032_3</v>
          </cell>
          <cell r="B612">
            <v>3</v>
          </cell>
          <cell r="C612">
            <v>30032</v>
          </cell>
          <cell r="D612" t="str">
            <v>赤き竜の制裁</v>
          </cell>
          <cell r="E612" t="str">
            <v>円卓2（マルチ専用）</v>
          </cell>
          <cell r="F612">
            <v>3</v>
          </cell>
          <cell r="G612" t="str">
            <v>ja</v>
          </cell>
          <cell r="H612" t="str">
            <v>【超級】赤き竜の制裁</v>
          </cell>
          <cell r="I612" t="str">
            <v>超級</v>
          </cell>
          <cell r="J612">
            <v>767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14</v>
          </cell>
          <cell r="AD612">
            <v>6</v>
          </cell>
          <cell r="AE612" t="str">
            <v>everyone</v>
          </cell>
        </row>
        <row r="613">
          <cell r="A613" t="str">
            <v>30033_1</v>
          </cell>
          <cell r="B613">
            <v>3</v>
          </cell>
          <cell r="C613">
            <v>30033</v>
          </cell>
          <cell r="D613" t="str">
            <v>御館様の懐刀</v>
          </cell>
          <cell r="E613" t="str">
            <v>戦国１</v>
          </cell>
          <cell r="F613">
            <v>1</v>
          </cell>
          <cell r="G613" t="str">
            <v>ja</v>
          </cell>
          <cell r="H613" t="str">
            <v>【中級】御館様の懐刀</v>
          </cell>
          <cell r="I613" t="str">
            <v>中級</v>
          </cell>
          <cell r="J613">
            <v>722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2</v>
          </cell>
          <cell r="AD613">
            <v>6</v>
          </cell>
          <cell r="AE613" t="str">
            <v>everyone</v>
          </cell>
        </row>
        <row r="614">
          <cell r="A614" t="str">
            <v>30033_2</v>
          </cell>
          <cell r="B614">
            <v>3</v>
          </cell>
          <cell r="C614">
            <v>30033</v>
          </cell>
          <cell r="D614" t="str">
            <v>御館様の懐刀</v>
          </cell>
          <cell r="E614" t="str">
            <v>戦国１</v>
          </cell>
          <cell r="F614">
            <v>2</v>
          </cell>
          <cell r="G614" t="str">
            <v>ja</v>
          </cell>
          <cell r="H614" t="str">
            <v>【上級】御館様の懐刀</v>
          </cell>
          <cell r="I614" t="str">
            <v>上級</v>
          </cell>
          <cell r="J614">
            <v>722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2</v>
          </cell>
          <cell r="AD614">
            <v>6</v>
          </cell>
          <cell r="AE614" t="str">
            <v>everyone</v>
          </cell>
        </row>
        <row r="615">
          <cell r="A615" t="str">
            <v>30033_3</v>
          </cell>
          <cell r="B615">
            <v>3</v>
          </cell>
          <cell r="C615">
            <v>30033</v>
          </cell>
          <cell r="D615" t="str">
            <v>御館様の懐刀</v>
          </cell>
          <cell r="E615" t="str">
            <v>戦国１</v>
          </cell>
          <cell r="F615">
            <v>3</v>
          </cell>
          <cell r="G615" t="str">
            <v>ja</v>
          </cell>
          <cell r="H615" t="str">
            <v>【超級】御館様の懐刀</v>
          </cell>
          <cell r="I615" t="str">
            <v>超級</v>
          </cell>
          <cell r="J615">
            <v>723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2</v>
          </cell>
          <cell r="AD615">
            <v>6</v>
          </cell>
          <cell r="AE615" t="str">
            <v>everyone</v>
          </cell>
        </row>
        <row r="616">
          <cell r="A616" t="str">
            <v>30034_1</v>
          </cell>
          <cell r="B616">
            <v>3</v>
          </cell>
          <cell r="C616">
            <v>30034</v>
          </cell>
          <cell r="D616" t="str">
            <v>孤高の焔翼</v>
          </cell>
          <cell r="E616" t="str">
            <v>天使と悪魔</v>
          </cell>
          <cell r="F616">
            <v>1</v>
          </cell>
          <cell r="G616" t="str">
            <v>ja</v>
          </cell>
          <cell r="H616" t="str">
            <v>【中級】孤高の焔翼</v>
          </cell>
          <cell r="I616" t="str">
            <v>中級</v>
          </cell>
          <cell r="J616">
            <v>840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10</v>
          </cell>
          <cell r="AD616">
            <v>6</v>
          </cell>
          <cell r="AE616" t="str">
            <v>everyone</v>
          </cell>
        </row>
        <row r="617">
          <cell r="A617" t="str">
            <v>30034_2</v>
          </cell>
          <cell r="B617">
            <v>3</v>
          </cell>
          <cell r="C617">
            <v>30034</v>
          </cell>
          <cell r="D617" t="str">
            <v>孤高の焔翼</v>
          </cell>
          <cell r="E617" t="str">
            <v>天使と悪魔</v>
          </cell>
          <cell r="F617">
            <v>2</v>
          </cell>
          <cell r="G617" t="str">
            <v>ja</v>
          </cell>
          <cell r="H617" t="str">
            <v>【上級】孤高の焔翼</v>
          </cell>
          <cell r="I617" t="str">
            <v>上級</v>
          </cell>
          <cell r="J617">
            <v>840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10</v>
          </cell>
          <cell r="AD617">
            <v>6</v>
          </cell>
          <cell r="AE617" t="str">
            <v>everyone</v>
          </cell>
        </row>
        <row r="618">
          <cell r="A618" t="str">
            <v>30034_3</v>
          </cell>
          <cell r="B618">
            <v>3</v>
          </cell>
          <cell r="C618">
            <v>30034</v>
          </cell>
          <cell r="D618" t="str">
            <v>孤高の焔翼</v>
          </cell>
          <cell r="E618" t="str">
            <v>天使と悪魔</v>
          </cell>
          <cell r="F618">
            <v>3</v>
          </cell>
          <cell r="G618" t="str">
            <v>ja</v>
          </cell>
          <cell r="H618" t="str">
            <v>【超級】孤高の焔翼</v>
          </cell>
          <cell r="I618" t="str">
            <v>超級</v>
          </cell>
          <cell r="J618">
            <v>841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10</v>
          </cell>
          <cell r="AD618">
            <v>6</v>
          </cell>
          <cell r="AE618" t="str">
            <v>everyone</v>
          </cell>
        </row>
        <row r="619">
          <cell r="A619" t="str">
            <v>30035_1</v>
          </cell>
          <cell r="B619">
            <v>3</v>
          </cell>
          <cell r="C619">
            <v>30035</v>
          </cell>
          <cell r="D619" t="str">
            <v>大鯨の呼び声</v>
          </cell>
          <cell r="E619" t="str">
            <v>童話シリーズ3本目</v>
          </cell>
          <cell r="F619">
            <v>1</v>
          </cell>
          <cell r="G619" t="str">
            <v>ja</v>
          </cell>
          <cell r="H619" t="str">
            <v>【中級】大鯨の呼び声</v>
          </cell>
          <cell r="I619" t="str">
            <v>中級</v>
          </cell>
          <cell r="J619">
            <v>858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5</v>
          </cell>
          <cell r="AD619">
            <v>6</v>
          </cell>
          <cell r="AE619" t="str">
            <v>everyone</v>
          </cell>
        </row>
        <row r="620">
          <cell r="A620" t="str">
            <v>30035_2</v>
          </cell>
          <cell r="B620">
            <v>3</v>
          </cell>
          <cell r="C620">
            <v>30035</v>
          </cell>
          <cell r="D620" t="str">
            <v>大鯨の呼び声</v>
          </cell>
          <cell r="E620" t="str">
            <v>童話シリーズ3本目</v>
          </cell>
          <cell r="F620">
            <v>2</v>
          </cell>
          <cell r="G620" t="str">
            <v>ja</v>
          </cell>
          <cell r="H620" t="str">
            <v>【上級】大鯨の呼び声</v>
          </cell>
          <cell r="I620" t="str">
            <v>上級</v>
          </cell>
          <cell r="J620">
            <v>858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5</v>
          </cell>
          <cell r="AD620">
            <v>6</v>
          </cell>
          <cell r="AE620" t="str">
            <v>everyone</v>
          </cell>
        </row>
        <row r="621">
          <cell r="A621" t="str">
            <v>30035_3</v>
          </cell>
          <cell r="B621">
            <v>3</v>
          </cell>
          <cell r="C621">
            <v>30035</v>
          </cell>
          <cell r="D621" t="str">
            <v>大鯨の呼び声</v>
          </cell>
          <cell r="E621" t="str">
            <v>童話シリーズ3本目</v>
          </cell>
          <cell r="F621">
            <v>3</v>
          </cell>
          <cell r="G621" t="str">
            <v>ja</v>
          </cell>
          <cell r="H621" t="str">
            <v>【超級】大鯨の呼び声</v>
          </cell>
          <cell r="I621" t="str">
            <v>超級</v>
          </cell>
          <cell r="J621">
            <v>859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5</v>
          </cell>
          <cell r="AD621">
            <v>6</v>
          </cell>
          <cell r="AE621" t="str">
            <v>everyone</v>
          </cell>
        </row>
        <row r="622">
          <cell r="A622" t="str">
            <v>30036_1</v>
          </cell>
          <cell r="B622">
            <v>3</v>
          </cell>
          <cell r="C622">
            <v>30036</v>
          </cell>
          <cell r="D622" t="str">
            <v>猛然たる炎獣使い</v>
          </cell>
          <cell r="E622" t="str">
            <v>ギリシャ神話シリーズ超級</v>
          </cell>
          <cell r="F622">
            <v>1</v>
          </cell>
          <cell r="G622" t="str">
            <v>ja</v>
          </cell>
          <cell r="H622" t="str">
            <v>【中級】猛然たる炎獣使い</v>
          </cell>
          <cell r="I622" t="str">
            <v>中級</v>
          </cell>
          <cell r="J622">
            <v>736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14</v>
          </cell>
          <cell r="AD622">
            <v>6</v>
          </cell>
          <cell r="AE622" t="str">
            <v>everyone</v>
          </cell>
        </row>
        <row r="623">
          <cell r="A623" t="str">
            <v>30036_2</v>
          </cell>
          <cell r="B623">
            <v>3</v>
          </cell>
          <cell r="C623">
            <v>30036</v>
          </cell>
          <cell r="D623" t="str">
            <v>猛然たる炎獣使い</v>
          </cell>
          <cell r="E623" t="str">
            <v>ギリシャ神話シリーズ超級</v>
          </cell>
          <cell r="F623">
            <v>2</v>
          </cell>
          <cell r="G623" t="str">
            <v>ja</v>
          </cell>
          <cell r="H623" t="str">
            <v>【上級】猛然たる炎獣使い</v>
          </cell>
          <cell r="I623" t="str">
            <v>上級</v>
          </cell>
          <cell r="J623">
            <v>737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14</v>
          </cell>
          <cell r="AD623">
            <v>6</v>
          </cell>
          <cell r="AE623" t="str">
            <v>everyone</v>
          </cell>
        </row>
        <row r="624">
          <cell r="A624" t="str">
            <v>30036_3</v>
          </cell>
          <cell r="B624">
            <v>3</v>
          </cell>
          <cell r="C624">
            <v>30036</v>
          </cell>
          <cell r="D624" t="str">
            <v>猛然たる炎獣使い</v>
          </cell>
          <cell r="E624" t="str">
            <v>ギリシャ神話シリーズ超級</v>
          </cell>
          <cell r="F624">
            <v>3</v>
          </cell>
          <cell r="G624" t="str">
            <v>ja</v>
          </cell>
          <cell r="H624" t="str">
            <v>【超級】猛然たる炎獣使い</v>
          </cell>
          <cell r="I624" t="str">
            <v>超級</v>
          </cell>
          <cell r="J624">
            <v>737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14</v>
          </cell>
          <cell r="AD624">
            <v>6</v>
          </cell>
          <cell r="AE624" t="str">
            <v>everyone</v>
          </cell>
        </row>
        <row r="625">
          <cell r="A625" t="str">
            <v>30037_1</v>
          </cell>
          <cell r="B625">
            <v>3</v>
          </cell>
          <cell r="C625">
            <v>30037</v>
          </cell>
          <cell r="D625" t="str">
            <v>灯り火の麗人</v>
          </cell>
          <cell r="E625" t="str">
            <v>フランス革命シリーズ超級</v>
          </cell>
          <cell r="F625">
            <v>1</v>
          </cell>
          <cell r="G625" t="str">
            <v>ja</v>
          </cell>
          <cell r="H625" t="str">
            <v>【中級】灯り火の麗人</v>
          </cell>
          <cell r="I625" t="str">
            <v>中級</v>
          </cell>
          <cell r="J625">
            <v>934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6</v>
          </cell>
          <cell r="AD625">
            <v>6</v>
          </cell>
          <cell r="AE625" t="str">
            <v>everyone</v>
          </cell>
        </row>
        <row r="626">
          <cell r="A626" t="str">
            <v>30037_2</v>
          </cell>
          <cell r="B626">
            <v>3</v>
          </cell>
          <cell r="C626">
            <v>30037</v>
          </cell>
          <cell r="D626" t="str">
            <v>灯り火の麗人</v>
          </cell>
          <cell r="E626" t="str">
            <v>フランス革命シリーズ超級</v>
          </cell>
          <cell r="F626">
            <v>2</v>
          </cell>
          <cell r="G626" t="str">
            <v>ja</v>
          </cell>
          <cell r="H626" t="str">
            <v>【上級】灯り火の麗人</v>
          </cell>
          <cell r="I626" t="str">
            <v>上級</v>
          </cell>
          <cell r="J626">
            <v>934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6</v>
          </cell>
          <cell r="AD626">
            <v>6</v>
          </cell>
          <cell r="AE626" t="str">
            <v>everyone</v>
          </cell>
        </row>
        <row r="627">
          <cell r="A627" t="str">
            <v>30037_3</v>
          </cell>
          <cell r="B627">
            <v>3</v>
          </cell>
          <cell r="C627">
            <v>30037</v>
          </cell>
          <cell r="D627" t="str">
            <v>灯り火の麗人</v>
          </cell>
          <cell r="E627" t="str">
            <v>フランス革命シリーズ超級</v>
          </cell>
          <cell r="F627">
            <v>3</v>
          </cell>
          <cell r="G627" t="str">
            <v>ja</v>
          </cell>
          <cell r="H627" t="str">
            <v>【超級】灯り火の麗人</v>
          </cell>
          <cell r="I627" t="str">
            <v>超級</v>
          </cell>
          <cell r="J627">
            <v>934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6</v>
          </cell>
          <cell r="AD627">
            <v>6</v>
          </cell>
          <cell r="AE627" t="str">
            <v>everyone</v>
          </cell>
        </row>
        <row r="628">
          <cell r="A628" t="str">
            <v>30038_1</v>
          </cell>
          <cell r="B628">
            <v>3</v>
          </cell>
          <cell r="C628">
            <v>30038</v>
          </cell>
          <cell r="D628" t="str">
            <v>毒絶神の願い</v>
          </cell>
          <cell r="E628" t="str">
            <v>エジプト神話シリーズ超級</v>
          </cell>
          <cell r="F628">
            <v>1</v>
          </cell>
          <cell r="G628" t="str">
            <v>ja</v>
          </cell>
          <cell r="H628" t="str">
            <v>【中級】毒絶神の願い</v>
          </cell>
          <cell r="I628" t="str">
            <v>中級</v>
          </cell>
          <cell r="J628">
            <v>1007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8</v>
          </cell>
          <cell r="AD628">
            <v>6</v>
          </cell>
          <cell r="AE628" t="str">
            <v>everyone</v>
          </cell>
        </row>
        <row r="629">
          <cell r="A629" t="str">
            <v>30038_2</v>
          </cell>
          <cell r="B629">
            <v>3</v>
          </cell>
          <cell r="C629">
            <v>30038</v>
          </cell>
          <cell r="D629" t="str">
            <v>毒絶神の願い</v>
          </cell>
          <cell r="E629" t="str">
            <v>エジプト神話シリーズ超級</v>
          </cell>
          <cell r="F629">
            <v>2</v>
          </cell>
          <cell r="G629" t="str">
            <v>ja</v>
          </cell>
          <cell r="H629" t="str">
            <v>【上級】毒絶神の願い</v>
          </cell>
          <cell r="I629" t="str">
            <v>上級</v>
          </cell>
          <cell r="J629">
            <v>1007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8</v>
          </cell>
          <cell r="AD629">
            <v>6</v>
          </cell>
          <cell r="AE629" t="str">
            <v>everyone</v>
          </cell>
        </row>
        <row r="630">
          <cell r="A630" t="str">
            <v>30038_3</v>
          </cell>
          <cell r="B630">
            <v>3</v>
          </cell>
          <cell r="C630">
            <v>30038</v>
          </cell>
          <cell r="D630" t="str">
            <v>毒絶神の願い</v>
          </cell>
          <cell r="E630" t="str">
            <v>エジプト神話シリーズ超級</v>
          </cell>
          <cell r="F630">
            <v>3</v>
          </cell>
          <cell r="G630" t="str">
            <v>ja</v>
          </cell>
          <cell r="H630" t="str">
            <v>【超級】毒絶神の願い</v>
          </cell>
          <cell r="I630" t="str">
            <v>超級</v>
          </cell>
          <cell r="J630">
            <v>1007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8</v>
          </cell>
          <cell r="AD630">
            <v>6</v>
          </cell>
          <cell r="AE630" t="str">
            <v>everyone</v>
          </cell>
        </row>
        <row r="631">
          <cell r="A631" t="str">
            <v>30039_1</v>
          </cell>
          <cell r="B631">
            <v>3</v>
          </cell>
          <cell r="C631">
            <v>30039</v>
          </cell>
          <cell r="D631" t="str">
            <v>ゼロワン・ゲーム</v>
          </cell>
          <cell r="E631" t="str">
            <v>平安シリーズ超級</v>
          </cell>
          <cell r="F631">
            <v>1</v>
          </cell>
          <cell r="G631" t="str">
            <v>ja</v>
          </cell>
          <cell r="H631" t="str">
            <v>【中級】ゼロワン・ゲーム</v>
          </cell>
          <cell r="I631" t="str">
            <v>中級</v>
          </cell>
          <cell r="J631">
            <v>1022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18</v>
          </cell>
          <cell r="AD631">
            <v>6</v>
          </cell>
          <cell r="AE631" t="str">
            <v>everyone</v>
          </cell>
        </row>
        <row r="632">
          <cell r="A632" t="str">
            <v>30039_2</v>
          </cell>
          <cell r="B632">
            <v>3</v>
          </cell>
          <cell r="C632">
            <v>30039</v>
          </cell>
          <cell r="D632" t="str">
            <v>ゼロワン・ゲーム</v>
          </cell>
          <cell r="E632" t="str">
            <v>平安シリーズ超級</v>
          </cell>
          <cell r="F632">
            <v>2</v>
          </cell>
          <cell r="G632" t="str">
            <v>ja</v>
          </cell>
          <cell r="H632" t="str">
            <v>【上級】ゼロワン・ゲーム</v>
          </cell>
          <cell r="I632" t="str">
            <v>上級</v>
          </cell>
          <cell r="J632">
            <v>1022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18</v>
          </cell>
          <cell r="AD632">
            <v>6</v>
          </cell>
          <cell r="AE632" t="str">
            <v>everyone</v>
          </cell>
        </row>
        <row r="633">
          <cell r="A633" t="str">
            <v>30039_3</v>
          </cell>
          <cell r="B633">
            <v>3</v>
          </cell>
          <cell r="C633">
            <v>30039</v>
          </cell>
          <cell r="D633" t="str">
            <v>ゼロワン・ゲーム</v>
          </cell>
          <cell r="E633" t="str">
            <v>平安シリーズ超級</v>
          </cell>
          <cell r="F633">
            <v>3</v>
          </cell>
          <cell r="G633" t="str">
            <v>ja</v>
          </cell>
          <cell r="H633" t="str">
            <v>【超級】ゼロワン・ゲーム</v>
          </cell>
          <cell r="I633" t="str">
            <v>超級</v>
          </cell>
          <cell r="J633">
            <v>1023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18</v>
          </cell>
          <cell r="AD633">
            <v>6</v>
          </cell>
          <cell r="AE633" t="str">
            <v>everyone</v>
          </cell>
        </row>
        <row r="634">
          <cell r="A634" t="str">
            <v>30040_1</v>
          </cell>
          <cell r="B634">
            <v>3</v>
          </cell>
          <cell r="C634">
            <v>30040</v>
          </cell>
          <cell r="D634" t="str">
            <v>闇ヨリ出ル魔獣</v>
          </cell>
          <cell r="E634" t="str">
            <v>メソポタミア文明シリーズ超級</v>
          </cell>
          <cell r="F634">
            <v>1</v>
          </cell>
          <cell r="G634" t="str">
            <v>ja</v>
          </cell>
          <cell r="H634" t="str">
            <v>【中級】闇ヨリ出ル魔獣</v>
          </cell>
          <cell r="I634" t="str">
            <v>中級</v>
          </cell>
          <cell r="J634">
            <v>1061</v>
          </cell>
          <cell r="K634">
            <v>15</v>
          </cell>
          <cell r="L634">
            <v>1200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7</v>
          </cell>
          <cell r="AD634">
            <v>6</v>
          </cell>
          <cell r="AE634" t="str">
            <v>everyone</v>
          </cell>
        </row>
        <row r="635">
          <cell r="A635" t="str">
            <v>30040_2</v>
          </cell>
          <cell r="B635">
            <v>3</v>
          </cell>
          <cell r="C635">
            <v>30040</v>
          </cell>
          <cell r="D635" t="str">
            <v>闇ヨリ出ル魔獣</v>
          </cell>
          <cell r="E635" t="str">
            <v>メソポタミア文明シリーズ超級</v>
          </cell>
          <cell r="F635">
            <v>2</v>
          </cell>
          <cell r="G635" t="str">
            <v>ja</v>
          </cell>
          <cell r="H635" t="str">
            <v>【上級】闇ヨリ出ル魔獣</v>
          </cell>
          <cell r="I635" t="str">
            <v>上級</v>
          </cell>
          <cell r="J635">
            <v>1062</v>
          </cell>
          <cell r="K635">
            <v>20</v>
          </cell>
          <cell r="L635">
            <v>2000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7</v>
          </cell>
          <cell r="AD635">
            <v>6</v>
          </cell>
          <cell r="AE635" t="str">
            <v>everyone</v>
          </cell>
        </row>
        <row r="636">
          <cell r="A636" t="str">
            <v>30040_3</v>
          </cell>
          <cell r="B636">
            <v>3</v>
          </cell>
          <cell r="C636">
            <v>30040</v>
          </cell>
          <cell r="D636" t="str">
            <v>闇ヨリ出ル魔獣</v>
          </cell>
          <cell r="E636" t="str">
            <v>メソポタミア文明シリーズ超級</v>
          </cell>
          <cell r="F636">
            <v>3</v>
          </cell>
          <cell r="G636" t="str">
            <v>ja</v>
          </cell>
          <cell r="H636" t="str">
            <v>【超級】闇ヨリ出ル魔獣</v>
          </cell>
          <cell r="I636" t="str">
            <v>超級</v>
          </cell>
          <cell r="J636">
            <v>1062</v>
          </cell>
          <cell r="K636">
            <v>30</v>
          </cell>
          <cell r="L636">
            <v>3300</v>
          </cell>
          <cell r="M636">
            <v>1</v>
          </cell>
          <cell r="N636">
            <v>1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7</v>
          </cell>
          <cell r="AD636">
            <v>6</v>
          </cell>
          <cell r="AE636" t="str">
            <v>everyone</v>
          </cell>
        </row>
        <row r="637">
          <cell r="A637" t="str">
            <v>30041_1</v>
          </cell>
          <cell r="B637">
            <v>3</v>
          </cell>
          <cell r="C637">
            <v>30041</v>
          </cell>
          <cell r="D637" t="str">
            <v>パラノイア・アート</v>
          </cell>
          <cell r="E637" t="str">
            <v>画家シリーズ超級</v>
          </cell>
          <cell r="F637">
            <v>1</v>
          </cell>
          <cell r="G637" t="str">
            <v>ja</v>
          </cell>
          <cell r="H637" t="str">
            <v>【中級】パラノイア・アート</v>
          </cell>
          <cell r="I637" t="str">
            <v>中級</v>
          </cell>
          <cell r="J637">
            <v>1096</v>
          </cell>
          <cell r="K637">
            <v>15</v>
          </cell>
          <cell r="L637">
            <v>1200</v>
          </cell>
          <cell r="M637">
            <v>1</v>
          </cell>
          <cell r="N637">
            <v>0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25</v>
          </cell>
          <cell r="AD637">
            <v>6</v>
          </cell>
          <cell r="AE637" t="str">
            <v>everyone</v>
          </cell>
        </row>
        <row r="638">
          <cell r="A638" t="str">
            <v>30041_2</v>
          </cell>
          <cell r="B638">
            <v>3</v>
          </cell>
          <cell r="C638">
            <v>30041</v>
          </cell>
          <cell r="D638" t="str">
            <v>パラノイア・アート</v>
          </cell>
          <cell r="E638" t="str">
            <v>画家シリーズ超級</v>
          </cell>
          <cell r="F638">
            <v>2</v>
          </cell>
          <cell r="G638" t="str">
            <v>ja</v>
          </cell>
          <cell r="H638" t="str">
            <v>【上級】パラノイア・アート</v>
          </cell>
          <cell r="I638" t="str">
            <v>上級</v>
          </cell>
          <cell r="J638">
            <v>1097</v>
          </cell>
          <cell r="K638">
            <v>20</v>
          </cell>
          <cell r="L638">
            <v>2000</v>
          </cell>
          <cell r="M638">
            <v>1</v>
          </cell>
          <cell r="N638">
            <v>0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25</v>
          </cell>
          <cell r="AD638">
            <v>6</v>
          </cell>
          <cell r="AE638" t="str">
            <v>everyone</v>
          </cell>
        </row>
        <row r="639">
          <cell r="A639" t="str">
            <v>30041_3</v>
          </cell>
          <cell r="B639">
            <v>3</v>
          </cell>
          <cell r="C639">
            <v>30041</v>
          </cell>
          <cell r="D639" t="str">
            <v>パラノイア・アート</v>
          </cell>
          <cell r="E639" t="str">
            <v>画家シリーズ超級</v>
          </cell>
          <cell r="F639">
            <v>3</v>
          </cell>
          <cell r="G639" t="str">
            <v>ja</v>
          </cell>
          <cell r="H639" t="str">
            <v>【超級】パラノイア・アート</v>
          </cell>
          <cell r="I639" t="str">
            <v>超級</v>
          </cell>
          <cell r="J639">
            <v>1097</v>
          </cell>
          <cell r="K639">
            <v>30</v>
          </cell>
          <cell r="L639">
            <v>3300</v>
          </cell>
          <cell r="M639">
            <v>1</v>
          </cell>
          <cell r="N639">
            <v>0</v>
          </cell>
          <cell r="O639">
            <v>1</v>
          </cell>
          <cell r="P639">
            <v>1</v>
          </cell>
          <cell r="Q639">
            <v>1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25</v>
          </cell>
          <cell r="AD639">
            <v>6</v>
          </cell>
          <cell r="AE639" t="str">
            <v>everyone</v>
          </cell>
        </row>
        <row r="640">
          <cell r="A640" t="str">
            <v>30042_1</v>
          </cell>
          <cell r="B640">
            <v>3</v>
          </cell>
          <cell r="C640">
            <v>30042</v>
          </cell>
          <cell r="D640" t="str">
            <v>馬中に赤兎あり！</v>
          </cell>
          <cell r="E640" t="str">
            <v>三国志シリーズ超級</v>
          </cell>
          <cell r="F640">
            <v>1</v>
          </cell>
          <cell r="G640" t="str">
            <v>ja</v>
          </cell>
          <cell r="H640" t="str">
            <v>【中級】馬中に赤兎あり！</v>
          </cell>
          <cell r="I640" t="str">
            <v>中級</v>
          </cell>
          <cell r="J640">
            <v>1130</v>
          </cell>
          <cell r="K640">
            <v>15</v>
          </cell>
          <cell r="L640">
            <v>1200</v>
          </cell>
          <cell r="M640">
            <v>1</v>
          </cell>
          <cell r="N640">
            <v>1</v>
          </cell>
          <cell r="O640">
            <v>1</v>
          </cell>
          <cell r="P640">
            <v>1</v>
          </cell>
          <cell r="Q640">
            <v>0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14</v>
          </cell>
          <cell r="AD640">
            <v>6</v>
          </cell>
          <cell r="AE640" t="str">
            <v>singleonly</v>
          </cell>
        </row>
        <row r="641">
          <cell r="A641" t="str">
            <v>30042_2</v>
          </cell>
          <cell r="B641">
            <v>3</v>
          </cell>
          <cell r="C641">
            <v>30042</v>
          </cell>
          <cell r="D641" t="str">
            <v>馬中に赤兎あり！</v>
          </cell>
          <cell r="E641" t="str">
            <v>三国志シリーズ超級</v>
          </cell>
          <cell r="F641">
            <v>2</v>
          </cell>
          <cell r="G641" t="str">
            <v>ja</v>
          </cell>
          <cell r="H641" t="str">
            <v>【上級】馬中に赤兎あり！</v>
          </cell>
          <cell r="I641" t="str">
            <v>上級</v>
          </cell>
          <cell r="J641">
            <v>1130</v>
          </cell>
          <cell r="K641">
            <v>20</v>
          </cell>
          <cell r="L641">
            <v>2000</v>
          </cell>
          <cell r="M641">
            <v>1</v>
          </cell>
          <cell r="N641">
            <v>1</v>
          </cell>
          <cell r="O641">
            <v>1</v>
          </cell>
          <cell r="P641">
            <v>1</v>
          </cell>
          <cell r="Q641">
            <v>0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14</v>
          </cell>
          <cell r="AD641">
            <v>6</v>
          </cell>
          <cell r="AE641" t="str">
            <v>singleonly</v>
          </cell>
        </row>
        <row r="642">
          <cell r="A642" t="str">
            <v>30042_3</v>
          </cell>
          <cell r="B642">
            <v>3</v>
          </cell>
          <cell r="C642">
            <v>30042</v>
          </cell>
          <cell r="D642" t="str">
            <v>馬中に赤兎あり！</v>
          </cell>
          <cell r="E642" t="str">
            <v>三国志シリーズ超級</v>
          </cell>
          <cell r="F642">
            <v>3</v>
          </cell>
          <cell r="G642" t="str">
            <v>ja</v>
          </cell>
          <cell r="H642" t="str">
            <v>【超級】馬中に赤兎あり！</v>
          </cell>
          <cell r="I642" t="str">
            <v>超級</v>
          </cell>
          <cell r="J642">
            <v>1130</v>
          </cell>
          <cell r="K642">
            <v>30</v>
          </cell>
          <cell r="L642">
            <v>3300</v>
          </cell>
          <cell r="M642">
            <v>1</v>
          </cell>
          <cell r="N642">
            <v>1</v>
          </cell>
          <cell r="O642">
            <v>1</v>
          </cell>
          <cell r="P642">
            <v>1</v>
          </cell>
          <cell r="Q642">
            <v>0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14</v>
          </cell>
          <cell r="AD642">
            <v>6</v>
          </cell>
          <cell r="AE642" t="str">
            <v>singleonly</v>
          </cell>
        </row>
        <row r="643">
          <cell r="A643" t="str">
            <v>30043_1</v>
          </cell>
          <cell r="B643">
            <v>3</v>
          </cell>
          <cell r="C643">
            <v>30043</v>
          </cell>
          <cell r="D643" t="str">
            <v>小さな破壊竜</v>
          </cell>
          <cell r="E643" t="str">
            <v>ヒンドゥー神話第二弾超級</v>
          </cell>
          <cell r="F643">
            <v>1</v>
          </cell>
          <cell r="G643" t="str">
            <v>ja</v>
          </cell>
          <cell r="H643" t="str">
            <v>【中級】小さな破壊竜</v>
          </cell>
          <cell r="I643" t="str">
            <v>中級</v>
          </cell>
          <cell r="J643">
            <v>1146</v>
          </cell>
          <cell r="K643">
            <v>15</v>
          </cell>
          <cell r="L643">
            <v>1200</v>
          </cell>
          <cell r="M643">
            <v>1</v>
          </cell>
          <cell r="N643">
            <v>0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24</v>
          </cell>
          <cell r="AD643">
            <v>6</v>
          </cell>
          <cell r="AE643" t="str">
            <v>everyone</v>
          </cell>
        </row>
        <row r="644">
          <cell r="A644" t="str">
            <v>30043_2</v>
          </cell>
          <cell r="B644">
            <v>3</v>
          </cell>
          <cell r="C644">
            <v>30043</v>
          </cell>
          <cell r="D644" t="str">
            <v>小さな破壊竜</v>
          </cell>
          <cell r="E644" t="str">
            <v>ヒンドゥー神話第二弾超級</v>
          </cell>
          <cell r="F644">
            <v>2</v>
          </cell>
          <cell r="G644" t="str">
            <v>ja</v>
          </cell>
          <cell r="H644" t="str">
            <v>【上級】小さな破壊竜</v>
          </cell>
          <cell r="I644" t="str">
            <v>上級</v>
          </cell>
          <cell r="J644">
            <v>1146</v>
          </cell>
          <cell r="K644">
            <v>20</v>
          </cell>
          <cell r="L644">
            <v>2000</v>
          </cell>
          <cell r="M644">
            <v>1</v>
          </cell>
          <cell r="N644">
            <v>0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24</v>
          </cell>
          <cell r="AD644">
            <v>6</v>
          </cell>
          <cell r="AE644" t="str">
            <v>everyone</v>
          </cell>
        </row>
        <row r="645">
          <cell r="A645" t="str">
            <v>30043_3</v>
          </cell>
          <cell r="B645">
            <v>3</v>
          </cell>
          <cell r="C645">
            <v>30043</v>
          </cell>
          <cell r="D645" t="str">
            <v>小さな破壊竜</v>
          </cell>
          <cell r="E645" t="str">
            <v>ヒンドゥー神話第二弾超級</v>
          </cell>
          <cell r="F645">
            <v>3</v>
          </cell>
          <cell r="G645" t="str">
            <v>ja</v>
          </cell>
          <cell r="H645" t="str">
            <v>【超級】小さな破壊竜</v>
          </cell>
          <cell r="I645" t="str">
            <v>超級</v>
          </cell>
          <cell r="J645">
            <v>1146</v>
          </cell>
          <cell r="K645">
            <v>30</v>
          </cell>
          <cell r="L645">
            <v>3300</v>
          </cell>
          <cell r="M645">
            <v>1</v>
          </cell>
          <cell r="N645">
            <v>0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24</v>
          </cell>
          <cell r="AD645">
            <v>6</v>
          </cell>
          <cell r="AE645" t="str">
            <v>everyone</v>
          </cell>
        </row>
        <row r="646">
          <cell r="A646" t="str">
            <v>30044_1</v>
          </cell>
          <cell r="B646">
            <v>3</v>
          </cell>
          <cell r="C646">
            <v>30044</v>
          </cell>
          <cell r="D646" t="str">
            <v>冷酷なる遂行者</v>
          </cell>
          <cell r="E646" t="str">
            <v>ギリシャ神話第二弾超級</v>
          </cell>
          <cell r="F646">
            <v>1</v>
          </cell>
          <cell r="G646" t="str">
            <v>ja</v>
          </cell>
          <cell r="H646" t="str">
            <v>【中級】冷酷なる遂行者</v>
          </cell>
          <cell r="I646" t="str">
            <v>中級</v>
          </cell>
          <cell r="J646">
            <v>1201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26</v>
          </cell>
          <cell r="AD646">
            <v>6</v>
          </cell>
          <cell r="AE646" t="str">
            <v>everyone</v>
          </cell>
        </row>
        <row r="647">
          <cell r="A647" t="str">
            <v>30044_2</v>
          </cell>
          <cell r="B647">
            <v>3</v>
          </cell>
          <cell r="C647">
            <v>30044</v>
          </cell>
          <cell r="D647" t="str">
            <v>冷酷なる遂行者</v>
          </cell>
          <cell r="E647" t="str">
            <v>ギリシャ神話第二弾超級</v>
          </cell>
          <cell r="F647">
            <v>2</v>
          </cell>
          <cell r="G647" t="str">
            <v>ja</v>
          </cell>
          <cell r="H647" t="str">
            <v>【上級】冷酷なる遂行者</v>
          </cell>
          <cell r="I647" t="str">
            <v>上級</v>
          </cell>
          <cell r="J647">
            <v>1201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26</v>
          </cell>
          <cell r="AD647">
            <v>6</v>
          </cell>
          <cell r="AE647" t="str">
            <v>everyone</v>
          </cell>
        </row>
        <row r="648">
          <cell r="A648" t="str">
            <v>30044_3</v>
          </cell>
          <cell r="B648">
            <v>3</v>
          </cell>
          <cell r="C648">
            <v>30044</v>
          </cell>
          <cell r="D648" t="str">
            <v>冷酷なる遂行者</v>
          </cell>
          <cell r="E648" t="str">
            <v>ギリシャ神話第二弾超級</v>
          </cell>
          <cell r="F648">
            <v>3</v>
          </cell>
          <cell r="G648" t="str">
            <v>ja</v>
          </cell>
          <cell r="H648" t="str">
            <v>【超級】冷酷なる遂行者</v>
          </cell>
          <cell r="I648" t="str">
            <v>超級</v>
          </cell>
          <cell r="J648">
            <v>1201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26</v>
          </cell>
          <cell r="AD648">
            <v>6</v>
          </cell>
          <cell r="AE648" t="str">
            <v>everyone</v>
          </cell>
        </row>
        <row r="649">
          <cell r="A649" t="str">
            <v>30045_1</v>
          </cell>
          <cell r="B649">
            <v>3</v>
          </cell>
          <cell r="C649">
            <v>30045</v>
          </cell>
          <cell r="D649" t="str">
            <v>れもん色の衝動</v>
          </cell>
          <cell r="E649" t="str">
            <v>文豪シリーズ　超級</v>
          </cell>
          <cell r="F649">
            <v>1</v>
          </cell>
          <cell r="G649" t="str">
            <v>ja</v>
          </cell>
          <cell r="H649" t="str">
            <v>【中級】れもん色の衝動</v>
          </cell>
          <cell r="I649" t="str">
            <v>中級</v>
          </cell>
          <cell r="J649">
            <v>1217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25</v>
          </cell>
          <cell r="AD649">
            <v>6</v>
          </cell>
          <cell r="AE649" t="str">
            <v>everyone</v>
          </cell>
        </row>
        <row r="650">
          <cell r="A650" t="str">
            <v>30045_2</v>
          </cell>
          <cell r="B650">
            <v>3</v>
          </cell>
          <cell r="C650">
            <v>30045</v>
          </cell>
          <cell r="D650" t="str">
            <v>れもん色の衝動</v>
          </cell>
          <cell r="E650" t="str">
            <v>文豪シリーズ　超級</v>
          </cell>
          <cell r="F650">
            <v>2</v>
          </cell>
          <cell r="G650" t="str">
            <v>ja</v>
          </cell>
          <cell r="H650" t="str">
            <v>【上級】れもん色の衝動</v>
          </cell>
          <cell r="I650" t="str">
            <v>上級</v>
          </cell>
          <cell r="J650">
            <v>1217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25</v>
          </cell>
          <cell r="AD650">
            <v>6</v>
          </cell>
          <cell r="AE650" t="str">
            <v>everyone</v>
          </cell>
        </row>
        <row r="651">
          <cell r="A651" t="str">
            <v>30045_3</v>
          </cell>
          <cell r="B651">
            <v>3</v>
          </cell>
          <cell r="C651">
            <v>30045</v>
          </cell>
          <cell r="D651" t="str">
            <v>れもん色の衝動</v>
          </cell>
          <cell r="E651" t="str">
            <v>文豪シリーズ　超級</v>
          </cell>
          <cell r="F651">
            <v>3</v>
          </cell>
          <cell r="G651" t="str">
            <v>ja</v>
          </cell>
          <cell r="H651" t="str">
            <v>【超級】れもん色の衝動</v>
          </cell>
          <cell r="I651" t="str">
            <v>超級</v>
          </cell>
          <cell r="J651">
            <v>1217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25</v>
          </cell>
          <cell r="AD651">
            <v>6</v>
          </cell>
          <cell r="AE651" t="str">
            <v>everyone</v>
          </cell>
        </row>
        <row r="652">
          <cell r="A652" t="str">
            <v>30046_1</v>
          </cell>
          <cell r="B652">
            <v>3</v>
          </cell>
          <cell r="C652">
            <v>30046</v>
          </cell>
          <cell r="D652" t="str">
            <v>千利の道も一歩から！</v>
          </cell>
          <cell r="E652" t="str">
            <v>戦国シリーズ第二弾　超級</v>
          </cell>
          <cell r="F652">
            <v>1</v>
          </cell>
          <cell r="G652" t="str">
            <v>ja</v>
          </cell>
          <cell r="H652" t="str">
            <v>【中級】千利の道も一歩から！</v>
          </cell>
          <cell r="I652" t="str">
            <v>中級</v>
          </cell>
          <cell r="J652">
            <v>1237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30</v>
          </cell>
          <cell r="AD652">
            <v>6</v>
          </cell>
          <cell r="AE652" t="str">
            <v>everyone</v>
          </cell>
        </row>
        <row r="653">
          <cell r="A653" t="str">
            <v>30046_2</v>
          </cell>
          <cell r="B653">
            <v>3</v>
          </cell>
          <cell r="C653">
            <v>30046</v>
          </cell>
          <cell r="D653" t="str">
            <v>千利の道も一歩から！</v>
          </cell>
          <cell r="E653" t="str">
            <v>戦国シリーズ第二弾　超級</v>
          </cell>
          <cell r="F653">
            <v>2</v>
          </cell>
          <cell r="G653" t="str">
            <v>ja</v>
          </cell>
          <cell r="H653" t="str">
            <v>【上級】千利の道も一歩から！</v>
          </cell>
          <cell r="I653" t="str">
            <v>上級</v>
          </cell>
          <cell r="J653">
            <v>1237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30</v>
          </cell>
          <cell r="AD653">
            <v>6</v>
          </cell>
          <cell r="AE653" t="str">
            <v>everyone</v>
          </cell>
        </row>
        <row r="654">
          <cell r="A654" t="str">
            <v>30046_3</v>
          </cell>
          <cell r="B654">
            <v>3</v>
          </cell>
          <cell r="C654">
            <v>30046</v>
          </cell>
          <cell r="D654" t="str">
            <v>千利の道も一歩から！</v>
          </cell>
          <cell r="E654" t="str">
            <v>戦国シリーズ第二弾　超級</v>
          </cell>
          <cell r="F654">
            <v>3</v>
          </cell>
          <cell r="G654" t="str">
            <v>ja</v>
          </cell>
          <cell r="H654" t="str">
            <v>【超級】千利の道も一歩から！</v>
          </cell>
          <cell r="I654" t="str">
            <v>超級</v>
          </cell>
          <cell r="J654">
            <v>1237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30</v>
          </cell>
          <cell r="AD654">
            <v>6</v>
          </cell>
          <cell r="AE654" t="str">
            <v>everyone</v>
          </cell>
        </row>
        <row r="655">
          <cell r="A655" t="str">
            <v>30047_1</v>
          </cell>
          <cell r="B655">
            <v>3</v>
          </cell>
          <cell r="C655">
            <v>30047</v>
          </cell>
          <cell r="D655" t="str">
            <v>終末の旋律</v>
          </cell>
          <cell r="E655" t="str">
            <v>北欧シリーズ第三弾　超級</v>
          </cell>
          <cell r="F655">
            <v>1</v>
          </cell>
          <cell r="G655" t="str">
            <v>ja</v>
          </cell>
          <cell r="H655" t="str">
            <v>【中級】終末の旋律</v>
          </cell>
          <cell r="I655" t="str">
            <v>中級</v>
          </cell>
          <cell r="J655">
            <v>1253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25</v>
          </cell>
          <cell r="AD655">
            <v>6</v>
          </cell>
          <cell r="AE655" t="str">
            <v>everyone</v>
          </cell>
        </row>
        <row r="656">
          <cell r="A656" t="str">
            <v>30047_2</v>
          </cell>
          <cell r="B656">
            <v>3</v>
          </cell>
          <cell r="C656">
            <v>30047</v>
          </cell>
          <cell r="D656" t="str">
            <v>終末の旋律</v>
          </cell>
          <cell r="E656" t="str">
            <v>北欧シリーズ第三弾　超級</v>
          </cell>
          <cell r="F656">
            <v>2</v>
          </cell>
          <cell r="G656" t="str">
            <v>ja</v>
          </cell>
          <cell r="H656" t="str">
            <v>【上級】終末の旋律</v>
          </cell>
          <cell r="I656" t="str">
            <v>上級</v>
          </cell>
          <cell r="J656">
            <v>1253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25</v>
          </cell>
          <cell r="AD656">
            <v>6</v>
          </cell>
          <cell r="AE656" t="str">
            <v>everyone</v>
          </cell>
        </row>
        <row r="657">
          <cell r="A657" t="str">
            <v>30047_3</v>
          </cell>
          <cell r="B657">
            <v>3</v>
          </cell>
          <cell r="C657">
            <v>30047</v>
          </cell>
          <cell r="D657" t="str">
            <v>終末の旋律</v>
          </cell>
          <cell r="E657" t="str">
            <v>北欧シリーズ第三弾　超級</v>
          </cell>
          <cell r="F657">
            <v>3</v>
          </cell>
          <cell r="G657" t="str">
            <v>ja</v>
          </cell>
          <cell r="H657" t="str">
            <v>【超級】終末の旋律</v>
          </cell>
          <cell r="I657" t="str">
            <v>超級</v>
          </cell>
          <cell r="J657">
            <v>1253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25</v>
          </cell>
          <cell r="AD657">
            <v>6</v>
          </cell>
          <cell r="AE657" t="str">
            <v>everyone</v>
          </cell>
        </row>
        <row r="658">
          <cell r="A658" t="str">
            <v>30048_1</v>
          </cell>
          <cell r="B658">
            <v>3</v>
          </cell>
          <cell r="C658">
            <v>30048</v>
          </cell>
          <cell r="D658" t="str">
            <v>惑乱の双神使！？</v>
          </cell>
          <cell r="E658" t="str">
            <v>日本神話シリーズ　超級</v>
          </cell>
          <cell r="F658">
            <v>1</v>
          </cell>
          <cell r="G658" t="str">
            <v>ja</v>
          </cell>
          <cell r="H658" t="str">
            <v>【中級】惑乱の双神使！？</v>
          </cell>
          <cell r="I658" t="str">
            <v>中級</v>
          </cell>
          <cell r="J658">
            <v>1325</v>
          </cell>
          <cell r="K658">
            <v>15</v>
          </cell>
          <cell r="L658">
            <v>1200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2</v>
          </cell>
          <cell r="AD658">
            <v>6</v>
          </cell>
          <cell r="AE658" t="str">
            <v>everyone</v>
          </cell>
        </row>
        <row r="659">
          <cell r="A659" t="str">
            <v>30048_2</v>
          </cell>
          <cell r="B659">
            <v>3</v>
          </cell>
          <cell r="C659">
            <v>30048</v>
          </cell>
          <cell r="D659" t="str">
            <v>惑乱の双神使！？</v>
          </cell>
          <cell r="E659" t="str">
            <v>日本神話シリーズ　超級</v>
          </cell>
          <cell r="F659">
            <v>2</v>
          </cell>
          <cell r="G659" t="str">
            <v>ja</v>
          </cell>
          <cell r="H659" t="str">
            <v>【上級】惑乱の双神使！？</v>
          </cell>
          <cell r="I659" t="str">
            <v>上級</v>
          </cell>
          <cell r="J659">
            <v>1325</v>
          </cell>
          <cell r="K659">
            <v>20</v>
          </cell>
          <cell r="L659">
            <v>2000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2</v>
          </cell>
          <cell r="AD659">
            <v>6</v>
          </cell>
          <cell r="AE659" t="str">
            <v>everyone</v>
          </cell>
        </row>
        <row r="660">
          <cell r="A660" t="str">
            <v>30048_3</v>
          </cell>
          <cell r="B660">
            <v>3</v>
          </cell>
          <cell r="C660">
            <v>30048</v>
          </cell>
          <cell r="D660" t="str">
            <v>惑乱の双神使！？</v>
          </cell>
          <cell r="E660" t="str">
            <v>日本神話シリーズ　超級</v>
          </cell>
          <cell r="F660">
            <v>3</v>
          </cell>
          <cell r="G660" t="str">
            <v>ja</v>
          </cell>
          <cell r="H660" t="str">
            <v>【超級】惑乱の双神使！？</v>
          </cell>
          <cell r="I660" t="str">
            <v>超級</v>
          </cell>
          <cell r="J660">
            <v>1325</v>
          </cell>
          <cell r="K660">
            <v>30</v>
          </cell>
          <cell r="L660">
            <v>3300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polygon</v>
          </cell>
          <cell r="T660">
            <v>1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2</v>
          </cell>
          <cell r="AD660">
            <v>6</v>
          </cell>
          <cell r="AE660" t="str">
            <v>everyone</v>
          </cell>
        </row>
        <row r="661">
          <cell r="A661" t="str">
            <v>30049_1</v>
          </cell>
          <cell r="B661">
            <v>3</v>
          </cell>
          <cell r="C661">
            <v>30049</v>
          </cell>
          <cell r="D661" t="str">
            <v>鉄壁の子豚要塞</v>
          </cell>
          <cell r="E661" t="str">
            <v>童話シリーズ　超級</v>
          </cell>
          <cell r="F661">
            <v>1</v>
          </cell>
          <cell r="G661" t="str">
            <v>ja</v>
          </cell>
          <cell r="H661" t="str">
            <v>【中級】鉄壁の子豚要塞</v>
          </cell>
          <cell r="I661" t="str">
            <v>中級</v>
          </cell>
          <cell r="J661">
            <v>1374</v>
          </cell>
          <cell r="K661">
            <v>15</v>
          </cell>
          <cell r="L661">
            <v>1200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4</v>
          </cell>
          <cell r="AD661">
            <v>6</v>
          </cell>
          <cell r="AE661" t="str">
            <v>everyone</v>
          </cell>
        </row>
        <row r="662">
          <cell r="A662" t="str">
            <v>30049_2</v>
          </cell>
          <cell r="B662">
            <v>3</v>
          </cell>
          <cell r="C662">
            <v>30049</v>
          </cell>
          <cell r="D662" t="str">
            <v>鉄壁の子豚要塞</v>
          </cell>
          <cell r="E662" t="str">
            <v>童話シリーズ　超級</v>
          </cell>
          <cell r="F662">
            <v>2</v>
          </cell>
          <cell r="G662" t="str">
            <v>ja</v>
          </cell>
          <cell r="H662" t="str">
            <v>【上級】鉄壁の子豚要塞</v>
          </cell>
          <cell r="I662" t="str">
            <v>上級</v>
          </cell>
          <cell r="J662">
            <v>1374</v>
          </cell>
          <cell r="K662">
            <v>20</v>
          </cell>
          <cell r="L662">
            <v>2000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none</v>
          </cell>
          <cell r="T662">
            <v>0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4</v>
          </cell>
          <cell r="AD662">
            <v>6</v>
          </cell>
          <cell r="AE662" t="str">
            <v>everyone</v>
          </cell>
        </row>
        <row r="663">
          <cell r="A663" t="str">
            <v>30049_3</v>
          </cell>
          <cell r="B663">
            <v>3</v>
          </cell>
          <cell r="C663">
            <v>30049</v>
          </cell>
          <cell r="D663" t="str">
            <v>鉄壁の子豚要塞</v>
          </cell>
          <cell r="E663" t="str">
            <v>童話シリーズ　超級</v>
          </cell>
          <cell r="F663">
            <v>3</v>
          </cell>
          <cell r="G663" t="str">
            <v>ja</v>
          </cell>
          <cell r="H663" t="str">
            <v>【超級】鉄壁の子豚要塞</v>
          </cell>
          <cell r="I663" t="str">
            <v>超級</v>
          </cell>
          <cell r="J663">
            <v>1374</v>
          </cell>
          <cell r="K663">
            <v>30</v>
          </cell>
          <cell r="L663">
            <v>3300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polygon</v>
          </cell>
          <cell r="T663">
            <v>1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4</v>
          </cell>
          <cell r="AD663">
            <v>6</v>
          </cell>
          <cell r="AE663" t="str">
            <v>everyone</v>
          </cell>
        </row>
        <row r="664">
          <cell r="A664" t="str">
            <v>30050_1</v>
          </cell>
          <cell r="B664">
            <v>3</v>
          </cell>
          <cell r="C664">
            <v>30050</v>
          </cell>
          <cell r="D664" t="str">
            <v>忍耐と服従</v>
          </cell>
          <cell r="E664" t="str">
            <v>英傑シリーズ　超級</v>
          </cell>
          <cell r="F664">
            <v>1</v>
          </cell>
          <cell r="G664" t="str">
            <v>ja</v>
          </cell>
          <cell r="H664" t="str">
            <v>【中級】忍耐と服従</v>
          </cell>
          <cell r="I664" t="str">
            <v>中級</v>
          </cell>
          <cell r="J664">
            <v>1437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20</v>
          </cell>
          <cell r="AD664">
            <v>6</v>
          </cell>
          <cell r="AE664" t="str">
            <v>everyone</v>
          </cell>
        </row>
        <row r="665">
          <cell r="A665" t="str">
            <v>30050_2</v>
          </cell>
          <cell r="B665">
            <v>3</v>
          </cell>
          <cell r="C665">
            <v>30050</v>
          </cell>
          <cell r="D665" t="str">
            <v>忍耐と服従</v>
          </cell>
          <cell r="E665" t="str">
            <v>英傑シリーズ　超級</v>
          </cell>
          <cell r="F665">
            <v>2</v>
          </cell>
          <cell r="G665" t="str">
            <v>ja</v>
          </cell>
          <cell r="H665" t="str">
            <v>【上級】忍耐と服従</v>
          </cell>
          <cell r="I665" t="str">
            <v>上級</v>
          </cell>
          <cell r="J665">
            <v>1437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20</v>
          </cell>
          <cell r="AD665">
            <v>6</v>
          </cell>
          <cell r="AE665" t="str">
            <v>everyone</v>
          </cell>
        </row>
        <row r="666">
          <cell r="A666" t="str">
            <v>30050_3</v>
          </cell>
          <cell r="B666">
            <v>3</v>
          </cell>
          <cell r="C666">
            <v>30050</v>
          </cell>
          <cell r="D666" t="str">
            <v>忍耐と服従</v>
          </cell>
          <cell r="E666" t="str">
            <v>英傑シリーズ　超級</v>
          </cell>
          <cell r="F666">
            <v>3</v>
          </cell>
          <cell r="G666" t="str">
            <v>ja</v>
          </cell>
          <cell r="H666" t="str">
            <v>【超級】忍耐と服従</v>
          </cell>
          <cell r="I666" t="str">
            <v>超級</v>
          </cell>
          <cell r="J666">
            <v>1437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20</v>
          </cell>
          <cell r="AD666">
            <v>6</v>
          </cell>
          <cell r="AE666" t="str">
            <v>everyone</v>
          </cell>
        </row>
        <row r="667">
          <cell r="A667" t="str">
            <v>39001_1</v>
          </cell>
          <cell r="B667">
            <v>3</v>
          </cell>
          <cell r="C667">
            <v>39001</v>
          </cell>
          <cell r="D667" t="str">
            <v>雪の歌姫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【初級】雪の歌姫</v>
          </cell>
          <cell r="I667" t="str">
            <v>初級</v>
          </cell>
          <cell r="J667">
            <v>525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909</v>
          </cell>
          <cell r="AD667">
            <v>6</v>
          </cell>
          <cell r="AE667" t="str">
            <v>everyone</v>
          </cell>
        </row>
        <row r="668">
          <cell r="A668" t="str">
            <v>39001_2</v>
          </cell>
          <cell r="B668">
            <v>3</v>
          </cell>
          <cell r="C668">
            <v>39001</v>
          </cell>
          <cell r="D668" t="str">
            <v>雪の歌姫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【中級】雪の歌姫</v>
          </cell>
          <cell r="I668" t="str">
            <v>中級</v>
          </cell>
          <cell r="J668">
            <v>525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909</v>
          </cell>
          <cell r="AD668">
            <v>6</v>
          </cell>
          <cell r="AE668" t="str">
            <v>everyone</v>
          </cell>
        </row>
        <row r="669">
          <cell r="A669" t="str">
            <v>39001_3</v>
          </cell>
          <cell r="B669">
            <v>3</v>
          </cell>
          <cell r="C669">
            <v>39001</v>
          </cell>
          <cell r="D669" t="str">
            <v>雪の歌姫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【上級】雪の歌姫</v>
          </cell>
          <cell r="I669" t="str">
            <v>上級</v>
          </cell>
          <cell r="J669">
            <v>525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909</v>
          </cell>
          <cell r="AD669">
            <v>6</v>
          </cell>
          <cell r="AE669" t="str">
            <v>everyone</v>
          </cell>
        </row>
        <row r="670">
          <cell r="A670" t="str">
            <v>39001_4</v>
          </cell>
          <cell r="B670">
            <v>3</v>
          </cell>
          <cell r="C670">
            <v>39001</v>
          </cell>
          <cell r="D670" t="str">
            <v>雪の歌姫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【超級】雪の歌姫</v>
          </cell>
          <cell r="I670" t="str">
            <v>超級</v>
          </cell>
          <cell r="J670">
            <v>526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none</v>
          </cell>
          <cell r="T670">
            <v>0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909</v>
          </cell>
          <cell r="AD670">
            <v>6</v>
          </cell>
          <cell r="AE670" t="str">
            <v>everyone</v>
          </cell>
        </row>
        <row r="671">
          <cell r="A671" t="str">
            <v>39001_5</v>
          </cell>
          <cell r="B671">
            <v>3</v>
          </cell>
          <cell r="C671">
            <v>39001</v>
          </cell>
          <cell r="D671" t="str">
            <v>雪の歌姫</v>
          </cell>
          <cell r="E671" t="str">
            <v>コラボクエスト</v>
          </cell>
          <cell r="F671">
            <v>5</v>
          </cell>
          <cell r="G671" t="str">
            <v>ja</v>
          </cell>
          <cell r="H671" t="str">
            <v>【超絶級】雪の歌姫</v>
          </cell>
          <cell r="I671" t="str">
            <v>超絶級</v>
          </cell>
          <cell r="J671">
            <v>526</v>
          </cell>
          <cell r="K671">
            <v>35</v>
          </cell>
          <cell r="L671">
            <v>4200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polygon</v>
          </cell>
          <cell r="T671">
            <v>1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909</v>
          </cell>
          <cell r="AD671">
            <v>6</v>
          </cell>
          <cell r="AE671" t="str">
            <v>everyone</v>
          </cell>
        </row>
        <row r="672">
          <cell r="A672" t="str">
            <v>39002_1</v>
          </cell>
          <cell r="B672">
            <v>3</v>
          </cell>
          <cell r="C672">
            <v>39002</v>
          </cell>
          <cell r="D672" t="str">
            <v>黄巾賊の暴走を止めろ！</v>
          </cell>
          <cell r="E672" t="str">
            <v>コラボクエスト</v>
          </cell>
          <cell r="F672">
            <v>1</v>
          </cell>
          <cell r="G672" t="str">
            <v>ja</v>
          </cell>
          <cell r="H672" t="str">
            <v>【初級】黄巾賊の暴走を止めろ</v>
          </cell>
          <cell r="I672" t="str">
            <v>初級</v>
          </cell>
          <cell r="J672">
            <v>694</v>
          </cell>
          <cell r="K672">
            <v>8</v>
          </cell>
          <cell r="L672">
            <v>384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12</v>
          </cell>
          <cell r="AD672">
            <v>6</v>
          </cell>
          <cell r="AE672" t="str">
            <v>everyone</v>
          </cell>
        </row>
        <row r="673">
          <cell r="A673" t="str">
            <v>39002_2</v>
          </cell>
          <cell r="B673">
            <v>3</v>
          </cell>
          <cell r="C673">
            <v>39002</v>
          </cell>
          <cell r="D673" t="str">
            <v>黄巾賊の暴走を止めろ！</v>
          </cell>
          <cell r="E673" t="str">
            <v>コラボクエスト</v>
          </cell>
          <cell r="F673">
            <v>2</v>
          </cell>
          <cell r="G673" t="str">
            <v>ja</v>
          </cell>
          <cell r="H673" t="str">
            <v>【中級】黄巾賊の暴走を止めろ</v>
          </cell>
          <cell r="I673" t="str">
            <v>中級</v>
          </cell>
          <cell r="J673">
            <v>694</v>
          </cell>
          <cell r="K673">
            <v>15</v>
          </cell>
          <cell r="L673">
            <v>1200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12</v>
          </cell>
          <cell r="AD673">
            <v>6</v>
          </cell>
          <cell r="AE673" t="str">
            <v>everyone</v>
          </cell>
        </row>
        <row r="674">
          <cell r="A674" t="str">
            <v>39002_3</v>
          </cell>
          <cell r="B674">
            <v>3</v>
          </cell>
          <cell r="C674">
            <v>39002</v>
          </cell>
          <cell r="D674" t="str">
            <v>黄巾賊の暴走を止めろ！</v>
          </cell>
          <cell r="E674" t="str">
            <v>コラボクエスト</v>
          </cell>
          <cell r="F674">
            <v>3</v>
          </cell>
          <cell r="G674" t="str">
            <v>ja</v>
          </cell>
          <cell r="H674" t="str">
            <v>【上級】黄巾賊の暴走を止めろ</v>
          </cell>
          <cell r="I674" t="str">
            <v>上級</v>
          </cell>
          <cell r="J674">
            <v>694</v>
          </cell>
          <cell r="K674">
            <v>20</v>
          </cell>
          <cell r="L674">
            <v>2000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none</v>
          </cell>
          <cell r="T674">
            <v>0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12</v>
          </cell>
          <cell r="AD674">
            <v>6</v>
          </cell>
          <cell r="AE674" t="str">
            <v>everyone</v>
          </cell>
        </row>
        <row r="675">
          <cell r="A675" t="str">
            <v>39002_4</v>
          </cell>
          <cell r="B675">
            <v>3</v>
          </cell>
          <cell r="C675">
            <v>39002</v>
          </cell>
          <cell r="D675" t="str">
            <v>黄巾賊の暴走を止めろ！</v>
          </cell>
          <cell r="E675" t="str">
            <v>コラボクエスト</v>
          </cell>
          <cell r="F675">
            <v>4</v>
          </cell>
          <cell r="G675" t="str">
            <v>ja</v>
          </cell>
          <cell r="H675" t="str">
            <v>【超級】黄巾賊の暴走を止めろ</v>
          </cell>
          <cell r="I675" t="str">
            <v>超級</v>
          </cell>
          <cell r="J675">
            <v>694</v>
          </cell>
          <cell r="K675">
            <v>30</v>
          </cell>
          <cell r="L675">
            <v>3300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polygon</v>
          </cell>
          <cell r="T675">
            <v>1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12</v>
          </cell>
          <cell r="AD675">
            <v>6</v>
          </cell>
          <cell r="AE675" t="str">
            <v>everyone</v>
          </cell>
        </row>
        <row r="676">
          <cell r="A676" t="str">
            <v>39003_1</v>
          </cell>
          <cell r="B676">
            <v>3</v>
          </cell>
          <cell r="C676">
            <v>39003</v>
          </cell>
          <cell r="D676" t="str">
            <v>ブルースクウェアを追え！</v>
          </cell>
          <cell r="E676" t="str">
            <v>コラボクエスト</v>
          </cell>
          <cell r="F676">
            <v>1</v>
          </cell>
          <cell r="G676" t="str">
            <v>ja</v>
          </cell>
          <cell r="H676" t="str">
            <v>【初級】ブルースクウェアを追え！</v>
          </cell>
          <cell r="I676" t="str">
            <v>初級</v>
          </cell>
          <cell r="J676">
            <v>691</v>
          </cell>
          <cell r="K676">
            <v>8</v>
          </cell>
          <cell r="L676">
            <v>384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14</v>
          </cell>
          <cell r="AD676">
            <v>6</v>
          </cell>
          <cell r="AE676" t="str">
            <v>everyone</v>
          </cell>
        </row>
        <row r="677">
          <cell r="A677" t="str">
            <v>39003_2</v>
          </cell>
          <cell r="B677">
            <v>3</v>
          </cell>
          <cell r="C677">
            <v>39003</v>
          </cell>
          <cell r="D677" t="str">
            <v>ブルースクウェアを追え！</v>
          </cell>
          <cell r="E677" t="str">
            <v>コラボクエスト</v>
          </cell>
          <cell r="F677">
            <v>2</v>
          </cell>
          <cell r="G677" t="str">
            <v>ja</v>
          </cell>
          <cell r="H677" t="str">
            <v>【中級】ブルースクウェアを追え！</v>
          </cell>
          <cell r="I677" t="str">
            <v>中級</v>
          </cell>
          <cell r="J677">
            <v>691</v>
          </cell>
          <cell r="K677">
            <v>15</v>
          </cell>
          <cell r="L677">
            <v>1200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14</v>
          </cell>
          <cell r="AD677">
            <v>6</v>
          </cell>
          <cell r="AE677" t="str">
            <v>everyone</v>
          </cell>
        </row>
        <row r="678">
          <cell r="A678" t="str">
            <v>39003_3</v>
          </cell>
          <cell r="B678">
            <v>3</v>
          </cell>
          <cell r="C678">
            <v>39003</v>
          </cell>
          <cell r="D678" t="str">
            <v>ブルースクウェアを追え！</v>
          </cell>
          <cell r="E678" t="str">
            <v>コラボクエスト</v>
          </cell>
          <cell r="F678">
            <v>3</v>
          </cell>
          <cell r="G678" t="str">
            <v>ja</v>
          </cell>
          <cell r="H678" t="str">
            <v>【上級】ブルースクウェアを追え！</v>
          </cell>
          <cell r="I678" t="str">
            <v>上級</v>
          </cell>
          <cell r="J678">
            <v>691</v>
          </cell>
          <cell r="K678">
            <v>20</v>
          </cell>
          <cell r="L678">
            <v>2000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14</v>
          </cell>
          <cell r="AD678">
            <v>6</v>
          </cell>
          <cell r="AE678" t="str">
            <v>everyone</v>
          </cell>
        </row>
        <row r="679">
          <cell r="A679" t="str">
            <v>39003_4</v>
          </cell>
          <cell r="B679">
            <v>3</v>
          </cell>
          <cell r="C679">
            <v>39003</v>
          </cell>
          <cell r="D679" t="str">
            <v>ブルースクウェアを追え！</v>
          </cell>
          <cell r="E679" t="str">
            <v>コラボクエスト</v>
          </cell>
          <cell r="F679">
            <v>4</v>
          </cell>
          <cell r="G679" t="str">
            <v>ja</v>
          </cell>
          <cell r="H679" t="str">
            <v>【超級】ブルースクウェアを追え！</v>
          </cell>
          <cell r="I679" t="str">
            <v>超級</v>
          </cell>
          <cell r="J679">
            <v>691</v>
          </cell>
          <cell r="K679">
            <v>30</v>
          </cell>
          <cell r="L679">
            <v>3300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14</v>
          </cell>
          <cell r="AD679">
            <v>6</v>
          </cell>
          <cell r="AE679" t="str">
            <v>everyone</v>
          </cell>
        </row>
        <row r="680">
          <cell r="A680" t="str">
            <v>39004_1</v>
          </cell>
          <cell r="B680">
            <v>3</v>
          </cell>
          <cell r="C680">
            <v>39004</v>
          </cell>
          <cell r="D680" t="str">
            <v xml:space="preserve">ニムダのおきにいり♪ 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 xml:space="preserve">【初級】ニムダのおきにいり♪ </v>
          </cell>
          <cell r="I680" t="str">
            <v>初級</v>
          </cell>
          <cell r="J680">
            <v>902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933</v>
          </cell>
          <cell r="AD680">
            <v>6</v>
          </cell>
          <cell r="AE680" t="str">
            <v>everyone</v>
          </cell>
        </row>
        <row r="681">
          <cell r="A681" t="str">
            <v>39004_2</v>
          </cell>
          <cell r="B681">
            <v>3</v>
          </cell>
          <cell r="C681">
            <v>39004</v>
          </cell>
          <cell r="D681" t="str">
            <v xml:space="preserve">ニムダのおきにいり♪ 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 xml:space="preserve">【中級】ニムダのおきにいり♪ </v>
          </cell>
          <cell r="I681" t="str">
            <v>中級</v>
          </cell>
          <cell r="J681">
            <v>902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933</v>
          </cell>
          <cell r="AD681">
            <v>6</v>
          </cell>
          <cell r="AE681" t="str">
            <v>everyone</v>
          </cell>
        </row>
        <row r="682">
          <cell r="A682" t="str">
            <v>39004_3</v>
          </cell>
          <cell r="B682">
            <v>3</v>
          </cell>
          <cell r="C682">
            <v>39004</v>
          </cell>
          <cell r="D682" t="str">
            <v xml:space="preserve">ニムダのおきにいり♪ 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 xml:space="preserve">【上級】ニムダのおきにいり♪ </v>
          </cell>
          <cell r="I682" t="str">
            <v>上級</v>
          </cell>
          <cell r="J682">
            <v>902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933</v>
          </cell>
          <cell r="AD682">
            <v>6</v>
          </cell>
          <cell r="AE682" t="str">
            <v>everyone</v>
          </cell>
        </row>
        <row r="683">
          <cell r="A683" t="str">
            <v>39004_4</v>
          </cell>
          <cell r="B683">
            <v>3</v>
          </cell>
          <cell r="C683">
            <v>39004</v>
          </cell>
          <cell r="D683" t="str">
            <v xml:space="preserve">ニムダのおきにいり♪ 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 xml:space="preserve">【超級】ニムダのおきにいり♪ </v>
          </cell>
          <cell r="I683" t="str">
            <v>超級</v>
          </cell>
          <cell r="J683">
            <v>902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933</v>
          </cell>
          <cell r="AD683">
            <v>6</v>
          </cell>
          <cell r="AE683" t="str">
            <v>everyone</v>
          </cell>
        </row>
        <row r="684">
          <cell r="A684" t="str">
            <v>39005_1</v>
          </cell>
          <cell r="B684">
            <v>1</v>
          </cell>
          <cell r="C684">
            <v>39005</v>
          </cell>
          <cell r="D684" t="str">
            <v xml:space="preserve">ポ 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【初級】ポ</v>
          </cell>
          <cell r="I684" t="str">
            <v>初級</v>
          </cell>
          <cell r="J684">
            <v>8029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909</v>
          </cell>
          <cell r="AD684">
            <v>6</v>
          </cell>
          <cell r="AE684" t="str">
            <v>everyone</v>
          </cell>
        </row>
        <row r="685">
          <cell r="A685" t="str">
            <v>39005_2</v>
          </cell>
          <cell r="B685">
            <v>1</v>
          </cell>
          <cell r="C685">
            <v>39005</v>
          </cell>
          <cell r="D685" t="str">
            <v xml:space="preserve">ポ 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【中級】ポ</v>
          </cell>
          <cell r="I685" t="str">
            <v>中級</v>
          </cell>
          <cell r="J685">
            <v>8029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909</v>
          </cell>
          <cell r="AD685">
            <v>6</v>
          </cell>
          <cell r="AE685" t="str">
            <v>everyone</v>
          </cell>
        </row>
        <row r="686">
          <cell r="A686" t="str">
            <v>39005_3</v>
          </cell>
          <cell r="B686">
            <v>1</v>
          </cell>
          <cell r="C686">
            <v>39005</v>
          </cell>
          <cell r="D686" t="str">
            <v xml:space="preserve">ポ 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【上級】ポ</v>
          </cell>
          <cell r="I686" t="str">
            <v>上級</v>
          </cell>
          <cell r="J686">
            <v>8029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909</v>
          </cell>
          <cell r="AD686">
            <v>6</v>
          </cell>
          <cell r="AE686" t="str">
            <v>everyone</v>
          </cell>
        </row>
        <row r="687">
          <cell r="A687" t="str">
            <v>39005_4</v>
          </cell>
          <cell r="B687">
            <v>1</v>
          </cell>
          <cell r="C687">
            <v>39005</v>
          </cell>
          <cell r="D687" t="str">
            <v xml:space="preserve">ポ 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【超級】ポ</v>
          </cell>
          <cell r="I687" t="str">
            <v>超級</v>
          </cell>
          <cell r="J687">
            <v>8029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none</v>
          </cell>
          <cell r="T687">
            <v>0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909</v>
          </cell>
          <cell r="AD687">
            <v>6</v>
          </cell>
          <cell r="AE687" t="str">
            <v>everyone</v>
          </cell>
        </row>
        <row r="688">
          <cell r="A688" t="str">
            <v>39005_5</v>
          </cell>
          <cell r="B688">
            <v>1</v>
          </cell>
          <cell r="C688">
            <v>39005</v>
          </cell>
          <cell r="D688" t="str">
            <v xml:space="preserve">ポ </v>
          </cell>
          <cell r="E688" t="str">
            <v>コラボクエスト</v>
          </cell>
          <cell r="F688">
            <v>5</v>
          </cell>
          <cell r="G688" t="str">
            <v>ja</v>
          </cell>
          <cell r="H688" t="str">
            <v>【超絶級】ポ</v>
          </cell>
          <cell r="I688" t="str">
            <v>超絶級</v>
          </cell>
          <cell r="J688">
            <v>8030</v>
          </cell>
          <cell r="K688">
            <v>35</v>
          </cell>
          <cell r="L688">
            <v>4200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polygon</v>
          </cell>
          <cell r="T688">
            <v>1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909</v>
          </cell>
          <cell r="AD688">
            <v>6</v>
          </cell>
          <cell r="AE688" t="str">
            <v>everyone</v>
          </cell>
        </row>
        <row r="689">
          <cell r="A689" t="str">
            <v>39006_1</v>
          </cell>
          <cell r="B689">
            <v>3</v>
          </cell>
          <cell r="C689">
            <v>39006</v>
          </cell>
          <cell r="D689" t="str">
            <v>シガンシナ区攻防戦</v>
          </cell>
          <cell r="E689" t="str">
            <v>コラボクエスト</v>
          </cell>
          <cell r="F689">
            <v>1</v>
          </cell>
          <cell r="G689" t="str">
            <v>ja</v>
          </cell>
          <cell r="H689" t="str">
            <v>【初級】シガンシナ区攻防戦</v>
          </cell>
          <cell r="I689" t="str">
            <v>初級</v>
          </cell>
          <cell r="J689">
            <v>0</v>
          </cell>
          <cell r="K689">
            <v>8</v>
          </cell>
          <cell r="L689">
            <v>384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938</v>
          </cell>
          <cell r="AD689">
            <v>6</v>
          </cell>
          <cell r="AE689" t="str">
            <v>everyone</v>
          </cell>
        </row>
        <row r="690">
          <cell r="A690" t="str">
            <v>39006_2</v>
          </cell>
          <cell r="B690">
            <v>3</v>
          </cell>
          <cell r="C690">
            <v>39006</v>
          </cell>
          <cell r="D690" t="str">
            <v>シガンシナ区攻防戦</v>
          </cell>
          <cell r="E690" t="str">
            <v>コラボクエスト</v>
          </cell>
          <cell r="F690">
            <v>2</v>
          </cell>
          <cell r="G690" t="str">
            <v>ja</v>
          </cell>
          <cell r="H690" t="str">
            <v>【中級】シガンシナ区攻防戦</v>
          </cell>
          <cell r="I690" t="str">
            <v>中級</v>
          </cell>
          <cell r="J690">
            <v>0</v>
          </cell>
          <cell r="K690">
            <v>15</v>
          </cell>
          <cell r="L690">
            <v>1200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938</v>
          </cell>
          <cell r="AD690">
            <v>6</v>
          </cell>
          <cell r="AE690" t="str">
            <v>everyone</v>
          </cell>
        </row>
        <row r="691">
          <cell r="A691" t="str">
            <v>39006_3</v>
          </cell>
          <cell r="B691">
            <v>3</v>
          </cell>
          <cell r="C691">
            <v>39006</v>
          </cell>
          <cell r="D691" t="str">
            <v>シガンシナ区攻防戦</v>
          </cell>
          <cell r="E691" t="str">
            <v>コラボクエスト</v>
          </cell>
          <cell r="F691">
            <v>3</v>
          </cell>
          <cell r="G691" t="str">
            <v>ja</v>
          </cell>
          <cell r="H691" t="str">
            <v>【上級】シガンシナ区攻防戦</v>
          </cell>
          <cell r="I691" t="str">
            <v>上級</v>
          </cell>
          <cell r="J691">
            <v>0</v>
          </cell>
          <cell r="K691">
            <v>20</v>
          </cell>
          <cell r="L691">
            <v>2000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938</v>
          </cell>
          <cell r="AD691">
            <v>6</v>
          </cell>
          <cell r="AE691" t="str">
            <v>everyone</v>
          </cell>
        </row>
        <row r="692">
          <cell r="A692" t="str">
            <v>39006_4</v>
          </cell>
          <cell r="B692">
            <v>3</v>
          </cell>
          <cell r="C692">
            <v>39006</v>
          </cell>
          <cell r="D692" t="str">
            <v>シガンシナ区攻防戦</v>
          </cell>
          <cell r="E692" t="str">
            <v>コラボクエスト</v>
          </cell>
          <cell r="F692">
            <v>4</v>
          </cell>
          <cell r="G692" t="str">
            <v>ja</v>
          </cell>
          <cell r="H692" t="str">
            <v>【超級】シガンシナ区攻防戦</v>
          </cell>
          <cell r="I692" t="str">
            <v>超級</v>
          </cell>
          <cell r="J692">
            <v>0</v>
          </cell>
          <cell r="K692">
            <v>30</v>
          </cell>
          <cell r="L692">
            <v>3300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938</v>
          </cell>
          <cell r="AD692">
            <v>6</v>
          </cell>
          <cell r="AE692" t="str">
            <v>everyone</v>
          </cell>
        </row>
        <row r="693">
          <cell r="A693" t="str">
            <v>39007_1</v>
          </cell>
          <cell r="B693">
            <v>1</v>
          </cell>
          <cell r="C693">
            <v>39007</v>
          </cell>
          <cell r="D693" t="str">
            <v>ニムダ（台）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【初級】ニムダ（台）</v>
          </cell>
          <cell r="I693" t="str">
            <v>初級</v>
          </cell>
          <cell r="J693">
            <v>902</v>
          </cell>
          <cell r="K693">
            <v>8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933</v>
          </cell>
          <cell r="AD693">
            <v>6</v>
          </cell>
          <cell r="AE693" t="str">
            <v>everyone</v>
          </cell>
        </row>
        <row r="694">
          <cell r="A694" t="str">
            <v>39007_2</v>
          </cell>
          <cell r="B694">
            <v>1</v>
          </cell>
          <cell r="C694">
            <v>39007</v>
          </cell>
          <cell r="D694" t="str">
            <v>ニムダ（台）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【中級】ニムダ（台）</v>
          </cell>
          <cell r="I694" t="str">
            <v>中級</v>
          </cell>
          <cell r="J694">
            <v>902</v>
          </cell>
          <cell r="K694">
            <v>15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933</v>
          </cell>
          <cell r="AD694">
            <v>6</v>
          </cell>
          <cell r="AE694" t="str">
            <v>everyone</v>
          </cell>
        </row>
        <row r="695">
          <cell r="A695" t="str">
            <v>39007_3</v>
          </cell>
          <cell r="B695">
            <v>1</v>
          </cell>
          <cell r="C695">
            <v>39007</v>
          </cell>
          <cell r="D695" t="str">
            <v>ニムダ（台）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【上級】ニムダ（台）</v>
          </cell>
          <cell r="I695" t="str">
            <v>上級</v>
          </cell>
          <cell r="J695">
            <v>902</v>
          </cell>
          <cell r="K695">
            <v>20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933</v>
          </cell>
          <cell r="AD695">
            <v>6</v>
          </cell>
          <cell r="AE695" t="str">
            <v>everyone</v>
          </cell>
        </row>
        <row r="696">
          <cell r="A696" t="str">
            <v>39007_4</v>
          </cell>
          <cell r="B696">
            <v>1</v>
          </cell>
          <cell r="C696">
            <v>39007</v>
          </cell>
          <cell r="D696" t="str">
            <v>ニムダ（台）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【超級】ニムダ（台）</v>
          </cell>
          <cell r="I696" t="str">
            <v>超級</v>
          </cell>
          <cell r="J696">
            <v>902</v>
          </cell>
          <cell r="K696">
            <v>30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polygon</v>
          </cell>
          <cell r="T696">
            <v>1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933</v>
          </cell>
          <cell r="AD696">
            <v>6</v>
          </cell>
          <cell r="AE696" t="str">
            <v>everyone</v>
          </cell>
        </row>
        <row r="697">
          <cell r="A697" t="str">
            <v>39008_1</v>
          </cell>
          <cell r="B697">
            <v>3</v>
          </cell>
          <cell r="C697">
            <v>39008</v>
          </cell>
          <cell r="D697" t="str">
            <v>雪の歌姫</v>
          </cell>
          <cell r="E697" t="str">
            <v>復刻コラボクエスト</v>
          </cell>
          <cell r="F697">
            <v>1</v>
          </cell>
          <cell r="G697" t="str">
            <v>ja</v>
          </cell>
          <cell r="H697" t="str">
            <v>【初級】雪の歌姫</v>
          </cell>
          <cell r="I697" t="str">
            <v>初級</v>
          </cell>
          <cell r="J697">
            <v>525</v>
          </cell>
          <cell r="K697">
            <v>5</v>
          </cell>
          <cell r="L697">
            <v>384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none</v>
          </cell>
          <cell r="T697">
            <v>0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39008_2</v>
          </cell>
          <cell r="B698">
            <v>3</v>
          </cell>
          <cell r="C698">
            <v>39008</v>
          </cell>
          <cell r="D698" t="str">
            <v>雪の歌姫</v>
          </cell>
          <cell r="E698" t="str">
            <v>復刻コラボクエスト</v>
          </cell>
          <cell r="F698">
            <v>2</v>
          </cell>
          <cell r="G698" t="str">
            <v>ja</v>
          </cell>
          <cell r="H698" t="str">
            <v>【中級】雪の歌姫</v>
          </cell>
          <cell r="I698" t="str">
            <v>中級</v>
          </cell>
          <cell r="J698">
            <v>525</v>
          </cell>
          <cell r="K698">
            <v>9</v>
          </cell>
          <cell r="L698">
            <v>1200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910</v>
          </cell>
          <cell r="AD698">
            <v>6</v>
          </cell>
          <cell r="AE698" t="str">
            <v>everyone</v>
          </cell>
        </row>
        <row r="699">
          <cell r="A699" t="str">
            <v>39008_3</v>
          </cell>
          <cell r="B699">
            <v>3</v>
          </cell>
          <cell r="C699">
            <v>39008</v>
          </cell>
          <cell r="D699" t="str">
            <v>雪の歌姫</v>
          </cell>
          <cell r="E699" t="str">
            <v>復刻コラボクエスト</v>
          </cell>
          <cell r="F699">
            <v>3</v>
          </cell>
          <cell r="G699" t="str">
            <v>ja</v>
          </cell>
          <cell r="H699" t="str">
            <v>【上級】雪の歌姫</v>
          </cell>
          <cell r="I699" t="str">
            <v>上級</v>
          </cell>
          <cell r="J699">
            <v>525</v>
          </cell>
          <cell r="K699">
            <v>14</v>
          </cell>
          <cell r="L699">
            <v>2000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910</v>
          </cell>
          <cell r="AD699">
            <v>6</v>
          </cell>
          <cell r="AE699" t="str">
            <v>everyone</v>
          </cell>
        </row>
        <row r="700">
          <cell r="A700" t="str">
            <v>39008_4</v>
          </cell>
          <cell r="B700">
            <v>3</v>
          </cell>
          <cell r="C700">
            <v>39008</v>
          </cell>
          <cell r="D700" t="str">
            <v>雪の歌姫</v>
          </cell>
          <cell r="E700" t="str">
            <v>復刻コラボクエスト</v>
          </cell>
          <cell r="F700">
            <v>4</v>
          </cell>
          <cell r="G700" t="str">
            <v>ja</v>
          </cell>
          <cell r="H700" t="str">
            <v>【超級】雪の歌姫</v>
          </cell>
          <cell r="I700" t="str">
            <v>超級</v>
          </cell>
          <cell r="J700">
            <v>526</v>
          </cell>
          <cell r="K700">
            <v>20</v>
          </cell>
          <cell r="L700">
            <v>3300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910</v>
          </cell>
          <cell r="AD700">
            <v>6</v>
          </cell>
          <cell r="AE700" t="str">
            <v>everyone</v>
          </cell>
        </row>
        <row r="701">
          <cell r="A701" t="str">
            <v>39008_5</v>
          </cell>
          <cell r="B701">
            <v>3</v>
          </cell>
          <cell r="C701">
            <v>39008</v>
          </cell>
          <cell r="D701" t="str">
            <v>雪の歌姫</v>
          </cell>
          <cell r="E701" t="str">
            <v>復刻コラボクエスト</v>
          </cell>
          <cell r="F701">
            <v>5</v>
          </cell>
          <cell r="G701" t="str">
            <v>ja</v>
          </cell>
          <cell r="H701" t="str">
            <v>【超絶級】雪の歌姫</v>
          </cell>
          <cell r="I701" t="str">
            <v>超絶級</v>
          </cell>
          <cell r="J701">
            <v>526</v>
          </cell>
          <cell r="K701">
            <v>25</v>
          </cell>
          <cell r="L701">
            <v>4200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910</v>
          </cell>
          <cell r="AD701">
            <v>6</v>
          </cell>
          <cell r="AE701" t="str">
            <v>everyone</v>
          </cell>
        </row>
        <row r="702">
          <cell r="A702" t="str">
            <v>39009_1</v>
          </cell>
          <cell r="B702">
            <v>3</v>
          </cell>
          <cell r="C702">
            <v>39009</v>
          </cell>
          <cell r="D702" t="str">
            <v>星空の歌姫</v>
          </cell>
          <cell r="E702" t="str">
            <v>コラボクエスト</v>
          </cell>
          <cell r="F702">
            <v>1</v>
          </cell>
          <cell r="G702" t="str">
            <v>ja</v>
          </cell>
          <cell r="H702" t="str">
            <v>【初級】星空の歌姫</v>
          </cell>
          <cell r="I702" t="str">
            <v>初級</v>
          </cell>
          <cell r="J702">
            <v>1298</v>
          </cell>
          <cell r="K702">
            <v>5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910</v>
          </cell>
          <cell r="AD702">
            <v>6</v>
          </cell>
          <cell r="AE702" t="str">
            <v>everyone</v>
          </cell>
        </row>
        <row r="703">
          <cell r="A703" t="str">
            <v>39009_2</v>
          </cell>
          <cell r="B703">
            <v>3</v>
          </cell>
          <cell r="C703">
            <v>39009</v>
          </cell>
          <cell r="D703" t="str">
            <v>星空の歌姫</v>
          </cell>
          <cell r="E703" t="str">
            <v>コラボクエスト</v>
          </cell>
          <cell r="F703">
            <v>2</v>
          </cell>
          <cell r="G703" t="str">
            <v>ja</v>
          </cell>
          <cell r="H703" t="str">
            <v>【中級】星空の歌姫</v>
          </cell>
          <cell r="I703" t="str">
            <v>中級</v>
          </cell>
          <cell r="J703">
            <v>1298</v>
          </cell>
          <cell r="K703">
            <v>9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910</v>
          </cell>
          <cell r="AD703">
            <v>6</v>
          </cell>
          <cell r="AE703" t="str">
            <v>everyone</v>
          </cell>
        </row>
        <row r="704">
          <cell r="A704" t="str">
            <v>39009_3</v>
          </cell>
          <cell r="B704">
            <v>3</v>
          </cell>
          <cell r="C704">
            <v>39009</v>
          </cell>
          <cell r="D704" t="str">
            <v>星空の歌姫</v>
          </cell>
          <cell r="E704" t="str">
            <v>コラボクエスト</v>
          </cell>
          <cell r="F704">
            <v>3</v>
          </cell>
          <cell r="G704" t="str">
            <v>ja</v>
          </cell>
          <cell r="H704" t="str">
            <v>【上級】星空の歌姫</v>
          </cell>
          <cell r="I704" t="str">
            <v>上級</v>
          </cell>
          <cell r="J704">
            <v>1298</v>
          </cell>
          <cell r="K704">
            <v>14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910</v>
          </cell>
          <cell r="AD704">
            <v>6</v>
          </cell>
          <cell r="AE704" t="str">
            <v>everyone</v>
          </cell>
        </row>
        <row r="705">
          <cell r="A705" t="str">
            <v>39009_4</v>
          </cell>
          <cell r="B705">
            <v>3</v>
          </cell>
          <cell r="C705">
            <v>39009</v>
          </cell>
          <cell r="D705" t="str">
            <v>星空の歌姫</v>
          </cell>
          <cell r="E705" t="str">
            <v>コラボクエスト</v>
          </cell>
          <cell r="F705">
            <v>4</v>
          </cell>
          <cell r="G705" t="str">
            <v>ja</v>
          </cell>
          <cell r="H705" t="str">
            <v>【超級】星空の歌姫</v>
          </cell>
          <cell r="I705" t="str">
            <v>超級</v>
          </cell>
          <cell r="J705">
            <v>1298</v>
          </cell>
          <cell r="K705">
            <v>20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none</v>
          </cell>
          <cell r="T705">
            <v>0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910</v>
          </cell>
          <cell r="AD705">
            <v>6</v>
          </cell>
          <cell r="AE705" t="str">
            <v>everyone</v>
          </cell>
        </row>
        <row r="706">
          <cell r="A706" t="str">
            <v>39009_5</v>
          </cell>
          <cell r="B706">
            <v>3</v>
          </cell>
          <cell r="C706">
            <v>39009</v>
          </cell>
          <cell r="D706" t="str">
            <v>星空の歌姫</v>
          </cell>
          <cell r="E706" t="str">
            <v>コラボクエスト</v>
          </cell>
          <cell r="F706">
            <v>5</v>
          </cell>
          <cell r="G706" t="str">
            <v>ja</v>
          </cell>
          <cell r="H706" t="str">
            <v>【超絶級】星空の歌姫</v>
          </cell>
          <cell r="I706" t="str">
            <v>超絶級</v>
          </cell>
          <cell r="J706">
            <v>1298</v>
          </cell>
          <cell r="K706">
            <v>25</v>
          </cell>
          <cell r="L706">
            <v>4200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910</v>
          </cell>
          <cell r="AD706">
            <v>6</v>
          </cell>
          <cell r="AE706" t="str">
            <v>everyone</v>
          </cell>
        </row>
        <row r="707">
          <cell r="A707" t="str">
            <v>39010_1</v>
          </cell>
          <cell r="B707">
            <v>3</v>
          </cell>
          <cell r="C707">
            <v>39010</v>
          </cell>
          <cell r="D707" t="str">
            <v>黄巾賊の暴走を止めろ！</v>
          </cell>
          <cell r="E707" t="str">
            <v>コラボクエスト（復刻）</v>
          </cell>
          <cell r="F707">
            <v>1</v>
          </cell>
          <cell r="G707" t="str">
            <v>ja</v>
          </cell>
          <cell r="H707" t="str">
            <v>【初級】黄巾賊の暴走を止めろ！</v>
          </cell>
          <cell r="I707" t="str">
            <v>初級</v>
          </cell>
          <cell r="J707">
            <v>694</v>
          </cell>
          <cell r="K707">
            <v>8</v>
          </cell>
          <cell r="L707">
            <v>384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none</v>
          </cell>
          <cell r="T707">
            <v>0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12</v>
          </cell>
          <cell r="AD707">
            <v>6</v>
          </cell>
          <cell r="AE707" t="str">
            <v>everyone</v>
          </cell>
        </row>
        <row r="708">
          <cell r="A708" t="str">
            <v>39010_2</v>
          </cell>
          <cell r="B708">
            <v>3</v>
          </cell>
          <cell r="C708">
            <v>39010</v>
          </cell>
          <cell r="D708" t="str">
            <v>黄巾賊の暴走を止めろ！</v>
          </cell>
          <cell r="E708" t="str">
            <v>コラボクエスト（復刻）</v>
          </cell>
          <cell r="F708">
            <v>2</v>
          </cell>
          <cell r="G708" t="str">
            <v>ja</v>
          </cell>
          <cell r="H708" t="str">
            <v>【中級】黄巾賊の暴走を止めろ！</v>
          </cell>
          <cell r="I708" t="str">
            <v>中級</v>
          </cell>
          <cell r="J708">
            <v>694</v>
          </cell>
          <cell r="K708">
            <v>15</v>
          </cell>
          <cell r="L708">
            <v>1200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none</v>
          </cell>
          <cell r="T708">
            <v>0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12</v>
          </cell>
          <cell r="AD708">
            <v>6</v>
          </cell>
          <cell r="AE708" t="str">
            <v>everyone</v>
          </cell>
        </row>
        <row r="709">
          <cell r="A709" t="str">
            <v>39010_3</v>
          </cell>
          <cell r="B709">
            <v>3</v>
          </cell>
          <cell r="C709">
            <v>39010</v>
          </cell>
          <cell r="D709" t="str">
            <v>黄巾賊の暴走を止めろ！</v>
          </cell>
          <cell r="E709" t="str">
            <v>コラボクエスト（復刻）</v>
          </cell>
          <cell r="F709">
            <v>3</v>
          </cell>
          <cell r="G709" t="str">
            <v>ja</v>
          </cell>
          <cell r="H709" t="str">
            <v>【上級】黄巾賊の暴走を止めろ！</v>
          </cell>
          <cell r="I709" t="str">
            <v>上級</v>
          </cell>
          <cell r="J709">
            <v>694</v>
          </cell>
          <cell r="K709">
            <v>20</v>
          </cell>
          <cell r="L709">
            <v>2000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none</v>
          </cell>
          <cell r="T709">
            <v>0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12</v>
          </cell>
          <cell r="AD709">
            <v>6</v>
          </cell>
          <cell r="AE709" t="str">
            <v>everyone</v>
          </cell>
        </row>
        <row r="710">
          <cell r="A710" t="str">
            <v>39010_4</v>
          </cell>
          <cell r="B710">
            <v>3</v>
          </cell>
          <cell r="C710">
            <v>39010</v>
          </cell>
          <cell r="D710" t="str">
            <v>黄巾賊の暴走を止めろ！</v>
          </cell>
          <cell r="E710" t="str">
            <v>コラボクエスト（復刻）</v>
          </cell>
          <cell r="F710">
            <v>4</v>
          </cell>
          <cell r="G710" t="str">
            <v>ja</v>
          </cell>
          <cell r="H710" t="str">
            <v>【超級】黄巾賊の暴走を止めろ！</v>
          </cell>
          <cell r="I710" t="str">
            <v>超級</v>
          </cell>
          <cell r="J710">
            <v>694</v>
          </cell>
          <cell r="K710">
            <v>30</v>
          </cell>
          <cell r="L710">
            <v>3300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12</v>
          </cell>
          <cell r="AD710">
            <v>6</v>
          </cell>
          <cell r="AE710" t="str">
            <v>everyone</v>
          </cell>
        </row>
        <row r="711">
          <cell r="A711" t="str">
            <v>39011_1</v>
          </cell>
          <cell r="B711">
            <v>3</v>
          </cell>
          <cell r="C711">
            <v>39011</v>
          </cell>
          <cell r="D711" t="str">
            <v>ブルースクウェアを追え！</v>
          </cell>
          <cell r="E711" t="str">
            <v>コラボクエスト（復刻）</v>
          </cell>
          <cell r="F711">
            <v>1</v>
          </cell>
          <cell r="G711" t="str">
            <v>ja</v>
          </cell>
          <cell r="H711" t="str">
            <v>【初級】ブルースクウェアを追え！</v>
          </cell>
          <cell r="I711" t="str">
            <v>初級</v>
          </cell>
          <cell r="J711">
            <v>691</v>
          </cell>
          <cell r="K711">
            <v>8</v>
          </cell>
          <cell r="L711">
            <v>384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14</v>
          </cell>
          <cell r="AD711">
            <v>6</v>
          </cell>
          <cell r="AE711" t="str">
            <v>everyone</v>
          </cell>
        </row>
        <row r="712">
          <cell r="A712" t="str">
            <v>39011_2</v>
          </cell>
          <cell r="B712">
            <v>3</v>
          </cell>
          <cell r="C712">
            <v>39011</v>
          </cell>
          <cell r="D712" t="str">
            <v>ブルースクウェアを追え！</v>
          </cell>
          <cell r="E712" t="str">
            <v>コラボクエスト（復刻）</v>
          </cell>
          <cell r="F712">
            <v>2</v>
          </cell>
          <cell r="G712" t="str">
            <v>ja</v>
          </cell>
          <cell r="H712" t="str">
            <v>【中級】ブルースクウェアを追え！</v>
          </cell>
          <cell r="I712" t="str">
            <v>中級</v>
          </cell>
          <cell r="J712">
            <v>691</v>
          </cell>
          <cell r="K712">
            <v>15</v>
          </cell>
          <cell r="L712">
            <v>1200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14</v>
          </cell>
          <cell r="AD712">
            <v>6</v>
          </cell>
          <cell r="AE712" t="str">
            <v>everyone</v>
          </cell>
        </row>
        <row r="713">
          <cell r="A713" t="str">
            <v>39011_3</v>
          </cell>
          <cell r="B713">
            <v>3</v>
          </cell>
          <cell r="C713">
            <v>39011</v>
          </cell>
          <cell r="D713" t="str">
            <v>ブルースクウェアを追え！</v>
          </cell>
          <cell r="E713" t="str">
            <v>コラボクエスト（復刻）</v>
          </cell>
          <cell r="F713">
            <v>3</v>
          </cell>
          <cell r="G713" t="str">
            <v>ja</v>
          </cell>
          <cell r="H713" t="str">
            <v>【上級】ブルースクウェアを追え！</v>
          </cell>
          <cell r="I713" t="str">
            <v>上級</v>
          </cell>
          <cell r="J713">
            <v>691</v>
          </cell>
          <cell r="K713">
            <v>20</v>
          </cell>
          <cell r="L713">
            <v>2000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14</v>
          </cell>
          <cell r="AD713">
            <v>6</v>
          </cell>
          <cell r="AE713" t="str">
            <v>everyone</v>
          </cell>
        </row>
        <row r="714">
          <cell r="A714" t="str">
            <v>39011_4</v>
          </cell>
          <cell r="B714">
            <v>3</v>
          </cell>
          <cell r="C714">
            <v>39011</v>
          </cell>
          <cell r="D714" t="str">
            <v>ブルースクウェアを追え！</v>
          </cell>
          <cell r="E714" t="str">
            <v>コラボクエスト（復刻）</v>
          </cell>
          <cell r="F714">
            <v>4</v>
          </cell>
          <cell r="G714" t="str">
            <v>ja</v>
          </cell>
          <cell r="H714" t="str">
            <v>【超級】ブルースクウェアを追え！</v>
          </cell>
          <cell r="I714" t="str">
            <v>超級</v>
          </cell>
          <cell r="J714">
            <v>691</v>
          </cell>
          <cell r="K714">
            <v>30</v>
          </cell>
          <cell r="L714">
            <v>3300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polygon</v>
          </cell>
          <cell r="T714">
            <v>1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14</v>
          </cell>
          <cell r="AD714">
            <v>6</v>
          </cell>
          <cell r="AE714" t="str">
            <v>everyone</v>
          </cell>
        </row>
        <row r="715">
          <cell r="A715" t="str">
            <v>39012_1</v>
          </cell>
          <cell r="B715">
            <v>3</v>
          </cell>
          <cell r="C715">
            <v>39012</v>
          </cell>
          <cell r="D715" t="str">
            <v>侵略！？にゃんこ軍団現る！</v>
          </cell>
          <cell r="E715" t="str">
            <v>コラボクエスト</v>
          </cell>
          <cell r="F715">
            <v>1</v>
          </cell>
          <cell r="G715" t="str">
            <v>ja</v>
          </cell>
          <cell r="H715" t="str">
            <v>【初級】侵略！？にゃんこ軍団現る！</v>
          </cell>
          <cell r="I715" t="str">
            <v>初級</v>
          </cell>
          <cell r="J715">
            <v>1506</v>
          </cell>
          <cell r="K715">
            <v>8</v>
          </cell>
          <cell r="L715">
            <v>600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item</v>
          </cell>
          <cell r="T715">
            <v>704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980</v>
          </cell>
          <cell r="AD715">
            <v>6</v>
          </cell>
          <cell r="AE715" t="str">
            <v>everyone</v>
          </cell>
        </row>
        <row r="716">
          <cell r="A716" t="str">
            <v>39012_2</v>
          </cell>
          <cell r="B716">
            <v>3</v>
          </cell>
          <cell r="C716">
            <v>39012</v>
          </cell>
          <cell r="D716" t="str">
            <v>侵略！？にゃんこ軍団現る！</v>
          </cell>
          <cell r="E716" t="str">
            <v>コラボクエスト</v>
          </cell>
          <cell r="F716">
            <v>2</v>
          </cell>
          <cell r="G716" t="str">
            <v>ja</v>
          </cell>
          <cell r="H716" t="str">
            <v>【中級】侵略！？にゃんこ軍団現る！</v>
          </cell>
          <cell r="I716" t="str">
            <v>中級</v>
          </cell>
          <cell r="J716">
            <v>1507</v>
          </cell>
          <cell r="K716">
            <v>12</v>
          </cell>
          <cell r="L716">
            <v>1200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item</v>
          </cell>
          <cell r="T716">
            <v>704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980</v>
          </cell>
          <cell r="AD716">
            <v>6</v>
          </cell>
          <cell r="AE716" t="str">
            <v>everyone</v>
          </cell>
        </row>
        <row r="717">
          <cell r="A717" t="str">
            <v>39012_3</v>
          </cell>
          <cell r="B717">
            <v>3</v>
          </cell>
          <cell r="C717">
            <v>39012</v>
          </cell>
          <cell r="D717" t="str">
            <v>侵略！？にゃんこ軍団現る！</v>
          </cell>
          <cell r="E717" t="str">
            <v>コラボクエスト</v>
          </cell>
          <cell r="F717">
            <v>3</v>
          </cell>
          <cell r="G717" t="str">
            <v>ja</v>
          </cell>
          <cell r="H717" t="str">
            <v>【上級】侵略！？にゃんこ軍団現る！</v>
          </cell>
          <cell r="I717" t="str">
            <v>上級</v>
          </cell>
          <cell r="J717">
            <v>1508</v>
          </cell>
          <cell r="K717">
            <v>16</v>
          </cell>
          <cell r="L717">
            <v>2000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item</v>
          </cell>
          <cell r="T717">
            <v>704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980</v>
          </cell>
          <cell r="AD717">
            <v>6</v>
          </cell>
          <cell r="AE717" t="str">
            <v>everyone</v>
          </cell>
        </row>
        <row r="718">
          <cell r="A718" t="str">
            <v>39012_4</v>
          </cell>
          <cell r="B718">
            <v>3</v>
          </cell>
          <cell r="C718">
            <v>39012</v>
          </cell>
          <cell r="D718" t="str">
            <v>侵略！？にゃんこ軍団現る！</v>
          </cell>
          <cell r="E718" t="str">
            <v>コラボクエスト</v>
          </cell>
          <cell r="F718">
            <v>4</v>
          </cell>
          <cell r="G718" t="str">
            <v>ja</v>
          </cell>
          <cell r="H718" t="str">
            <v>【超上級】侵略！？にゃんこ軍団現る！</v>
          </cell>
          <cell r="I718" t="str">
            <v>超級</v>
          </cell>
          <cell r="J718">
            <v>1509</v>
          </cell>
          <cell r="K718">
            <v>20</v>
          </cell>
          <cell r="L718">
            <v>3000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item</v>
          </cell>
          <cell r="T718">
            <v>704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980</v>
          </cell>
          <cell r="AD718">
            <v>6</v>
          </cell>
          <cell r="AE718" t="str">
            <v>everyone</v>
          </cell>
        </row>
        <row r="719">
          <cell r="A719" t="str">
            <v>39012_5</v>
          </cell>
          <cell r="B719">
            <v>3</v>
          </cell>
          <cell r="C719">
            <v>39012</v>
          </cell>
          <cell r="D719" t="str">
            <v>侵略！？にゃんこ軍団現る！</v>
          </cell>
          <cell r="E719" t="str">
            <v>コラボクエスト</v>
          </cell>
          <cell r="F719">
            <v>5</v>
          </cell>
          <cell r="G719" t="str">
            <v>ja</v>
          </cell>
          <cell r="H719" t="str">
            <v>【激ムズ】侵略！？にゃんこ軍団現る！</v>
          </cell>
          <cell r="I719" t="str">
            <v>超絶級</v>
          </cell>
          <cell r="J719">
            <v>1512</v>
          </cell>
          <cell r="K719">
            <v>26</v>
          </cell>
          <cell r="L719">
            <v>4000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polygon</v>
          </cell>
          <cell r="T719">
            <v>1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980</v>
          </cell>
          <cell r="AD719">
            <v>6</v>
          </cell>
          <cell r="AE719" t="str">
            <v>everyone</v>
          </cell>
        </row>
        <row r="720">
          <cell r="A720" t="str">
            <v>39013_1</v>
          </cell>
          <cell r="B720">
            <v>1</v>
          </cell>
          <cell r="C720">
            <v>39013</v>
          </cell>
          <cell r="D720" t="str">
            <v>兄左</v>
          </cell>
          <cell r="E720" t="str">
            <v>コラボクエスト</v>
          </cell>
          <cell r="F720">
            <v>1</v>
          </cell>
          <cell r="G720" t="str">
            <v>ja</v>
          </cell>
          <cell r="H720" t="str">
            <v>【初級】兄左</v>
          </cell>
          <cell r="I720" t="str">
            <v>初級</v>
          </cell>
          <cell r="J720">
            <v>1584</v>
          </cell>
          <cell r="K720">
            <v>8</v>
          </cell>
          <cell r="L720">
            <v>600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none</v>
          </cell>
          <cell r="T720">
            <v>0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996</v>
          </cell>
          <cell r="AD720">
            <v>6</v>
          </cell>
          <cell r="AE720" t="str">
            <v>everyone</v>
          </cell>
        </row>
        <row r="721">
          <cell r="A721" t="str">
            <v>39013_2</v>
          </cell>
          <cell r="B721">
            <v>1</v>
          </cell>
          <cell r="C721">
            <v>39013</v>
          </cell>
          <cell r="D721" t="str">
            <v>兄左</v>
          </cell>
          <cell r="E721" t="str">
            <v>コラボクエスト</v>
          </cell>
          <cell r="F721">
            <v>2</v>
          </cell>
          <cell r="G721" t="str">
            <v>ja</v>
          </cell>
          <cell r="H721" t="str">
            <v>【中級】兄左</v>
          </cell>
          <cell r="I721" t="str">
            <v>中級</v>
          </cell>
          <cell r="J721">
            <v>1584</v>
          </cell>
          <cell r="K721">
            <v>12</v>
          </cell>
          <cell r="L721">
            <v>1200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none</v>
          </cell>
          <cell r="T721">
            <v>0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996</v>
          </cell>
          <cell r="AD721">
            <v>6</v>
          </cell>
          <cell r="AE721" t="str">
            <v>everyone</v>
          </cell>
        </row>
        <row r="722">
          <cell r="A722" t="str">
            <v>39013_3</v>
          </cell>
          <cell r="B722">
            <v>1</v>
          </cell>
          <cell r="C722">
            <v>39013</v>
          </cell>
          <cell r="D722" t="str">
            <v>兄左</v>
          </cell>
          <cell r="E722" t="str">
            <v>コラボクエスト</v>
          </cell>
          <cell r="F722">
            <v>3</v>
          </cell>
          <cell r="G722" t="str">
            <v>ja</v>
          </cell>
          <cell r="H722" t="str">
            <v>【上級】兄左</v>
          </cell>
          <cell r="I722" t="str">
            <v>上級</v>
          </cell>
          <cell r="J722">
            <v>1585</v>
          </cell>
          <cell r="K722">
            <v>16</v>
          </cell>
          <cell r="L722">
            <v>2000</v>
          </cell>
          <cell r="M722">
            <v>1</v>
          </cell>
          <cell r="N722">
            <v>1</v>
          </cell>
          <cell r="O722">
            <v>1</v>
          </cell>
          <cell r="P722">
            <v>1</v>
          </cell>
          <cell r="Q722">
            <v>1</v>
          </cell>
          <cell r="R722">
            <v>3</v>
          </cell>
          <cell r="S722" t="str">
            <v>none</v>
          </cell>
          <cell r="T722">
            <v>0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996</v>
          </cell>
          <cell r="AD722">
            <v>6</v>
          </cell>
          <cell r="AE722" t="str">
            <v>everyone</v>
          </cell>
        </row>
        <row r="723">
          <cell r="A723" t="str">
            <v>39013_4</v>
          </cell>
          <cell r="B723">
            <v>1</v>
          </cell>
          <cell r="C723">
            <v>39013</v>
          </cell>
          <cell r="D723" t="str">
            <v>兄左</v>
          </cell>
          <cell r="E723" t="str">
            <v>コラボクエスト</v>
          </cell>
          <cell r="F723">
            <v>4</v>
          </cell>
          <cell r="G723" t="str">
            <v>ja</v>
          </cell>
          <cell r="H723" t="str">
            <v>【超級】兄左</v>
          </cell>
          <cell r="I723" t="str">
            <v>超級</v>
          </cell>
          <cell r="J723">
            <v>1586</v>
          </cell>
          <cell r="K723">
            <v>30</v>
          </cell>
          <cell r="L723">
            <v>3300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none</v>
          </cell>
          <cell r="T723">
            <v>0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996</v>
          </cell>
          <cell r="AD723">
            <v>6</v>
          </cell>
          <cell r="AE723" t="str">
            <v>everyone</v>
          </cell>
        </row>
        <row r="724">
          <cell r="A724" t="str">
            <v>39014_1</v>
          </cell>
          <cell r="B724">
            <v>1</v>
          </cell>
          <cell r="C724">
            <v>39014</v>
          </cell>
          <cell r="D724" t="str">
            <v>金券</v>
          </cell>
          <cell r="E724" t="str">
            <v>コラボクエスト</v>
          </cell>
          <cell r="F724">
            <v>1</v>
          </cell>
          <cell r="G724" t="str">
            <v>ja</v>
          </cell>
          <cell r="H724" t="str">
            <v>【超級】金券</v>
          </cell>
          <cell r="I724" t="str">
            <v>超級</v>
          </cell>
          <cell r="J724">
            <v>1512</v>
          </cell>
          <cell r="K724">
            <v>26</v>
          </cell>
          <cell r="L724">
            <v>4000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none</v>
          </cell>
          <cell r="T724">
            <v>0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980</v>
          </cell>
          <cell r="AD724">
            <v>6</v>
          </cell>
          <cell r="AE724" t="str">
            <v>everyone</v>
          </cell>
        </row>
        <row r="725">
          <cell r="A725" t="str">
            <v>40001_1</v>
          </cell>
          <cell r="B725">
            <v>1</v>
          </cell>
          <cell r="C725">
            <v>40001</v>
          </cell>
          <cell r="D725" t="str">
            <v>アマテラス襲来！</v>
          </cell>
          <cell r="E725" t="str">
            <v>降臨1</v>
          </cell>
          <cell r="F725">
            <v>1</v>
          </cell>
          <cell r="G725" t="str">
            <v>ja</v>
          </cell>
          <cell r="H725" t="str">
            <v xml:space="preserve">【ウィザード級】アマテラス襲来 </v>
          </cell>
          <cell r="I725" t="str">
            <v>地獄級</v>
          </cell>
          <cell r="J725">
            <v>278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1</v>
          </cell>
          <cell r="R725">
            <v>3</v>
          </cell>
          <cell r="S725" t="str">
            <v>none</v>
          </cell>
          <cell r="T725">
            <v>0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901</v>
          </cell>
          <cell r="AD725">
            <v>6</v>
          </cell>
          <cell r="AE725" t="str">
            <v>everyone</v>
          </cell>
        </row>
        <row r="726">
          <cell r="A726" t="str">
            <v>40002_1</v>
          </cell>
          <cell r="B726">
            <v>1</v>
          </cell>
          <cell r="C726">
            <v>40002</v>
          </cell>
          <cell r="D726" t="str">
            <v>アザゼル襲来！</v>
          </cell>
          <cell r="E726" t="str">
            <v>降臨2</v>
          </cell>
          <cell r="F726">
            <v>1</v>
          </cell>
          <cell r="G726" t="str">
            <v>ja</v>
          </cell>
          <cell r="H726" t="str">
            <v xml:space="preserve">【超級】アザゼル襲来 </v>
          </cell>
          <cell r="I726" t="str">
            <v>超級</v>
          </cell>
          <cell r="J726">
            <v>296</v>
          </cell>
          <cell r="K726">
            <v>25</v>
          </cell>
          <cell r="L726">
            <v>2000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none</v>
          </cell>
          <cell r="T726">
            <v>0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902</v>
          </cell>
          <cell r="AD726">
            <v>6</v>
          </cell>
          <cell r="AE726" t="str">
            <v>everyone</v>
          </cell>
        </row>
        <row r="727">
          <cell r="A727" t="str">
            <v>40002_2</v>
          </cell>
          <cell r="B727">
            <v>1</v>
          </cell>
          <cell r="C727">
            <v>40002</v>
          </cell>
          <cell r="D727" t="str">
            <v>アザゼル襲来！</v>
          </cell>
          <cell r="E727" t="str">
            <v>降臨2</v>
          </cell>
          <cell r="F727">
            <v>2</v>
          </cell>
          <cell r="G727" t="str">
            <v>ja</v>
          </cell>
          <cell r="H727" t="str">
            <v>【超絶級】アザゼル襲来</v>
          </cell>
          <cell r="I727" t="str">
            <v>超絶級</v>
          </cell>
          <cell r="J727">
            <v>297</v>
          </cell>
          <cell r="K727">
            <v>30</v>
          </cell>
          <cell r="L727">
            <v>3300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none</v>
          </cell>
          <cell r="T727">
            <v>0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902</v>
          </cell>
          <cell r="AD727">
            <v>6</v>
          </cell>
          <cell r="AE727" t="str">
            <v>everyone</v>
          </cell>
        </row>
        <row r="728">
          <cell r="A728" t="str">
            <v>40002_3</v>
          </cell>
          <cell r="B728">
            <v>1</v>
          </cell>
          <cell r="C728">
            <v>40002</v>
          </cell>
          <cell r="D728" t="str">
            <v>アザゼル襲来！</v>
          </cell>
          <cell r="E728" t="str">
            <v>降臨2</v>
          </cell>
          <cell r="F728">
            <v>3</v>
          </cell>
          <cell r="G728" t="str">
            <v>ja</v>
          </cell>
          <cell r="H728" t="str">
            <v xml:space="preserve">【ウィザード級】アザゼル襲来 </v>
          </cell>
          <cell r="I728" t="str">
            <v>地獄級</v>
          </cell>
          <cell r="J728">
            <v>297</v>
          </cell>
          <cell r="K728">
            <v>35</v>
          </cell>
          <cell r="L728">
            <v>4200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character</v>
          </cell>
          <cell r="T728">
            <v>296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902</v>
          </cell>
          <cell r="AD728">
            <v>6</v>
          </cell>
          <cell r="AE728" t="str">
            <v>everyone</v>
          </cell>
        </row>
        <row r="729">
          <cell r="A729" t="str">
            <v>40003_1</v>
          </cell>
          <cell r="B729">
            <v>1</v>
          </cell>
          <cell r="C729">
            <v>40003</v>
          </cell>
          <cell r="D729" t="str">
            <v>ジャンヌ襲来！</v>
          </cell>
          <cell r="E729" t="str">
            <v>降臨3</v>
          </cell>
          <cell r="F729">
            <v>1</v>
          </cell>
          <cell r="G729" t="str">
            <v>ja</v>
          </cell>
          <cell r="H729" t="str">
            <v xml:space="preserve">【ウィザード級】ジャンヌ襲来 </v>
          </cell>
          <cell r="I729" t="str">
            <v>地獄級</v>
          </cell>
          <cell r="J729">
            <v>315</v>
          </cell>
          <cell r="K729">
            <v>35</v>
          </cell>
          <cell r="L729">
            <v>4200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character</v>
          </cell>
          <cell r="T729">
            <v>314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903</v>
          </cell>
          <cell r="AD729">
            <v>6</v>
          </cell>
          <cell r="AE729" t="str">
            <v>everyone</v>
          </cell>
        </row>
        <row r="730">
          <cell r="A730" t="str">
            <v>40004_1</v>
          </cell>
          <cell r="B730">
            <v>1</v>
          </cell>
          <cell r="C730">
            <v>40004</v>
          </cell>
          <cell r="D730" t="str">
            <v>宮本武蔵襲来！</v>
          </cell>
          <cell r="E730" t="str">
            <v>降臨4</v>
          </cell>
          <cell r="F730">
            <v>1</v>
          </cell>
          <cell r="G730" t="str">
            <v>ja</v>
          </cell>
          <cell r="H730" t="str">
            <v xml:space="preserve">【ウィザード級】宮本武蔵襲来 </v>
          </cell>
          <cell r="I730" t="str">
            <v>地獄級</v>
          </cell>
          <cell r="J730">
            <v>427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character</v>
          </cell>
          <cell r="T730">
            <v>426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904</v>
          </cell>
          <cell r="AD730">
            <v>6</v>
          </cell>
          <cell r="AE730" t="str">
            <v>everyone</v>
          </cell>
        </row>
        <row r="731">
          <cell r="A731" t="str">
            <v>40005_1</v>
          </cell>
          <cell r="B731">
            <v>1</v>
          </cell>
          <cell r="C731">
            <v>40005</v>
          </cell>
          <cell r="D731" t="str">
            <v>オズ襲来！</v>
          </cell>
          <cell r="E731" t="str">
            <v>降臨5</v>
          </cell>
          <cell r="F731">
            <v>1</v>
          </cell>
          <cell r="G731" t="str">
            <v>ja</v>
          </cell>
          <cell r="H731" t="str">
            <v xml:space="preserve">【ウィザード級】オズ襲来 </v>
          </cell>
          <cell r="I731" t="str">
            <v>地獄級</v>
          </cell>
          <cell r="J731">
            <v>461</v>
          </cell>
          <cell r="K731">
            <v>35</v>
          </cell>
          <cell r="L731">
            <v>4200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character</v>
          </cell>
          <cell r="T731">
            <v>460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906</v>
          </cell>
          <cell r="AD731">
            <v>6</v>
          </cell>
          <cell r="AE731" t="str">
            <v>everyone</v>
          </cell>
        </row>
        <row r="732">
          <cell r="A732" t="str">
            <v>40006_1</v>
          </cell>
          <cell r="B732">
            <v>1</v>
          </cell>
          <cell r="C732">
            <v>40006</v>
          </cell>
          <cell r="D732" t="str">
            <v>アーサー襲来！</v>
          </cell>
          <cell r="E732" t="str">
            <v>降臨6</v>
          </cell>
          <cell r="F732">
            <v>1</v>
          </cell>
          <cell r="G732" t="str">
            <v>ja</v>
          </cell>
          <cell r="H732" t="str">
            <v xml:space="preserve">【ウィザード級】アーサー襲来 </v>
          </cell>
          <cell r="I732" t="str">
            <v>地獄級</v>
          </cell>
          <cell r="J732">
            <v>473</v>
          </cell>
          <cell r="K732">
            <v>35</v>
          </cell>
          <cell r="L732">
            <v>4200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character</v>
          </cell>
          <cell r="T732">
            <v>472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907</v>
          </cell>
          <cell r="AD732">
            <v>6</v>
          </cell>
          <cell r="AE732" t="str">
            <v>everyone</v>
          </cell>
        </row>
        <row r="733">
          <cell r="A733" t="str">
            <v>40007_1</v>
          </cell>
          <cell r="B733">
            <v>1</v>
          </cell>
          <cell r="C733">
            <v>40007</v>
          </cell>
          <cell r="D733" t="str">
            <v>グリム襲来！</v>
          </cell>
          <cell r="E733" t="str">
            <v>降臨7</v>
          </cell>
          <cell r="F733">
            <v>1</v>
          </cell>
          <cell r="G733" t="str">
            <v>ja</v>
          </cell>
          <cell r="H733" t="str">
            <v xml:space="preserve">【ウィザード級】グリム襲来 </v>
          </cell>
          <cell r="I733" t="str">
            <v>地獄級</v>
          </cell>
          <cell r="J733">
            <v>491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character</v>
          </cell>
          <cell r="T733">
            <v>490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908</v>
          </cell>
          <cell r="AD733">
            <v>6</v>
          </cell>
          <cell r="AE733" t="str">
            <v>everyone</v>
          </cell>
        </row>
        <row r="734">
          <cell r="A734" t="str">
            <v>40008_1</v>
          </cell>
          <cell r="B734">
            <v>1</v>
          </cell>
          <cell r="C734">
            <v>40008</v>
          </cell>
          <cell r="D734" t="str">
            <v>Gスター襲来！</v>
          </cell>
          <cell r="E734" t="str">
            <v>降臨8</v>
          </cell>
          <cell r="F734">
            <v>1</v>
          </cell>
          <cell r="G734" t="str">
            <v>ja</v>
          </cell>
          <cell r="H734" t="str">
            <v xml:space="preserve">【ウィザード級】Gスター襲来 </v>
          </cell>
          <cell r="I734" t="str">
            <v>地獄級</v>
          </cell>
          <cell r="J734">
            <v>509</v>
          </cell>
          <cell r="K734">
            <v>35</v>
          </cell>
          <cell r="L734">
            <v>4200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character</v>
          </cell>
          <cell r="T734">
            <v>508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2601</v>
          </cell>
          <cell r="AD734">
            <v>6</v>
          </cell>
          <cell r="AE734" t="str">
            <v>everyone</v>
          </cell>
        </row>
        <row r="735">
          <cell r="A735" t="str">
            <v>40009_1</v>
          </cell>
          <cell r="B735">
            <v>1</v>
          </cell>
          <cell r="C735">
            <v>40009</v>
          </cell>
          <cell r="D735" t="str">
            <v>フギンとムニン襲来！</v>
          </cell>
          <cell r="E735" t="str">
            <v>降臨9</v>
          </cell>
          <cell r="F735">
            <v>1</v>
          </cell>
          <cell r="G735" t="str">
            <v>ja</v>
          </cell>
          <cell r="H735" t="str">
            <v xml:space="preserve">【ウィザード級】フギンとムニン襲来 </v>
          </cell>
          <cell r="I735" t="str">
            <v>地獄級</v>
          </cell>
          <cell r="J735">
            <v>582</v>
          </cell>
          <cell r="K735">
            <v>35</v>
          </cell>
          <cell r="L735">
            <v>4200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character</v>
          </cell>
          <cell r="T735">
            <v>581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25</v>
          </cell>
          <cell r="AD735">
            <v>6</v>
          </cell>
          <cell r="AE735" t="str">
            <v>everyone</v>
          </cell>
        </row>
        <row r="736">
          <cell r="A736" t="str">
            <v>40010_1</v>
          </cell>
          <cell r="B736">
            <v>1</v>
          </cell>
          <cell r="C736">
            <v>40010</v>
          </cell>
          <cell r="D736" t="str">
            <v>フレイ襲来！</v>
          </cell>
          <cell r="E736" t="str">
            <v>降臨10</v>
          </cell>
          <cell r="F736">
            <v>1</v>
          </cell>
          <cell r="G736" t="str">
            <v>ja</v>
          </cell>
          <cell r="H736" t="str">
            <v xml:space="preserve">【ウィザード級】フレイ襲来 </v>
          </cell>
          <cell r="I736" t="str">
            <v>地獄級</v>
          </cell>
          <cell r="J736">
            <v>575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0</v>
          </cell>
          <cell r="Q736">
            <v>1</v>
          </cell>
          <cell r="R736">
            <v>3</v>
          </cell>
          <cell r="S736" t="str">
            <v>character</v>
          </cell>
          <cell r="T736">
            <v>575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912</v>
          </cell>
          <cell r="AD736">
            <v>6</v>
          </cell>
          <cell r="AE736" t="str">
            <v>everyone</v>
          </cell>
        </row>
        <row r="737">
          <cell r="A737" t="str">
            <v>40011_1</v>
          </cell>
          <cell r="B737">
            <v>1</v>
          </cell>
          <cell r="C737">
            <v>40011</v>
          </cell>
          <cell r="D737" t="str">
            <v>ヨミ襲来！</v>
          </cell>
          <cell r="E737" t="str">
            <v>降臨11</v>
          </cell>
          <cell r="F737">
            <v>1</v>
          </cell>
          <cell r="G737" t="str">
            <v>ja</v>
          </cell>
          <cell r="H737" t="str">
            <v xml:space="preserve">【ウィザード級】ヨミ襲来 </v>
          </cell>
          <cell r="I737" t="str">
            <v>地獄級</v>
          </cell>
          <cell r="J737">
            <v>655</v>
          </cell>
          <cell r="K737">
            <v>35</v>
          </cell>
          <cell r="L737">
            <v>4200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character</v>
          </cell>
          <cell r="T737">
            <v>654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913</v>
          </cell>
          <cell r="AD737">
            <v>6</v>
          </cell>
          <cell r="AE737" t="str">
            <v>everyone</v>
          </cell>
        </row>
        <row r="738">
          <cell r="A738" t="str">
            <v>40012_1</v>
          </cell>
          <cell r="B738">
            <v>1</v>
          </cell>
          <cell r="C738">
            <v>40012</v>
          </cell>
          <cell r="D738" t="str">
            <v>ショウキ襲来！</v>
          </cell>
          <cell r="E738" t="str">
            <v>降臨12</v>
          </cell>
          <cell r="F738">
            <v>1</v>
          </cell>
          <cell r="G738" t="str">
            <v>ja</v>
          </cell>
          <cell r="H738" t="str">
            <v xml:space="preserve">【ウィザード級】ショウキ襲来 </v>
          </cell>
          <cell r="I738" t="str">
            <v>地獄級</v>
          </cell>
          <cell r="J738">
            <v>645</v>
          </cell>
          <cell r="K738">
            <v>35</v>
          </cell>
          <cell r="L738">
            <v>4200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character</v>
          </cell>
          <cell r="T738">
            <v>644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915</v>
          </cell>
          <cell r="AD738">
            <v>6</v>
          </cell>
          <cell r="AE738" t="str">
            <v>everyone</v>
          </cell>
        </row>
        <row r="739">
          <cell r="A739" t="str">
            <v>40013_1</v>
          </cell>
          <cell r="B739">
            <v>1</v>
          </cell>
          <cell r="C739">
            <v>40013</v>
          </cell>
          <cell r="D739" t="str">
            <v>カーマ襲来！</v>
          </cell>
          <cell r="E739" t="str">
            <v>降臨13</v>
          </cell>
          <cell r="F739">
            <v>1</v>
          </cell>
          <cell r="G739" t="str">
            <v>ja</v>
          </cell>
          <cell r="H739" t="str">
            <v xml:space="preserve">【ウィザード級】カーマ襲来 </v>
          </cell>
          <cell r="I739" t="str">
            <v>地獄級</v>
          </cell>
          <cell r="J739">
            <v>643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0</v>
          </cell>
          <cell r="R739">
            <v>3</v>
          </cell>
          <cell r="S739" t="str">
            <v>character</v>
          </cell>
          <cell r="T739">
            <v>642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916</v>
          </cell>
          <cell r="AD739">
            <v>6</v>
          </cell>
          <cell r="AE739" t="str">
            <v>everyone</v>
          </cell>
        </row>
        <row r="740">
          <cell r="A740" t="str">
            <v>40014_1</v>
          </cell>
          <cell r="B740">
            <v>1</v>
          </cell>
          <cell r="C740">
            <v>40014</v>
          </cell>
          <cell r="D740" t="str">
            <v>シヴァ襲来！</v>
          </cell>
          <cell r="E740" t="str">
            <v>降臨14</v>
          </cell>
          <cell r="F740">
            <v>1</v>
          </cell>
          <cell r="G740" t="str">
            <v>ja</v>
          </cell>
          <cell r="H740" t="str">
            <v xml:space="preserve">【ウィザード級】シヴァ襲来 </v>
          </cell>
          <cell r="I740" t="str">
            <v>地獄級</v>
          </cell>
          <cell r="J740">
            <v>657</v>
          </cell>
          <cell r="K740">
            <v>35</v>
          </cell>
          <cell r="L740">
            <v>4200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character</v>
          </cell>
          <cell r="T740">
            <v>656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916</v>
          </cell>
          <cell r="AD740">
            <v>6</v>
          </cell>
          <cell r="AE740" t="str">
            <v>everyone</v>
          </cell>
        </row>
        <row r="741">
          <cell r="A741" t="str">
            <v>40015_1</v>
          </cell>
          <cell r="B741">
            <v>1</v>
          </cell>
          <cell r="C741">
            <v>40015</v>
          </cell>
          <cell r="D741" t="str">
            <v>ガレス襲来！</v>
          </cell>
          <cell r="E741" t="str">
            <v>降臨15</v>
          </cell>
          <cell r="F741">
            <v>1</v>
          </cell>
          <cell r="G741" t="str">
            <v>ja</v>
          </cell>
          <cell r="H741" t="str">
            <v xml:space="preserve">【ウィザード級】ガレス襲来 </v>
          </cell>
          <cell r="I741" t="str">
            <v>地獄級</v>
          </cell>
          <cell r="J741">
            <v>769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1</v>
          </cell>
          <cell r="Q741">
            <v>1</v>
          </cell>
          <cell r="R741">
            <v>3</v>
          </cell>
          <cell r="S741" t="str">
            <v>character</v>
          </cell>
          <cell r="T741">
            <v>768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907</v>
          </cell>
          <cell r="AD741">
            <v>6</v>
          </cell>
          <cell r="AE741" t="str">
            <v>everyone</v>
          </cell>
        </row>
        <row r="742">
          <cell r="A742" t="str">
            <v>40016_1</v>
          </cell>
          <cell r="B742">
            <v>3</v>
          </cell>
          <cell r="C742">
            <v>40016</v>
          </cell>
          <cell r="D742" t="str">
            <v>武田信玄襲来！</v>
          </cell>
          <cell r="E742" t="str">
            <v>降臨16</v>
          </cell>
          <cell r="F742">
            <v>1</v>
          </cell>
          <cell r="G742" t="str">
            <v>ja</v>
          </cell>
          <cell r="H742" t="str">
            <v xml:space="preserve">【ウィザード級】武田信玄襲来 </v>
          </cell>
          <cell r="I742" t="str">
            <v>地獄級</v>
          </cell>
          <cell r="J742">
            <v>725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1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919</v>
          </cell>
          <cell r="AD742">
            <v>6</v>
          </cell>
          <cell r="AE742" t="str">
            <v>everyone</v>
          </cell>
        </row>
        <row r="743">
          <cell r="A743" t="str">
            <v>40016_2</v>
          </cell>
          <cell r="B743">
            <v>1</v>
          </cell>
          <cell r="C743">
            <v>40016</v>
          </cell>
          <cell r="D743" t="str">
            <v>武田信玄襲来！</v>
          </cell>
          <cell r="E743" t="str">
            <v>降臨16</v>
          </cell>
          <cell r="F743">
            <v>2</v>
          </cell>
          <cell r="G743" t="str">
            <v>ja</v>
          </cell>
          <cell r="H743" t="str">
            <v xml:space="preserve">【ノーコンテニュー】武田信玄襲来 </v>
          </cell>
          <cell r="I743" t="str">
            <v>地獄級</v>
          </cell>
          <cell r="J743">
            <v>725</v>
          </cell>
          <cell r="K743">
            <v>40</v>
          </cell>
          <cell r="L743">
            <v>4500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919</v>
          </cell>
          <cell r="AD743">
            <v>6</v>
          </cell>
          <cell r="AE743" t="str">
            <v>everyone</v>
          </cell>
        </row>
        <row r="744">
          <cell r="A744" t="str">
            <v>40017_1</v>
          </cell>
          <cell r="B744">
            <v>3</v>
          </cell>
          <cell r="C744">
            <v>40017</v>
          </cell>
          <cell r="D744" t="str">
            <v>ベルゼブブ襲来！</v>
          </cell>
          <cell r="E744" t="str">
            <v>降臨17</v>
          </cell>
          <cell r="F744">
            <v>1</v>
          </cell>
          <cell r="G744" t="str">
            <v>ja</v>
          </cell>
          <cell r="H744" t="str">
            <v xml:space="preserve">【超絶級】ベルゼブブ襲来 </v>
          </cell>
          <cell r="I744" t="str">
            <v>地獄級</v>
          </cell>
          <cell r="J744">
            <v>845</v>
          </cell>
          <cell r="K744">
            <v>35</v>
          </cell>
          <cell r="L744">
            <v>4200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927</v>
          </cell>
          <cell r="AD744">
            <v>6</v>
          </cell>
          <cell r="AE744" t="str">
            <v>everyone</v>
          </cell>
        </row>
        <row r="745">
          <cell r="A745" t="str">
            <v>40017_2</v>
          </cell>
          <cell r="B745">
            <v>3</v>
          </cell>
          <cell r="C745">
            <v>40017</v>
          </cell>
          <cell r="D745" t="str">
            <v>ベルゼブブ襲来！</v>
          </cell>
          <cell r="E745" t="str">
            <v>降臨17</v>
          </cell>
          <cell r="F745">
            <v>2</v>
          </cell>
          <cell r="G745" t="str">
            <v>ja</v>
          </cell>
          <cell r="H745" t="str">
            <v>【ウィザード級】ベルゼブブ襲来</v>
          </cell>
          <cell r="I745" t="str">
            <v>地獄級</v>
          </cell>
          <cell r="J745">
            <v>845</v>
          </cell>
          <cell r="K745">
            <v>40</v>
          </cell>
          <cell r="L745">
            <v>4500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927</v>
          </cell>
          <cell r="AD745">
            <v>6</v>
          </cell>
          <cell r="AE745" t="str">
            <v>everyone</v>
          </cell>
        </row>
        <row r="746">
          <cell r="A746" t="str">
            <v>40017_3</v>
          </cell>
          <cell r="B746">
            <v>1</v>
          </cell>
          <cell r="C746">
            <v>40017</v>
          </cell>
          <cell r="D746" t="str">
            <v>ベルゼブブ襲来！</v>
          </cell>
          <cell r="E746" t="str">
            <v>降臨17</v>
          </cell>
          <cell r="F746">
            <v>3</v>
          </cell>
          <cell r="G746" t="str">
            <v>ja</v>
          </cell>
          <cell r="H746" t="str">
            <v>【ノーコンテニュー】ベルゼブブ襲来</v>
          </cell>
          <cell r="I746" t="str">
            <v>地獄級</v>
          </cell>
          <cell r="J746">
            <v>845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927</v>
          </cell>
          <cell r="AD746">
            <v>6</v>
          </cell>
          <cell r="AE746" t="str">
            <v>everyone</v>
          </cell>
        </row>
        <row r="747">
          <cell r="A747" t="str">
            <v>40018_1</v>
          </cell>
          <cell r="B747">
            <v>3</v>
          </cell>
          <cell r="C747">
            <v>40018</v>
          </cell>
          <cell r="D747" t="str">
            <v>ジーナ襲来！</v>
          </cell>
          <cell r="E747" t="str">
            <v>降臨18</v>
          </cell>
          <cell r="F747">
            <v>1</v>
          </cell>
          <cell r="G747" t="str">
            <v>ja</v>
          </cell>
          <cell r="H747" t="str">
            <v xml:space="preserve">【超絶級】ジーナ襲来 </v>
          </cell>
          <cell r="I747" t="str">
            <v>地獄級</v>
          </cell>
          <cell r="J747">
            <v>861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929</v>
          </cell>
          <cell r="AD747">
            <v>6</v>
          </cell>
          <cell r="AE747" t="str">
            <v>everyone</v>
          </cell>
        </row>
        <row r="748">
          <cell r="A748" t="str">
            <v>40018_2</v>
          </cell>
          <cell r="B748">
            <v>3</v>
          </cell>
          <cell r="C748">
            <v>40018</v>
          </cell>
          <cell r="D748" t="str">
            <v>ジーナ襲来！</v>
          </cell>
          <cell r="E748" t="str">
            <v>降臨18</v>
          </cell>
          <cell r="F748">
            <v>2</v>
          </cell>
          <cell r="G748" t="str">
            <v>ja</v>
          </cell>
          <cell r="H748" t="str">
            <v>【ウィザード級】ジーナ襲来</v>
          </cell>
          <cell r="I748" t="str">
            <v>地獄級</v>
          </cell>
          <cell r="J748">
            <v>861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929</v>
          </cell>
          <cell r="AD748">
            <v>6</v>
          </cell>
          <cell r="AE748" t="str">
            <v>everyone</v>
          </cell>
        </row>
        <row r="749">
          <cell r="A749" t="str">
            <v>40018_3</v>
          </cell>
          <cell r="B749">
            <v>1</v>
          </cell>
          <cell r="C749">
            <v>40018</v>
          </cell>
          <cell r="D749" t="str">
            <v>ジーナ襲来！</v>
          </cell>
          <cell r="E749" t="str">
            <v>降臨18</v>
          </cell>
          <cell r="F749">
            <v>3</v>
          </cell>
          <cell r="G749" t="str">
            <v>ja</v>
          </cell>
          <cell r="H749" t="str">
            <v>【ノーコンテニュー】ジーナ襲来</v>
          </cell>
          <cell r="I749" t="str">
            <v>地獄級</v>
          </cell>
          <cell r="J749">
            <v>861</v>
          </cell>
          <cell r="K749">
            <v>40</v>
          </cell>
          <cell r="L749">
            <v>4500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929</v>
          </cell>
          <cell r="AD749">
            <v>6</v>
          </cell>
          <cell r="AE749" t="str">
            <v>everyone</v>
          </cell>
        </row>
        <row r="750">
          <cell r="A750" t="str">
            <v>40019_1</v>
          </cell>
          <cell r="B750">
            <v>3</v>
          </cell>
          <cell r="C750">
            <v>40019</v>
          </cell>
          <cell r="D750" t="str">
            <v>テュポーン襲来！</v>
          </cell>
          <cell r="E750" t="str">
            <v>降臨19</v>
          </cell>
          <cell r="F750">
            <v>1</v>
          </cell>
          <cell r="G750" t="str">
            <v>ja</v>
          </cell>
          <cell r="H750" t="str">
            <v xml:space="preserve">【超絶級】テュポーン襲来 </v>
          </cell>
          <cell r="I750" t="str">
            <v>超絶級</v>
          </cell>
          <cell r="J750">
            <v>741</v>
          </cell>
          <cell r="K750">
            <v>35</v>
          </cell>
          <cell r="L750">
            <v>4200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921</v>
          </cell>
          <cell r="AD750">
            <v>6</v>
          </cell>
          <cell r="AE750" t="str">
            <v>everyone</v>
          </cell>
        </row>
        <row r="751">
          <cell r="A751" t="str">
            <v>40019_2</v>
          </cell>
          <cell r="B751">
            <v>3</v>
          </cell>
          <cell r="C751">
            <v>40019</v>
          </cell>
          <cell r="D751" t="str">
            <v>テュポーン襲来！</v>
          </cell>
          <cell r="E751" t="str">
            <v>降臨19</v>
          </cell>
          <cell r="F751">
            <v>2</v>
          </cell>
          <cell r="G751" t="str">
            <v>ja</v>
          </cell>
          <cell r="H751" t="str">
            <v>【ウィザード級】テュポーン襲来</v>
          </cell>
          <cell r="I751" t="str">
            <v>地獄級</v>
          </cell>
          <cell r="J751">
            <v>741</v>
          </cell>
          <cell r="K751">
            <v>40</v>
          </cell>
          <cell r="L751">
            <v>4500</v>
          </cell>
          <cell r="M751">
            <v>1</v>
          </cell>
          <cell r="N751">
            <v>1</v>
          </cell>
          <cell r="O751">
            <v>1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921</v>
          </cell>
          <cell r="AD751">
            <v>6</v>
          </cell>
          <cell r="AE751" t="str">
            <v>everyone</v>
          </cell>
        </row>
        <row r="752">
          <cell r="A752" t="str">
            <v>40019_3</v>
          </cell>
          <cell r="B752">
            <v>1</v>
          </cell>
          <cell r="C752">
            <v>40019</v>
          </cell>
          <cell r="D752" t="str">
            <v>テュポーン襲来！</v>
          </cell>
          <cell r="E752" t="str">
            <v>降臨19</v>
          </cell>
          <cell r="F752">
            <v>3</v>
          </cell>
          <cell r="G752" t="str">
            <v>ja</v>
          </cell>
          <cell r="H752" t="str">
            <v>【ノーコンテニュー】テュポーン襲来</v>
          </cell>
          <cell r="I752" t="str">
            <v>地獄級</v>
          </cell>
          <cell r="J752">
            <v>741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1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921</v>
          </cell>
          <cell r="AD752">
            <v>6</v>
          </cell>
          <cell r="AE752" t="str">
            <v>everyone</v>
          </cell>
        </row>
        <row r="753">
          <cell r="A753" t="str">
            <v>40021_1</v>
          </cell>
          <cell r="B753">
            <v>3</v>
          </cell>
          <cell r="C753">
            <v>40021</v>
          </cell>
          <cell r="D753" t="str">
            <v>ルイ16世襲来！</v>
          </cell>
          <cell r="E753" t="str">
            <v>降臨21</v>
          </cell>
          <cell r="F753">
            <v>1</v>
          </cell>
          <cell r="G753" t="str">
            <v>ja</v>
          </cell>
          <cell r="H753" t="str">
            <v xml:space="preserve">【超絶級】ルイ16世襲来 </v>
          </cell>
          <cell r="I753" t="str">
            <v>超絶級</v>
          </cell>
          <cell r="J753">
            <v>936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936</v>
          </cell>
          <cell r="AD753">
            <v>6</v>
          </cell>
          <cell r="AE753" t="str">
            <v>everyone</v>
          </cell>
        </row>
        <row r="754">
          <cell r="A754" t="str">
            <v>40021_2</v>
          </cell>
          <cell r="B754">
            <v>3</v>
          </cell>
          <cell r="C754">
            <v>40021</v>
          </cell>
          <cell r="D754" t="str">
            <v>ルイ16世襲来！</v>
          </cell>
          <cell r="E754" t="str">
            <v>降臨21</v>
          </cell>
          <cell r="F754">
            <v>2</v>
          </cell>
          <cell r="G754" t="str">
            <v>ja</v>
          </cell>
          <cell r="H754" t="str">
            <v>【ウィザード級】ルイ16世襲来</v>
          </cell>
          <cell r="I754" t="str">
            <v>地獄級</v>
          </cell>
          <cell r="J754">
            <v>936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936</v>
          </cell>
          <cell r="AD754">
            <v>6</v>
          </cell>
          <cell r="AE754" t="str">
            <v>everyone</v>
          </cell>
        </row>
        <row r="755">
          <cell r="A755" t="str">
            <v>40022_1</v>
          </cell>
          <cell r="B755">
            <v>3</v>
          </cell>
          <cell r="C755">
            <v>40022</v>
          </cell>
          <cell r="D755" t="str">
            <v>オシリス襲来！</v>
          </cell>
          <cell r="E755" t="str">
            <v>降臨22</v>
          </cell>
          <cell r="F755">
            <v>1</v>
          </cell>
          <cell r="G755" t="str">
            <v>ja</v>
          </cell>
          <cell r="H755" t="str">
            <v xml:space="preserve">【超絶級】オシリス襲来 </v>
          </cell>
          <cell r="I755" t="str">
            <v>超絶級</v>
          </cell>
          <cell r="J755">
            <v>1009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0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940</v>
          </cell>
          <cell r="AD755">
            <v>6</v>
          </cell>
          <cell r="AE755" t="str">
            <v>everyone</v>
          </cell>
        </row>
        <row r="756">
          <cell r="A756" t="str">
            <v>40022_2</v>
          </cell>
          <cell r="B756">
            <v>3</v>
          </cell>
          <cell r="C756">
            <v>40022</v>
          </cell>
          <cell r="D756" t="str">
            <v>オシリス襲来！</v>
          </cell>
          <cell r="E756" t="str">
            <v>降臨22</v>
          </cell>
          <cell r="F756">
            <v>2</v>
          </cell>
          <cell r="G756" t="str">
            <v>ja</v>
          </cell>
          <cell r="H756" t="str">
            <v>【ウィザード級】オシリス襲来</v>
          </cell>
          <cell r="I756" t="str">
            <v>地獄級</v>
          </cell>
          <cell r="J756">
            <v>1009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0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940</v>
          </cell>
          <cell r="AD756">
            <v>6</v>
          </cell>
          <cell r="AE756" t="str">
            <v>everyone</v>
          </cell>
        </row>
        <row r="757">
          <cell r="A757" t="str">
            <v>40023_1</v>
          </cell>
          <cell r="B757">
            <v>3</v>
          </cell>
          <cell r="C757">
            <v>40023</v>
          </cell>
          <cell r="D757" t="str">
            <v>武蔵坊弁慶襲来！</v>
          </cell>
          <cell r="E757" t="str">
            <v>降臨23</v>
          </cell>
          <cell r="F757">
            <v>1</v>
          </cell>
          <cell r="G757" t="str">
            <v>ja</v>
          </cell>
          <cell r="H757" t="str">
            <v xml:space="preserve">【超絶級】武蔵坊弁慶襲来 </v>
          </cell>
          <cell r="I757" t="str">
            <v>超絶級</v>
          </cell>
          <cell r="J757">
            <v>1025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941</v>
          </cell>
          <cell r="AD757">
            <v>6</v>
          </cell>
          <cell r="AE757" t="str">
            <v>everyone</v>
          </cell>
        </row>
        <row r="758">
          <cell r="A758" t="str">
            <v>40023_2</v>
          </cell>
          <cell r="B758">
            <v>3</v>
          </cell>
          <cell r="C758">
            <v>40023</v>
          </cell>
          <cell r="D758" t="str">
            <v>武蔵坊弁慶襲来！</v>
          </cell>
          <cell r="E758" t="str">
            <v>降臨23</v>
          </cell>
          <cell r="F758">
            <v>2</v>
          </cell>
          <cell r="G758" t="str">
            <v>ja</v>
          </cell>
          <cell r="H758" t="str">
            <v>【ウィザード級】武蔵坊弁慶襲来</v>
          </cell>
          <cell r="I758" t="str">
            <v>地獄級</v>
          </cell>
          <cell r="J758">
            <v>1025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941</v>
          </cell>
          <cell r="AD758">
            <v>6</v>
          </cell>
          <cell r="AE758" t="str">
            <v>everyone</v>
          </cell>
        </row>
        <row r="759">
          <cell r="A759" t="str">
            <v>40024_1</v>
          </cell>
          <cell r="B759">
            <v>3</v>
          </cell>
          <cell r="C759">
            <v>40024</v>
          </cell>
          <cell r="D759" t="str">
            <v>アトラス襲来！</v>
          </cell>
          <cell r="E759" t="str">
            <v>降臨24</v>
          </cell>
          <cell r="F759">
            <v>1</v>
          </cell>
          <cell r="G759" t="str">
            <v>ja</v>
          </cell>
          <cell r="H759" t="str">
            <v>【超絶級】アトラス襲来</v>
          </cell>
          <cell r="I759" t="str">
            <v>超絶級</v>
          </cell>
          <cell r="J759">
            <v>789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20</v>
          </cell>
          <cell r="AD759">
            <v>6</v>
          </cell>
          <cell r="AE759" t="str">
            <v>everyone</v>
          </cell>
        </row>
        <row r="760">
          <cell r="A760" t="str">
            <v>40024_2</v>
          </cell>
          <cell r="B760">
            <v>3</v>
          </cell>
          <cell r="C760">
            <v>40024</v>
          </cell>
          <cell r="D760" t="str">
            <v>アトラス襲来！</v>
          </cell>
          <cell r="E760" t="str">
            <v>降臨24</v>
          </cell>
          <cell r="F760">
            <v>2</v>
          </cell>
          <cell r="G760" t="str">
            <v>ja</v>
          </cell>
          <cell r="H760" t="str">
            <v>【ウィザード級】アトラス襲来</v>
          </cell>
          <cell r="I760" t="str">
            <v>地獄級</v>
          </cell>
          <cell r="J760">
            <v>789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20</v>
          </cell>
          <cell r="AD760">
            <v>6</v>
          </cell>
          <cell r="AE760" t="str">
            <v>everyone</v>
          </cell>
        </row>
        <row r="761">
          <cell r="A761" t="str">
            <v>40025_1</v>
          </cell>
          <cell r="B761">
            <v>3</v>
          </cell>
          <cell r="C761">
            <v>40025</v>
          </cell>
          <cell r="D761" t="str">
            <v>ティアマト襲来！</v>
          </cell>
          <cell r="E761" t="str">
            <v>降臨25</v>
          </cell>
          <cell r="F761">
            <v>1</v>
          </cell>
          <cell r="G761" t="str">
            <v>ja</v>
          </cell>
          <cell r="H761" t="str">
            <v>【超絶級】ティアマト襲来</v>
          </cell>
          <cell r="I761" t="str">
            <v>超絶級</v>
          </cell>
          <cell r="J761">
            <v>1064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944</v>
          </cell>
          <cell r="AD761">
            <v>6</v>
          </cell>
          <cell r="AE761" t="str">
            <v>everyone</v>
          </cell>
        </row>
        <row r="762">
          <cell r="A762" t="str">
            <v>40025_2</v>
          </cell>
          <cell r="B762">
            <v>3</v>
          </cell>
          <cell r="C762">
            <v>40025</v>
          </cell>
          <cell r="D762" t="str">
            <v>ティアマト襲来！</v>
          </cell>
          <cell r="E762" t="str">
            <v>降臨25</v>
          </cell>
          <cell r="F762">
            <v>2</v>
          </cell>
          <cell r="G762" t="str">
            <v>ja</v>
          </cell>
          <cell r="H762" t="str">
            <v>【ウィザード級】ティアマト襲来</v>
          </cell>
          <cell r="I762" t="str">
            <v>地獄級</v>
          </cell>
          <cell r="J762">
            <v>1064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944</v>
          </cell>
          <cell r="AD762">
            <v>6</v>
          </cell>
          <cell r="AE762" t="str">
            <v>everyone</v>
          </cell>
        </row>
        <row r="763">
          <cell r="A763" t="str">
            <v>40026_1</v>
          </cell>
          <cell r="B763">
            <v>3</v>
          </cell>
          <cell r="C763">
            <v>40026</v>
          </cell>
          <cell r="D763" t="str">
            <v>ミケランジェロ襲来！</v>
          </cell>
          <cell r="E763" t="str">
            <v>降臨26</v>
          </cell>
          <cell r="F763">
            <v>1</v>
          </cell>
          <cell r="G763" t="str">
            <v>ja</v>
          </cell>
          <cell r="H763" t="str">
            <v>【超絶級】ミケランジェロ襲来</v>
          </cell>
          <cell r="I763" t="str">
            <v>超絶級</v>
          </cell>
          <cell r="J763">
            <v>1089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26</v>
          </cell>
          <cell r="AD763">
            <v>6</v>
          </cell>
          <cell r="AE763" t="str">
            <v>everyone</v>
          </cell>
        </row>
        <row r="764">
          <cell r="A764" t="str">
            <v>40026_2</v>
          </cell>
          <cell r="B764">
            <v>3</v>
          </cell>
          <cell r="C764">
            <v>40026</v>
          </cell>
          <cell r="D764" t="str">
            <v>ミケランジェロ襲来！</v>
          </cell>
          <cell r="E764" t="str">
            <v>降臨26</v>
          </cell>
          <cell r="F764">
            <v>2</v>
          </cell>
          <cell r="G764" t="str">
            <v>ja</v>
          </cell>
          <cell r="H764" t="str">
            <v>【ウィザード級】ミケランジェロ襲来</v>
          </cell>
          <cell r="I764" t="str">
            <v>地獄級</v>
          </cell>
          <cell r="J764">
            <v>1089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26</v>
          </cell>
          <cell r="AD764">
            <v>6</v>
          </cell>
          <cell r="AE764" t="str">
            <v>everyone</v>
          </cell>
        </row>
        <row r="765">
          <cell r="A765" t="str">
            <v>40027_1</v>
          </cell>
          <cell r="B765">
            <v>3</v>
          </cell>
          <cell r="C765">
            <v>40027</v>
          </cell>
          <cell r="D765" t="str">
            <v>コルキス襲来！</v>
          </cell>
          <cell r="E765" t="str">
            <v>降臨27</v>
          </cell>
          <cell r="F765">
            <v>1</v>
          </cell>
          <cell r="G765" t="str">
            <v>ja</v>
          </cell>
          <cell r="H765" t="str">
            <v>【超絶級】コルキス襲来</v>
          </cell>
          <cell r="I765" t="str">
            <v>超絶級</v>
          </cell>
          <cell r="J765">
            <v>892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0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11</v>
          </cell>
          <cell r="AD765">
            <v>6</v>
          </cell>
          <cell r="AE765" t="str">
            <v>everyone</v>
          </cell>
        </row>
        <row r="766">
          <cell r="A766" t="str">
            <v>40027_2</v>
          </cell>
          <cell r="B766">
            <v>3</v>
          </cell>
          <cell r="C766">
            <v>40027</v>
          </cell>
          <cell r="D766" t="str">
            <v>コルキス襲来！</v>
          </cell>
          <cell r="E766" t="str">
            <v>降臨27</v>
          </cell>
          <cell r="F766">
            <v>2</v>
          </cell>
          <cell r="G766" t="str">
            <v>ja</v>
          </cell>
          <cell r="H766" t="str">
            <v>【ウィザード級】コルキス襲来</v>
          </cell>
          <cell r="I766" t="str">
            <v>地獄級</v>
          </cell>
          <cell r="J766">
            <v>892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0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11</v>
          </cell>
          <cell r="AD766">
            <v>6</v>
          </cell>
          <cell r="AE766" t="str">
            <v>everyone</v>
          </cell>
        </row>
        <row r="767">
          <cell r="A767" t="str">
            <v>40028_1</v>
          </cell>
          <cell r="B767">
            <v>3</v>
          </cell>
          <cell r="C767">
            <v>40028</v>
          </cell>
          <cell r="D767" t="str">
            <v>ルピカ襲来！</v>
          </cell>
          <cell r="E767" t="str">
            <v>降臨28</v>
          </cell>
          <cell r="F767">
            <v>1</v>
          </cell>
          <cell r="G767" t="str">
            <v>ja</v>
          </cell>
          <cell r="H767" t="str">
            <v>【超絶級】ルピカ襲来</v>
          </cell>
          <cell r="I767" t="str">
            <v>超絶級</v>
          </cell>
          <cell r="J767">
            <v>1098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947</v>
          </cell>
          <cell r="AD767">
            <v>6</v>
          </cell>
          <cell r="AE767" t="str">
            <v>everyone</v>
          </cell>
        </row>
        <row r="768">
          <cell r="A768" t="str">
            <v>40028_2</v>
          </cell>
          <cell r="B768">
            <v>3</v>
          </cell>
          <cell r="C768">
            <v>40028</v>
          </cell>
          <cell r="D768" t="str">
            <v>ルピカ襲来！</v>
          </cell>
          <cell r="E768" t="str">
            <v>降臨28</v>
          </cell>
          <cell r="F768">
            <v>2</v>
          </cell>
          <cell r="G768" t="str">
            <v>ja</v>
          </cell>
          <cell r="H768" t="str">
            <v>【ウィザード級】ルピカ襲来</v>
          </cell>
          <cell r="I768" t="str">
            <v>地獄級</v>
          </cell>
          <cell r="J768">
            <v>1099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947</v>
          </cell>
          <cell r="AD768">
            <v>6</v>
          </cell>
          <cell r="AE768" t="str">
            <v>everyone</v>
          </cell>
        </row>
        <row r="769">
          <cell r="A769" t="str">
            <v>40029_1</v>
          </cell>
          <cell r="B769">
            <v>3</v>
          </cell>
          <cell r="C769">
            <v>40029</v>
          </cell>
          <cell r="D769" t="str">
            <v>カスケード襲来！</v>
          </cell>
          <cell r="E769" t="str">
            <v>降臨29</v>
          </cell>
          <cell r="F769">
            <v>1</v>
          </cell>
          <cell r="G769" t="str">
            <v>ja</v>
          </cell>
          <cell r="H769" t="str">
            <v>【超絶級】カスケード襲来</v>
          </cell>
          <cell r="I769" t="str">
            <v>超絶級</v>
          </cell>
          <cell r="J769">
            <v>781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12</v>
          </cell>
          <cell r="AD769">
            <v>6</v>
          </cell>
          <cell r="AE769" t="str">
            <v>everyone</v>
          </cell>
        </row>
        <row r="770">
          <cell r="A770" t="str">
            <v>40029_2</v>
          </cell>
          <cell r="B770">
            <v>3</v>
          </cell>
          <cell r="C770">
            <v>40029</v>
          </cell>
          <cell r="D770" t="str">
            <v>カスケード襲来！</v>
          </cell>
          <cell r="E770" t="str">
            <v>降臨29</v>
          </cell>
          <cell r="F770">
            <v>2</v>
          </cell>
          <cell r="G770" t="str">
            <v>ja</v>
          </cell>
          <cell r="H770" t="str">
            <v>【ウィザード級】カスケード襲来</v>
          </cell>
          <cell r="I770" t="str">
            <v>地獄級</v>
          </cell>
          <cell r="J770">
            <v>781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12</v>
          </cell>
          <cell r="AD770">
            <v>6</v>
          </cell>
          <cell r="AE770" t="str">
            <v>everyone</v>
          </cell>
        </row>
        <row r="771">
          <cell r="A771" t="str">
            <v>40030_1</v>
          </cell>
          <cell r="B771">
            <v>3</v>
          </cell>
          <cell r="C771">
            <v>40030</v>
          </cell>
          <cell r="D771" t="str">
            <v>エリス襲来！</v>
          </cell>
          <cell r="E771" t="str">
            <v>降臨30</v>
          </cell>
          <cell r="F771">
            <v>1</v>
          </cell>
          <cell r="G771" t="str">
            <v>ja</v>
          </cell>
          <cell r="H771" t="str">
            <v>【超絶級】エリス襲来</v>
          </cell>
          <cell r="I771" t="str">
            <v>超絶級</v>
          </cell>
          <cell r="J771">
            <v>888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17</v>
          </cell>
          <cell r="AD771">
            <v>6</v>
          </cell>
          <cell r="AE771" t="str">
            <v>everyone</v>
          </cell>
        </row>
        <row r="772">
          <cell r="A772" t="str">
            <v>40030_2</v>
          </cell>
          <cell r="B772">
            <v>3</v>
          </cell>
          <cell r="C772">
            <v>40030</v>
          </cell>
          <cell r="D772" t="str">
            <v>エリス襲来！</v>
          </cell>
          <cell r="E772" t="str">
            <v>降臨30</v>
          </cell>
          <cell r="F772">
            <v>2</v>
          </cell>
          <cell r="G772" t="str">
            <v>ja</v>
          </cell>
          <cell r="H772" t="str">
            <v>【ウィザード級】エリス襲来</v>
          </cell>
          <cell r="I772" t="str">
            <v>地獄級</v>
          </cell>
          <cell r="J772">
            <v>888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17</v>
          </cell>
          <cell r="AD772">
            <v>6</v>
          </cell>
          <cell r="AE772" t="str">
            <v>everyone</v>
          </cell>
        </row>
        <row r="773">
          <cell r="A773" t="str">
            <v>40031_1</v>
          </cell>
          <cell r="B773">
            <v>3</v>
          </cell>
          <cell r="C773">
            <v>40031</v>
          </cell>
          <cell r="D773" t="str">
            <v>董卓襲来！</v>
          </cell>
          <cell r="E773" t="str">
            <v>降臨31</v>
          </cell>
          <cell r="F773">
            <v>1</v>
          </cell>
          <cell r="G773" t="str">
            <v>ja</v>
          </cell>
          <cell r="H773" t="str">
            <v>【超絶級】董卓襲来</v>
          </cell>
          <cell r="I773" t="str">
            <v>超絶級</v>
          </cell>
          <cell r="J773">
            <v>1131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1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949</v>
          </cell>
          <cell r="AD773">
            <v>6</v>
          </cell>
          <cell r="AE773" t="str">
            <v>everyone</v>
          </cell>
        </row>
        <row r="774">
          <cell r="A774" t="str">
            <v>40031_2</v>
          </cell>
          <cell r="B774">
            <v>3</v>
          </cell>
          <cell r="C774">
            <v>40031</v>
          </cell>
          <cell r="D774" t="str">
            <v>董卓襲来！</v>
          </cell>
          <cell r="E774" t="str">
            <v>降臨31</v>
          </cell>
          <cell r="F774">
            <v>2</v>
          </cell>
          <cell r="G774" t="str">
            <v>ja</v>
          </cell>
          <cell r="H774" t="str">
            <v>【ウィザード級】董卓襲来</v>
          </cell>
          <cell r="I774" t="str">
            <v>地獄級</v>
          </cell>
          <cell r="J774">
            <v>1132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1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949</v>
          </cell>
          <cell r="AD774">
            <v>6</v>
          </cell>
          <cell r="AE774" t="str">
            <v>everyone</v>
          </cell>
        </row>
        <row r="775">
          <cell r="A775" t="str">
            <v>40032_1</v>
          </cell>
          <cell r="B775">
            <v>3</v>
          </cell>
          <cell r="C775">
            <v>40032</v>
          </cell>
          <cell r="D775" t="str">
            <v>貂蝉襲来！</v>
          </cell>
          <cell r="E775" t="str">
            <v>降臨32</v>
          </cell>
          <cell r="F775">
            <v>1</v>
          </cell>
          <cell r="G775" t="str">
            <v>ja</v>
          </cell>
          <cell r="H775" t="str">
            <v>【超絶級】貂蝉襲来</v>
          </cell>
          <cell r="I775" t="str">
            <v>超絶級</v>
          </cell>
          <cell r="J775">
            <v>1133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949</v>
          </cell>
          <cell r="AD775">
            <v>6</v>
          </cell>
          <cell r="AE775" t="str">
            <v>everyone</v>
          </cell>
        </row>
        <row r="776">
          <cell r="A776" t="str">
            <v>40032_2</v>
          </cell>
          <cell r="B776">
            <v>3</v>
          </cell>
          <cell r="C776">
            <v>40032</v>
          </cell>
          <cell r="D776" t="str">
            <v>貂蝉襲来！</v>
          </cell>
          <cell r="E776" t="str">
            <v>降臨32</v>
          </cell>
          <cell r="F776">
            <v>2</v>
          </cell>
          <cell r="G776" t="str">
            <v>ja</v>
          </cell>
          <cell r="H776" t="str">
            <v>【ウィザード級】貂蝉襲来</v>
          </cell>
          <cell r="I776" t="str">
            <v>地獄級</v>
          </cell>
          <cell r="J776">
            <v>1134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949</v>
          </cell>
          <cell r="AD776">
            <v>6</v>
          </cell>
          <cell r="AE776" t="str">
            <v>everyone</v>
          </cell>
        </row>
        <row r="777">
          <cell r="A777" t="str">
            <v>40033_1</v>
          </cell>
          <cell r="B777">
            <v>3</v>
          </cell>
          <cell r="C777">
            <v>40033</v>
          </cell>
          <cell r="D777" t="str">
            <v>アテナ襲来！</v>
          </cell>
          <cell r="E777" t="str">
            <v>降臨33</v>
          </cell>
          <cell r="F777">
            <v>1</v>
          </cell>
          <cell r="G777" t="str">
            <v>ja</v>
          </cell>
          <cell r="H777" t="str">
            <v>【超絶級】アテナ襲来</v>
          </cell>
          <cell r="I777" t="str">
            <v>超絶級</v>
          </cell>
          <cell r="J777">
            <v>893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13</v>
          </cell>
          <cell r="AD777">
            <v>6</v>
          </cell>
          <cell r="AE777" t="str">
            <v>everyone</v>
          </cell>
        </row>
        <row r="778">
          <cell r="A778" t="str">
            <v>40033_2</v>
          </cell>
          <cell r="B778">
            <v>3</v>
          </cell>
          <cell r="C778">
            <v>40033</v>
          </cell>
          <cell r="D778" t="str">
            <v>アテナ襲来！</v>
          </cell>
          <cell r="E778" t="str">
            <v>降臨33</v>
          </cell>
          <cell r="F778">
            <v>2</v>
          </cell>
          <cell r="G778" t="str">
            <v>ja</v>
          </cell>
          <cell r="H778" t="str">
            <v>【ウィザード級】アテナ襲来</v>
          </cell>
          <cell r="I778" t="str">
            <v>地獄級</v>
          </cell>
          <cell r="J778">
            <v>894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13</v>
          </cell>
          <cell r="AD778">
            <v>6</v>
          </cell>
          <cell r="AE778" t="str">
            <v>everyone</v>
          </cell>
        </row>
        <row r="779">
          <cell r="A779" t="str">
            <v>40034_1</v>
          </cell>
          <cell r="B779">
            <v>3</v>
          </cell>
          <cell r="C779">
            <v>40034</v>
          </cell>
          <cell r="D779" t="str">
            <v>カーリー襲来！</v>
          </cell>
          <cell r="E779" t="str">
            <v>降臨34</v>
          </cell>
          <cell r="F779">
            <v>1</v>
          </cell>
          <cell r="G779" t="str">
            <v>ja</v>
          </cell>
          <cell r="H779" t="str">
            <v>【超絶級】カーリー襲来</v>
          </cell>
          <cell r="I779" t="str">
            <v>超絶級</v>
          </cell>
          <cell r="J779">
            <v>1148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951</v>
          </cell>
          <cell r="AD779">
            <v>6</v>
          </cell>
          <cell r="AE779" t="str">
            <v>everyone</v>
          </cell>
        </row>
        <row r="780">
          <cell r="A780" t="str">
            <v>40034_2</v>
          </cell>
          <cell r="B780">
            <v>3</v>
          </cell>
          <cell r="C780">
            <v>40034</v>
          </cell>
          <cell r="D780" t="str">
            <v>カーリー襲来！</v>
          </cell>
          <cell r="E780" t="str">
            <v>降臨34</v>
          </cell>
          <cell r="F780">
            <v>2</v>
          </cell>
          <cell r="G780" t="str">
            <v>ja</v>
          </cell>
          <cell r="H780" t="str">
            <v>【ウィザード級】カーリー襲来</v>
          </cell>
          <cell r="I780" t="str">
            <v>地獄級</v>
          </cell>
          <cell r="J780">
            <v>1148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951</v>
          </cell>
          <cell r="AD780">
            <v>6</v>
          </cell>
          <cell r="AE780" t="str">
            <v>everyone</v>
          </cell>
        </row>
        <row r="781">
          <cell r="A781" t="str">
            <v>40035_1</v>
          </cell>
          <cell r="B781">
            <v>3</v>
          </cell>
          <cell r="C781">
            <v>40035</v>
          </cell>
          <cell r="D781" t="str">
            <v>ブラフマー襲来！</v>
          </cell>
          <cell r="E781" t="str">
            <v>降臨35</v>
          </cell>
          <cell r="F781">
            <v>1</v>
          </cell>
          <cell r="G781" t="str">
            <v>ja</v>
          </cell>
          <cell r="H781" t="str">
            <v>【超絶級】ブラフマー襲来</v>
          </cell>
          <cell r="I781" t="str">
            <v>超絶級</v>
          </cell>
          <cell r="J781">
            <v>1150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951</v>
          </cell>
          <cell r="AD781">
            <v>6</v>
          </cell>
          <cell r="AE781" t="str">
            <v>everyone</v>
          </cell>
        </row>
        <row r="782">
          <cell r="A782" t="str">
            <v>40035_2</v>
          </cell>
          <cell r="B782">
            <v>3</v>
          </cell>
          <cell r="C782">
            <v>40035</v>
          </cell>
          <cell r="D782" t="str">
            <v>ブラフマー襲来！</v>
          </cell>
          <cell r="E782" t="str">
            <v>降臨35</v>
          </cell>
          <cell r="F782">
            <v>2</v>
          </cell>
          <cell r="G782" t="str">
            <v>ja</v>
          </cell>
          <cell r="H782" t="str">
            <v>【ウィザード級】ブラフマー襲来</v>
          </cell>
          <cell r="I782" t="str">
            <v>地獄級</v>
          </cell>
          <cell r="J782">
            <v>1150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951</v>
          </cell>
          <cell r="AD782">
            <v>6</v>
          </cell>
          <cell r="AE782" t="str">
            <v>everyone</v>
          </cell>
        </row>
        <row r="783">
          <cell r="A783" t="str">
            <v>40036_1</v>
          </cell>
          <cell r="B783">
            <v>3</v>
          </cell>
          <cell r="C783">
            <v>40036</v>
          </cell>
          <cell r="D783" t="str">
            <v>ウラヌス襲来！</v>
          </cell>
          <cell r="E783" t="str">
            <v>降臨36</v>
          </cell>
          <cell r="F783">
            <v>1</v>
          </cell>
          <cell r="G783" t="str">
            <v>ja</v>
          </cell>
          <cell r="H783" t="str">
            <v>【超絶級】ウラヌス襲来</v>
          </cell>
          <cell r="I783" t="str">
            <v>超絶級</v>
          </cell>
          <cell r="J783">
            <v>1203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954</v>
          </cell>
          <cell r="AD783">
            <v>6</v>
          </cell>
          <cell r="AE783" t="str">
            <v>everyone</v>
          </cell>
        </row>
        <row r="784">
          <cell r="A784" t="str">
            <v>40036_2</v>
          </cell>
          <cell r="B784">
            <v>3</v>
          </cell>
          <cell r="C784">
            <v>40036</v>
          </cell>
          <cell r="D784" t="str">
            <v>ウラヌス襲来！</v>
          </cell>
          <cell r="E784" t="str">
            <v>降臨36</v>
          </cell>
          <cell r="F784">
            <v>2</v>
          </cell>
          <cell r="G784" t="str">
            <v>ja</v>
          </cell>
          <cell r="H784" t="str">
            <v>【ウィザード級】ウラヌス襲来</v>
          </cell>
          <cell r="I784" t="str">
            <v>地獄級</v>
          </cell>
          <cell r="J784">
            <v>1203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954</v>
          </cell>
          <cell r="AD784">
            <v>6</v>
          </cell>
          <cell r="AE784" t="str">
            <v>everyone</v>
          </cell>
        </row>
        <row r="785">
          <cell r="A785" t="str">
            <v>40037_1</v>
          </cell>
          <cell r="B785">
            <v>3</v>
          </cell>
          <cell r="C785">
            <v>40037</v>
          </cell>
          <cell r="D785" t="str">
            <v>デルピュネー襲来！</v>
          </cell>
          <cell r="E785" t="str">
            <v>降臨37</v>
          </cell>
          <cell r="F785">
            <v>1</v>
          </cell>
          <cell r="G785" t="str">
            <v>ja</v>
          </cell>
          <cell r="H785" t="str">
            <v>【超絶級】デルピュネー襲来</v>
          </cell>
          <cell r="I785" t="str">
            <v>超絶級</v>
          </cell>
          <cell r="J785">
            <v>1205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954</v>
          </cell>
          <cell r="AD785">
            <v>6</v>
          </cell>
          <cell r="AE785" t="str">
            <v>everyone</v>
          </cell>
        </row>
        <row r="786">
          <cell r="A786" t="str">
            <v>40037_2</v>
          </cell>
          <cell r="B786">
            <v>3</v>
          </cell>
          <cell r="C786">
            <v>40037</v>
          </cell>
          <cell r="D786" t="str">
            <v>デルピュネー襲来！</v>
          </cell>
          <cell r="E786" t="str">
            <v>降臨37</v>
          </cell>
          <cell r="F786">
            <v>2</v>
          </cell>
          <cell r="G786" t="str">
            <v>ja</v>
          </cell>
          <cell r="H786" t="str">
            <v>【ウィザード級】デルピュネー襲来</v>
          </cell>
          <cell r="I786" t="str">
            <v>地獄級</v>
          </cell>
          <cell r="J786">
            <v>1205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954</v>
          </cell>
          <cell r="AD786">
            <v>6</v>
          </cell>
          <cell r="AE786" t="str">
            <v>everyone</v>
          </cell>
        </row>
        <row r="787">
          <cell r="A787" t="str">
            <v>40038_1</v>
          </cell>
          <cell r="B787">
            <v>3</v>
          </cell>
          <cell r="C787">
            <v>40038</v>
          </cell>
          <cell r="D787" t="str">
            <v>太宰治襲来！</v>
          </cell>
          <cell r="E787" t="str">
            <v>降臨38</v>
          </cell>
          <cell r="F787">
            <v>1</v>
          </cell>
          <cell r="G787" t="str">
            <v>ja</v>
          </cell>
          <cell r="H787" t="str">
            <v>【超絶級】太宰治襲来</v>
          </cell>
          <cell r="I787" t="str">
            <v>超絶級</v>
          </cell>
          <cell r="J787">
            <v>1218</v>
          </cell>
          <cell r="K787">
            <v>35</v>
          </cell>
          <cell r="L787">
            <v>4200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0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956</v>
          </cell>
          <cell r="AD787">
            <v>6</v>
          </cell>
          <cell r="AE787" t="str">
            <v>everyone</v>
          </cell>
        </row>
        <row r="788">
          <cell r="A788" t="str">
            <v>40038_2</v>
          </cell>
          <cell r="B788">
            <v>3</v>
          </cell>
          <cell r="C788">
            <v>40038</v>
          </cell>
          <cell r="D788" t="str">
            <v>太宰治襲来！</v>
          </cell>
          <cell r="E788" t="str">
            <v>降臨38</v>
          </cell>
          <cell r="F788">
            <v>2</v>
          </cell>
          <cell r="G788" t="str">
            <v>ja</v>
          </cell>
          <cell r="H788" t="str">
            <v>【ウィザード級】太宰治襲来</v>
          </cell>
          <cell r="I788" t="str">
            <v>地獄級</v>
          </cell>
          <cell r="J788">
            <v>1219</v>
          </cell>
          <cell r="K788">
            <v>40</v>
          </cell>
          <cell r="L788">
            <v>4500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0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956</v>
          </cell>
          <cell r="AD788">
            <v>6</v>
          </cell>
          <cell r="AE788" t="str">
            <v>everyone</v>
          </cell>
        </row>
        <row r="789">
          <cell r="A789" t="str">
            <v>40039_1</v>
          </cell>
          <cell r="B789">
            <v>3</v>
          </cell>
          <cell r="C789">
            <v>40039</v>
          </cell>
          <cell r="D789" t="str">
            <v>シェイクスピア襲来！</v>
          </cell>
          <cell r="E789" t="str">
            <v>降臨39</v>
          </cell>
          <cell r="F789">
            <v>1</v>
          </cell>
          <cell r="G789" t="str">
            <v>ja</v>
          </cell>
          <cell r="H789" t="str">
            <v>【超絶級】シェイクスピア襲来</v>
          </cell>
          <cell r="I789" t="str">
            <v>超絶級</v>
          </cell>
          <cell r="J789">
            <v>1220</v>
          </cell>
          <cell r="K789">
            <v>35</v>
          </cell>
          <cell r="L789">
            <v>4200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956</v>
          </cell>
          <cell r="AD789">
            <v>6</v>
          </cell>
          <cell r="AE789" t="str">
            <v>everyone</v>
          </cell>
        </row>
        <row r="790">
          <cell r="A790" t="str">
            <v>40039_2</v>
          </cell>
          <cell r="B790">
            <v>3</v>
          </cell>
          <cell r="C790">
            <v>40039</v>
          </cell>
          <cell r="D790" t="str">
            <v>シェイクスピア襲来！</v>
          </cell>
          <cell r="E790" t="str">
            <v>降臨39</v>
          </cell>
          <cell r="F790">
            <v>2</v>
          </cell>
          <cell r="G790" t="str">
            <v>ja</v>
          </cell>
          <cell r="H790" t="str">
            <v>【ウィザード級】シェイクスピア襲来</v>
          </cell>
          <cell r="I790" t="str">
            <v>地獄級</v>
          </cell>
          <cell r="J790">
            <v>1221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956</v>
          </cell>
          <cell r="AD790">
            <v>6</v>
          </cell>
          <cell r="AE790" t="str">
            <v>everyone</v>
          </cell>
        </row>
        <row r="791">
          <cell r="A791" t="str">
            <v>40040_1</v>
          </cell>
          <cell r="B791">
            <v>3</v>
          </cell>
          <cell r="C791">
            <v>40040</v>
          </cell>
          <cell r="D791" t="str">
            <v>竹中半兵衛襲来！</v>
          </cell>
          <cell r="E791" t="str">
            <v>降臨40</v>
          </cell>
          <cell r="F791">
            <v>1</v>
          </cell>
          <cell r="G791" t="str">
            <v>ja</v>
          </cell>
          <cell r="H791" t="str">
            <v>【超絶級】竹中半兵衛襲来</v>
          </cell>
          <cell r="I791" t="str">
            <v>超絶級</v>
          </cell>
          <cell r="J791">
            <v>1241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958</v>
          </cell>
          <cell r="AD791">
            <v>6</v>
          </cell>
          <cell r="AE791" t="str">
            <v>everyone</v>
          </cell>
        </row>
        <row r="792">
          <cell r="A792" t="str">
            <v>40040_2</v>
          </cell>
          <cell r="B792">
            <v>3</v>
          </cell>
          <cell r="C792">
            <v>40040</v>
          </cell>
          <cell r="D792" t="str">
            <v>竹中半兵衛襲来！</v>
          </cell>
          <cell r="E792" t="str">
            <v>降臨40</v>
          </cell>
          <cell r="F792">
            <v>2</v>
          </cell>
          <cell r="G792" t="str">
            <v>ja</v>
          </cell>
          <cell r="H792" t="str">
            <v>【ウィザード級】竹中半兵衛襲来</v>
          </cell>
          <cell r="I792" t="str">
            <v>地獄級</v>
          </cell>
          <cell r="J792">
            <v>1241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958</v>
          </cell>
          <cell r="AD792">
            <v>6</v>
          </cell>
          <cell r="AE792" t="str">
            <v>everyone</v>
          </cell>
        </row>
        <row r="793">
          <cell r="A793" t="str">
            <v>40041_1</v>
          </cell>
          <cell r="B793">
            <v>3</v>
          </cell>
          <cell r="C793">
            <v>40041</v>
          </cell>
          <cell r="D793" t="str">
            <v>ポーラとダニー襲来！</v>
          </cell>
          <cell r="E793" t="str">
            <v>降臨41</v>
          </cell>
          <cell r="F793">
            <v>1</v>
          </cell>
          <cell r="G793" t="str">
            <v>ja</v>
          </cell>
          <cell r="H793" t="str">
            <v>【超絶級】ポーラとダニー襲来！</v>
          </cell>
          <cell r="I793" t="str">
            <v>地獄級</v>
          </cell>
          <cell r="J793">
            <v>1283</v>
          </cell>
          <cell r="K793">
            <v>35</v>
          </cell>
          <cell r="L793">
            <v>4200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962</v>
          </cell>
          <cell r="AD793">
            <v>6</v>
          </cell>
          <cell r="AE793" t="str">
            <v>everyone</v>
          </cell>
        </row>
        <row r="794">
          <cell r="A794" t="str">
            <v>40041_2</v>
          </cell>
          <cell r="B794">
            <v>3</v>
          </cell>
          <cell r="C794">
            <v>40041</v>
          </cell>
          <cell r="D794" t="str">
            <v>ポーラとダニー襲来！</v>
          </cell>
          <cell r="E794" t="str">
            <v>降臨41</v>
          </cell>
          <cell r="F794">
            <v>2</v>
          </cell>
          <cell r="G794" t="str">
            <v>ja</v>
          </cell>
          <cell r="H794" t="str">
            <v>【ｳｨｻﾞ】ポーラとダニー襲来！</v>
          </cell>
          <cell r="I794" t="str">
            <v>地獄級</v>
          </cell>
          <cell r="J794">
            <v>1283</v>
          </cell>
          <cell r="K794">
            <v>40</v>
          </cell>
          <cell r="L794">
            <v>4500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962</v>
          </cell>
          <cell r="AD794">
            <v>6</v>
          </cell>
          <cell r="AE794" t="str">
            <v>everyone</v>
          </cell>
        </row>
        <row r="795">
          <cell r="A795" t="str">
            <v>40042_1</v>
          </cell>
          <cell r="B795">
            <v>3</v>
          </cell>
          <cell r="C795">
            <v>40042</v>
          </cell>
          <cell r="D795" t="str">
            <v>ヘル襲来！</v>
          </cell>
          <cell r="E795" t="str">
            <v>降臨42</v>
          </cell>
          <cell r="F795">
            <v>1</v>
          </cell>
          <cell r="G795" t="str">
            <v>ja</v>
          </cell>
          <cell r="H795" t="str">
            <v>【超絶級】ヘル襲来</v>
          </cell>
          <cell r="I795" t="str">
            <v>超絶級</v>
          </cell>
          <cell r="J795">
            <v>1257</v>
          </cell>
          <cell r="K795">
            <v>35</v>
          </cell>
          <cell r="L795">
            <v>4200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960</v>
          </cell>
          <cell r="AD795">
            <v>6</v>
          </cell>
          <cell r="AE795" t="str">
            <v>everyone</v>
          </cell>
        </row>
        <row r="796">
          <cell r="A796" t="str">
            <v>40042_2</v>
          </cell>
          <cell r="B796">
            <v>3</v>
          </cell>
          <cell r="C796">
            <v>40042</v>
          </cell>
          <cell r="D796" t="str">
            <v>ヘル襲来！</v>
          </cell>
          <cell r="E796" t="str">
            <v>降臨42</v>
          </cell>
          <cell r="F796">
            <v>2</v>
          </cell>
          <cell r="G796" t="str">
            <v>ja</v>
          </cell>
          <cell r="H796" t="str">
            <v>【ウィザード級】ヘル襲来</v>
          </cell>
          <cell r="I796" t="str">
            <v>地獄級</v>
          </cell>
          <cell r="J796">
            <v>1257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960</v>
          </cell>
          <cell r="AD796">
            <v>6</v>
          </cell>
          <cell r="AE796" t="str">
            <v>everyone</v>
          </cell>
        </row>
        <row r="797">
          <cell r="A797" t="str">
            <v>40043_1</v>
          </cell>
          <cell r="B797">
            <v>3</v>
          </cell>
          <cell r="C797">
            <v>40043</v>
          </cell>
          <cell r="D797" t="str">
            <v>ワカヒルメ襲来！</v>
          </cell>
          <cell r="E797" t="str">
            <v>降臨43</v>
          </cell>
          <cell r="F797">
            <v>1</v>
          </cell>
          <cell r="G797" t="str">
            <v>ja</v>
          </cell>
          <cell r="H797" t="str">
            <v>【超絶級】ワカヒルメ襲来</v>
          </cell>
          <cell r="I797" t="str">
            <v>超絶級</v>
          </cell>
          <cell r="J797">
            <v>1327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W797" t="str">
            <v/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966</v>
          </cell>
          <cell r="AD797">
            <v>6</v>
          </cell>
          <cell r="AE797" t="str">
            <v>everyone</v>
          </cell>
        </row>
        <row r="798">
          <cell r="A798" t="str">
            <v>40043_2</v>
          </cell>
          <cell r="B798">
            <v>3</v>
          </cell>
          <cell r="C798">
            <v>40043</v>
          </cell>
          <cell r="D798" t="str">
            <v>ワカヒルメ襲来！</v>
          </cell>
          <cell r="E798" t="str">
            <v>降臨43</v>
          </cell>
          <cell r="F798">
            <v>2</v>
          </cell>
          <cell r="G798" t="str">
            <v>ja</v>
          </cell>
          <cell r="H798" t="str">
            <v>【ウィザード級】ワカヒルメ襲来</v>
          </cell>
          <cell r="I798" t="str">
            <v>地獄級</v>
          </cell>
          <cell r="J798">
            <v>1327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W798" t="str">
            <v/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966</v>
          </cell>
          <cell r="AD798">
            <v>6</v>
          </cell>
          <cell r="AE798" t="str">
            <v>everyone</v>
          </cell>
        </row>
        <row r="799">
          <cell r="A799" t="str">
            <v>40044_1</v>
          </cell>
          <cell r="B799">
            <v>3</v>
          </cell>
          <cell r="C799">
            <v>40044</v>
          </cell>
          <cell r="D799" t="str">
            <v>ジキル&amp;ハイド襲来！</v>
          </cell>
          <cell r="E799" t="str">
            <v>降臨44</v>
          </cell>
          <cell r="F799">
            <v>1</v>
          </cell>
          <cell r="G799" t="str">
            <v>ja</v>
          </cell>
          <cell r="H799" t="str">
            <v>【超絶級】ジキル&amp;ハイド襲来</v>
          </cell>
          <cell r="I799" t="str">
            <v>超絶級</v>
          </cell>
          <cell r="J799">
            <v>1376</v>
          </cell>
          <cell r="K799">
            <v>35</v>
          </cell>
          <cell r="L799">
            <v>4200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W799" t="str">
            <v/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973</v>
          </cell>
          <cell r="AD799">
            <v>6</v>
          </cell>
          <cell r="AE799" t="str">
            <v>everyone</v>
          </cell>
        </row>
        <row r="800">
          <cell r="A800" t="str">
            <v>40044_2</v>
          </cell>
          <cell r="B800">
            <v>3</v>
          </cell>
          <cell r="C800">
            <v>40044</v>
          </cell>
          <cell r="D800" t="str">
            <v>ジキル&amp;ハイド襲来！</v>
          </cell>
          <cell r="E800" t="str">
            <v>降臨44</v>
          </cell>
          <cell r="F800">
            <v>2</v>
          </cell>
          <cell r="G800" t="str">
            <v>ja</v>
          </cell>
          <cell r="H800" t="str">
            <v>【ウィザード級】ジキル&amp;ハイド襲来</v>
          </cell>
          <cell r="I800" t="str">
            <v>地獄級</v>
          </cell>
          <cell r="J800">
            <v>1376</v>
          </cell>
          <cell r="K800">
            <v>40</v>
          </cell>
          <cell r="L800">
            <v>4500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W800" t="str">
            <v/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973</v>
          </cell>
          <cell r="AD800">
            <v>6</v>
          </cell>
          <cell r="AE800" t="str">
            <v>everyone</v>
          </cell>
        </row>
        <row r="801">
          <cell r="A801" t="str">
            <v>40045_1</v>
          </cell>
          <cell r="B801">
            <v>3</v>
          </cell>
          <cell r="C801">
            <v>40045</v>
          </cell>
          <cell r="D801" t="str">
            <v>服部半蔵襲来！</v>
          </cell>
          <cell r="E801" t="str">
            <v>降臨45</v>
          </cell>
          <cell r="F801">
            <v>1</v>
          </cell>
          <cell r="G801" t="str">
            <v>ja</v>
          </cell>
          <cell r="H801" t="str">
            <v>【超絶級】服部半蔵襲来</v>
          </cell>
          <cell r="I801" t="str">
            <v>超絶級</v>
          </cell>
          <cell r="J801">
            <v>1239</v>
          </cell>
          <cell r="K801">
            <v>35</v>
          </cell>
          <cell r="L801">
            <v>4200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W801" t="str">
            <v/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958</v>
          </cell>
          <cell r="AD801">
            <v>6</v>
          </cell>
          <cell r="AE801" t="str">
            <v>everyone</v>
          </cell>
        </row>
        <row r="802">
          <cell r="A802" t="str">
            <v>40045_2</v>
          </cell>
          <cell r="B802">
            <v>3</v>
          </cell>
          <cell r="C802">
            <v>40045</v>
          </cell>
          <cell r="D802" t="str">
            <v>服部半蔵襲来！</v>
          </cell>
          <cell r="E802" t="str">
            <v>降臨45</v>
          </cell>
          <cell r="F802">
            <v>2</v>
          </cell>
          <cell r="G802" t="str">
            <v>ja</v>
          </cell>
          <cell r="H802" t="str">
            <v>【ウィザード級】服部半蔵襲来</v>
          </cell>
          <cell r="I802" t="str">
            <v>地獄級</v>
          </cell>
          <cell r="J802">
            <v>1239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W802" t="str">
            <v/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958</v>
          </cell>
          <cell r="AD802">
            <v>6</v>
          </cell>
          <cell r="AE802" t="str">
            <v>everyone</v>
          </cell>
        </row>
        <row r="803">
          <cell r="A803" t="str">
            <v>40046_1</v>
          </cell>
          <cell r="B803">
            <v>3</v>
          </cell>
          <cell r="C803">
            <v>40046</v>
          </cell>
          <cell r="D803" t="str">
            <v>ゼノビア襲来！</v>
          </cell>
          <cell r="E803" t="str">
            <v>降臨46</v>
          </cell>
          <cell r="F803">
            <v>1</v>
          </cell>
          <cell r="G803" t="str">
            <v>ja</v>
          </cell>
          <cell r="H803" t="str">
            <v>【超絶級】ゼノビア襲来</v>
          </cell>
          <cell r="I803" t="str">
            <v>超絶級</v>
          </cell>
          <cell r="J803">
            <v>1438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W803" t="str">
            <v/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988</v>
          </cell>
          <cell r="AD803">
            <v>6</v>
          </cell>
          <cell r="AE803" t="str">
            <v>everyone</v>
          </cell>
        </row>
        <row r="804">
          <cell r="A804" t="str">
            <v>40046_2</v>
          </cell>
          <cell r="B804">
            <v>3</v>
          </cell>
          <cell r="C804">
            <v>40046</v>
          </cell>
          <cell r="D804" t="str">
            <v>ゼノビア襲来！</v>
          </cell>
          <cell r="E804" t="str">
            <v>降臨46</v>
          </cell>
          <cell r="F804">
            <v>2</v>
          </cell>
          <cell r="G804" t="str">
            <v>ja</v>
          </cell>
          <cell r="H804" t="str">
            <v>【ウィザード級】ゼノビア襲来</v>
          </cell>
          <cell r="I804" t="str">
            <v>地獄級</v>
          </cell>
          <cell r="J804">
            <v>1439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W804" t="str">
            <v/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988</v>
          </cell>
          <cell r="AD804">
            <v>6</v>
          </cell>
          <cell r="AE804" t="str">
            <v>everyone</v>
          </cell>
        </row>
        <row r="805">
          <cell r="A805" t="str">
            <v>41001_1</v>
          </cell>
          <cell r="B805">
            <v>3</v>
          </cell>
          <cell r="C805">
            <v>41001</v>
          </cell>
          <cell r="D805" t="str">
            <v>アマテラス襲来！</v>
          </cell>
          <cell r="E805" t="str">
            <v>降臨1</v>
          </cell>
          <cell r="F805">
            <v>1</v>
          </cell>
          <cell r="G805" t="str">
            <v>ja</v>
          </cell>
          <cell r="H805" t="str">
            <v>【超絶級】アマテラス襲来</v>
          </cell>
          <cell r="I805" t="str">
            <v>超絶級</v>
          </cell>
          <cell r="J805">
            <v>279</v>
          </cell>
          <cell r="K805">
            <v>35</v>
          </cell>
          <cell r="L805">
            <v>4200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W805" t="str">
            <v/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901</v>
          </cell>
          <cell r="AD805">
            <v>6</v>
          </cell>
          <cell r="AE805" t="str">
            <v>everyone</v>
          </cell>
        </row>
        <row r="806">
          <cell r="A806" t="str">
            <v>41001_2</v>
          </cell>
          <cell r="B806">
            <v>3</v>
          </cell>
          <cell r="C806">
            <v>41001</v>
          </cell>
          <cell r="D806" t="str">
            <v>アマテラス襲来！</v>
          </cell>
          <cell r="E806" t="str">
            <v>降臨1</v>
          </cell>
          <cell r="F806">
            <v>2</v>
          </cell>
          <cell r="G806" t="str">
            <v>ja</v>
          </cell>
          <cell r="H806" t="str">
            <v>【ウィザード級】アマテラス襲来</v>
          </cell>
          <cell r="I806" t="str">
            <v>地獄級</v>
          </cell>
          <cell r="J806">
            <v>810</v>
          </cell>
          <cell r="K806">
            <v>40</v>
          </cell>
          <cell r="L806">
            <v>4500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W806" t="str">
            <v/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901</v>
          </cell>
          <cell r="AD806">
            <v>6</v>
          </cell>
          <cell r="AE806" t="str">
            <v>everyone</v>
          </cell>
        </row>
        <row r="807">
          <cell r="A807" t="str">
            <v>41001_3</v>
          </cell>
          <cell r="B807">
            <v>1</v>
          </cell>
          <cell r="C807">
            <v>41001</v>
          </cell>
          <cell r="D807" t="str">
            <v>アマテラス襲来！</v>
          </cell>
          <cell r="E807" t="str">
            <v>降臨1</v>
          </cell>
          <cell r="F807">
            <v>3</v>
          </cell>
          <cell r="G807" t="str">
            <v>ja</v>
          </cell>
          <cell r="H807" t="str">
            <v>【ノーコンテニュー】アマテラス襲来</v>
          </cell>
          <cell r="I807" t="str">
            <v>地獄級</v>
          </cell>
          <cell r="J807">
            <v>810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W807" t="str">
            <v/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901</v>
          </cell>
          <cell r="AD807">
            <v>6</v>
          </cell>
          <cell r="AE807" t="str">
            <v>everyone</v>
          </cell>
        </row>
        <row r="808">
          <cell r="A808" t="str">
            <v>41002_1</v>
          </cell>
          <cell r="B808">
            <v>3</v>
          </cell>
          <cell r="C808">
            <v>41002</v>
          </cell>
          <cell r="D808" t="str">
            <v>アザゼル襲来！</v>
          </cell>
          <cell r="E808" t="str">
            <v>降臨1</v>
          </cell>
          <cell r="F808">
            <v>1</v>
          </cell>
          <cell r="G808" t="str">
            <v>ja</v>
          </cell>
          <cell r="H808" t="str">
            <v>【超絶級】アザゼル襲来</v>
          </cell>
          <cell r="I808" t="str">
            <v>超絶級</v>
          </cell>
          <cell r="J808">
            <v>297</v>
          </cell>
          <cell r="K808">
            <v>35</v>
          </cell>
          <cell r="L808">
            <v>4200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W808" t="str">
            <v/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902</v>
          </cell>
          <cell r="AD808">
            <v>6</v>
          </cell>
          <cell r="AE808" t="str">
            <v>everyone</v>
          </cell>
        </row>
        <row r="809">
          <cell r="A809" t="str">
            <v>41002_2</v>
          </cell>
          <cell r="B809">
            <v>3</v>
          </cell>
          <cell r="C809">
            <v>41002</v>
          </cell>
          <cell r="D809" t="str">
            <v>アザゼル襲来！</v>
          </cell>
          <cell r="E809" t="str">
            <v>降臨1</v>
          </cell>
          <cell r="F809">
            <v>2</v>
          </cell>
          <cell r="G809" t="str">
            <v>ja</v>
          </cell>
          <cell r="H809" t="str">
            <v>【ウィザード級】アザゼル襲来</v>
          </cell>
          <cell r="I809" t="str">
            <v>地獄級</v>
          </cell>
          <cell r="J809">
            <v>812</v>
          </cell>
          <cell r="K809">
            <v>40</v>
          </cell>
          <cell r="L809">
            <v>4500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W809" t="str">
            <v/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902</v>
          </cell>
          <cell r="AD809">
            <v>6</v>
          </cell>
          <cell r="AE809" t="str">
            <v>everyone</v>
          </cell>
        </row>
        <row r="810">
          <cell r="A810" t="str">
            <v>41002_3</v>
          </cell>
          <cell r="B810">
            <v>1</v>
          </cell>
          <cell r="C810">
            <v>41002</v>
          </cell>
          <cell r="D810" t="str">
            <v>アザゼル襲来！</v>
          </cell>
          <cell r="E810" t="str">
            <v>降臨1</v>
          </cell>
          <cell r="F810">
            <v>3</v>
          </cell>
          <cell r="G810" t="str">
            <v>ja</v>
          </cell>
          <cell r="H810" t="str">
            <v>【ノーコンテニュー】アザゼル襲来</v>
          </cell>
          <cell r="I810" t="str">
            <v>地獄級</v>
          </cell>
          <cell r="J810">
            <v>812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W810" t="str">
            <v/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902</v>
          </cell>
          <cell r="AD810">
            <v>6</v>
          </cell>
          <cell r="AE810" t="str">
            <v>everyone</v>
          </cell>
        </row>
        <row r="811">
          <cell r="A811" t="str">
            <v>41003_1</v>
          </cell>
          <cell r="B811">
            <v>3</v>
          </cell>
          <cell r="C811">
            <v>41003</v>
          </cell>
          <cell r="D811" t="str">
            <v>ジャンヌ襲来！</v>
          </cell>
          <cell r="E811" t="str">
            <v>降臨1</v>
          </cell>
          <cell r="F811">
            <v>1</v>
          </cell>
          <cell r="G811" t="str">
            <v>ja</v>
          </cell>
          <cell r="H811" t="str">
            <v>【超絶級】ジャンヌ襲来</v>
          </cell>
          <cell r="I811" t="str">
            <v>超絶級</v>
          </cell>
          <cell r="J811">
            <v>315</v>
          </cell>
          <cell r="K811">
            <v>35</v>
          </cell>
          <cell r="L811">
            <v>4200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W811" t="str">
            <v/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903</v>
          </cell>
          <cell r="AD811">
            <v>6</v>
          </cell>
          <cell r="AE811" t="str">
            <v>everyone</v>
          </cell>
        </row>
        <row r="812">
          <cell r="A812" t="str">
            <v>41003_2</v>
          </cell>
          <cell r="B812">
            <v>3</v>
          </cell>
          <cell r="C812">
            <v>41003</v>
          </cell>
          <cell r="D812" t="str">
            <v>ジャンヌ襲来！</v>
          </cell>
          <cell r="E812" t="str">
            <v>降臨1</v>
          </cell>
          <cell r="F812">
            <v>2</v>
          </cell>
          <cell r="G812" t="str">
            <v>ja</v>
          </cell>
          <cell r="H812" t="str">
            <v>【ウィザード級】ジャンヌ襲来</v>
          </cell>
          <cell r="I812" t="str">
            <v>地獄級</v>
          </cell>
          <cell r="J812">
            <v>814</v>
          </cell>
          <cell r="K812">
            <v>40</v>
          </cell>
          <cell r="L812">
            <v>4500</v>
          </cell>
          <cell r="M812">
            <v>1</v>
          </cell>
          <cell r="N812">
            <v>1</v>
          </cell>
          <cell r="O812">
            <v>1</v>
          </cell>
          <cell r="P812">
            <v>1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W812" t="str">
            <v/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903</v>
          </cell>
          <cell r="AD812">
            <v>6</v>
          </cell>
          <cell r="AE812" t="str">
            <v>everyone</v>
          </cell>
        </row>
        <row r="813">
          <cell r="A813" t="str">
            <v>41003_3</v>
          </cell>
          <cell r="B813">
            <v>1</v>
          </cell>
          <cell r="C813">
            <v>41003</v>
          </cell>
          <cell r="D813" t="str">
            <v>ジャンヌ襲来！</v>
          </cell>
          <cell r="E813" t="str">
            <v>降臨1</v>
          </cell>
          <cell r="F813">
            <v>3</v>
          </cell>
          <cell r="G813" t="str">
            <v>ja</v>
          </cell>
          <cell r="H813" t="str">
            <v>【ノーコンテニュー】ジャンヌ襲来</v>
          </cell>
          <cell r="I813" t="str">
            <v>地獄級</v>
          </cell>
          <cell r="J813">
            <v>814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1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W813" t="str">
            <v/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903</v>
          </cell>
          <cell r="AD813">
            <v>6</v>
          </cell>
          <cell r="AE813" t="str">
            <v>everyone</v>
          </cell>
        </row>
        <row r="814">
          <cell r="A814" t="str">
            <v>41004_1</v>
          </cell>
          <cell r="B814">
            <v>3</v>
          </cell>
          <cell r="C814">
            <v>41004</v>
          </cell>
          <cell r="D814" t="str">
            <v>宮本武蔵襲来！</v>
          </cell>
          <cell r="E814" t="str">
            <v>降臨1</v>
          </cell>
          <cell r="F814">
            <v>1</v>
          </cell>
          <cell r="G814" t="str">
            <v>ja</v>
          </cell>
          <cell r="H814" t="str">
            <v>【超絶級】宮本武蔵襲来</v>
          </cell>
          <cell r="I814" t="str">
            <v>超絶級</v>
          </cell>
          <cell r="J814">
            <v>427</v>
          </cell>
          <cell r="K814">
            <v>35</v>
          </cell>
          <cell r="L814">
            <v>4200</v>
          </cell>
          <cell r="M814">
            <v>1</v>
          </cell>
          <cell r="N814">
            <v>1</v>
          </cell>
          <cell r="O814">
            <v>1</v>
          </cell>
          <cell r="P814">
            <v>1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W814" t="str">
            <v/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904</v>
          </cell>
          <cell r="AD814">
            <v>6</v>
          </cell>
          <cell r="AE814" t="str">
            <v>everyone</v>
          </cell>
        </row>
        <row r="815">
          <cell r="A815" t="str">
            <v>41004_2</v>
          </cell>
          <cell r="B815">
            <v>3</v>
          </cell>
          <cell r="C815">
            <v>41004</v>
          </cell>
          <cell r="D815" t="str">
            <v>宮本武蔵襲来！</v>
          </cell>
          <cell r="E815" t="str">
            <v>降臨1</v>
          </cell>
          <cell r="F815">
            <v>2</v>
          </cell>
          <cell r="G815" t="str">
            <v>ja</v>
          </cell>
          <cell r="H815" t="str">
            <v>【ウィザード級】宮本武蔵襲来</v>
          </cell>
          <cell r="I815" t="str">
            <v>地獄級</v>
          </cell>
          <cell r="J815">
            <v>816</v>
          </cell>
          <cell r="K815">
            <v>40</v>
          </cell>
          <cell r="L815">
            <v>4500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W815" t="str">
            <v/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904</v>
          </cell>
          <cell r="AD815">
            <v>6</v>
          </cell>
          <cell r="AE815" t="str">
            <v>everyone</v>
          </cell>
        </row>
        <row r="816">
          <cell r="A816" t="str">
            <v>41004_3</v>
          </cell>
          <cell r="B816">
            <v>1</v>
          </cell>
          <cell r="C816">
            <v>41004</v>
          </cell>
          <cell r="D816" t="str">
            <v>宮本武蔵襲来！</v>
          </cell>
          <cell r="E816" t="str">
            <v>降臨1</v>
          </cell>
          <cell r="F816">
            <v>3</v>
          </cell>
          <cell r="G816" t="str">
            <v>ja</v>
          </cell>
          <cell r="H816" t="str">
            <v>【ノーコンテニュー】宮本武蔵襲来</v>
          </cell>
          <cell r="I816" t="str">
            <v>地獄級</v>
          </cell>
          <cell r="J816">
            <v>816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W816" t="str">
            <v/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904</v>
          </cell>
          <cell r="AD816">
            <v>6</v>
          </cell>
          <cell r="AE816" t="str">
            <v>everyone</v>
          </cell>
        </row>
        <row r="817">
          <cell r="A817" t="str">
            <v>41005_1</v>
          </cell>
          <cell r="B817">
            <v>3</v>
          </cell>
          <cell r="C817">
            <v>41005</v>
          </cell>
          <cell r="D817" t="str">
            <v>オズ襲来！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【超絶級】オズ襲来</v>
          </cell>
          <cell r="I817" t="str">
            <v>超絶級</v>
          </cell>
          <cell r="J817">
            <v>461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906</v>
          </cell>
          <cell r="AD817">
            <v>6</v>
          </cell>
          <cell r="AE817" t="str">
            <v>everyone</v>
          </cell>
        </row>
        <row r="818">
          <cell r="A818" t="str">
            <v>41005_2</v>
          </cell>
          <cell r="B818">
            <v>3</v>
          </cell>
          <cell r="C818">
            <v>41005</v>
          </cell>
          <cell r="D818" t="str">
            <v>オズ襲来！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【ウィザード級】オズ襲来</v>
          </cell>
          <cell r="I818" t="str">
            <v>地獄級</v>
          </cell>
          <cell r="J818">
            <v>818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906</v>
          </cell>
          <cell r="AD818">
            <v>6</v>
          </cell>
          <cell r="AE818" t="str">
            <v>everyone</v>
          </cell>
        </row>
        <row r="819">
          <cell r="A819" t="str">
            <v>41005_3</v>
          </cell>
          <cell r="B819">
            <v>1</v>
          </cell>
          <cell r="C819">
            <v>41005</v>
          </cell>
          <cell r="D819" t="str">
            <v>オズ襲来！</v>
          </cell>
          <cell r="E819" t="str">
            <v>降臨1</v>
          </cell>
          <cell r="F819">
            <v>3</v>
          </cell>
          <cell r="G819" t="str">
            <v>ja</v>
          </cell>
          <cell r="H819" t="str">
            <v>【ノーコンテニュー】オズ襲来</v>
          </cell>
          <cell r="I819" t="str">
            <v>地獄級</v>
          </cell>
          <cell r="J819">
            <v>818</v>
          </cell>
          <cell r="K819">
            <v>40</v>
          </cell>
          <cell r="L819">
            <v>4500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1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906</v>
          </cell>
          <cell r="AD819">
            <v>6</v>
          </cell>
          <cell r="AE819" t="str">
            <v>everyone</v>
          </cell>
        </row>
        <row r="820">
          <cell r="A820" t="str">
            <v>41006_1</v>
          </cell>
          <cell r="B820">
            <v>3</v>
          </cell>
          <cell r="C820">
            <v>41006</v>
          </cell>
          <cell r="D820" t="str">
            <v>アーサー襲来！</v>
          </cell>
          <cell r="E820" t="str">
            <v>降臨1</v>
          </cell>
          <cell r="F820">
            <v>1</v>
          </cell>
          <cell r="G820" t="str">
            <v>ja</v>
          </cell>
          <cell r="H820" t="str">
            <v>【超絶級】アーサー襲来</v>
          </cell>
          <cell r="I820" t="str">
            <v>超絶級</v>
          </cell>
          <cell r="J820">
            <v>473</v>
          </cell>
          <cell r="K820">
            <v>35</v>
          </cell>
          <cell r="L820">
            <v>4200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1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907</v>
          </cell>
          <cell r="AD820">
            <v>6</v>
          </cell>
          <cell r="AE820" t="str">
            <v>everyone</v>
          </cell>
        </row>
        <row r="821">
          <cell r="A821" t="str">
            <v>41006_2</v>
          </cell>
          <cell r="B821">
            <v>3</v>
          </cell>
          <cell r="C821">
            <v>41006</v>
          </cell>
          <cell r="D821" t="str">
            <v>アーサー襲来！</v>
          </cell>
          <cell r="E821" t="str">
            <v>降臨1</v>
          </cell>
          <cell r="F821">
            <v>2</v>
          </cell>
          <cell r="G821" t="str">
            <v>ja</v>
          </cell>
          <cell r="H821" t="str">
            <v>【ウィザード級】アーサー襲来</v>
          </cell>
          <cell r="I821" t="str">
            <v>地獄級</v>
          </cell>
          <cell r="J821">
            <v>820</v>
          </cell>
          <cell r="K821">
            <v>40</v>
          </cell>
          <cell r="L821">
            <v>4500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907</v>
          </cell>
          <cell r="AD821">
            <v>6</v>
          </cell>
          <cell r="AE821" t="str">
            <v>everyone</v>
          </cell>
        </row>
        <row r="822">
          <cell r="A822" t="str">
            <v>41006_3</v>
          </cell>
          <cell r="B822">
            <v>1</v>
          </cell>
          <cell r="C822">
            <v>41006</v>
          </cell>
          <cell r="D822" t="str">
            <v>アーサー襲来！</v>
          </cell>
          <cell r="E822" t="str">
            <v>降臨1</v>
          </cell>
          <cell r="F822">
            <v>3</v>
          </cell>
          <cell r="G822" t="str">
            <v>ja</v>
          </cell>
          <cell r="H822" t="str">
            <v>【ノーコンテニュー】アーサー襲来</v>
          </cell>
          <cell r="I822" t="str">
            <v>地獄級</v>
          </cell>
          <cell r="J822">
            <v>820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907</v>
          </cell>
          <cell r="AD822">
            <v>6</v>
          </cell>
          <cell r="AE822" t="str">
            <v>everyone</v>
          </cell>
        </row>
        <row r="823">
          <cell r="A823" t="str">
            <v>41007_1</v>
          </cell>
          <cell r="B823">
            <v>3</v>
          </cell>
          <cell r="C823">
            <v>41007</v>
          </cell>
          <cell r="D823" t="str">
            <v>グリム襲来！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【超絶級】グリム襲来</v>
          </cell>
          <cell r="I823" t="str">
            <v>超絶級</v>
          </cell>
          <cell r="J823">
            <v>491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908</v>
          </cell>
          <cell r="AD823">
            <v>6</v>
          </cell>
          <cell r="AE823" t="str">
            <v>everyone</v>
          </cell>
        </row>
        <row r="824">
          <cell r="A824" t="str">
            <v>41007_2</v>
          </cell>
          <cell r="B824">
            <v>3</v>
          </cell>
          <cell r="C824">
            <v>41007</v>
          </cell>
          <cell r="D824" t="str">
            <v>グリム襲来！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【ウィザード級】グリム襲来</v>
          </cell>
          <cell r="I824" t="str">
            <v>地獄級</v>
          </cell>
          <cell r="J824">
            <v>822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908</v>
          </cell>
          <cell r="AD824">
            <v>6</v>
          </cell>
          <cell r="AE824" t="str">
            <v>everyone</v>
          </cell>
        </row>
        <row r="825">
          <cell r="A825" t="str">
            <v>41007_3</v>
          </cell>
          <cell r="B825">
            <v>1</v>
          </cell>
          <cell r="C825">
            <v>41007</v>
          </cell>
          <cell r="D825" t="str">
            <v>グリム襲来！</v>
          </cell>
          <cell r="E825" t="str">
            <v>降臨1</v>
          </cell>
          <cell r="F825">
            <v>3</v>
          </cell>
          <cell r="G825" t="str">
            <v>ja</v>
          </cell>
          <cell r="H825" t="str">
            <v>【ノーコンテニュー】グリム襲来</v>
          </cell>
          <cell r="I825" t="str">
            <v>地獄級</v>
          </cell>
          <cell r="J825">
            <v>822</v>
          </cell>
          <cell r="K825">
            <v>40</v>
          </cell>
          <cell r="L825">
            <v>4500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908</v>
          </cell>
          <cell r="AD825">
            <v>6</v>
          </cell>
          <cell r="AE825" t="str">
            <v>everyone</v>
          </cell>
        </row>
        <row r="826">
          <cell r="A826" t="str">
            <v>41008_1</v>
          </cell>
          <cell r="B826">
            <v>3</v>
          </cell>
          <cell r="C826">
            <v>41008</v>
          </cell>
          <cell r="D826" t="str">
            <v>Gスター襲来！</v>
          </cell>
          <cell r="E826" t="str">
            <v>降臨1</v>
          </cell>
          <cell r="F826">
            <v>1</v>
          </cell>
          <cell r="G826" t="str">
            <v>ja</v>
          </cell>
          <cell r="H826" t="str">
            <v>【超絶級】Gスター襲来</v>
          </cell>
          <cell r="I826" t="str">
            <v>超絶級</v>
          </cell>
          <cell r="J826">
            <v>509</v>
          </cell>
          <cell r="K826">
            <v>35</v>
          </cell>
          <cell r="L826">
            <v>4200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2601</v>
          </cell>
          <cell r="AD826">
            <v>6</v>
          </cell>
          <cell r="AE826" t="str">
            <v>everyone</v>
          </cell>
        </row>
        <row r="827">
          <cell r="A827" t="str">
            <v>41008_2</v>
          </cell>
          <cell r="B827">
            <v>3</v>
          </cell>
          <cell r="C827">
            <v>41008</v>
          </cell>
          <cell r="D827" t="str">
            <v>Gスター襲来！</v>
          </cell>
          <cell r="E827" t="str">
            <v>降臨1</v>
          </cell>
          <cell r="F827">
            <v>2</v>
          </cell>
          <cell r="G827" t="str">
            <v>ja</v>
          </cell>
          <cell r="H827" t="str">
            <v>【ウィザード級】Gスター襲来</v>
          </cell>
          <cell r="I827" t="str">
            <v>地獄級</v>
          </cell>
          <cell r="J827">
            <v>824</v>
          </cell>
          <cell r="K827">
            <v>40</v>
          </cell>
          <cell r="L827">
            <v>4500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2601</v>
          </cell>
          <cell r="AD827">
            <v>6</v>
          </cell>
          <cell r="AE827" t="str">
            <v>everyone</v>
          </cell>
        </row>
        <row r="828">
          <cell r="A828" t="str">
            <v>41008_3</v>
          </cell>
          <cell r="B828">
            <v>1</v>
          </cell>
          <cell r="C828">
            <v>41008</v>
          </cell>
          <cell r="D828" t="str">
            <v>Gスター襲来！</v>
          </cell>
          <cell r="E828" t="str">
            <v>降臨1</v>
          </cell>
          <cell r="F828">
            <v>3</v>
          </cell>
          <cell r="G828" t="str">
            <v>ja</v>
          </cell>
          <cell r="H828" t="str">
            <v>【ノーコンテニュー】Gスター襲来</v>
          </cell>
          <cell r="I828" t="str">
            <v>地獄級</v>
          </cell>
          <cell r="J828">
            <v>824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2601</v>
          </cell>
          <cell r="AD828">
            <v>6</v>
          </cell>
          <cell r="AE828" t="str">
            <v>everyone</v>
          </cell>
        </row>
        <row r="829">
          <cell r="A829" t="str">
            <v>41009_1</v>
          </cell>
          <cell r="B829">
            <v>3</v>
          </cell>
          <cell r="C829">
            <v>41009</v>
          </cell>
          <cell r="D829" t="str">
            <v>フギンとムニン襲来！</v>
          </cell>
          <cell r="E829" t="str">
            <v>降臨1</v>
          </cell>
          <cell r="F829">
            <v>1</v>
          </cell>
          <cell r="G829" t="str">
            <v>ja</v>
          </cell>
          <cell r="H829" t="str">
            <v>【超絶級】フギンとムニン襲来</v>
          </cell>
          <cell r="I829" t="str">
            <v>超絶級</v>
          </cell>
          <cell r="J829">
            <v>582</v>
          </cell>
          <cell r="K829">
            <v>35</v>
          </cell>
          <cell r="L829">
            <v>4200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polygon</v>
          </cell>
          <cell r="T829">
            <v>1</v>
          </cell>
          <cell r="U829" t="str">
            <v>NULL</v>
          </cell>
          <cell r="V829" t="str">
            <v>NULL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25</v>
          </cell>
          <cell r="AD829">
            <v>6</v>
          </cell>
          <cell r="AE829" t="str">
            <v>everyone</v>
          </cell>
        </row>
        <row r="830">
          <cell r="A830" t="str">
            <v>41009_2</v>
          </cell>
          <cell r="B830">
            <v>3</v>
          </cell>
          <cell r="C830">
            <v>41009</v>
          </cell>
          <cell r="D830" t="str">
            <v>フギンとムニン襲来！</v>
          </cell>
          <cell r="E830" t="str">
            <v>降臨1</v>
          </cell>
          <cell r="F830">
            <v>2</v>
          </cell>
          <cell r="G830" t="str">
            <v>ja</v>
          </cell>
          <cell r="H830" t="str">
            <v>【ウィザード級】フギンとムニン襲来</v>
          </cell>
          <cell r="I830" t="str">
            <v>地獄級</v>
          </cell>
          <cell r="J830">
            <v>828</v>
          </cell>
          <cell r="K830">
            <v>40</v>
          </cell>
          <cell r="L830">
            <v>4500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polygon</v>
          </cell>
          <cell r="T830">
            <v>1</v>
          </cell>
          <cell r="U830" t="str">
            <v>NULL</v>
          </cell>
          <cell r="V830" t="str">
            <v>NULL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25</v>
          </cell>
          <cell r="AD830">
            <v>6</v>
          </cell>
          <cell r="AE830" t="str">
            <v>everyone</v>
          </cell>
        </row>
        <row r="831">
          <cell r="A831" t="str">
            <v>41009_3</v>
          </cell>
          <cell r="B831">
            <v>1</v>
          </cell>
          <cell r="C831">
            <v>41009</v>
          </cell>
          <cell r="D831" t="str">
            <v>フギンとムニン襲来！</v>
          </cell>
          <cell r="E831" t="str">
            <v>降臨1</v>
          </cell>
          <cell r="F831">
            <v>3</v>
          </cell>
          <cell r="G831" t="str">
            <v>ja</v>
          </cell>
          <cell r="H831" t="str">
            <v>【ノーコンテニュー】フギンとムニン襲来</v>
          </cell>
          <cell r="I831" t="str">
            <v>地獄級</v>
          </cell>
          <cell r="J831">
            <v>1</v>
          </cell>
          <cell r="K831">
            <v>40</v>
          </cell>
          <cell r="L831">
            <v>4500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25</v>
          </cell>
          <cell r="AD831">
            <v>6</v>
          </cell>
          <cell r="AE831" t="str">
            <v>everyone</v>
          </cell>
        </row>
        <row r="832">
          <cell r="A832" t="str">
            <v>41010_1</v>
          </cell>
          <cell r="B832">
            <v>3</v>
          </cell>
          <cell r="C832">
            <v>41010</v>
          </cell>
          <cell r="D832" t="str">
            <v>フレイ襲来！</v>
          </cell>
          <cell r="E832" t="str">
            <v>降臨1</v>
          </cell>
          <cell r="F832">
            <v>1</v>
          </cell>
          <cell r="G832" t="str">
            <v>ja</v>
          </cell>
          <cell r="H832" t="str">
            <v>【超絶級】フレイ襲来</v>
          </cell>
          <cell r="I832" t="str">
            <v>超絶級</v>
          </cell>
          <cell r="J832">
            <v>576</v>
          </cell>
          <cell r="K832">
            <v>35</v>
          </cell>
          <cell r="L832">
            <v>4200</v>
          </cell>
          <cell r="M832">
            <v>1</v>
          </cell>
          <cell r="N832">
            <v>1</v>
          </cell>
          <cell r="O832">
            <v>1</v>
          </cell>
          <cell r="P832">
            <v>0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912</v>
          </cell>
          <cell r="AD832">
            <v>6</v>
          </cell>
          <cell r="AE832" t="str">
            <v>everyone</v>
          </cell>
        </row>
        <row r="833">
          <cell r="A833" t="str">
            <v>41010_2</v>
          </cell>
          <cell r="B833">
            <v>3</v>
          </cell>
          <cell r="C833">
            <v>41010</v>
          </cell>
          <cell r="D833" t="str">
            <v>フレイ襲来！</v>
          </cell>
          <cell r="E833" t="str">
            <v>降臨1</v>
          </cell>
          <cell r="F833">
            <v>2</v>
          </cell>
          <cell r="G833" t="str">
            <v>ja</v>
          </cell>
          <cell r="H833" t="str">
            <v>【ウィザード級】フレイ襲来</v>
          </cell>
          <cell r="I833" t="str">
            <v>地獄級</v>
          </cell>
          <cell r="J833">
            <v>826</v>
          </cell>
          <cell r="K833">
            <v>40</v>
          </cell>
          <cell r="L833">
            <v>4500</v>
          </cell>
          <cell r="M833">
            <v>1</v>
          </cell>
          <cell r="N833">
            <v>1</v>
          </cell>
          <cell r="O833">
            <v>1</v>
          </cell>
          <cell r="P833">
            <v>0</v>
          </cell>
          <cell r="Q833">
            <v>1</v>
          </cell>
          <cell r="R833">
            <v>3</v>
          </cell>
          <cell r="S833" t="str">
            <v>polygon</v>
          </cell>
          <cell r="T833">
            <v>1</v>
          </cell>
          <cell r="U833" t="str">
            <v>NULL</v>
          </cell>
          <cell r="V833" t="str">
            <v>NULL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912</v>
          </cell>
          <cell r="AD833">
            <v>6</v>
          </cell>
          <cell r="AE833" t="str">
            <v>everyone</v>
          </cell>
        </row>
        <row r="834">
          <cell r="A834" t="str">
            <v>41010_3</v>
          </cell>
          <cell r="B834">
            <v>1</v>
          </cell>
          <cell r="C834">
            <v>41010</v>
          </cell>
          <cell r="D834" t="str">
            <v>フレイ襲来！</v>
          </cell>
          <cell r="E834" t="str">
            <v>降臨1</v>
          </cell>
          <cell r="F834">
            <v>3</v>
          </cell>
          <cell r="G834" t="str">
            <v>ja</v>
          </cell>
          <cell r="H834" t="str">
            <v>【ノーコンテニュー】フレイ襲来</v>
          </cell>
          <cell r="I834" t="str">
            <v>地獄級</v>
          </cell>
          <cell r="J834">
            <v>1</v>
          </cell>
          <cell r="K834">
            <v>40</v>
          </cell>
          <cell r="L834">
            <v>4500</v>
          </cell>
          <cell r="M834">
            <v>1</v>
          </cell>
          <cell r="N834">
            <v>1</v>
          </cell>
          <cell r="O834">
            <v>1</v>
          </cell>
          <cell r="P834">
            <v>0</v>
          </cell>
          <cell r="Q834">
            <v>1</v>
          </cell>
          <cell r="R834">
            <v>3</v>
          </cell>
          <cell r="S834" t="str">
            <v>polygon</v>
          </cell>
          <cell r="T834">
            <v>1</v>
          </cell>
          <cell r="U834" t="str">
            <v>NULL</v>
          </cell>
          <cell r="V834" t="str">
            <v>NULL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912</v>
          </cell>
          <cell r="AD834">
            <v>6</v>
          </cell>
          <cell r="AE834" t="str">
            <v>everyone</v>
          </cell>
        </row>
        <row r="835">
          <cell r="A835" t="str">
            <v>41011_1</v>
          </cell>
          <cell r="B835">
            <v>3</v>
          </cell>
          <cell r="C835">
            <v>41011</v>
          </cell>
          <cell r="D835" t="str">
            <v>ヨミ襲来！</v>
          </cell>
          <cell r="E835" t="str">
            <v>降臨1</v>
          </cell>
          <cell r="F835">
            <v>1</v>
          </cell>
          <cell r="G835" t="str">
            <v>ja</v>
          </cell>
          <cell r="H835" t="str">
            <v>【超絶級】ヨミ襲来</v>
          </cell>
          <cell r="I835" t="str">
            <v>超絶級</v>
          </cell>
          <cell r="J835">
            <v>655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913</v>
          </cell>
          <cell r="AD835">
            <v>6</v>
          </cell>
          <cell r="AE835" t="str">
            <v>everyone</v>
          </cell>
        </row>
        <row r="836">
          <cell r="A836" t="str">
            <v>41011_2</v>
          </cell>
          <cell r="B836">
            <v>3</v>
          </cell>
          <cell r="C836">
            <v>41011</v>
          </cell>
          <cell r="D836" t="str">
            <v>ヨミ襲来！</v>
          </cell>
          <cell r="E836" t="str">
            <v>降臨1</v>
          </cell>
          <cell r="F836">
            <v>2</v>
          </cell>
          <cell r="G836" t="str">
            <v>ja</v>
          </cell>
          <cell r="H836" t="str">
            <v>【ウィザード級】ヨミ襲来</v>
          </cell>
          <cell r="I836" t="str">
            <v>ウィザード級</v>
          </cell>
          <cell r="J836">
            <v>832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913</v>
          </cell>
          <cell r="AD836">
            <v>6</v>
          </cell>
          <cell r="AE836" t="str">
            <v>everyone</v>
          </cell>
        </row>
        <row r="837">
          <cell r="A837" t="str">
            <v>41012_1</v>
          </cell>
          <cell r="B837">
            <v>3</v>
          </cell>
          <cell r="C837">
            <v>41012</v>
          </cell>
          <cell r="D837" t="str">
            <v>ショウキ襲来！</v>
          </cell>
          <cell r="E837" t="str">
            <v>降臨1</v>
          </cell>
          <cell r="F837">
            <v>1</v>
          </cell>
          <cell r="G837" t="str">
            <v>ja</v>
          </cell>
          <cell r="H837" t="str">
            <v>【超絶級】ショウキ襲来</v>
          </cell>
          <cell r="I837" t="str">
            <v>超絶級</v>
          </cell>
          <cell r="J837">
            <v>645</v>
          </cell>
          <cell r="K837">
            <v>35</v>
          </cell>
          <cell r="L837">
            <v>4200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915</v>
          </cell>
          <cell r="AD837">
            <v>6</v>
          </cell>
          <cell r="AE837" t="str">
            <v>everyone</v>
          </cell>
        </row>
        <row r="838">
          <cell r="A838" t="str">
            <v>41012_2</v>
          </cell>
          <cell r="B838">
            <v>3</v>
          </cell>
          <cell r="C838">
            <v>41012</v>
          </cell>
          <cell r="D838" t="str">
            <v>ショウキ襲来！</v>
          </cell>
          <cell r="E838" t="str">
            <v>降臨1</v>
          </cell>
          <cell r="F838">
            <v>2</v>
          </cell>
          <cell r="G838" t="str">
            <v>ja</v>
          </cell>
          <cell r="H838" t="str">
            <v>【ウィザード級】ショウキ襲来</v>
          </cell>
          <cell r="I838" t="str">
            <v>地獄級</v>
          </cell>
          <cell r="J838">
            <v>831</v>
          </cell>
          <cell r="K838">
            <v>40</v>
          </cell>
          <cell r="L838">
            <v>4500</v>
          </cell>
          <cell r="M838">
            <v>1</v>
          </cell>
          <cell r="N838">
            <v>1</v>
          </cell>
          <cell r="O838">
            <v>1</v>
          </cell>
          <cell r="P838">
            <v>1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915</v>
          </cell>
          <cell r="AD838">
            <v>6</v>
          </cell>
          <cell r="AE838" t="str">
            <v>everyone</v>
          </cell>
        </row>
        <row r="839">
          <cell r="A839" t="str">
            <v>41013_1</v>
          </cell>
          <cell r="B839">
            <v>3</v>
          </cell>
          <cell r="C839">
            <v>41013</v>
          </cell>
          <cell r="D839" t="str">
            <v>カーマ襲来！</v>
          </cell>
          <cell r="E839" t="str">
            <v>降臨1</v>
          </cell>
          <cell r="F839">
            <v>1</v>
          </cell>
          <cell r="G839" t="str">
            <v>ja</v>
          </cell>
          <cell r="H839" t="str">
            <v>【超絶級】カーマ襲来</v>
          </cell>
          <cell r="I839" t="str">
            <v>超絶級</v>
          </cell>
          <cell r="J839">
            <v>643</v>
          </cell>
          <cell r="K839">
            <v>35</v>
          </cell>
          <cell r="L839">
            <v>4200</v>
          </cell>
          <cell r="M839">
            <v>1</v>
          </cell>
          <cell r="N839">
            <v>1</v>
          </cell>
          <cell r="O839">
            <v>1</v>
          </cell>
          <cell r="P839">
            <v>1</v>
          </cell>
          <cell r="Q839">
            <v>0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916</v>
          </cell>
          <cell r="AD839">
            <v>6</v>
          </cell>
          <cell r="AE839" t="str">
            <v>everyone</v>
          </cell>
        </row>
        <row r="840">
          <cell r="A840" t="str">
            <v>41013_2</v>
          </cell>
          <cell r="B840">
            <v>3</v>
          </cell>
          <cell r="C840">
            <v>41013</v>
          </cell>
          <cell r="D840" t="str">
            <v>カーマ襲来！</v>
          </cell>
          <cell r="E840" t="str">
            <v>降臨1</v>
          </cell>
          <cell r="F840">
            <v>2</v>
          </cell>
          <cell r="G840" t="str">
            <v>ja</v>
          </cell>
          <cell r="H840" t="str">
            <v>【ウィザード級】カーマ襲来</v>
          </cell>
          <cell r="I840" t="str">
            <v>地獄級</v>
          </cell>
          <cell r="J840">
            <v>836</v>
          </cell>
          <cell r="K840">
            <v>40</v>
          </cell>
          <cell r="L840">
            <v>4500</v>
          </cell>
          <cell r="M840">
            <v>1</v>
          </cell>
          <cell r="N840">
            <v>1</v>
          </cell>
          <cell r="O840">
            <v>1</v>
          </cell>
          <cell r="P840">
            <v>1</v>
          </cell>
          <cell r="Q840">
            <v>0</v>
          </cell>
          <cell r="R840">
            <v>3</v>
          </cell>
          <cell r="S840" t="str">
            <v>polygon</v>
          </cell>
          <cell r="T840">
            <v>1</v>
          </cell>
          <cell r="U840" t="str">
            <v>NULL</v>
          </cell>
          <cell r="V840" t="str">
            <v>NULL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916</v>
          </cell>
          <cell r="AD840">
            <v>6</v>
          </cell>
          <cell r="AE840" t="str">
            <v>everyone</v>
          </cell>
        </row>
        <row r="841">
          <cell r="A841" t="str">
            <v>41014_1</v>
          </cell>
          <cell r="B841">
            <v>3</v>
          </cell>
          <cell r="C841">
            <v>41014</v>
          </cell>
          <cell r="D841" t="str">
            <v>シヴァ襲来！</v>
          </cell>
          <cell r="E841" t="str">
            <v>降臨1</v>
          </cell>
          <cell r="F841">
            <v>1</v>
          </cell>
          <cell r="G841" t="str">
            <v>ja</v>
          </cell>
          <cell r="H841" t="str">
            <v>【超絶級】シヴァ襲来</v>
          </cell>
          <cell r="I841" t="str">
            <v>超絶級</v>
          </cell>
          <cell r="J841">
            <v>657</v>
          </cell>
          <cell r="K841">
            <v>35</v>
          </cell>
          <cell r="L841">
            <v>4200</v>
          </cell>
          <cell r="M841">
            <v>1</v>
          </cell>
          <cell r="N841">
            <v>1</v>
          </cell>
          <cell r="O841">
            <v>1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914</v>
          </cell>
          <cell r="AD841">
            <v>6</v>
          </cell>
          <cell r="AE841" t="str">
            <v>everyone</v>
          </cell>
        </row>
        <row r="842">
          <cell r="A842" t="str">
            <v>41014_2</v>
          </cell>
          <cell r="B842">
            <v>3</v>
          </cell>
          <cell r="C842">
            <v>41014</v>
          </cell>
          <cell r="D842" t="str">
            <v>シヴァ襲来！</v>
          </cell>
          <cell r="E842" t="str">
            <v>降臨1</v>
          </cell>
          <cell r="F842">
            <v>2</v>
          </cell>
          <cell r="G842" t="str">
            <v>ja</v>
          </cell>
          <cell r="H842" t="str">
            <v>【ウィザード級】シヴァ襲来</v>
          </cell>
          <cell r="I842" t="str">
            <v>地獄級</v>
          </cell>
          <cell r="J842">
            <v>834</v>
          </cell>
          <cell r="K842">
            <v>40</v>
          </cell>
          <cell r="L842">
            <v>4500</v>
          </cell>
          <cell r="M842">
            <v>1</v>
          </cell>
          <cell r="N842">
            <v>1</v>
          </cell>
          <cell r="O842">
            <v>1</v>
          </cell>
          <cell r="P842">
            <v>1</v>
          </cell>
          <cell r="Q842">
            <v>1</v>
          </cell>
          <cell r="R842">
            <v>3</v>
          </cell>
          <cell r="S842" t="str">
            <v>polygon</v>
          </cell>
          <cell r="T842">
            <v>1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914</v>
          </cell>
          <cell r="AD842">
            <v>6</v>
          </cell>
          <cell r="AE842" t="str">
            <v>everyone</v>
          </cell>
        </row>
        <row r="843">
          <cell r="A843" t="str">
            <v>41015_1</v>
          </cell>
          <cell r="B843">
            <v>3</v>
          </cell>
          <cell r="C843">
            <v>41015</v>
          </cell>
          <cell r="D843" t="str">
            <v>ガレス襲来！</v>
          </cell>
          <cell r="E843" t="str">
            <v>降臨1</v>
          </cell>
          <cell r="F843">
            <v>1</v>
          </cell>
          <cell r="G843" t="str">
            <v>ja</v>
          </cell>
          <cell r="H843" t="str">
            <v>【超絶級】ガレス襲来</v>
          </cell>
          <cell r="I843" t="str">
            <v>超絶級</v>
          </cell>
          <cell r="J843">
            <v>769</v>
          </cell>
          <cell r="K843">
            <v>35</v>
          </cell>
          <cell r="L843">
            <v>4200</v>
          </cell>
          <cell r="M843">
            <v>1</v>
          </cell>
          <cell r="N843">
            <v>1</v>
          </cell>
          <cell r="O843">
            <v>1</v>
          </cell>
          <cell r="P843">
            <v>1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907</v>
          </cell>
          <cell r="AD843">
            <v>6</v>
          </cell>
          <cell r="AE843" t="str">
            <v>everyone</v>
          </cell>
        </row>
        <row r="844">
          <cell r="A844" t="str">
            <v>41015_2</v>
          </cell>
          <cell r="B844">
            <v>3</v>
          </cell>
          <cell r="C844">
            <v>41015</v>
          </cell>
          <cell r="D844" t="str">
            <v>ガレス襲来！</v>
          </cell>
          <cell r="E844" t="str">
            <v>降臨1</v>
          </cell>
          <cell r="F844">
            <v>2</v>
          </cell>
          <cell r="G844" t="str">
            <v>ja</v>
          </cell>
          <cell r="H844" t="str">
            <v>【ウィザード級】ガレス襲来</v>
          </cell>
          <cell r="I844" t="str">
            <v>地獄級</v>
          </cell>
          <cell r="J844">
            <v>961</v>
          </cell>
          <cell r="K844">
            <v>40</v>
          </cell>
          <cell r="L844">
            <v>4500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907</v>
          </cell>
          <cell r="AD844">
            <v>6</v>
          </cell>
          <cell r="AE844" t="str">
            <v>everyone</v>
          </cell>
        </row>
        <row r="845">
          <cell r="A845" t="str">
            <v>47001_1</v>
          </cell>
          <cell r="B845">
            <v>3</v>
          </cell>
          <cell r="C845">
            <v>47001</v>
          </cell>
          <cell r="D845" t="str">
            <v>彦星襲来！</v>
          </cell>
          <cell r="E845" t="str">
            <v>季節イベント</v>
          </cell>
          <cell r="F845">
            <v>1</v>
          </cell>
          <cell r="G845" t="str">
            <v>ja</v>
          </cell>
          <cell r="H845" t="str">
            <v>【超絶級】彦星襲来</v>
          </cell>
          <cell r="I845" t="str">
            <v>地獄級</v>
          </cell>
          <cell r="J845">
            <v>1043</v>
          </cell>
          <cell r="K845">
            <v>35</v>
          </cell>
          <cell r="L845">
            <v>4200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943</v>
          </cell>
          <cell r="AD845">
            <v>6</v>
          </cell>
          <cell r="AE845" t="str">
            <v>everyone</v>
          </cell>
        </row>
        <row r="846">
          <cell r="A846" t="str">
            <v>47001_2</v>
          </cell>
          <cell r="B846">
            <v>3</v>
          </cell>
          <cell r="C846">
            <v>47001</v>
          </cell>
          <cell r="D846" t="str">
            <v>彦星襲来！</v>
          </cell>
          <cell r="E846" t="str">
            <v>季節イベント</v>
          </cell>
          <cell r="F846">
            <v>2</v>
          </cell>
          <cell r="G846" t="str">
            <v>ja</v>
          </cell>
          <cell r="H846" t="str">
            <v>【ウィザード級】彦星襲来</v>
          </cell>
          <cell r="I846" t="str">
            <v>地獄級</v>
          </cell>
          <cell r="J846">
            <v>1044</v>
          </cell>
          <cell r="K846">
            <v>40</v>
          </cell>
          <cell r="L846">
            <v>4500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polygon</v>
          </cell>
          <cell r="T846">
            <v>1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943</v>
          </cell>
          <cell r="AD846">
            <v>6</v>
          </cell>
          <cell r="AE846" t="str">
            <v>everyone</v>
          </cell>
        </row>
        <row r="847">
          <cell r="A847" t="str">
            <v>47002_1</v>
          </cell>
          <cell r="B847">
            <v>3</v>
          </cell>
          <cell r="C847">
            <v>47002</v>
          </cell>
          <cell r="D847" t="str">
            <v>夏☆襲来！</v>
          </cell>
          <cell r="E847" t="str">
            <v>季節イベント</v>
          </cell>
          <cell r="F847">
            <v>1</v>
          </cell>
          <cell r="G847" t="str">
            <v>ja</v>
          </cell>
          <cell r="H847" t="str">
            <v>【超絶級】夏☆襲来</v>
          </cell>
          <cell r="I847" t="str">
            <v>地獄級</v>
          </cell>
          <cell r="J847">
            <v>1053</v>
          </cell>
          <cell r="K847">
            <v>35</v>
          </cell>
          <cell r="L847">
            <v>4200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5</v>
          </cell>
          <cell r="AD847">
            <v>6</v>
          </cell>
          <cell r="AE847" t="str">
            <v>everyone</v>
          </cell>
        </row>
        <row r="848">
          <cell r="A848" t="str">
            <v>47002_2</v>
          </cell>
          <cell r="B848">
            <v>3</v>
          </cell>
          <cell r="C848">
            <v>47002</v>
          </cell>
          <cell r="D848" t="str">
            <v>夏☆襲来！</v>
          </cell>
          <cell r="E848" t="str">
            <v>季節イベント</v>
          </cell>
          <cell r="F848">
            <v>2</v>
          </cell>
          <cell r="G848" t="str">
            <v>ja</v>
          </cell>
          <cell r="H848" t="str">
            <v>【ウィザード級】夏☆襲来</v>
          </cell>
          <cell r="I848" t="str">
            <v>地獄級</v>
          </cell>
          <cell r="J848">
            <v>1054</v>
          </cell>
          <cell r="K848">
            <v>40</v>
          </cell>
          <cell r="L848">
            <v>4500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5</v>
          </cell>
          <cell r="AD848">
            <v>6</v>
          </cell>
          <cell r="AE848" t="str">
            <v>everyone</v>
          </cell>
        </row>
        <row r="849">
          <cell r="A849" t="str">
            <v>47003_1</v>
          </cell>
          <cell r="B849">
            <v>3</v>
          </cell>
          <cell r="C849">
            <v>47003</v>
          </cell>
          <cell r="D849" t="str">
            <v>ハロウィンナイトパニック！</v>
          </cell>
          <cell r="E849" t="str">
            <v>季節イベント</v>
          </cell>
          <cell r="F849">
            <v>1</v>
          </cell>
          <cell r="G849" t="str">
            <v>ja</v>
          </cell>
          <cell r="H849" t="str">
            <v>【上級】ハロウィンナイトパニック！</v>
          </cell>
          <cell r="I849" t="str">
            <v>地獄級</v>
          </cell>
          <cell r="J849">
            <v>1192</v>
          </cell>
          <cell r="K849">
            <v>20</v>
          </cell>
          <cell r="L849">
            <v>2000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none</v>
          </cell>
          <cell r="T849">
            <v>0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952</v>
          </cell>
          <cell r="AD849">
            <v>6</v>
          </cell>
          <cell r="AE849" t="str">
            <v>everyone</v>
          </cell>
        </row>
        <row r="850">
          <cell r="A850" t="str">
            <v>47003_2</v>
          </cell>
          <cell r="B850">
            <v>3</v>
          </cell>
          <cell r="C850">
            <v>47003</v>
          </cell>
          <cell r="D850" t="str">
            <v>ハロウィンナイトパニック！</v>
          </cell>
          <cell r="E850" t="str">
            <v>季節イベント</v>
          </cell>
          <cell r="F850">
            <v>2</v>
          </cell>
          <cell r="G850" t="str">
            <v>ja</v>
          </cell>
          <cell r="H850" t="str">
            <v>【超級】ハロウィンナイトパニック！</v>
          </cell>
          <cell r="I850" t="str">
            <v>地獄級</v>
          </cell>
          <cell r="J850">
            <v>1192</v>
          </cell>
          <cell r="K850">
            <v>30</v>
          </cell>
          <cell r="L850">
            <v>3300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none</v>
          </cell>
          <cell r="T850">
            <v>0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952</v>
          </cell>
          <cell r="AD850">
            <v>6</v>
          </cell>
          <cell r="AE850" t="str">
            <v>everyone</v>
          </cell>
        </row>
        <row r="851">
          <cell r="A851" t="str">
            <v>47003_3</v>
          </cell>
          <cell r="B851">
            <v>3</v>
          </cell>
          <cell r="C851">
            <v>47003</v>
          </cell>
          <cell r="D851" t="str">
            <v>ハロウィンナイトパニック！</v>
          </cell>
          <cell r="E851" t="str">
            <v>季節イベント</v>
          </cell>
          <cell r="F851">
            <v>3</v>
          </cell>
          <cell r="G851" t="str">
            <v>ja</v>
          </cell>
          <cell r="H851" t="str">
            <v>【超絶】ハロウィンナイトパニック！</v>
          </cell>
          <cell r="I851" t="str">
            <v>地獄級</v>
          </cell>
          <cell r="J851">
            <v>1192</v>
          </cell>
          <cell r="K851">
            <v>35</v>
          </cell>
          <cell r="L851">
            <v>4200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952</v>
          </cell>
          <cell r="AD851">
            <v>6</v>
          </cell>
          <cell r="AE851" t="str">
            <v>everyone</v>
          </cell>
        </row>
        <row r="852">
          <cell r="A852" t="str">
            <v>47003_4</v>
          </cell>
          <cell r="B852">
            <v>3</v>
          </cell>
          <cell r="C852">
            <v>47003</v>
          </cell>
          <cell r="D852" t="str">
            <v>ハロウィンナイトパニック！</v>
          </cell>
          <cell r="E852" t="str">
            <v>季節イベント</v>
          </cell>
          <cell r="F852">
            <v>4</v>
          </cell>
          <cell r="G852" t="str">
            <v>ja</v>
          </cell>
          <cell r="H852" t="str">
            <v>【ｳｨｻﾞ】ハロウィンナイトパニック！</v>
          </cell>
          <cell r="I852" t="str">
            <v>地獄級</v>
          </cell>
          <cell r="J852">
            <v>1192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polygon</v>
          </cell>
          <cell r="T852">
            <v>1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952</v>
          </cell>
          <cell r="AD852">
            <v>6</v>
          </cell>
          <cell r="AE852" t="str">
            <v>everyone</v>
          </cell>
        </row>
        <row r="853">
          <cell r="A853" t="str">
            <v>47004_1</v>
          </cell>
          <cell r="B853">
            <v>3</v>
          </cell>
          <cell r="C853">
            <v>47004</v>
          </cell>
          <cell r="D853" t="str">
            <v>聖なる夜に祝福を</v>
          </cell>
          <cell r="E853" t="str">
            <v>季節イベント</v>
          </cell>
          <cell r="F853">
            <v>1</v>
          </cell>
          <cell r="G853" t="str">
            <v>ja</v>
          </cell>
          <cell r="H853" t="str">
            <v>【上級】聖なる夜に祝福を</v>
          </cell>
          <cell r="I853" t="str">
            <v>上級</v>
          </cell>
          <cell r="J853">
            <v>1284</v>
          </cell>
          <cell r="K853">
            <v>20</v>
          </cell>
          <cell r="L853">
            <v>2000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none</v>
          </cell>
          <cell r="T853">
            <v>0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962</v>
          </cell>
          <cell r="AD853">
            <v>6</v>
          </cell>
          <cell r="AE853" t="str">
            <v>everyone</v>
          </cell>
        </row>
        <row r="854">
          <cell r="A854" t="str">
            <v>47004_2</v>
          </cell>
          <cell r="B854">
            <v>3</v>
          </cell>
          <cell r="C854">
            <v>47004</v>
          </cell>
          <cell r="D854" t="str">
            <v>聖なる夜に祝福を</v>
          </cell>
          <cell r="E854" t="str">
            <v>季節イベント</v>
          </cell>
          <cell r="F854">
            <v>2</v>
          </cell>
          <cell r="G854" t="str">
            <v>ja</v>
          </cell>
          <cell r="H854" t="str">
            <v>【超級】聖なる夜に祝福を</v>
          </cell>
          <cell r="I854" t="str">
            <v>超級</v>
          </cell>
          <cell r="J854">
            <v>1284</v>
          </cell>
          <cell r="K854">
            <v>30</v>
          </cell>
          <cell r="L854">
            <v>3300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none</v>
          </cell>
          <cell r="T854">
            <v>0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962</v>
          </cell>
          <cell r="AD854">
            <v>6</v>
          </cell>
          <cell r="AE854" t="str">
            <v>everyone</v>
          </cell>
        </row>
        <row r="855">
          <cell r="A855" t="str">
            <v>47004_3</v>
          </cell>
          <cell r="B855">
            <v>3</v>
          </cell>
          <cell r="C855">
            <v>47004</v>
          </cell>
          <cell r="D855" t="str">
            <v>聖なる夜に祝福を</v>
          </cell>
          <cell r="E855" t="str">
            <v>季節イベント</v>
          </cell>
          <cell r="F855">
            <v>3</v>
          </cell>
          <cell r="G855" t="str">
            <v>ja</v>
          </cell>
          <cell r="H855" t="str">
            <v>【超絶級】聖なる夜に祝福を</v>
          </cell>
          <cell r="I855" t="str">
            <v>超絶級</v>
          </cell>
          <cell r="J855">
            <v>1284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962</v>
          </cell>
          <cell r="AD855">
            <v>6</v>
          </cell>
          <cell r="AE855" t="str">
            <v>everyone</v>
          </cell>
        </row>
        <row r="856">
          <cell r="A856" t="str">
            <v>47004_4</v>
          </cell>
          <cell r="B856">
            <v>3</v>
          </cell>
          <cell r="C856">
            <v>47004</v>
          </cell>
          <cell r="D856" t="str">
            <v>聖なる夜に祝福を</v>
          </cell>
          <cell r="E856" t="str">
            <v>季節イベント</v>
          </cell>
          <cell r="F856">
            <v>4</v>
          </cell>
          <cell r="G856" t="str">
            <v>ja</v>
          </cell>
          <cell r="H856" t="str">
            <v>【ウィザード級】聖なる夜に祝福を</v>
          </cell>
          <cell r="I856" t="str">
            <v>地獄級</v>
          </cell>
          <cell r="J856">
            <v>1284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962</v>
          </cell>
          <cell r="AD856">
            <v>6</v>
          </cell>
          <cell r="AE856" t="str">
            <v>everyone</v>
          </cell>
        </row>
        <row r="857">
          <cell r="A857" t="str">
            <v>47005_1</v>
          </cell>
          <cell r="B857">
            <v>3</v>
          </cell>
          <cell r="C857">
            <v>47005</v>
          </cell>
          <cell r="D857" t="str">
            <v>年を越える儀式</v>
          </cell>
          <cell r="E857" t="str">
            <v>季節イベント</v>
          </cell>
          <cell r="F857">
            <v>1</v>
          </cell>
          <cell r="G857" t="str">
            <v>ja</v>
          </cell>
          <cell r="H857" t="str">
            <v>【ウィザード級】年を越える儀式</v>
          </cell>
          <cell r="I857" t="str">
            <v>地獄級</v>
          </cell>
          <cell r="J857">
            <v>1292</v>
          </cell>
          <cell r="K857">
            <v>30</v>
          </cell>
          <cell r="L857">
            <v>4000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901</v>
          </cell>
          <cell r="AD857">
            <v>6</v>
          </cell>
          <cell r="AE857" t="str">
            <v>everyone</v>
          </cell>
        </row>
        <row r="858">
          <cell r="A858" t="str">
            <v>47006_1</v>
          </cell>
          <cell r="B858">
            <v>3</v>
          </cell>
          <cell r="C858">
            <v>47006</v>
          </cell>
          <cell r="D858" t="str">
            <v>酉の初めはたまごから</v>
          </cell>
          <cell r="E858" t="str">
            <v>季節イベント</v>
          </cell>
          <cell r="F858">
            <v>1</v>
          </cell>
          <cell r="G858" t="str">
            <v>ja</v>
          </cell>
          <cell r="H858" t="str">
            <v>【超絶】酉の初めはたまごから</v>
          </cell>
          <cell r="I858" t="str">
            <v>超絶級</v>
          </cell>
          <cell r="J858">
            <v>1294</v>
          </cell>
          <cell r="K858">
            <v>30</v>
          </cell>
          <cell r="L858">
            <v>4200</v>
          </cell>
          <cell r="M858">
            <v>1</v>
          </cell>
          <cell r="N858">
            <v>1</v>
          </cell>
          <cell r="O858">
            <v>1</v>
          </cell>
          <cell r="P858">
            <v>0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2</v>
          </cell>
          <cell r="AD858">
            <v>6</v>
          </cell>
          <cell r="AE858" t="str">
            <v>everyone</v>
          </cell>
        </row>
        <row r="859">
          <cell r="A859" t="str">
            <v>47006_2</v>
          </cell>
          <cell r="B859">
            <v>3</v>
          </cell>
          <cell r="C859">
            <v>47006</v>
          </cell>
          <cell r="D859" t="str">
            <v>酉の初めはたまごから</v>
          </cell>
          <cell r="E859" t="str">
            <v>季節イベント</v>
          </cell>
          <cell r="F859">
            <v>2</v>
          </cell>
          <cell r="G859" t="str">
            <v>ja</v>
          </cell>
          <cell r="H859" t="str">
            <v>【ｳｨｻﾞ】酉の初めはたまごから</v>
          </cell>
          <cell r="I859" t="str">
            <v>地獄級</v>
          </cell>
          <cell r="J859">
            <v>1294</v>
          </cell>
          <cell r="K859">
            <v>35</v>
          </cell>
          <cell r="L859">
            <v>4500</v>
          </cell>
          <cell r="M859">
            <v>1</v>
          </cell>
          <cell r="N859">
            <v>1</v>
          </cell>
          <cell r="O859">
            <v>1</v>
          </cell>
          <cell r="P859">
            <v>0</v>
          </cell>
          <cell r="Q859">
            <v>1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2</v>
          </cell>
          <cell r="AD859">
            <v>6</v>
          </cell>
          <cell r="AE859" t="str">
            <v>everyone</v>
          </cell>
        </row>
        <row r="860">
          <cell r="A860" t="str">
            <v>47007_1</v>
          </cell>
          <cell r="B860">
            <v>3</v>
          </cell>
          <cell r="C860">
            <v>47007</v>
          </cell>
          <cell r="D860" t="str">
            <v>ツンデレ少女の恋心</v>
          </cell>
          <cell r="E860" t="str">
            <v>季節イベント</v>
          </cell>
          <cell r="F860">
            <v>1</v>
          </cell>
          <cell r="G860" t="str">
            <v>ja</v>
          </cell>
          <cell r="H860" t="str">
            <v>【上級】ツンデレ少女の恋心</v>
          </cell>
          <cell r="I860" t="str">
            <v>超絶級</v>
          </cell>
          <cell r="J860">
            <v>1351</v>
          </cell>
          <cell r="K860">
            <v>15</v>
          </cell>
          <cell r="L860">
            <v>2000</v>
          </cell>
          <cell r="M860">
            <v>1</v>
          </cell>
          <cell r="N860">
            <v>1</v>
          </cell>
          <cell r="O860">
            <v>0</v>
          </cell>
          <cell r="P860">
            <v>1</v>
          </cell>
          <cell r="Q860">
            <v>1</v>
          </cell>
          <cell r="R860">
            <v>3</v>
          </cell>
          <cell r="S860" t="str">
            <v>none</v>
          </cell>
          <cell r="T860">
            <v>0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969</v>
          </cell>
          <cell r="AD860">
            <v>6</v>
          </cell>
          <cell r="AE860" t="str">
            <v>everyone</v>
          </cell>
        </row>
        <row r="861">
          <cell r="A861" t="str">
            <v>47007_2</v>
          </cell>
          <cell r="B861">
            <v>3</v>
          </cell>
          <cell r="C861">
            <v>47007</v>
          </cell>
          <cell r="D861" t="str">
            <v>ツンデレ少女の恋心</v>
          </cell>
          <cell r="E861" t="str">
            <v>季節イベント</v>
          </cell>
          <cell r="F861">
            <v>2</v>
          </cell>
          <cell r="G861" t="str">
            <v>ja</v>
          </cell>
          <cell r="H861" t="str">
            <v>【ウィザード級】ツンデレ少女の恋心</v>
          </cell>
          <cell r="I861" t="str">
            <v>地獄級</v>
          </cell>
          <cell r="J861">
            <v>1351</v>
          </cell>
          <cell r="K861">
            <v>30</v>
          </cell>
          <cell r="L861">
            <v>4500</v>
          </cell>
          <cell r="M861">
            <v>1</v>
          </cell>
          <cell r="N861">
            <v>1</v>
          </cell>
          <cell r="O861">
            <v>0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969</v>
          </cell>
          <cell r="AD861">
            <v>6</v>
          </cell>
          <cell r="AE861" t="str">
            <v>everyone</v>
          </cell>
        </row>
        <row r="862">
          <cell r="A862" t="str">
            <v>47008_1</v>
          </cell>
          <cell r="B862">
            <v>3</v>
          </cell>
          <cell r="C862">
            <v>47008</v>
          </cell>
          <cell r="D862" t="str">
            <v>ふんわり少女の恋心</v>
          </cell>
          <cell r="E862" t="str">
            <v>季節イベント</v>
          </cell>
          <cell r="F862">
            <v>1</v>
          </cell>
          <cell r="G862" t="str">
            <v>ja</v>
          </cell>
          <cell r="H862" t="str">
            <v>【上級】ふんわり少女の恋心</v>
          </cell>
          <cell r="I862" t="str">
            <v>超絶級</v>
          </cell>
          <cell r="J862">
            <v>1364</v>
          </cell>
          <cell r="K862">
            <v>15</v>
          </cell>
          <cell r="L862">
            <v>2000</v>
          </cell>
          <cell r="M862">
            <v>1</v>
          </cell>
          <cell r="N862">
            <v>1</v>
          </cell>
          <cell r="O862">
            <v>1</v>
          </cell>
          <cell r="P862">
            <v>0</v>
          </cell>
          <cell r="Q862">
            <v>1</v>
          </cell>
          <cell r="R862">
            <v>3</v>
          </cell>
          <cell r="S862" t="str">
            <v>none</v>
          </cell>
          <cell r="T862">
            <v>0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969</v>
          </cell>
          <cell r="AD862">
            <v>6</v>
          </cell>
          <cell r="AE862" t="str">
            <v>everyone</v>
          </cell>
        </row>
        <row r="863">
          <cell r="A863" t="str">
            <v>47008_2</v>
          </cell>
          <cell r="B863">
            <v>3</v>
          </cell>
          <cell r="C863">
            <v>47008</v>
          </cell>
          <cell r="D863" t="str">
            <v>ふんわり少女の恋心</v>
          </cell>
          <cell r="E863" t="str">
            <v>季節イベント</v>
          </cell>
          <cell r="F863">
            <v>2</v>
          </cell>
          <cell r="G863" t="str">
            <v>ja</v>
          </cell>
          <cell r="H863" t="str">
            <v>【ウィザード級】ふんわり少女の恋心</v>
          </cell>
          <cell r="I863" t="str">
            <v>地獄級</v>
          </cell>
          <cell r="J863">
            <v>1364</v>
          </cell>
          <cell r="K863">
            <v>30</v>
          </cell>
          <cell r="L863">
            <v>4500</v>
          </cell>
          <cell r="M863">
            <v>1</v>
          </cell>
          <cell r="N863">
            <v>1</v>
          </cell>
          <cell r="O863">
            <v>1</v>
          </cell>
          <cell r="P863">
            <v>0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969</v>
          </cell>
          <cell r="AD863">
            <v>6</v>
          </cell>
          <cell r="AE863" t="str">
            <v>everyone</v>
          </cell>
        </row>
        <row r="864">
          <cell r="A864" t="str">
            <v>47009_1</v>
          </cell>
          <cell r="B864">
            <v>3</v>
          </cell>
          <cell r="C864">
            <v>47009</v>
          </cell>
          <cell r="D864" t="str">
            <v>夏☆襲来！</v>
          </cell>
          <cell r="E864" t="str">
            <v>（復刻）季節イベント</v>
          </cell>
          <cell r="F864">
            <v>1</v>
          </cell>
          <cell r="G864" t="str">
            <v>ja</v>
          </cell>
          <cell r="H864" t="str">
            <v>【超絶級】夏☆襲来</v>
          </cell>
          <cell r="I864" t="str">
            <v>地獄級</v>
          </cell>
          <cell r="J864">
            <v>1053</v>
          </cell>
          <cell r="K864">
            <v>35</v>
          </cell>
          <cell r="L864">
            <v>4200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5</v>
          </cell>
          <cell r="AD864">
            <v>6</v>
          </cell>
          <cell r="AE864" t="str">
            <v>everyone</v>
          </cell>
        </row>
        <row r="865">
          <cell r="A865" t="str">
            <v>47009_2</v>
          </cell>
          <cell r="B865">
            <v>3</v>
          </cell>
          <cell r="C865">
            <v>47009</v>
          </cell>
          <cell r="D865" t="str">
            <v>夏☆襲来！</v>
          </cell>
          <cell r="E865" t="str">
            <v>（復刻）季節イベント</v>
          </cell>
          <cell r="F865">
            <v>2</v>
          </cell>
          <cell r="G865" t="str">
            <v>ja</v>
          </cell>
          <cell r="H865" t="str">
            <v>【ウィザード級】夏☆襲来</v>
          </cell>
          <cell r="I865" t="str">
            <v>地獄級</v>
          </cell>
          <cell r="J865">
            <v>1054</v>
          </cell>
          <cell r="K865">
            <v>40</v>
          </cell>
          <cell r="L865">
            <v>4500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5</v>
          </cell>
          <cell r="AD865">
            <v>6</v>
          </cell>
          <cell r="AE865" t="str">
            <v>everyone</v>
          </cell>
        </row>
        <row r="866">
          <cell r="A866" t="str">
            <v>47010_1</v>
          </cell>
          <cell r="B866">
            <v>3</v>
          </cell>
          <cell r="C866">
            <v>47010</v>
          </cell>
          <cell r="D866" t="str">
            <v>僕の愛よあの子にとどけ！</v>
          </cell>
          <cell r="E866" t="str">
            <v>季節イベント</v>
          </cell>
          <cell r="F866">
            <v>1</v>
          </cell>
          <cell r="G866" t="str">
            <v>ja</v>
          </cell>
          <cell r="H866" t="str">
            <v>【上級】僕の愛よあの子にとどけ！</v>
          </cell>
          <cell r="I866" t="str">
            <v>地獄級</v>
          </cell>
          <cell r="J866">
            <v>1408</v>
          </cell>
          <cell r="K866">
            <v>20</v>
          </cell>
          <cell r="L866">
            <v>2000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item</v>
          </cell>
          <cell r="T866">
            <v>703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908</v>
          </cell>
          <cell r="AD866">
            <v>6</v>
          </cell>
          <cell r="AE866" t="str">
            <v>everyone</v>
          </cell>
        </row>
        <row r="867">
          <cell r="A867" t="str">
            <v>47010_2</v>
          </cell>
          <cell r="B867">
            <v>3</v>
          </cell>
          <cell r="C867">
            <v>47010</v>
          </cell>
          <cell r="D867" t="str">
            <v>僕の愛よあの子にとどけ！</v>
          </cell>
          <cell r="E867" t="str">
            <v>季節イベント</v>
          </cell>
          <cell r="F867">
            <v>2</v>
          </cell>
          <cell r="G867" t="str">
            <v>ja</v>
          </cell>
          <cell r="H867" t="str">
            <v>【ｳｨｻﾞ】僕の愛よあの子にとどけ！</v>
          </cell>
          <cell r="I867" t="str">
            <v>地獄級</v>
          </cell>
          <cell r="J867">
            <v>1408</v>
          </cell>
          <cell r="K867">
            <v>40</v>
          </cell>
          <cell r="L867">
            <v>4500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anytime</v>
          </cell>
          <cell r="AC867">
            <v>908</v>
          </cell>
          <cell r="AD867">
            <v>6</v>
          </cell>
          <cell r="AE867" t="str">
            <v>everyone</v>
          </cell>
        </row>
        <row r="868">
          <cell r="A868" t="str">
            <v>47011_1</v>
          </cell>
          <cell r="B868">
            <v>3</v>
          </cell>
          <cell r="C868">
            <v>47011</v>
          </cell>
          <cell r="D868" t="str">
            <v>ツンデレ少女にお返しを！</v>
          </cell>
          <cell r="E868" t="str">
            <v>季節イベント</v>
          </cell>
          <cell r="F868">
            <v>1</v>
          </cell>
          <cell r="G868" t="str">
            <v>ja</v>
          </cell>
          <cell r="H868" t="str">
            <v>ツンデレ少女にお返しを！</v>
          </cell>
          <cell r="I868" t="str">
            <v>地獄級</v>
          </cell>
          <cell r="J868">
            <v>1351</v>
          </cell>
          <cell r="K868">
            <v>1</v>
          </cell>
          <cell r="L868">
            <v>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926</v>
          </cell>
          <cell r="AD868">
            <v>6</v>
          </cell>
          <cell r="AE868" t="str">
            <v>singleonly</v>
          </cell>
        </row>
        <row r="869">
          <cell r="A869" t="str">
            <v>47012_1</v>
          </cell>
          <cell r="B869">
            <v>3</v>
          </cell>
          <cell r="C869">
            <v>47012</v>
          </cell>
          <cell r="D869" t="str">
            <v>春呼ぶキミの行方</v>
          </cell>
          <cell r="E869" t="str">
            <v>季節イベント</v>
          </cell>
          <cell r="F869">
            <v>1</v>
          </cell>
          <cell r="G869" t="str">
            <v>ja</v>
          </cell>
          <cell r="H869" t="str">
            <v>【上級】春呼ぶキミの行方</v>
          </cell>
          <cell r="I869" t="str">
            <v>超絶級</v>
          </cell>
          <cell r="J869">
            <v>1498</v>
          </cell>
          <cell r="K869">
            <v>20</v>
          </cell>
          <cell r="L869">
            <v>2000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item</v>
          </cell>
          <cell r="T869">
            <v>705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1009</v>
          </cell>
          <cell r="AD869">
            <v>6</v>
          </cell>
          <cell r="AE869" t="str">
            <v>everyone</v>
          </cell>
        </row>
        <row r="870">
          <cell r="A870" t="str">
            <v>47012_2</v>
          </cell>
          <cell r="B870">
            <v>3</v>
          </cell>
          <cell r="C870">
            <v>47012</v>
          </cell>
          <cell r="D870" t="str">
            <v>春呼ぶキミの行方</v>
          </cell>
          <cell r="E870" t="str">
            <v>季節イベント</v>
          </cell>
          <cell r="F870">
            <v>2</v>
          </cell>
          <cell r="G870" t="str">
            <v>ja</v>
          </cell>
          <cell r="H870" t="str">
            <v>【ウィザード級】春呼ぶキミの行方</v>
          </cell>
          <cell r="I870" t="str">
            <v>地獄級</v>
          </cell>
          <cell r="J870">
            <v>1498</v>
          </cell>
          <cell r="K870">
            <v>40</v>
          </cell>
          <cell r="L870">
            <v>4500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1009</v>
          </cell>
          <cell r="AD870">
            <v>6</v>
          </cell>
          <cell r="AE870" t="str">
            <v>everyone</v>
          </cell>
        </row>
        <row r="871">
          <cell r="A871" t="str">
            <v>47013_1</v>
          </cell>
          <cell r="B871">
            <v>3</v>
          </cell>
          <cell r="C871">
            <v>47013</v>
          </cell>
          <cell r="D871" t="str">
            <v>スカルズ襲来！</v>
          </cell>
          <cell r="E871" t="str">
            <v>1000億パネル破壊記念イベント</v>
          </cell>
          <cell r="F871">
            <v>1</v>
          </cell>
          <cell r="G871" t="str">
            <v>ja</v>
          </cell>
          <cell r="H871" t="str">
            <v>【超絶級】スカルズ襲来！</v>
          </cell>
          <cell r="I871" t="str">
            <v>超絶級</v>
          </cell>
          <cell r="J871">
            <v>1036</v>
          </cell>
          <cell r="K871">
            <v>35</v>
          </cell>
          <cell r="L871">
            <v>4200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954</v>
          </cell>
          <cell r="AD871">
            <v>6</v>
          </cell>
          <cell r="AE871" t="str">
            <v>everyone</v>
          </cell>
        </row>
        <row r="872">
          <cell r="A872" t="str">
            <v>47013_2</v>
          </cell>
          <cell r="B872">
            <v>3</v>
          </cell>
          <cell r="C872">
            <v>47013</v>
          </cell>
          <cell r="D872" t="str">
            <v>スカルズ襲来！</v>
          </cell>
          <cell r="E872" t="str">
            <v>1000億パネル破壊記念イベント</v>
          </cell>
          <cell r="F872">
            <v>2</v>
          </cell>
          <cell r="G872" t="str">
            <v>ja</v>
          </cell>
          <cell r="H872" t="str">
            <v>【ウィザード級】スカルズ襲来！</v>
          </cell>
          <cell r="I872" t="str">
            <v>地獄級</v>
          </cell>
          <cell r="J872">
            <v>1036</v>
          </cell>
          <cell r="K872">
            <v>40</v>
          </cell>
          <cell r="L872">
            <v>4500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954</v>
          </cell>
          <cell r="AD872">
            <v>6</v>
          </cell>
          <cell r="AE872" t="str">
            <v>everyone</v>
          </cell>
        </row>
        <row r="873">
          <cell r="A873" t="str">
            <v>47013_3</v>
          </cell>
          <cell r="B873">
            <v>0</v>
          </cell>
          <cell r="C873">
            <v>47013</v>
          </cell>
          <cell r="D873" t="str">
            <v>スカルズ襲来！</v>
          </cell>
          <cell r="E873" t="str">
            <v>1000億パネル破壊記念イベント</v>
          </cell>
          <cell r="F873">
            <v>3</v>
          </cell>
          <cell r="G873" t="str">
            <v>ja</v>
          </cell>
          <cell r="H873" t="str">
            <v>【スコア超絶】スカルズ襲来！</v>
          </cell>
          <cell r="I873" t="str">
            <v>超絶級</v>
          </cell>
          <cell r="J873">
            <v>1036</v>
          </cell>
          <cell r="K873">
            <v>35</v>
          </cell>
          <cell r="L873">
            <v>4200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954</v>
          </cell>
          <cell r="AD873">
            <v>6</v>
          </cell>
          <cell r="AE873" t="str">
            <v>everyone</v>
          </cell>
        </row>
        <row r="874">
          <cell r="A874" t="str">
            <v>47013_4</v>
          </cell>
          <cell r="B874">
            <v>3</v>
          </cell>
          <cell r="C874">
            <v>47013</v>
          </cell>
          <cell r="D874" t="str">
            <v>スカルズ襲来！</v>
          </cell>
          <cell r="E874" t="str">
            <v>1000億パネル破壊記念イベント</v>
          </cell>
          <cell r="F874">
            <v>4</v>
          </cell>
          <cell r="G874" t="str">
            <v>ja</v>
          </cell>
          <cell r="H874" t="str">
            <v>【スコアアタック】スカルズ襲来！</v>
          </cell>
          <cell r="I874" t="str">
            <v>地獄級</v>
          </cell>
          <cell r="J874">
            <v>1036</v>
          </cell>
          <cell r="K874">
            <v>40</v>
          </cell>
          <cell r="L874">
            <v>4500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954</v>
          </cell>
          <cell r="AD874">
            <v>6</v>
          </cell>
          <cell r="AE874" t="str">
            <v>singleonly</v>
          </cell>
        </row>
        <row r="875">
          <cell r="A875" t="str">
            <v>48001_1</v>
          </cell>
          <cell r="B875">
            <v>1</v>
          </cell>
          <cell r="C875">
            <v>48001</v>
          </cell>
          <cell r="D875" t="str">
            <v>蛟龍襲来！</v>
          </cell>
          <cell r="E875" t="str">
            <v>台湾版降臨1</v>
          </cell>
          <cell r="F875">
            <v>1</v>
          </cell>
          <cell r="G875" t="str">
            <v>ja</v>
          </cell>
          <cell r="H875" t="str">
            <v>【ウィザード級】蛟龍襲来</v>
          </cell>
          <cell r="I875" t="str">
            <v>地獄級</v>
          </cell>
          <cell r="J875">
            <v>8003</v>
          </cell>
          <cell r="K875">
            <v>35</v>
          </cell>
          <cell r="L875">
            <v>4200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character</v>
          </cell>
          <cell r="T875">
            <v>8003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930</v>
          </cell>
          <cell r="AD875">
            <v>6</v>
          </cell>
          <cell r="AE875" t="str">
            <v>everyone</v>
          </cell>
        </row>
        <row r="876">
          <cell r="A876" t="str">
            <v>48002_1</v>
          </cell>
          <cell r="B876">
            <v>1</v>
          </cell>
          <cell r="C876">
            <v>48002</v>
          </cell>
          <cell r="D876" t="str">
            <v>孫悟空襲来！</v>
          </cell>
          <cell r="E876" t="str">
            <v>台湾版降臨2</v>
          </cell>
          <cell r="F876">
            <v>1</v>
          </cell>
          <cell r="G876" t="str">
            <v>ja</v>
          </cell>
          <cell r="H876" t="str">
            <v>【超絶級】孫悟空襲来</v>
          </cell>
          <cell r="I876" t="str">
            <v>地獄級</v>
          </cell>
          <cell r="J876">
            <v>8007</v>
          </cell>
          <cell r="K876">
            <v>35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927</v>
          </cell>
          <cell r="AD876">
            <v>6</v>
          </cell>
          <cell r="AE876" t="str">
            <v>everyone</v>
          </cell>
        </row>
        <row r="877">
          <cell r="A877" t="str">
            <v>48002_2</v>
          </cell>
          <cell r="B877">
            <v>1</v>
          </cell>
          <cell r="C877">
            <v>48002</v>
          </cell>
          <cell r="D877" t="str">
            <v>孫悟空襲来！</v>
          </cell>
          <cell r="E877" t="str">
            <v>台湾版降臨2</v>
          </cell>
          <cell r="F877">
            <v>2</v>
          </cell>
          <cell r="G877" t="str">
            <v>ja</v>
          </cell>
          <cell r="H877" t="str">
            <v>【ウィザード級】孫悟空襲来</v>
          </cell>
          <cell r="I877" t="str">
            <v>地獄級</v>
          </cell>
          <cell r="J877">
            <v>8007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927</v>
          </cell>
          <cell r="AD877">
            <v>6</v>
          </cell>
          <cell r="AE877" t="str">
            <v>everyone</v>
          </cell>
        </row>
        <row r="878">
          <cell r="A878" t="str">
            <v>48002_3</v>
          </cell>
          <cell r="B878">
            <v>1</v>
          </cell>
          <cell r="C878">
            <v>48002</v>
          </cell>
          <cell r="D878" t="str">
            <v>孫悟空襲来！</v>
          </cell>
          <cell r="E878" t="str">
            <v>台湾版降臨2</v>
          </cell>
          <cell r="F878">
            <v>3</v>
          </cell>
          <cell r="G878" t="str">
            <v>ja</v>
          </cell>
          <cell r="H878" t="str">
            <v>【ノーコンテニュー】孫悟空襲来</v>
          </cell>
          <cell r="I878" t="str">
            <v>地獄級</v>
          </cell>
          <cell r="J878">
            <v>8007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character</v>
          </cell>
          <cell r="T878">
            <v>8007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927</v>
          </cell>
          <cell r="AD878">
            <v>6</v>
          </cell>
          <cell r="AE878" t="str">
            <v>everyone</v>
          </cell>
        </row>
        <row r="879">
          <cell r="A879" t="str">
            <v>48003_1</v>
          </cell>
          <cell r="B879">
            <v>3</v>
          </cell>
          <cell r="C879">
            <v>48003</v>
          </cell>
          <cell r="D879" t="str">
            <v>月下老人襲来！</v>
          </cell>
          <cell r="E879" t="str">
            <v>台湾版降臨4</v>
          </cell>
          <cell r="F879">
            <v>1</v>
          </cell>
          <cell r="G879" t="str">
            <v>ja</v>
          </cell>
          <cell r="H879" t="str">
            <v>【超絶級】月下老人襲来</v>
          </cell>
          <cell r="I879" t="str">
            <v>超絶級</v>
          </cell>
          <cell r="J879">
            <v>8012</v>
          </cell>
          <cell r="K879">
            <v>35</v>
          </cell>
          <cell r="L879">
            <v>4200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942</v>
          </cell>
          <cell r="AD879">
            <v>6</v>
          </cell>
          <cell r="AE879" t="str">
            <v>everyone</v>
          </cell>
        </row>
        <row r="880">
          <cell r="A880" t="str">
            <v>48003_2</v>
          </cell>
          <cell r="B880">
            <v>3</v>
          </cell>
          <cell r="C880">
            <v>48003</v>
          </cell>
          <cell r="D880" t="str">
            <v>月下老人襲来！</v>
          </cell>
          <cell r="E880" t="str">
            <v>台湾版降臨4</v>
          </cell>
          <cell r="F880">
            <v>2</v>
          </cell>
          <cell r="G880" t="str">
            <v>ja</v>
          </cell>
          <cell r="H880" t="str">
            <v>【ウィザード級】月下老人襲来</v>
          </cell>
          <cell r="I880" t="str">
            <v>地獄級</v>
          </cell>
          <cell r="J880">
            <v>8012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942</v>
          </cell>
          <cell r="AD880">
            <v>6</v>
          </cell>
          <cell r="AE880" t="str">
            <v>everyone</v>
          </cell>
        </row>
        <row r="881">
          <cell r="A881" t="str">
            <v>48004_1</v>
          </cell>
          <cell r="B881">
            <v>3</v>
          </cell>
          <cell r="C881">
            <v>48004</v>
          </cell>
          <cell r="D881" t="str">
            <v>蛟龍襲来！</v>
          </cell>
          <cell r="E881" t="str">
            <v>台湾版降臨5</v>
          </cell>
          <cell r="F881">
            <v>1</v>
          </cell>
          <cell r="G881" t="str">
            <v>ja</v>
          </cell>
          <cell r="H881" t="str">
            <v>【超絶級】蛟龍襲来</v>
          </cell>
          <cell r="I881" t="str">
            <v>地獄級</v>
          </cell>
          <cell r="J881">
            <v>8003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930</v>
          </cell>
          <cell r="AD881">
            <v>6</v>
          </cell>
          <cell r="AE881" t="str">
            <v>everyone</v>
          </cell>
        </row>
        <row r="882">
          <cell r="A882" t="str">
            <v>48004_2</v>
          </cell>
          <cell r="B882">
            <v>3</v>
          </cell>
          <cell r="C882">
            <v>48004</v>
          </cell>
          <cell r="D882" t="str">
            <v>蛟龍襲来！</v>
          </cell>
          <cell r="E882" t="str">
            <v>台湾版降臨5</v>
          </cell>
          <cell r="F882">
            <v>2</v>
          </cell>
          <cell r="G882" t="str">
            <v>ja</v>
          </cell>
          <cell r="H882" t="str">
            <v>【ウィザード級】蛟龍襲来</v>
          </cell>
          <cell r="I882" t="str">
            <v>地獄級</v>
          </cell>
          <cell r="J882">
            <v>8004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930</v>
          </cell>
          <cell r="AD882">
            <v>6</v>
          </cell>
          <cell r="AE882" t="str">
            <v>everyone</v>
          </cell>
        </row>
        <row r="883">
          <cell r="A883" t="str">
            <v>48005_1</v>
          </cell>
          <cell r="B883">
            <v>3</v>
          </cell>
          <cell r="C883">
            <v>48005</v>
          </cell>
          <cell r="D883" t="str">
            <v>孫悟空襲来！</v>
          </cell>
          <cell r="E883" t="str">
            <v>台湾版降臨6</v>
          </cell>
          <cell r="F883">
            <v>1</v>
          </cell>
          <cell r="G883" t="str">
            <v>ja</v>
          </cell>
          <cell r="H883" t="str">
            <v>【超絶級】孫悟空襲来</v>
          </cell>
          <cell r="I883" t="str">
            <v>地獄級</v>
          </cell>
          <cell r="J883">
            <v>8007</v>
          </cell>
          <cell r="K883">
            <v>35</v>
          </cell>
          <cell r="L883">
            <v>4200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932</v>
          </cell>
          <cell r="AD883">
            <v>6</v>
          </cell>
          <cell r="AE883" t="str">
            <v>everyone</v>
          </cell>
        </row>
        <row r="884">
          <cell r="A884" t="str">
            <v>48005_2</v>
          </cell>
          <cell r="B884">
            <v>3</v>
          </cell>
          <cell r="C884">
            <v>48005</v>
          </cell>
          <cell r="D884" t="str">
            <v>孫悟空襲来！</v>
          </cell>
          <cell r="E884" t="str">
            <v>台湾版降臨6</v>
          </cell>
          <cell r="F884">
            <v>2</v>
          </cell>
          <cell r="G884" t="str">
            <v>ja</v>
          </cell>
          <cell r="H884" t="str">
            <v>【ウィザード級】孫悟空襲来</v>
          </cell>
          <cell r="I884" t="str">
            <v>地獄級</v>
          </cell>
          <cell r="J884">
            <v>8008</v>
          </cell>
          <cell r="K884">
            <v>40</v>
          </cell>
          <cell r="L884">
            <v>4500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932</v>
          </cell>
          <cell r="AD884">
            <v>6</v>
          </cell>
          <cell r="AE884" t="str">
            <v>everyone</v>
          </cell>
        </row>
        <row r="885">
          <cell r="A885" t="str">
            <v>48006_1</v>
          </cell>
          <cell r="B885">
            <v>3</v>
          </cell>
          <cell r="C885">
            <v>48006</v>
          </cell>
          <cell r="D885" t="str">
            <v>牛頭馬面襲来！</v>
          </cell>
          <cell r="E885" t="str">
            <v>台湾版降臨7</v>
          </cell>
          <cell r="F885">
            <v>1</v>
          </cell>
          <cell r="G885" t="str">
            <v>ja</v>
          </cell>
          <cell r="H885" t="str">
            <v>【超絶級】牛頭馬面襲来</v>
          </cell>
          <cell r="I885" t="str">
            <v>地獄級</v>
          </cell>
          <cell r="J885">
            <v>8033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0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946</v>
          </cell>
          <cell r="AD885">
            <v>6</v>
          </cell>
          <cell r="AE885" t="str">
            <v>everyone</v>
          </cell>
        </row>
        <row r="886">
          <cell r="A886" t="str">
            <v>48006_2</v>
          </cell>
          <cell r="B886">
            <v>3</v>
          </cell>
          <cell r="C886">
            <v>48006</v>
          </cell>
          <cell r="D886" t="str">
            <v>牛頭馬面襲来！</v>
          </cell>
          <cell r="E886" t="str">
            <v>台湾版降臨7</v>
          </cell>
          <cell r="F886">
            <v>2</v>
          </cell>
          <cell r="G886" t="str">
            <v>ja</v>
          </cell>
          <cell r="H886" t="str">
            <v>【ウィザード級】牛頭馬面襲来</v>
          </cell>
          <cell r="I886" t="str">
            <v>地獄級</v>
          </cell>
          <cell r="J886">
            <v>8034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0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946</v>
          </cell>
          <cell r="AD886">
            <v>6</v>
          </cell>
          <cell r="AE886" t="str">
            <v>everyone</v>
          </cell>
        </row>
        <row r="887">
          <cell r="A887" t="str">
            <v>48007_1</v>
          </cell>
          <cell r="B887">
            <v>1</v>
          </cell>
          <cell r="C887">
            <v>48007</v>
          </cell>
          <cell r="D887" t="str">
            <v>紅鬼襲来！</v>
          </cell>
          <cell r="E887" t="str">
            <v>台湾版降臨8</v>
          </cell>
          <cell r="F887">
            <v>1</v>
          </cell>
          <cell r="G887" t="str">
            <v>ja</v>
          </cell>
          <cell r="H887" t="str">
            <v>【超絶級】紅鬼襲来</v>
          </cell>
          <cell r="I887" t="str">
            <v>地獄級</v>
          </cell>
          <cell r="J887">
            <v>8079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931</v>
          </cell>
          <cell r="AD887">
            <v>6</v>
          </cell>
          <cell r="AE887" t="str">
            <v>everyone</v>
          </cell>
        </row>
        <row r="888">
          <cell r="A888" t="str">
            <v>48007_2</v>
          </cell>
          <cell r="B888">
            <v>1</v>
          </cell>
          <cell r="C888">
            <v>48007</v>
          </cell>
          <cell r="D888" t="str">
            <v>紅鬼襲来！</v>
          </cell>
          <cell r="E888" t="str">
            <v>台湾版降臨8</v>
          </cell>
          <cell r="F888">
            <v>2</v>
          </cell>
          <cell r="G888" t="str">
            <v>ja</v>
          </cell>
          <cell r="H888" t="str">
            <v>【ウィザード級】紅鬼襲来</v>
          </cell>
          <cell r="I888" t="str">
            <v>地獄級</v>
          </cell>
          <cell r="J888">
            <v>8080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931</v>
          </cell>
          <cell r="AD888">
            <v>6</v>
          </cell>
          <cell r="AE888" t="str">
            <v>everyone</v>
          </cell>
        </row>
        <row r="889">
          <cell r="A889" t="str">
            <v>48008_1</v>
          </cell>
          <cell r="B889">
            <v>1</v>
          </cell>
          <cell r="C889">
            <v>48008</v>
          </cell>
          <cell r="D889" t="str">
            <v>紀昌襲来！</v>
          </cell>
          <cell r="E889" t="str">
            <v>台湾版降臨9</v>
          </cell>
          <cell r="F889">
            <v>1</v>
          </cell>
          <cell r="G889" t="str">
            <v>ja</v>
          </cell>
          <cell r="H889" t="str">
            <v>【超絶級】紀昌襲来</v>
          </cell>
          <cell r="I889" t="str">
            <v>地獄級</v>
          </cell>
          <cell r="J889">
            <v>8037</v>
          </cell>
          <cell r="K889">
            <v>35</v>
          </cell>
          <cell r="L889">
            <v>4200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948</v>
          </cell>
          <cell r="AD889">
            <v>6</v>
          </cell>
          <cell r="AE889" t="str">
            <v>everyone</v>
          </cell>
        </row>
        <row r="890">
          <cell r="A890" t="str">
            <v>48008_2</v>
          </cell>
          <cell r="B890">
            <v>1</v>
          </cell>
          <cell r="C890">
            <v>48008</v>
          </cell>
          <cell r="D890" t="str">
            <v>紀昌襲来！</v>
          </cell>
          <cell r="E890" t="str">
            <v>台湾版降臨9</v>
          </cell>
          <cell r="F890">
            <v>2</v>
          </cell>
          <cell r="G890" t="str">
            <v>ja</v>
          </cell>
          <cell r="H890" t="str">
            <v>【ウィザード級】紀昌襲来</v>
          </cell>
          <cell r="I890" t="str">
            <v>地獄級</v>
          </cell>
          <cell r="J890">
            <v>8038</v>
          </cell>
          <cell r="K890">
            <v>40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948</v>
          </cell>
          <cell r="AD890">
            <v>6</v>
          </cell>
          <cell r="AE890" t="str">
            <v>everyone</v>
          </cell>
        </row>
        <row r="891">
          <cell r="A891" t="str">
            <v>48009_1</v>
          </cell>
          <cell r="B891">
            <v>1</v>
          </cell>
          <cell r="C891">
            <v>48009</v>
          </cell>
          <cell r="D891" t="str">
            <v>藍采和襲来！</v>
          </cell>
          <cell r="E891" t="str">
            <v>台湾版降臨10</v>
          </cell>
          <cell r="F891">
            <v>1</v>
          </cell>
          <cell r="G891" t="str">
            <v>ja</v>
          </cell>
          <cell r="H891" t="str">
            <v>【超絶級】藍采和襲来</v>
          </cell>
          <cell r="I891" t="str">
            <v>地獄級</v>
          </cell>
          <cell r="J891">
            <v>8042</v>
          </cell>
          <cell r="K891">
            <v>35</v>
          </cell>
          <cell r="L891">
            <v>4200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953</v>
          </cell>
          <cell r="AD891">
            <v>6</v>
          </cell>
          <cell r="AE891" t="str">
            <v>everyone</v>
          </cell>
        </row>
        <row r="892">
          <cell r="A892" t="str">
            <v>48009_2</v>
          </cell>
          <cell r="B892">
            <v>1</v>
          </cell>
          <cell r="C892">
            <v>48009</v>
          </cell>
          <cell r="D892" t="str">
            <v>藍采和襲来！</v>
          </cell>
          <cell r="E892" t="str">
            <v>台湾版降臨10</v>
          </cell>
          <cell r="F892">
            <v>2</v>
          </cell>
          <cell r="G892" t="str">
            <v>ja</v>
          </cell>
          <cell r="H892" t="str">
            <v>【ウィザード級】藍采和襲来</v>
          </cell>
          <cell r="I892" t="str">
            <v>地獄級</v>
          </cell>
          <cell r="J892">
            <v>8042</v>
          </cell>
          <cell r="K892">
            <v>40</v>
          </cell>
          <cell r="L892">
            <v>4500</v>
          </cell>
          <cell r="M892">
            <v>1</v>
          </cell>
          <cell r="N892">
            <v>1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953</v>
          </cell>
          <cell r="AD892">
            <v>6</v>
          </cell>
          <cell r="AE892" t="str">
            <v>everyone</v>
          </cell>
        </row>
        <row r="893">
          <cell r="A893" t="str">
            <v>48010_1</v>
          </cell>
          <cell r="B893">
            <v>1</v>
          </cell>
          <cell r="C893">
            <v>48010</v>
          </cell>
          <cell r="D893" t="str">
            <v>バハムートダックより祝福を</v>
          </cell>
          <cell r="E893" t="str">
            <v>台湾バハムート記念限定クエスト</v>
          </cell>
          <cell r="F893">
            <v>1</v>
          </cell>
          <cell r="G893" t="str">
            <v>ja</v>
          </cell>
          <cell r="H893" t="str">
            <v>バハムートダックより祝福を</v>
          </cell>
          <cell r="I893" t="str">
            <v>台湾バハムート記念限定クエスト</v>
          </cell>
          <cell r="J893">
            <v>8095</v>
          </cell>
          <cell r="K893">
            <v>1</v>
          </cell>
          <cell r="L893">
            <v>200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once</v>
          </cell>
          <cell r="AC893">
            <v>1</v>
          </cell>
          <cell r="AD893">
            <v>6</v>
          </cell>
          <cell r="AE893" t="str">
            <v>singleonly</v>
          </cell>
        </row>
        <row r="894">
          <cell r="A894" t="str">
            <v>48011_1</v>
          </cell>
          <cell r="B894">
            <v>1</v>
          </cell>
          <cell r="C894">
            <v>48011</v>
          </cell>
          <cell r="D894" t="str">
            <v>年獣襲来！</v>
          </cell>
          <cell r="E894" t="str">
            <v>台湾版降臨11</v>
          </cell>
          <cell r="F894">
            <v>1</v>
          </cell>
          <cell r="G894" t="str">
            <v>ja</v>
          </cell>
          <cell r="H894" t="str">
            <v>【超絶級】年獣襲来</v>
          </cell>
          <cell r="I894" t="str">
            <v>地獄級</v>
          </cell>
          <cell r="J894">
            <v>8090</v>
          </cell>
          <cell r="K894">
            <v>35</v>
          </cell>
          <cell r="L894">
            <v>4200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970</v>
          </cell>
          <cell r="AD894">
            <v>6</v>
          </cell>
          <cell r="AE894" t="str">
            <v>everyone</v>
          </cell>
        </row>
        <row r="895">
          <cell r="A895" t="str">
            <v>48011_2</v>
          </cell>
          <cell r="B895">
            <v>1</v>
          </cell>
          <cell r="C895">
            <v>48011</v>
          </cell>
          <cell r="D895" t="str">
            <v>年獣襲来！</v>
          </cell>
          <cell r="E895" t="str">
            <v>台湾版降臨11</v>
          </cell>
          <cell r="F895">
            <v>2</v>
          </cell>
          <cell r="G895" t="str">
            <v>ja</v>
          </cell>
          <cell r="H895" t="str">
            <v>【ウィザード級】年獣襲来</v>
          </cell>
          <cell r="I895" t="str">
            <v>地獄級</v>
          </cell>
          <cell r="J895">
            <v>8090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970</v>
          </cell>
          <cell r="AD895">
            <v>6</v>
          </cell>
          <cell r="AE895" t="str">
            <v>everyone</v>
          </cell>
        </row>
        <row r="896">
          <cell r="A896" t="str">
            <v>48012_1</v>
          </cell>
          <cell r="B896">
            <v>1</v>
          </cell>
          <cell r="C896">
            <v>48012</v>
          </cell>
          <cell r="D896" t="str">
            <v>張果老襲来！</v>
          </cell>
          <cell r="E896" t="str">
            <v>台湾版降臨12</v>
          </cell>
          <cell r="F896">
            <v>1</v>
          </cell>
          <cell r="G896" t="str">
            <v>ja</v>
          </cell>
          <cell r="H896" t="str">
            <v>【超絶級】張果老襲来</v>
          </cell>
          <cell r="I896" t="str">
            <v>地獄級</v>
          </cell>
          <cell r="J896">
            <v>8102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975</v>
          </cell>
          <cell r="AD896">
            <v>6</v>
          </cell>
          <cell r="AE896" t="str">
            <v>everyone</v>
          </cell>
        </row>
        <row r="897">
          <cell r="A897" t="str">
            <v>48012_2</v>
          </cell>
          <cell r="B897">
            <v>1</v>
          </cell>
          <cell r="C897">
            <v>48012</v>
          </cell>
          <cell r="D897" t="str">
            <v>張果老襲来！</v>
          </cell>
          <cell r="E897" t="str">
            <v>台湾版降臨12</v>
          </cell>
          <cell r="F897">
            <v>2</v>
          </cell>
          <cell r="G897" t="str">
            <v>ja</v>
          </cell>
          <cell r="H897" t="str">
            <v>【ウィザード級】張果老襲来</v>
          </cell>
          <cell r="I897" t="str">
            <v>地獄級</v>
          </cell>
          <cell r="J897">
            <v>8102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975</v>
          </cell>
          <cell r="AD897">
            <v>6</v>
          </cell>
          <cell r="AE897" t="str">
            <v>everyone</v>
          </cell>
        </row>
        <row r="898">
          <cell r="A898" t="str">
            <v>48013_1</v>
          </cell>
          <cell r="B898">
            <v>1</v>
          </cell>
          <cell r="C898">
            <v>48013</v>
          </cell>
          <cell r="D898" t="str">
            <v>法海襲来！</v>
          </cell>
          <cell r="E898" t="str">
            <v>台湾版降臨13</v>
          </cell>
          <cell r="F898">
            <v>1</v>
          </cell>
          <cell r="G898" t="str">
            <v>ja</v>
          </cell>
          <cell r="H898" t="str">
            <v>【超絶級】法海襲来</v>
          </cell>
          <cell r="I898" t="str">
            <v>地獄級</v>
          </cell>
          <cell r="J898">
            <v>8122</v>
          </cell>
          <cell r="K898">
            <v>35</v>
          </cell>
          <cell r="L898">
            <v>4200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polygon</v>
          </cell>
          <cell r="T898">
            <v>1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1003</v>
          </cell>
          <cell r="AD898">
            <v>6</v>
          </cell>
          <cell r="AE898" t="str">
            <v>everyone</v>
          </cell>
        </row>
        <row r="899">
          <cell r="A899" t="str">
            <v>48013_2</v>
          </cell>
          <cell r="B899">
            <v>1</v>
          </cell>
          <cell r="C899">
            <v>48013</v>
          </cell>
          <cell r="D899" t="str">
            <v>法海襲来！</v>
          </cell>
          <cell r="E899" t="str">
            <v>台湾版降臨13</v>
          </cell>
          <cell r="F899">
            <v>2</v>
          </cell>
          <cell r="G899" t="str">
            <v>ja</v>
          </cell>
          <cell r="H899" t="str">
            <v>【ウィザード級】法海襲来</v>
          </cell>
          <cell r="I899" t="str">
            <v>地獄級</v>
          </cell>
          <cell r="J899">
            <v>8122</v>
          </cell>
          <cell r="K899">
            <v>40</v>
          </cell>
          <cell r="L899">
            <v>4500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polygon</v>
          </cell>
          <cell r="T899">
            <v>1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1003</v>
          </cell>
          <cell r="AD899">
            <v>6</v>
          </cell>
          <cell r="AE899" t="str">
            <v>everyone</v>
          </cell>
        </row>
        <row r="900">
          <cell r="A900" t="str">
            <v>48014_1</v>
          </cell>
          <cell r="B900">
            <v>3</v>
          </cell>
          <cell r="C900">
            <v>48014</v>
          </cell>
          <cell r="D900" t="str">
            <v>藍采和襲来！</v>
          </cell>
          <cell r="E900" t="str">
            <v>台湾版降臨10</v>
          </cell>
          <cell r="F900">
            <v>1</v>
          </cell>
          <cell r="G900" t="str">
            <v>ja</v>
          </cell>
          <cell r="H900" t="str">
            <v>【超絶級】藍采和襲来</v>
          </cell>
          <cell r="I900" t="str">
            <v>地獄級</v>
          </cell>
          <cell r="J900">
            <v>8042</v>
          </cell>
          <cell r="K900">
            <v>35</v>
          </cell>
          <cell r="L900">
            <v>4200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953</v>
          </cell>
          <cell r="AD900">
            <v>6</v>
          </cell>
          <cell r="AE900" t="str">
            <v>everyone</v>
          </cell>
        </row>
        <row r="901">
          <cell r="A901" t="str">
            <v>48014_2</v>
          </cell>
          <cell r="B901">
            <v>3</v>
          </cell>
          <cell r="C901">
            <v>48014</v>
          </cell>
          <cell r="D901" t="str">
            <v>藍采和襲来！</v>
          </cell>
          <cell r="E901" t="str">
            <v>台湾版降臨10</v>
          </cell>
          <cell r="F901">
            <v>2</v>
          </cell>
          <cell r="G901" t="str">
            <v>ja</v>
          </cell>
          <cell r="H901" t="str">
            <v>【ウィザード級】藍采和襲来</v>
          </cell>
          <cell r="I901" t="str">
            <v>地獄級</v>
          </cell>
          <cell r="J901">
            <v>8042</v>
          </cell>
          <cell r="K901">
            <v>40</v>
          </cell>
          <cell r="L901">
            <v>4500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polygon</v>
          </cell>
          <cell r="T901">
            <v>1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953</v>
          </cell>
          <cell r="AD901">
            <v>6</v>
          </cell>
          <cell r="AE901" t="str">
            <v>everyone</v>
          </cell>
        </row>
        <row r="902">
          <cell r="A902" t="str">
            <v>48501_1</v>
          </cell>
          <cell r="B902">
            <v>1</v>
          </cell>
          <cell r="C902">
            <v>48501</v>
          </cell>
          <cell r="D902" t="str">
            <v>ナーガ襲来！</v>
          </cell>
          <cell r="E902" t="str">
            <v>グローバル版降臨1</v>
          </cell>
          <cell r="F902">
            <v>1</v>
          </cell>
          <cell r="G902" t="str">
            <v>ja</v>
          </cell>
          <cell r="H902" t="str">
            <v>【超絶級】ナーガ襲来</v>
          </cell>
          <cell r="I902" t="str">
            <v>地獄級</v>
          </cell>
          <cell r="J902">
            <v>5004</v>
          </cell>
          <cell r="K902">
            <v>35</v>
          </cell>
          <cell r="L902">
            <v>4200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polygon</v>
          </cell>
          <cell r="T902">
            <v>1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963</v>
          </cell>
          <cell r="AD902">
            <v>6</v>
          </cell>
          <cell r="AE902" t="str">
            <v>everyone</v>
          </cell>
        </row>
        <row r="903">
          <cell r="A903" t="str">
            <v>48501_2</v>
          </cell>
          <cell r="B903">
            <v>1</v>
          </cell>
          <cell r="C903">
            <v>48501</v>
          </cell>
          <cell r="D903" t="str">
            <v>ナーガ襲来！</v>
          </cell>
          <cell r="E903" t="str">
            <v>グローバル版降臨1</v>
          </cell>
          <cell r="F903">
            <v>2</v>
          </cell>
          <cell r="G903" t="str">
            <v>ja</v>
          </cell>
          <cell r="H903" t="str">
            <v>【ウィザード級】ナーガ襲来</v>
          </cell>
          <cell r="I903" t="str">
            <v>地獄級</v>
          </cell>
          <cell r="J903">
            <v>5004</v>
          </cell>
          <cell r="K903">
            <v>40</v>
          </cell>
          <cell r="L903">
            <v>4500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polygon</v>
          </cell>
          <cell r="T903">
            <v>1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963</v>
          </cell>
          <cell r="AD903">
            <v>6</v>
          </cell>
          <cell r="AE903" t="str">
            <v>everyone</v>
          </cell>
        </row>
        <row r="904">
          <cell r="A904" t="str">
            <v>48502_1</v>
          </cell>
          <cell r="B904">
            <v>1</v>
          </cell>
          <cell r="C904">
            <v>48502</v>
          </cell>
          <cell r="D904" t="str">
            <v>ヘルシング襲来！</v>
          </cell>
          <cell r="E904" t="str">
            <v>グローバル版降臨2</v>
          </cell>
          <cell r="F904">
            <v>1</v>
          </cell>
          <cell r="G904" t="str">
            <v>ja</v>
          </cell>
          <cell r="H904" t="str">
            <v>【超絶級】ヘルシング襲来</v>
          </cell>
          <cell r="I904" t="str">
            <v>地獄級</v>
          </cell>
          <cell r="J904">
            <v>5008</v>
          </cell>
          <cell r="K904">
            <v>35</v>
          </cell>
          <cell r="L904">
            <v>4200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polygon</v>
          </cell>
          <cell r="T904">
            <v>1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971</v>
          </cell>
          <cell r="AD904">
            <v>6</v>
          </cell>
          <cell r="AE904" t="str">
            <v>everyone</v>
          </cell>
        </row>
        <row r="905">
          <cell r="A905" t="str">
            <v>48502_2</v>
          </cell>
          <cell r="B905">
            <v>1</v>
          </cell>
          <cell r="C905">
            <v>48502</v>
          </cell>
          <cell r="D905" t="str">
            <v>ヘルシング襲来！</v>
          </cell>
          <cell r="E905" t="str">
            <v>グローバル版降臨2</v>
          </cell>
          <cell r="F905">
            <v>2</v>
          </cell>
          <cell r="G905" t="str">
            <v>ja</v>
          </cell>
          <cell r="H905" t="str">
            <v>【ウィザード級】ヘルシング襲来</v>
          </cell>
          <cell r="I905" t="str">
            <v>地獄級</v>
          </cell>
          <cell r="J905">
            <v>5008</v>
          </cell>
          <cell r="K905">
            <v>40</v>
          </cell>
          <cell r="L905">
            <v>4500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polygon</v>
          </cell>
          <cell r="T905">
            <v>1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971</v>
          </cell>
          <cell r="AD905">
            <v>6</v>
          </cell>
          <cell r="AE905" t="str">
            <v>everyone</v>
          </cell>
        </row>
        <row r="906">
          <cell r="A906" t="str">
            <v>48503_1</v>
          </cell>
          <cell r="B906">
            <v>3</v>
          </cell>
          <cell r="C906">
            <v>48503</v>
          </cell>
          <cell r="D906" t="str">
            <v>ナーガ襲来！</v>
          </cell>
          <cell r="E906" t="str">
            <v>グローバル版降臨3</v>
          </cell>
          <cell r="F906">
            <v>1</v>
          </cell>
          <cell r="G906" t="str">
            <v>ja</v>
          </cell>
          <cell r="H906" t="str">
            <v>【超絶級】ナーガ襲来</v>
          </cell>
          <cell r="I906" t="str">
            <v>地獄級</v>
          </cell>
          <cell r="J906">
            <v>5004</v>
          </cell>
          <cell r="K906">
            <v>35</v>
          </cell>
          <cell r="L906">
            <v>4200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polygon</v>
          </cell>
          <cell r="T906">
            <v>1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963</v>
          </cell>
          <cell r="AD906">
            <v>6</v>
          </cell>
          <cell r="AE906" t="str">
            <v>everyone</v>
          </cell>
        </row>
        <row r="907">
          <cell r="A907" t="str">
            <v>48503_2</v>
          </cell>
          <cell r="B907">
            <v>3</v>
          </cell>
          <cell r="C907">
            <v>48503</v>
          </cell>
          <cell r="D907" t="str">
            <v>ナーガ襲来！</v>
          </cell>
          <cell r="E907" t="str">
            <v>グローバル版降臨3</v>
          </cell>
          <cell r="F907">
            <v>2</v>
          </cell>
          <cell r="G907" t="str">
            <v>ja</v>
          </cell>
          <cell r="H907" t="str">
            <v>【ウィザード級】ナーガ襲来</v>
          </cell>
          <cell r="I907" t="str">
            <v>地獄級</v>
          </cell>
          <cell r="J907">
            <v>5004</v>
          </cell>
          <cell r="K907">
            <v>40</v>
          </cell>
          <cell r="L907">
            <v>4500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polygon</v>
          </cell>
          <cell r="T907">
            <v>1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963</v>
          </cell>
          <cell r="AD907">
            <v>6</v>
          </cell>
          <cell r="AE907" t="str">
            <v>everyone</v>
          </cell>
        </row>
        <row r="908">
          <cell r="A908" t="str">
            <v>48701_1</v>
          </cell>
          <cell r="B908">
            <v>1</v>
          </cell>
          <cell r="C908">
            <v>48701</v>
          </cell>
          <cell r="D908" t="str">
            <v>M.Dragon襲来！</v>
          </cell>
          <cell r="E908" t="str">
            <v>韓国版降臨1</v>
          </cell>
          <cell r="F908">
            <v>1</v>
          </cell>
          <cell r="G908" t="str">
            <v>ja</v>
          </cell>
          <cell r="H908" t="str">
            <v>【超絶級】M.Dragon襲来</v>
          </cell>
          <cell r="I908" t="str">
            <v>地獄級</v>
          </cell>
          <cell r="J908">
            <v>9004</v>
          </cell>
          <cell r="K908">
            <v>35</v>
          </cell>
          <cell r="L908">
            <v>4200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polygon</v>
          </cell>
          <cell r="T908">
            <v>1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985</v>
          </cell>
          <cell r="AD908">
            <v>6</v>
          </cell>
          <cell r="AE908" t="str">
            <v>everyone</v>
          </cell>
        </row>
        <row r="909">
          <cell r="A909" t="str">
            <v>48701_2</v>
          </cell>
          <cell r="B909">
            <v>1</v>
          </cell>
          <cell r="C909">
            <v>48701</v>
          </cell>
          <cell r="D909" t="str">
            <v>M.Dragon襲来！</v>
          </cell>
          <cell r="E909" t="str">
            <v>韓国版降臨1</v>
          </cell>
          <cell r="F909">
            <v>2</v>
          </cell>
          <cell r="G909" t="str">
            <v>ja</v>
          </cell>
          <cell r="H909" t="str">
            <v>【ウィザード級】M.Dragon襲来</v>
          </cell>
          <cell r="I909" t="str">
            <v>地獄級</v>
          </cell>
          <cell r="J909">
            <v>9004</v>
          </cell>
          <cell r="K909">
            <v>40</v>
          </cell>
          <cell r="L909">
            <v>4500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polygon</v>
          </cell>
          <cell r="T909">
            <v>1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985</v>
          </cell>
          <cell r="AD909">
            <v>6</v>
          </cell>
          <cell r="AE909" t="str">
            <v>everyone</v>
          </cell>
        </row>
        <row r="910">
          <cell r="A910" t="str">
            <v>48702_1</v>
          </cell>
          <cell r="B910">
            <v>1</v>
          </cell>
          <cell r="C910">
            <v>48702</v>
          </cell>
          <cell r="D910" t="str">
            <v>田禹治襲来！</v>
          </cell>
          <cell r="E910" t="str">
            <v>韓国版降臨2</v>
          </cell>
          <cell r="F910">
            <v>1</v>
          </cell>
          <cell r="G910" t="str">
            <v>ja</v>
          </cell>
          <cell r="H910" t="str">
            <v>【超絶級】田禹治襲来</v>
          </cell>
          <cell r="I910" t="str">
            <v>地獄級</v>
          </cell>
          <cell r="J910">
            <v>9008</v>
          </cell>
          <cell r="K910">
            <v>35</v>
          </cell>
          <cell r="L910">
            <v>4200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polygon</v>
          </cell>
          <cell r="T910">
            <v>1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991</v>
          </cell>
          <cell r="AD910">
            <v>6</v>
          </cell>
          <cell r="AE910" t="str">
            <v>everyone</v>
          </cell>
        </row>
        <row r="911">
          <cell r="A911" t="str">
            <v>48702_2</v>
          </cell>
          <cell r="B911">
            <v>1</v>
          </cell>
          <cell r="C911">
            <v>48702</v>
          </cell>
          <cell r="D911" t="str">
            <v>田禹治襲来！</v>
          </cell>
          <cell r="E911" t="str">
            <v>韓国版降臨2</v>
          </cell>
          <cell r="F911">
            <v>2</v>
          </cell>
          <cell r="G911" t="str">
            <v>ja</v>
          </cell>
          <cell r="H911" t="str">
            <v>【ウィザード級】田禹治襲来</v>
          </cell>
          <cell r="I911" t="str">
            <v>地獄級</v>
          </cell>
          <cell r="J911">
            <v>9008</v>
          </cell>
          <cell r="K911">
            <v>40</v>
          </cell>
          <cell r="L911">
            <v>4500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polygon</v>
          </cell>
          <cell r="T911">
            <v>1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991</v>
          </cell>
          <cell r="AD911">
            <v>6</v>
          </cell>
          <cell r="AE911" t="str">
            <v>everyone</v>
          </cell>
        </row>
        <row r="912">
          <cell r="A912" t="str">
            <v>49001_1</v>
          </cell>
          <cell r="B912">
            <v>3</v>
          </cell>
          <cell r="C912">
            <v>49001</v>
          </cell>
          <cell r="D912" t="str">
            <v>熱唱！初音ミクV3</v>
          </cell>
          <cell r="E912" t="str">
            <v>コラボ降臨1</v>
          </cell>
          <cell r="F912">
            <v>1</v>
          </cell>
          <cell r="G912" t="str">
            <v>ja</v>
          </cell>
          <cell r="H912" t="str">
            <v>【ウィザード級】熱唱！初音ミクV3</v>
          </cell>
          <cell r="I912" t="str">
            <v>地獄級</v>
          </cell>
          <cell r="J912">
            <v>528</v>
          </cell>
          <cell r="K912">
            <v>40</v>
          </cell>
          <cell r="L912">
            <v>4200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polygon</v>
          </cell>
          <cell r="T912">
            <v>1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910</v>
          </cell>
          <cell r="AD912">
            <v>6</v>
          </cell>
          <cell r="AE912" t="str">
            <v>everyone</v>
          </cell>
        </row>
        <row r="913">
          <cell r="A913" t="str">
            <v>49002_1</v>
          </cell>
          <cell r="B913">
            <v>3</v>
          </cell>
          <cell r="C913">
            <v>49002</v>
          </cell>
          <cell r="D913" t="str">
            <v>園原杏里襲来！</v>
          </cell>
          <cell r="E913" t="str">
            <v>コラボ降臨2</v>
          </cell>
          <cell r="F913">
            <v>1</v>
          </cell>
          <cell r="G913" t="str">
            <v>ja</v>
          </cell>
          <cell r="H913" t="str">
            <v>【ウィザード級】園原杏里襲来</v>
          </cell>
          <cell r="I913" t="str">
            <v>地獄級</v>
          </cell>
          <cell r="J913">
            <v>699</v>
          </cell>
          <cell r="K913">
            <v>40</v>
          </cell>
          <cell r="L913">
            <v>4500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polygon</v>
          </cell>
          <cell r="T913">
            <v>1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917</v>
          </cell>
          <cell r="AD913">
            <v>6</v>
          </cell>
          <cell r="AE913" t="str">
            <v>everyone</v>
          </cell>
        </row>
        <row r="914">
          <cell r="A914" t="str">
            <v>49002_2</v>
          </cell>
          <cell r="B914">
            <v>3</v>
          </cell>
          <cell r="C914">
            <v>49002</v>
          </cell>
          <cell r="D914" t="str">
            <v>園原杏里襲来！</v>
          </cell>
          <cell r="E914" t="str">
            <v>コラボ降臨2</v>
          </cell>
          <cell r="F914">
            <v>2</v>
          </cell>
          <cell r="G914" t="str">
            <v>ja</v>
          </cell>
          <cell r="H914" t="str">
            <v>【ノーコンテニュー】園原杏里襲来</v>
          </cell>
          <cell r="I914" t="str">
            <v>地獄級</v>
          </cell>
          <cell r="J914">
            <v>699</v>
          </cell>
          <cell r="K914">
            <v>40</v>
          </cell>
          <cell r="L914">
            <v>4500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polygon</v>
          </cell>
          <cell r="T914">
            <v>1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917</v>
          </cell>
          <cell r="AD914">
            <v>6</v>
          </cell>
          <cell r="AE914" t="str">
            <v>everyone</v>
          </cell>
        </row>
        <row r="915">
          <cell r="A915" t="str">
            <v>49003_1</v>
          </cell>
          <cell r="B915">
            <v>3</v>
          </cell>
          <cell r="C915">
            <v>49003</v>
          </cell>
          <cell r="D915" t="str">
            <v>折原臨也襲来！</v>
          </cell>
          <cell r="E915" t="str">
            <v>コラボ降臨3</v>
          </cell>
          <cell r="F915">
            <v>1</v>
          </cell>
          <cell r="G915" t="str">
            <v>ja</v>
          </cell>
          <cell r="H915" t="str">
            <v>【ウィザード級】折原臨也襲来</v>
          </cell>
          <cell r="I915" t="str">
            <v>地獄級</v>
          </cell>
          <cell r="J915">
            <v>701</v>
          </cell>
          <cell r="K915">
            <v>40</v>
          </cell>
          <cell r="L915">
            <v>4500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polygon</v>
          </cell>
          <cell r="T915">
            <v>1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918</v>
          </cell>
          <cell r="AD915">
            <v>6</v>
          </cell>
          <cell r="AE915" t="str">
            <v>everyone</v>
          </cell>
        </row>
        <row r="916">
          <cell r="A916" t="str">
            <v>49003_2</v>
          </cell>
          <cell r="B916">
            <v>3</v>
          </cell>
          <cell r="C916">
            <v>49003</v>
          </cell>
          <cell r="D916" t="str">
            <v>折原臨也襲来！</v>
          </cell>
          <cell r="E916" t="str">
            <v>コラボ降臨3</v>
          </cell>
          <cell r="F916">
            <v>2</v>
          </cell>
          <cell r="G916" t="str">
            <v>ja</v>
          </cell>
          <cell r="H916" t="str">
            <v>【ノーコンテニュー】折原臨也襲来</v>
          </cell>
          <cell r="I916" t="str">
            <v>地獄級</v>
          </cell>
          <cell r="J916">
            <v>701</v>
          </cell>
          <cell r="K916">
            <v>40</v>
          </cell>
          <cell r="L916">
            <v>4500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polygon</v>
          </cell>
          <cell r="T916">
            <v>1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918</v>
          </cell>
          <cell r="AD916">
            <v>6</v>
          </cell>
          <cell r="AE916" t="str">
            <v>everyone</v>
          </cell>
        </row>
        <row r="917">
          <cell r="A917" t="str">
            <v>49004_1</v>
          </cell>
          <cell r="B917">
            <v>3</v>
          </cell>
          <cell r="C917">
            <v>49004</v>
          </cell>
          <cell r="D917" t="str">
            <v>サンリオ好きなのだーれだ♪</v>
          </cell>
          <cell r="E917" t="str">
            <v>コラボ降臨4</v>
          </cell>
          <cell r="F917">
            <v>1</v>
          </cell>
          <cell r="G917" t="str">
            <v>ja</v>
          </cell>
          <cell r="H917" t="str">
            <v>【超絶】サンリオ好きなのだーれだ♪</v>
          </cell>
          <cell r="I917" t="str">
            <v>地獄級</v>
          </cell>
          <cell r="J917">
            <v>0</v>
          </cell>
          <cell r="K917">
            <v>35</v>
          </cell>
          <cell r="L917">
            <v>4200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polygon</v>
          </cell>
          <cell r="T917">
            <v>1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934</v>
          </cell>
          <cell r="AD917">
            <v>6</v>
          </cell>
          <cell r="AE917" t="str">
            <v>everyone</v>
          </cell>
        </row>
        <row r="918">
          <cell r="A918" t="str">
            <v>49004_2</v>
          </cell>
          <cell r="B918">
            <v>3</v>
          </cell>
          <cell r="C918">
            <v>49004</v>
          </cell>
          <cell r="D918" t="str">
            <v>サンリオ好きなのだーれだ♪</v>
          </cell>
          <cell r="E918" t="str">
            <v>コラボ降臨4</v>
          </cell>
          <cell r="F918">
            <v>2</v>
          </cell>
          <cell r="G918" t="str">
            <v>ja</v>
          </cell>
          <cell r="H918" t="str">
            <v>【ｳｨｻﾞ】サンリオ好きなのだーれだ♪</v>
          </cell>
          <cell r="I918" t="str">
            <v>地獄級</v>
          </cell>
          <cell r="J918">
            <v>0</v>
          </cell>
          <cell r="K918">
            <v>40</v>
          </cell>
          <cell r="L918">
            <v>4500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polygon</v>
          </cell>
          <cell r="T918">
            <v>1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934</v>
          </cell>
          <cell r="AD918">
            <v>6</v>
          </cell>
          <cell r="AE918" t="str">
            <v>everyone</v>
          </cell>
        </row>
        <row r="919">
          <cell r="A919" t="str">
            <v>49004_3</v>
          </cell>
          <cell r="B919">
            <v>3</v>
          </cell>
          <cell r="C919">
            <v>49004</v>
          </cell>
          <cell r="D919" t="str">
            <v>サンリオ好きなのだーれだ♪</v>
          </cell>
          <cell r="E919" t="str">
            <v>コラボ降臨4</v>
          </cell>
          <cell r="F919">
            <v>3</v>
          </cell>
          <cell r="G919" t="str">
            <v>ja</v>
          </cell>
          <cell r="H919" t="str">
            <v>【ﾉｰｺﾝ】サンリオ好きなのだーれだ♪</v>
          </cell>
          <cell r="I919" t="str">
            <v>地獄級</v>
          </cell>
          <cell r="J919">
            <v>0</v>
          </cell>
          <cell r="K919">
            <v>40</v>
          </cell>
          <cell r="L919">
            <v>4500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polygon</v>
          </cell>
          <cell r="T919">
            <v>1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934</v>
          </cell>
          <cell r="AD919">
            <v>6</v>
          </cell>
          <cell r="AE919" t="str">
            <v>everyone</v>
          </cell>
        </row>
        <row r="920">
          <cell r="A920" t="str">
            <v>49005_1</v>
          </cell>
          <cell r="B920">
            <v>1</v>
          </cell>
          <cell r="C920">
            <v>49005</v>
          </cell>
          <cell r="D920" t="str">
            <v>襲来クエスト</v>
          </cell>
          <cell r="E920" t="str">
            <v>コラボ降臨5</v>
          </cell>
          <cell r="F920">
            <v>1</v>
          </cell>
          <cell r="G920" t="str">
            <v>ja</v>
          </cell>
          <cell r="H920" t="str">
            <v>【ウィザード級】襲来クエスト</v>
          </cell>
          <cell r="I920" t="str">
            <v>地獄級</v>
          </cell>
          <cell r="J920">
            <v>8013</v>
          </cell>
          <cell r="K920">
            <v>40</v>
          </cell>
          <cell r="L920">
            <v>4200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polygon</v>
          </cell>
          <cell r="T920">
            <v>1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910</v>
          </cell>
          <cell r="AD920">
            <v>6</v>
          </cell>
          <cell r="AE920" t="str">
            <v>everyone</v>
          </cell>
        </row>
        <row r="921">
          <cell r="A921" t="str">
            <v>49006_1</v>
          </cell>
          <cell r="B921">
            <v>3</v>
          </cell>
          <cell r="C921">
            <v>49006</v>
          </cell>
          <cell r="D921" t="str">
            <v>超大型巨人襲来！</v>
          </cell>
          <cell r="E921" t="str">
            <v>コラボ降臨6</v>
          </cell>
          <cell r="F921">
            <v>1</v>
          </cell>
          <cell r="G921" t="str">
            <v>ja</v>
          </cell>
          <cell r="H921" t="str">
            <v>【超絶級】超大型巨人襲来</v>
          </cell>
          <cell r="I921" t="str">
            <v>地獄級</v>
          </cell>
          <cell r="J921">
            <v>980</v>
          </cell>
          <cell r="K921">
            <v>35</v>
          </cell>
          <cell r="L921">
            <v>4200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polygon</v>
          </cell>
          <cell r="T921">
            <v>1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937</v>
          </cell>
          <cell r="AD921">
            <v>6</v>
          </cell>
          <cell r="AE921" t="str">
            <v>everyone</v>
          </cell>
        </row>
        <row r="922">
          <cell r="A922" t="str">
            <v>49006_2</v>
          </cell>
          <cell r="B922">
            <v>3</v>
          </cell>
          <cell r="C922">
            <v>49006</v>
          </cell>
          <cell r="D922" t="str">
            <v>超大型巨人襲来！</v>
          </cell>
          <cell r="E922" t="str">
            <v>コラボ降臨6</v>
          </cell>
          <cell r="F922">
            <v>2</v>
          </cell>
          <cell r="G922" t="str">
            <v>ja</v>
          </cell>
          <cell r="H922" t="str">
            <v>【ウィザード級】超大型巨人襲来</v>
          </cell>
          <cell r="I922" t="str">
            <v>地獄級</v>
          </cell>
          <cell r="J922">
            <v>980</v>
          </cell>
          <cell r="K922">
            <v>40</v>
          </cell>
          <cell r="L922">
            <v>4500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polygon</v>
          </cell>
          <cell r="T922">
            <v>1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937</v>
          </cell>
          <cell r="AD922">
            <v>6</v>
          </cell>
          <cell r="AE922" t="str">
            <v>everyone</v>
          </cell>
        </row>
        <row r="923">
          <cell r="A923" t="str">
            <v>49007_1</v>
          </cell>
          <cell r="B923">
            <v>1</v>
          </cell>
          <cell r="C923">
            <v>49007</v>
          </cell>
          <cell r="D923" t="str">
            <v>アザゼル（台）</v>
          </cell>
          <cell r="E923" t="str">
            <v>コラボ降臨4</v>
          </cell>
          <cell r="F923">
            <v>1</v>
          </cell>
          <cell r="G923" t="str">
            <v>ja</v>
          </cell>
          <cell r="H923" t="str">
            <v>【超絶】アザゼル（台）</v>
          </cell>
          <cell r="I923" t="str">
            <v>地獄級</v>
          </cell>
          <cell r="J923">
            <v>0</v>
          </cell>
          <cell r="K923">
            <v>35</v>
          </cell>
          <cell r="L923">
            <v>4200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polygon</v>
          </cell>
          <cell r="T923">
            <v>1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934</v>
          </cell>
          <cell r="AD923">
            <v>6</v>
          </cell>
          <cell r="AE923" t="str">
            <v>everyone</v>
          </cell>
        </row>
        <row r="924">
          <cell r="A924" t="str">
            <v>49007_2</v>
          </cell>
          <cell r="B924">
            <v>1</v>
          </cell>
          <cell r="C924">
            <v>49007</v>
          </cell>
          <cell r="D924" t="str">
            <v>アザゼル（台）</v>
          </cell>
          <cell r="E924" t="str">
            <v>コラボ降臨4</v>
          </cell>
          <cell r="F924">
            <v>2</v>
          </cell>
          <cell r="G924" t="str">
            <v>ja</v>
          </cell>
          <cell r="H924" t="str">
            <v>【ｳｨｻﾞ】アザゼル（台）</v>
          </cell>
          <cell r="I924" t="str">
            <v>地獄級</v>
          </cell>
          <cell r="J924">
            <v>0</v>
          </cell>
          <cell r="K924">
            <v>40</v>
          </cell>
          <cell r="L924">
            <v>4500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polygon</v>
          </cell>
          <cell r="T924">
            <v>1</v>
          </cell>
          <cell r="U924" t="str">
            <v>NULL</v>
          </cell>
          <cell r="V924" t="str">
            <v>NULL</v>
          </cell>
          <cell r="W924" t="str">
            <v/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934</v>
          </cell>
          <cell r="AD924">
            <v>6</v>
          </cell>
          <cell r="AE924" t="str">
            <v>everyone</v>
          </cell>
        </row>
        <row r="925">
          <cell r="A925" t="str">
            <v>49007_3</v>
          </cell>
          <cell r="B925">
            <v>1</v>
          </cell>
          <cell r="C925">
            <v>49007</v>
          </cell>
          <cell r="D925" t="str">
            <v>アザゼル（台）</v>
          </cell>
          <cell r="E925" t="str">
            <v>コラボ降臨4</v>
          </cell>
          <cell r="F925">
            <v>3</v>
          </cell>
          <cell r="G925" t="str">
            <v>ja</v>
          </cell>
          <cell r="H925" t="str">
            <v>【ﾉｰｺﾝ】アザゼル（台）</v>
          </cell>
          <cell r="I925" t="str">
            <v>地獄級</v>
          </cell>
          <cell r="J925">
            <v>0</v>
          </cell>
          <cell r="K925">
            <v>40</v>
          </cell>
          <cell r="L925">
            <v>4500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polygon</v>
          </cell>
          <cell r="T925">
            <v>1</v>
          </cell>
          <cell r="U925" t="str">
            <v>NULL</v>
          </cell>
          <cell r="V925" t="str">
            <v>NULL</v>
          </cell>
          <cell r="W925" t="str">
            <v/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934</v>
          </cell>
          <cell r="AD925">
            <v>6</v>
          </cell>
          <cell r="AE925" t="str">
            <v>everyone</v>
          </cell>
        </row>
        <row r="926">
          <cell r="A926" t="str">
            <v>49008_1</v>
          </cell>
          <cell r="B926">
            <v>3</v>
          </cell>
          <cell r="C926">
            <v>49008</v>
          </cell>
          <cell r="D926" t="str">
            <v>熱唱！初音ミクV3</v>
          </cell>
          <cell r="E926" t="str">
            <v>コラボ降臨1</v>
          </cell>
          <cell r="F926">
            <v>1</v>
          </cell>
          <cell r="G926" t="str">
            <v>ja</v>
          </cell>
          <cell r="H926" t="str">
            <v>【ウィザード級】熱唱！初音ミクV3</v>
          </cell>
          <cell r="I926" t="str">
            <v>地獄級</v>
          </cell>
          <cell r="J926">
            <v>1299</v>
          </cell>
          <cell r="K926">
            <v>30</v>
          </cell>
          <cell r="L926">
            <v>4500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polygon</v>
          </cell>
          <cell r="T926">
            <v>1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910</v>
          </cell>
          <cell r="AD926">
            <v>6</v>
          </cell>
          <cell r="AE926" t="str">
            <v>everyone</v>
          </cell>
        </row>
        <row r="927">
          <cell r="A927" t="str">
            <v>49009_1</v>
          </cell>
          <cell r="B927">
            <v>3</v>
          </cell>
          <cell r="C927">
            <v>49009</v>
          </cell>
          <cell r="D927" t="str">
            <v>電子音協奏曲</v>
          </cell>
          <cell r="E927" t="str">
            <v>コラボ降臨7</v>
          </cell>
          <cell r="F927">
            <v>1</v>
          </cell>
          <cell r="G927" t="str">
            <v>ja</v>
          </cell>
          <cell r="H927" t="str">
            <v>【ウィザード級】電子音協奏曲</v>
          </cell>
          <cell r="I927" t="str">
            <v>地獄級</v>
          </cell>
          <cell r="J927">
            <v>1305</v>
          </cell>
          <cell r="K927">
            <v>30</v>
          </cell>
          <cell r="L927">
            <v>4500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polygon</v>
          </cell>
          <cell r="T927">
            <v>1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910</v>
          </cell>
          <cell r="AD927">
            <v>6</v>
          </cell>
          <cell r="AE927" t="str">
            <v>everyone</v>
          </cell>
        </row>
        <row r="928">
          <cell r="A928" t="str">
            <v>49010_1</v>
          </cell>
          <cell r="B928">
            <v>3</v>
          </cell>
          <cell r="C928">
            <v>49010</v>
          </cell>
          <cell r="D928" t="str">
            <v>走り抜けろ！ALICE GP</v>
          </cell>
          <cell r="E928" t="str">
            <v>コラボ降臨8</v>
          </cell>
          <cell r="F928">
            <v>1</v>
          </cell>
          <cell r="G928" t="str">
            <v>ja</v>
          </cell>
          <cell r="H928" t="str">
            <v>【ｳｨｻﾞ】走り抜けろ！ALICE GP</v>
          </cell>
          <cell r="I928" t="str">
            <v>地獄級</v>
          </cell>
          <cell r="J928">
            <v>1303</v>
          </cell>
          <cell r="K928">
            <v>30</v>
          </cell>
          <cell r="L928">
            <v>4500</v>
          </cell>
          <cell r="M928">
            <v>1</v>
          </cell>
          <cell r="N928">
            <v>0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polygon</v>
          </cell>
          <cell r="T928">
            <v>1</v>
          </cell>
          <cell r="U928" t="str">
            <v>NULL</v>
          </cell>
          <cell r="V928" t="str">
            <v>NULL</v>
          </cell>
          <cell r="W928" t="str">
            <v/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987</v>
          </cell>
          <cell r="AD928">
            <v>6</v>
          </cell>
          <cell r="AE928" t="str">
            <v>everyone</v>
          </cell>
        </row>
        <row r="929">
          <cell r="A929" t="str">
            <v>49011_1</v>
          </cell>
          <cell r="B929">
            <v>3</v>
          </cell>
          <cell r="C929">
            <v>49011</v>
          </cell>
          <cell r="D929" t="str">
            <v>秘密のイベント潜入作戦</v>
          </cell>
          <cell r="E929" t="str">
            <v>コラボ降臨9</v>
          </cell>
          <cell r="F929">
            <v>1</v>
          </cell>
          <cell r="G929" t="str">
            <v>ja</v>
          </cell>
          <cell r="H929" t="str">
            <v>【ｳｨｻﾞ】秘密のイベント潜入作戦</v>
          </cell>
          <cell r="I929" t="str">
            <v>地獄級</v>
          </cell>
          <cell r="J929">
            <v>1301</v>
          </cell>
          <cell r="K929">
            <v>30</v>
          </cell>
          <cell r="L929">
            <v>4500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polygon</v>
          </cell>
          <cell r="T929">
            <v>1</v>
          </cell>
          <cell r="U929" t="str">
            <v>NULL</v>
          </cell>
          <cell r="V929" t="str">
            <v>NULL</v>
          </cell>
          <cell r="W929" t="str">
            <v/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909</v>
          </cell>
          <cell r="AD929">
            <v>6</v>
          </cell>
          <cell r="AE929" t="str">
            <v>everyone</v>
          </cell>
        </row>
        <row r="930">
          <cell r="A930" t="str">
            <v>49012_1</v>
          </cell>
          <cell r="B930">
            <v>3</v>
          </cell>
          <cell r="C930">
            <v>49012</v>
          </cell>
          <cell r="D930" t="str">
            <v>園原杏里襲来！</v>
          </cell>
          <cell r="E930" t="str">
            <v>コラボ降臨2（復刻）</v>
          </cell>
          <cell r="F930">
            <v>1</v>
          </cell>
          <cell r="G930" t="str">
            <v>ja</v>
          </cell>
          <cell r="H930" t="str">
            <v>【ウィザード級】園原杏里襲来</v>
          </cell>
          <cell r="I930" t="str">
            <v>地獄級</v>
          </cell>
          <cell r="J930">
            <v>699</v>
          </cell>
          <cell r="K930">
            <v>40</v>
          </cell>
          <cell r="L930">
            <v>4500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polygon</v>
          </cell>
          <cell r="T930">
            <v>1</v>
          </cell>
          <cell r="U930" t="str">
            <v>NULL</v>
          </cell>
          <cell r="V930" t="str">
            <v>NULL</v>
          </cell>
          <cell r="W930" t="str">
            <v/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917</v>
          </cell>
          <cell r="AD930">
            <v>6</v>
          </cell>
          <cell r="AE930" t="str">
            <v>everyone</v>
          </cell>
        </row>
        <row r="931">
          <cell r="A931" t="str">
            <v>49013_1</v>
          </cell>
          <cell r="B931">
            <v>3</v>
          </cell>
          <cell r="C931">
            <v>49013</v>
          </cell>
          <cell r="D931" t="str">
            <v>折原臨也襲来！</v>
          </cell>
          <cell r="E931" t="str">
            <v>コラボ降臨3（復刻）</v>
          </cell>
          <cell r="F931">
            <v>1</v>
          </cell>
          <cell r="G931" t="str">
            <v>ja</v>
          </cell>
          <cell r="H931" t="str">
            <v>【ウィザード級】折原臨也襲来</v>
          </cell>
          <cell r="I931" t="str">
            <v>地獄級</v>
          </cell>
          <cell r="J931">
            <v>701</v>
          </cell>
          <cell r="K931">
            <v>40</v>
          </cell>
          <cell r="L931">
            <v>4500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polygon</v>
          </cell>
          <cell r="T931">
            <v>1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918</v>
          </cell>
          <cell r="AD931">
            <v>6</v>
          </cell>
          <cell r="AE931" t="str">
            <v>everyone</v>
          </cell>
        </row>
        <row r="932">
          <cell r="A932" t="str">
            <v>49014_1</v>
          </cell>
          <cell r="B932">
            <v>3</v>
          </cell>
          <cell r="C932">
            <v>49014</v>
          </cell>
          <cell r="D932" t="str">
            <v>ネコムート襲来！</v>
          </cell>
          <cell r="E932" t="str">
            <v>コラボ降臨10</v>
          </cell>
          <cell r="F932">
            <v>1</v>
          </cell>
          <cell r="G932" t="str">
            <v>ja</v>
          </cell>
          <cell r="H932" t="str">
            <v>【激ムズ】ネコムート襲来！</v>
          </cell>
          <cell r="I932" t="str">
            <v>地獄級</v>
          </cell>
          <cell r="J932">
            <v>1524</v>
          </cell>
          <cell r="K932">
            <v>26</v>
          </cell>
          <cell r="L932">
            <v>4000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polygon</v>
          </cell>
          <cell r="T932">
            <v>1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981</v>
          </cell>
          <cell r="AD932">
            <v>6</v>
          </cell>
          <cell r="AE932" t="str">
            <v>everyone</v>
          </cell>
        </row>
        <row r="933">
          <cell r="A933" t="str">
            <v>49014_2</v>
          </cell>
          <cell r="B933">
            <v>3</v>
          </cell>
          <cell r="C933">
            <v>49014</v>
          </cell>
          <cell r="D933" t="str">
            <v>ネコムート襲来！</v>
          </cell>
          <cell r="E933" t="str">
            <v>コラボ降臨10</v>
          </cell>
          <cell r="F933">
            <v>2</v>
          </cell>
          <cell r="G933" t="str">
            <v>ja</v>
          </cell>
          <cell r="H933" t="str">
            <v>【超激ムズ】ネコムート襲来！</v>
          </cell>
          <cell r="I933" t="str">
            <v>地獄級</v>
          </cell>
          <cell r="J933">
            <v>1524</v>
          </cell>
          <cell r="K933">
            <v>30</v>
          </cell>
          <cell r="L933">
            <v>5000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polygon</v>
          </cell>
          <cell r="T933">
            <v>1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981</v>
          </cell>
          <cell r="AD933">
            <v>6</v>
          </cell>
          <cell r="AE933" t="str">
            <v>everyone</v>
          </cell>
        </row>
        <row r="934">
          <cell r="A934" t="str">
            <v>49015_1</v>
          </cell>
          <cell r="B934">
            <v>1</v>
          </cell>
          <cell r="C934">
            <v>49015</v>
          </cell>
          <cell r="D934" t="str">
            <v>FA</v>
          </cell>
          <cell r="E934" t="str">
            <v>コラボ降臨11</v>
          </cell>
          <cell r="F934">
            <v>1</v>
          </cell>
          <cell r="G934" t="str">
            <v>ja</v>
          </cell>
          <cell r="H934" t="str">
            <v>【上級】FA</v>
          </cell>
          <cell r="I934" t="str">
            <v>地獄級</v>
          </cell>
          <cell r="J934">
            <v>1467</v>
          </cell>
          <cell r="K934">
            <v>20</v>
          </cell>
          <cell r="L934">
            <v>2000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polygon</v>
          </cell>
          <cell r="T934">
            <v>1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995</v>
          </cell>
          <cell r="AD934">
            <v>6</v>
          </cell>
          <cell r="AE934" t="str">
            <v>everyone</v>
          </cell>
        </row>
        <row r="935">
          <cell r="A935" t="str">
            <v>49015_2</v>
          </cell>
          <cell r="B935">
            <v>1</v>
          </cell>
          <cell r="C935">
            <v>49015</v>
          </cell>
          <cell r="D935" t="str">
            <v>FA</v>
          </cell>
          <cell r="E935" t="str">
            <v>コラボ降臨11</v>
          </cell>
          <cell r="F935">
            <v>2</v>
          </cell>
          <cell r="G935" t="str">
            <v>ja</v>
          </cell>
          <cell r="H935" t="str">
            <v>【超級】FA</v>
          </cell>
          <cell r="I935" t="str">
            <v>地獄級</v>
          </cell>
          <cell r="J935">
            <v>1467</v>
          </cell>
          <cell r="K935">
            <v>30</v>
          </cell>
          <cell r="L935">
            <v>3300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polygon</v>
          </cell>
          <cell r="T935">
            <v>1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995</v>
          </cell>
          <cell r="AD935">
            <v>6</v>
          </cell>
          <cell r="AE935" t="str">
            <v>everyone</v>
          </cell>
        </row>
        <row r="936">
          <cell r="A936" t="str">
            <v>49015_3</v>
          </cell>
          <cell r="B936">
            <v>1</v>
          </cell>
          <cell r="C936">
            <v>49015</v>
          </cell>
          <cell r="D936" t="str">
            <v>FA</v>
          </cell>
          <cell r="E936" t="str">
            <v>コラボ降臨11</v>
          </cell>
          <cell r="F936">
            <v>3</v>
          </cell>
          <cell r="G936" t="str">
            <v>ja</v>
          </cell>
          <cell r="H936" t="str">
            <v>【ウィザード級】FA</v>
          </cell>
          <cell r="I936" t="str">
            <v>地獄級</v>
          </cell>
          <cell r="J936">
            <v>1467</v>
          </cell>
          <cell r="K936">
            <v>40</v>
          </cell>
          <cell r="L936">
            <v>4500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polygon</v>
          </cell>
          <cell r="T936">
            <v>1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995</v>
          </cell>
          <cell r="AD936">
            <v>6</v>
          </cell>
          <cell r="AE936" t="str">
            <v>everyone</v>
          </cell>
        </row>
        <row r="937">
          <cell r="A937" t="str">
            <v>49016_1</v>
          </cell>
          <cell r="B937">
            <v>1</v>
          </cell>
          <cell r="C937">
            <v>49016</v>
          </cell>
          <cell r="D937" t="str">
            <v>栗転</v>
          </cell>
          <cell r="E937" t="str">
            <v>コラボ降臨12</v>
          </cell>
          <cell r="F937">
            <v>1</v>
          </cell>
          <cell r="G937" t="str">
            <v>ja</v>
          </cell>
          <cell r="H937" t="str">
            <v>【超絶級】栗転</v>
          </cell>
          <cell r="I937" t="str">
            <v>地獄級</v>
          </cell>
          <cell r="J937">
            <v>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polygon</v>
          </cell>
          <cell r="T937">
            <v>1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998</v>
          </cell>
          <cell r="AD937">
            <v>6</v>
          </cell>
          <cell r="AE937" t="str">
            <v>everyone</v>
          </cell>
        </row>
        <row r="938">
          <cell r="A938" t="str">
            <v>49016_2</v>
          </cell>
          <cell r="B938">
            <v>1</v>
          </cell>
          <cell r="C938">
            <v>49016</v>
          </cell>
          <cell r="D938" t="str">
            <v>栗転</v>
          </cell>
          <cell r="E938" t="str">
            <v>コラボ降臨12</v>
          </cell>
          <cell r="F938">
            <v>2</v>
          </cell>
          <cell r="G938" t="str">
            <v>ja</v>
          </cell>
          <cell r="H938" t="str">
            <v>【ウィザード級】栗転</v>
          </cell>
          <cell r="I938" t="str">
            <v>地獄級</v>
          </cell>
          <cell r="J938">
            <v>0</v>
          </cell>
          <cell r="K938">
            <v>40</v>
          </cell>
          <cell r="L938">
            <v>4500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polygon</v>
          </cell>
          <cell r="T938">
            <v>1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998</v>
          </cell>
          <cell r="AD938">
            <v>6</v>
          </cell>
          <cell r="AE938" t="str">
            <v>everyone</v>
          </cell>
        </row>
        <row r="939">
          <cell r="A939" t="str">
            <v>50001_1</v>
          </cell>
          <cell r="B939">
            <v>3</v>
          </cell>
          <cell r="C939">
            <v>50001</v>
          </cell>
          <cell r="D939" t="str">
            <v>麒麟襲来！</v>
          </cell>
          <cell r="E939" t="str">
            <v>超降臨1</v>
          </cell>
          <cell r="F939">
            <v>1</v>
          </cell>
          <cell r="G939" t="str">
            <v>ja</v>
          </cell>
          <cell r="H939" t="str">
            <v xml:space="preserve">【超ウィザード級】麒麟襲来 </v>
          </cell>
          <cell r="I939" t="str">
            <v>超地獄級</v>
          </cell>
          <cell r="J939">
            <v>329</v>
          </cell>
          <cell r="K939">
            <v>40</v>
          </cell>
          <cell r="L939">
            <v>5200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character</v>
          </cell>
          <cell r="T939">
            <v>432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905</v>
          </cell>
          <cell r="AD939">
            <v>6</v>
          </cell>
          <cell r="AE939" t="str">
            <v>everyone</v>
          </cell>
        </row>
        <row r="940">
          <cell r="A940" t="str">
            <v>50002_1</v>
          </cell>
          <cell r="B940">
            <v>3</v>
          </cell>
          <cell r="C940">
            <v>50002</v>
          </cell>
          <cell r="D940" t="str">
            <v>オーディン襲来！</v>
          </cell>
          <cell r="E940" t="str">
            <v>超降臨2</v>
          </cell>
          <cell r="F940">
            <v>1</v>
          </cell>
          <cell r="G940" t="str">
            <v>ja</v>
          </cell>
          <cell r="H940" t="str">
            <v xml:space="preserve">【超ウィザード級】オーディン襲来 </v>
          </cell>
          <cell r="I940" t="str">
            <v>超地獄級</v>
          </cell>
          <cell r="J940">
            <v>331</v>
          </cell>
          <cell r="K940">
            <v>40</v>
          </cell>
          <cell r="L940">
            <v>5200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character</v>
          </cell>
          <cell r="T940">
            <v>573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911</v>
          </cell>
          <cell r="AD940">
            <v>6</v>
          </cell>
          <cell r="AE940" t="str">
            <v>everyone</v>
          </cell>
        </row>
        <row r="941">
          <cell r="A941" t="str">
            <v>50003_1</v>
          </cell>
          <cell r="B941">
            <v>3</v>
          </cell>
          <cell r="C941">
            <v>50003</v>
          </cell>
          <cell r="D941" t="str">
            <v>織田信長襲来！</v>
          </cell>
          <cell r="E941" t="str">
            <v>超降臨3</v>
          </cell>
          <cell r="F941">
            <v>1</v>
          </cell>
          <cell r="G941" t="str">
            <v>ja</v>
          </cell>
          <cell r="H941" t="str">
            <v xml:space="preserve">【超ウィザード級】織田信長襲来 </v>
          </cell>
          <cell r="I941" t="str">
            <v>超地獄級</v>
          </cell>
          <cell r="J941">
            <v>0</v>
          </cell>
          <cell r="K941">
            <v>40</v>
          </cell>
          <cell r="L941">
            <v>5200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character</v>
          </cell>
          <cell r="T941">
            <v>726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920</v>
          </cell>
          <cell r="AD941">
            <v>6</v>
          </cell>
          <cell r="AE941" t="str">
            <v>everyone</v>
          </cell>
        </row>
        <row r="942">
          <cell r="A942" t="str">
            <v>50004_1</v>
          </cell>
          <cell r="B942">
            <v>3</v>
          </cell>
          <cell r="C942">
            <v>50004</v>
          </cell>
          <cell r="D942" t="str">
            <v>ルシファー襲来！</v>
          </cell>
          <cell r="E942" t="str">
            <v>超降臨4</v>
          </cell>
          <cell r="F942">
            <v>1</v>
          </cell>
          <cell r="G942" t="str">
            <v>ja</v>
          </cell>
          <cell r="H942" t="str">
            <v xml:space="preserve">【超ウィザード級】ルシファー襲来 </v>
          </cell>
          <cell r="I942" t="str">
            <v>超地獄級</v>
          </cell>
          <cell r="J942">
            <v>0</v>
          </cell>
          <cell r="K942">
            <v>40</v>
          </cell>
          <cell r="L942">
            <v>5200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character</v>
          </cell>
          <cell r="T942">
            <v>846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928</v>
          </cell>
          <cell r="AD942">
            <v>6</v>
          </cell>
          <cell r="AE942" t="str">
            <v>everyone</v>
          </cell>
        </row>
        <row r="943">
          <cell r="A943" t="str">
            <v>50005_1</v>
          </cell>
          <cell r="B943">
            <v>3</v>
          </cell>
          <cell r="C943">
            <v>50005</v>
          </cell>
          <cell r="D943" t="str">
            <v>ゼウス襲来！</v>
          </cell>
          <cell r="E943" t="str">
            <v>超降臨5</v>
          </cell>
          <cell r="F943">
            <v>1</v>
          </cell>
          <cell r="G943" t="str">
            <v>ja</v>
          </cell>
          <cell r="H943" t="str">
            <v>【超ウィザード級】ゼウス襲来</v>
          </cell>
          <cell r="I943" t="str">
            <v>超地獄級</v>
          </cell>
          <cell r="J943">
            <v>0</v>
          </cell>
          <cell r="K943">
            <v>40</v>
          </cell>
          <cell r="L943">
            <v>5200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character</v>
          </cell>
          <cell r="T943">
            <v>929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935</v>
          </cell>
          <cell r="AD943">
            <v>6</v>
          </cell>
          <cell r="AE943" t="str">
            <v>everyone</v>
          </cell>
        </row>
        <row r="944">
          <cell r="A944" t="str">
            <v>50006_1</v>
          </cell>
          <cell r="B944">
            <v>3</v>
          </cell>
          <cell r="C944">
            <v>50006</v>
          </cell>
          <cell r="D944" t="str">
            <v>セト襲来！</v>
          </cell>
          <cell r="E944" t="str">
            <v>超降臨6</v>
          </cell>
          <cell r="F944">
            <v>1</v>
          </cell>
          <cell r="G944" t="str">
            <v>ja</v>
          </cell>
          <cell r="H944" t="str">
            <v>【超ウィザード級】セト襲来</v>
          </cell>
          <cell r="I944" t="str">
            <v>超地獄級</v>
          </cell>
          <cell r="J944">
            <v>0</v>
          </cell>
          <cell r="K944">
            <v>40</v>
          </cell>
          <cell r="L944">
            <v>5200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character</v>
          </cell>
          <cell r="T944">
            <v>1010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939</v>
          </cell>
          <cell r="AD944">
            <v>6</v>
          </cell>
          <cell r="AE944" t="str">
            <v>everyone</v>
          </cell>
        </row>
        <row r="945">
          <cell r="A945" t="str">
            <v>50007_1</v>
          </cell>
          <cell r="B945">
            <v>3</v>
          </cell>
          <cell r="C945">
            <v>50007</v>
          </cell>
          <cell r="D945" t="str">
            <v>ギルガメッシュ襲来！</v>
          </cell>
          <cell r="E945" t="str">
            <v>超降臨7</v>
          </cell>
          <cell r="F945">
            <v>1</v>
          </cell>
          <cell r="G945" t="str">
            <v>ja</v>
          </cell>
          <cell r="H945" t="str">
            <v>【超ウィザ】ギルガメッシュ襲来</v>
          </cell>
          <cell r="I945" t="str">
            <v>超地獄級</v>
          </cell>
          <cell r="J945">
            <v>0</v>
          </cell>
          <cell r="K945">
            <v>40</v>
          </cell>
          <cell r="L945">
            <v>5200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character</v>
          </cell>
          <cell r="T945">
            <v>1065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945</v>
          </cell>
          <cell r="AD945">
            <v>6</v>
          </cell>
          <cell r="AE945" t="str">
            <v>everyone</v>
          </cell>
        </row>
        <row r="946">
          <cell r="A946" t="str">
            <v>50008_1</v>
          </cell>
          <cell r="B946">
            <v>3</v>
          </cell>
          <cell r="C946">
            <v>50008</v>
          </cell>
          <cell r="D946" t="str">
            <v>呂布襲来！</v>
          </cell>
          <cell r="E946" t="str">
            <v>超降臨8</v>
          </cell>
          <cell r="F946">
            <v>1</v>
          </cell>
          <cell r="G946" t="str">
            <v>ja</v>
          </cell>
          <cell r="H946" t="str">
            <v>【超ウィザード級】呂布襲来</v>
          </cell>
          <cell r="I946" t="str">
            <v>超地獄級</v>
          </cell>
          <cell r="J946">
            <v>0</v>
          </cell>
          <cell r="K946">
            <v>40</v>
          </cell>
          <cell r="L946">
            <v>5200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character</v>
          </cell>
          <cell r="T946">
            <v>1135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950</v>
          </cell>
          <cell r="AD946">
            <v>6</v>
          </cell>
          <cell r="AE946" t="str">
            <v>everyone</v>
          </cell>
        </row>
        <row r="947">
          <cell r="A947" t="str">
            <v>50009_1</v>
          </cell>
          <cell r="B947">
            <v>1</v>
          </cell>
          <cell r="C947">
            <v>50009</v>
          </cell>
          <cell r="D947" t="str">
            <v>ヘラ襲来！</v>
          </cell>
          <cell r="E947" t="str">
            <v>超降臨9</v>
          </cell>
          <cell r="F947">
            <v>1</v>
          </cell>
          <cell r="G947" t="str">
            <v>ja</v>
          </cell>
          <cell r="H947" t="str">
            <v>【超ウィザード級】ヘラ襲来</v>
          </cell>
          <cell r="I947" t="str">
            <v>超地獄級</v>
          </cell>
          <cell r="J947">
            <v>0</v>
          </cell>
          <cell r="K947">
            <v>40</v>
          </cell>
          <cell r="L947">
            <v>5200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character</v>
          </cell>
          <cell r="T947">
            <v>1206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955</v>
          </cell>
          <cell r="AD947">
            <v>6</v>
          </cell>
          <cell r="AE947" t="str">
            <v>everyone</v>
          </cell>
        </row>
        <row r="948">
          <cell r="A948" t="str">
            <v>50010_1</v>
          </cell>
          <cell r="B948">
            <v>3</v>
          </cell>
          <cell r="C948">
            <v>50010</v>
          </cell>
          <cell r="D948" t="str">
            <v>カフカ襲来！</v>
          </cell>
          <cell r="E948" t="str">
            <v>超降臨10</v>
          </cell>
          <cell r="F948">
            <v>1</v>
          </cell>
          <cell r="G948" t="str">
            <v>ja</v>
          </cell>
          <cell r="H948" t="str">
            <v>【超ウィザード級】カフカ襲来</v>
          </cell>
          <cell r="I948" t="str">
            <v>超地獄級</v>
          </cell>
          <cell r="J948">
            <v>0</v>
          </cell>
          <cell r="K948">
            <v>40</v>
          </cell>
          <cell r="L948">
            <v>5200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character</v>
          </cell>
          <cell r="T948">
            <v>1222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957</v>
          </cell>
          <cell r="AD948">
            <v>6</v>
          </cell>
          <cell r="AE948" t="str">
            <v>everyone</v>
          </cell>
        </row>
        <row r="949">
          <cell r="A949" t="str">
            <v>50011_1</v>
          </cell>
          <cell r="B949">
            <v>3</v>
          </cell>
          <cell r="C949">
            <v>50011</v>
          </cell>
          <cell r="D949" t="str">
            <v>ヘラ襲来！</v>
          </cell>
          <cell r="E949" t="str">
            <v>超降臨9</v>
          </cell>
          <cell r="F949">
            <v>1</v>
          </cell>
          <cell r="G949" t="str">
            <v>ja</v>
          </cell>
          <cell r="H949" t="str">
            <v>【超ウィザード級】ヘラ襲来</v>
          </cell>
          <cell r="I949" t="str">
            <v>超地獄級</v>
          </cell>
          <cell r="J949">
            <v>0</v>
          </cell>
          <cell r="K949">
            <v>40</v>
          </cell>
          <cell r="L949">
            <v>5200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character</v>
          </cell>
          <cell r="T949">
            <v>1206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955</v>
          </cell>
          <cell r="AD949">
            <v>6</v>
          </cell>
          <cell r="AE949" t="str">
            <v>everyone</v>
          </cell>
        </row>
        <row r="950">
          <cell r="A950" t="str">
            <v>50012_1</v>
          </cell>
          <cell r="B950">
            <v>3</v>
          </cell>
          <cell r="C950">
            <v>50012</v>
          </cell>
          <cell r="D950" t="str">
            <v>豊臣秀吉襲来！</v>
          </cell>
          <cell r="E950" t="str">
            <v>超降臨11</v>
          </cell>
          <cell r="F950">
            <v>1</v>
          </cell>
          <cell r="G950" t="str">
            <v>ja</v>
          </cell>
          <cell r="H950" t="str">
            <v>【超ウィザード級】豊臣秀吉襲来</v>
          </cell>
          <cell r="I950" t="str">
            <v>超地獄級</v>
          </cell>
          <cell r="J950">
            <v>0</v>
          </cell>
          <cell r="K950">
            <v>40</v>
          </cell>
          <cell r="L950">
            <v>5200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character</v>
          </cell>
          <cell r="T950">
            <v>1242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959</v>
          </cell>
          <cell r="AD950">
            <v>6</v>
          </cell>
          <cell r="AE950" t="str">
            <v>everyone</v>
          </cell>
        </row>
        <row r="951">
          <cell r="A951" t="str">
            <v>50013_1</v>
          </cell>
          <cell r="B951">
            <v>3</v>
          </cell>
          <cell r="C951">
            <v>50013</v>
          </cell>
          <cell r="D951" t="str">
            <v>ロキ襲来！</v>
          </cell>
          <cell r="E951" t="str">
            <v>超降臨12</v>
          </cell>
          <cell r="F951">
            <v>1</v>
          </cell>
          <cell r="G951" t="str">
            <v>ja</v>
          </cell>
          <cell r="H951" t="str">
            <v>【超ウィザード級】ロキ襲来</v>
          </cell>
          <cell r="I951" t="str">
            <v>超地獄級</v>
          </cell>
          <cell r="J951">
            <v>0</v>
          </cell>
          <cell r="K951">
            <v>40</v>
          </cell>
          <cell r="L951">
            <v>5200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character</v>
          </cell>
          <cell r="T951">
            <v>1258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961</v>
          </cell>
          <cell r="AD951">
            <v>6</v>
          </cell>
          <cell r="AE951" t="str">
            <v>everyone</v>
          </cell>
        </row>
        <row r="952">
          <cell r="A952" t="str">
            <v>50014_1</v>
          </cell>
          <cell r="B952">
            <v>3</v>
          </cell>
          <cell r="C952">
            <v>50014</v>
          </cell>
          <cell r="D952" t="str">
            <v>スサノオ襲来！</v>
          </cell>
          <cell r="E952" t="str">
            <v>超降臨13</v>
          </cell>
          <cell r="F952">
            <v>1</v>
          </cell>
          <cell r="G952" t="str">
            <v>ja</v>
          </cell>
          <cell r="H952" t="str">
            <v>【超ウィザード級】スサノオ襲来</v>
          </cell>
          <cell r="I952" t="str">
            <v>超地獄級</v>
          </cell>
          <cell r="J952">
            <v>0</v>
          </cell>
          <cell r="K952">
            <v>40</v>
          </cell>
          <cell r="L952">
            <v>5200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character</v>
          </cell>
          <cell r="T952">
            <v>1330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967</v>
          </cell>
          <cell r="AD952">
            <v>6</v>
          </cell>
          <cell r="AE952" t="str">
            <v>everyone</v>
          </cell>
        </row>
        <row r="953">
          <cell r="A953" t="str">
            <v>50015_1</v>
          </cell>
          <cell r="B953">
            <v>3</v>
          </cell>
          <cell r="C953">
            <v>50015</v>
          </cell>
          <cell r="D953" t="str">
            <v>アンデルセン襲来！</v>
          </cell>
          <cell r="E953" t="str">
            <v>超降臨14</v>
          </cell>
          <cell r="F953">
            <v>1</v>
          </cell>
          <cell r="G953" t="str">
            <v>ja</v>
          </cell>
          <cell r="H953" t="str">
            <v>【超ウィザード級】アンデルセン襲来</v>
          </cell>
          <cell r="I953" t="str">
            <v>超地獄級</v>
          </cell>
          <cell r="J953">
            <v>0</v>
          </cell>
          <cell r="K953">
            <v>40</v>
          </cell>
          <cell r="L953">
            <v>5200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character</v>
          </cell>
          <cell r="T953">
            <v>1379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974</v>
          </cell>
          <cell r="AD953">
            <v>6</v>
          </cell>
          <cell r="AE953" t="str">
            <v>everyone</v>
          </cell>
        </row>
        <row r="954">
          <cell r="A954" t="str">
            <v>50016_1</v>
          </cell>
          <cell r="B954">
            <v>1</v>
          </cell>
          <cell r="C954">
            <v>50016</v>
          </cell>
          <cell r="D954" t="str">
            <v>アレキサンダー襲来！</v>
          </cell>
          <cell r="E954" t="str">
            <v>超降臨15</v>
          </cell>
          <cell r="F954">
            <v>1</v>
          </cell>
          <cell r="G954" t="str">
            <v>ja</v>
          </cell>
          <cell r="H954" t="str">
            <v>【超ウィザ】アレキサンダー襲来</v>
          </cell>
          <cell r="I954" t="str">
            <v>超地獄級</v>
          </cell>
          <cell r="J954">
            <v>0</v>
          </cell>
          <cell r="K954">
            <v>40</v>
          </cell>
          <cell r="L954">
            <v>5200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character</v>
          </cell>
          <cell r="T954">
            <v>1442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989</v>
          </cell>
          <cell r="AD954">
            <v>6</v>
          </cell>
          <cell r="AE954" t="str">
            <v>everyone</v>
          </cell>
        </row>
        <row r="955">
          <cell r="A955" t="str">
            <v>51001_1</v>
          </cell>
          <cell r="B955">
            <v>3</v>
          </cell>
          <cell r="C955">
            <v>51001</v>
          </cell>
          <cell r="D955" t="str">
            <v>麒麟襲来！</v>
          </cell>
          <cell r="E955" t="str">
            <v>超降臨1</v>
          </cell>
          <cell r="F955">
            <v>1</v>
          </cell>
          <cell r="G955" t="str">
            <v>ja</v>
          </cell>
          <cell r="H955" t="str">
            <v xml:space="preserve">【超ウィザード級】麒麟襲来 </v>
          </cell>
          <cell r="I955" t="str">
            <v>超地獄級</v>
          </cell>
          <cell r="J955">
            <v>0</v>
          </cell>
          <cell r="K955">
            <v>40</v>
          </cell>
          <cell r="L955">
            <v>5200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character</v>
          </cell>
          <cell r="T955">
            <v>432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905</v>
          </cell>
          <cell r="AD955">
            <v>6</v>
          </cell>
          <cell r="AE955" t="str">
            <v>everyone</v>
          </cell>
        </row>
        <row r="956">
          <cell r="A956" t="str">
            <v>51002_1</v>
          </cell>
          <cell r="B956">
            <v>3</v>
          </cell>
          <cell r="C956">
            <v>51002</v>
          </cell>
          <cell r="D956" t="str">
            <v>オーディン襲来！</v>
          </cell>
          <cell r="E956" t="str">
            <v>超降臨2</v>
          </cell>
          <cell r="F956">
            <v>1</v>
          </cell>
          <cell r="G956" t="str">
            <v>ja</v>
          </cell>
          <cell r="H956" t="str">
            <v>【超ウィザード級】オーディン襲来</v>
          </cell>
          <cell r="I956" t="str">
            <v>超地獄級</v>
          </cell>
          <cell r="J956">
            <v>0</v>
          </cell>
          <cell r="K956">
            <v>40</v>
          </cell>
          <cell r="L956">
            <v>5200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character</v>
          </cell>
          <cell r="T956">
            <v>573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911</v>
          </cell>
          <cell r="AD956">
            <v>6</v>
          </cell>
          <cell r="AE956" t="str">
            <v>everyone</v>
          </cell>
        </row>
        <row r="957">
          <cell r="A957" t="str">
            <v>58001_1</v>
          </cell>
          <cell r="B957">
            <v>1</v>
          </cell>
          <cell r="C957">
            <v>58001</v>
          </cell>
          <cell r="D957" t="str">
            <v>曹操襲来！</v>
          </cell>
          <cell r="E957" t="str">
            <v>繁体字版超降臨1</v>
          </cell>
          <cell r="F957">
            <v>1</v>
          </cell>
          <cell r="G957" t="str">
            <v>ja</v>
          </cell>
          <cell r="H957" t="str">
            <v>【超ウィザード級】曹操襲来</v>
          </cell>
          <cell r="I957" t="str">
            <v>超地獄級</v>
          </cell>
          <cell r="J957">
            <v>0</v>
          </cell>
          <cell r="K957">
            <v>40</v>
          </cell>
          <cell r="L957">
            <v>5200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character</v>
          </cell>
          <cell r="T957">
            <v>8083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964</v>
          </cell>
          <cell r="AD957">
            <v>6</v>
          </cell>
          <cell r="AE957" t="str">
            <v>everyone</v>
          </cell>
        </row>
        <row r="958">
          <cell r="A958" t="str">
            <v>58002_1</v>
          </cell>
          <cell r="B958">
            <v>1</v>
          </cell>
          <cell r="C958">
            <v>58002</v>
          </cell>
          <cell r="D958" t="str">
            <v>始皇贏政襲来！</v>
          </cell>
          <cell r="E958" t="str">
            <v>繁体字版超降臨2</v>
          </cell>
          <cell r="F958">
            <v>1</v>
          </cell>
          <cell r="G958" t="str">
            <v>ja</v>
          </cell>
          <cell r="H958" t="str">
            <v>【超ウィザード級】始皇贏政襲来</v>
          </cell>
          <cell r="I958" t="str">
            <v>超地獄級</v>
          </cell>
          <cell r="J958">
            <v>0</v>
          </cell>
          <cell r="K958">
            <v>40</v>
          </cell>
          <cell r="L958">
            <v>5200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character</v>
          </cell>
          <cell r="T958">
            <v>1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59001_1</v>
          </cell>
          <cell r="B959">
            <v>3</v>
          </cell>
          <cell r="C959">
            <v>59001</v>
          </cell>
          <cell r="D959" t="str">
            <v>電子歌姫の堕天使</v>
          </cell>
          <cell r="E959" t="str">
            <v>コラボ超降臨1</v>
          </cell>
          <cell r="F959">
            <v>1</v>
          </cell>
          <cell r="G959" t="str">
            <v>ja</v>
          </cell>
          <cell r="H959" t="str">
            <v>【超ウィザード級】電子歌姫の堕天使</v>
          </cell>
          <cell r="I959" t="str">
            <v>超地獄級</v>
          </cell>
          <cell r="J959">
            <v>0</v>
          </cell>
          <cell r="K959">
            <v>30</v>
          </cell>
          <cell r="L959">
            <v>5200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character</v>
          </cell>
          <cell r="T959">
            <v>1306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968</v>
          </cell>
          <cell r="AD959">
            <v>6</v>
          </cell>
          <cell r="AE959" t="str">
            <v>everyone</v>
          </cell>
        </row>
        <row r="960">
          <cell r="A960" t="str">
            <v>59002_1</v>
          </cell>
          <cell r="B960">
            <v>3</v>
          </cell>
          <cell r="C960">
            <v>59002</v>
          </cell>
          <cell r="D960" t="str">
            <v>狂乱のネコ降臨</v>
          </cell>
          <cell r="E960" t="str">
            <v>コラボ超降臨2</v>
          </cell>
          <cell r="F960">
            <v>1</v>
          </cell>
          <cell r="G960" t="str">
            <v>ja</v>
          </cell>
          <cell r="H960" t="str">
            <v>【極ムズ】狂乱のネコ降臨</v>
          </cell>
          <cell r="I960" t="str">
            <v>超地獄級</v>
          </cell>
          <cell r="J960">
            <v>0</v>
          </cell>
          <cell r="K960">
            <v>34</v>
          </cell>
          <cell r="L960">
            <v>6000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1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982</v>
          </cell>
          <cell r="AD960">
            <v>6</v>
          </cell>
          <cell r="AE960" t="str">
            <v>everyone</v>
          </cell>
        </row>
        <row r="961">
          <cell r="A961" t="str">
            <v>59003_1</v>
          </cell>
          <cell r="B961">
            <v>1</v>
          </cell>
          <cell r="C961">
            <v>59003</v>
          </cell>
          <cell r="D961" t="str">
            <v>風雷</v>
          </cell>
          <cell r="E961" t="str">
            <v>コラボ超降臨3</v>
          </cell>
          <cell r="F961">
            <v>1</v>
          </cell>
          <cell r="G961" t="str">
            <v>ja</v>
          </cell>
          <cell r="H961" t="str">
            <v>【ウィザード級】風雷</v>
          </cell>
          <cell r="I961" t="str">
            <v>地獄級</v>
          </cell>
          <cell r="J961">
            <v>0</v>
          </cell>
          <cell r="K961">
            <v>40</v>
          </cell>
          <cell r="L961">
            <v>4500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1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1000</v>
          </cell>
          <cell r="AD961">
            <v>6</v>
          </cell>
          <cell r="AE961" t="str">
            <v>everyone</v>
          </cell>
        </row>
        <row r="962">
          <cell r="A962" t="str">
            <v>59003_2</v>
          </cell>
          <cell r="B962">
            <v>1</v>
          </cell>
          <cell r="C962">
            <v>59003</v>
          </cell>
          <cell r="D962" t="str">
            <v>風雷</v>
          </cell>
          <cell r="E962" t="str">
            <v>コラボ超降臨3</v>
          </cell>
          <cell r="F962">
            <v>2</v>
          </cell>
          <cell r="G962" t="str">
            <v>ja</v>
          </cell>
          <cell r="H962" t="str">
            <v>【超ウィザード級】風雷</v>
          </cell>
          <cell r="I962" t="str">
            <v>超地獄級</v>
          </cell>
          <cell r="J962">
            <v>0</v>
          </cell>
          <cell r="K962">
            <v>40</v>
          </cell>
          <cell r="L962">
            <v>5200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1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1000</v>
          </cell>
          <cell r="AD962">
            <v>6</v>
          </cell>
          <cell r="AE962" t="str">
            <v>everyone</v>
          </cell>
        </row>
        <row r="963">
          <cell r="A963" t="str">
            <v>60001_1</v>
          </cell>
          <cell r="B963">
            <v>1</v>
          </cell>
          <cell r="C963">
            <v>60001</v>
          </cell>
          <cell r="D963" t="str">
            <v>ヘンペルチャレンジ</v>
          </cell>
          <cell r="E963" t="str">
            <v>ランキング1</v>
          </cell>
          <cell r="F963">
            <v>1</v>
          </cell>
          <cell r="G963" t="str">
            <v>ja</v>
          </cell>
          <cell r="H963" t="str">
            <v>[ウィザード] 第一回</v>
          </cell>
          <cell r="I963" t="str">
            <v>ランキング</v>
          </cell>
          <cell r="J963">
            <v>488</v>
          </cell>
          <cell r="K963">
            <v>5</v>
          </cell>
          <cell r="L963">
            <v>0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none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911</v>
          </cell>
          <cell r="AD963">
            <v>6</v>
          </cell>
          <cell r="AE963" t="str">
            <v>singleonly</v>
          </cell>
        </row>
        <row r="964">
          <cell r="A964" t="str">
            <v>60002_1</v>
          </cell>
          <cell r="B964">
            <v>1</v>
          </cell>
          <cell r="C964">
            <v>60002</v>
          </cell>
          <cell r="D964" t="str">
            <v>ヘンペルチャレンジ</v>
          </cell>
          <cell r="E964" t="str">
            <v>ランキング1</v>
          </cell>
          <cell r="F964">
            <v>1</v>
          </cell>
          <cell r="G964" t="str">
            <v>ja</v>
          </cell>
          <cell r="H964" t="str">
            <v>[超級] 第2回　※Wizと難易度は同じ</v>
          </cell>
          <cell r="I964" t="str">
            <v>ランキング</v>
          </cell>
          <cell r="J964">
            <v>488</v>
          </cell>
          <cell r="K964">
            <v>5</v>
          </cell>
          <cell r="L964">
            <v>0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none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911</v>
          </cell>
          <cell r="AD964">
            <v>6</v>
          </cell>
          <cell r="AE964" t="str">
            <v>singleonly</v>
          </cell>
        </row>
        <row r="965">
          <cell r="A965" t="str">
            <v>60002_2</v>
          </cell>
          <cell r="B965">
            <v>1</v>
          </cell>
          <cell r="C965">
            <v>60002</v>
          </cell>
          <cell r="D965" t="str">
            <v>ヘンペルチャレンジ</v>
          </cell>
          <cell r="E965" t="str">
            <v>ランキング1</v>
          </cell>
          <cell r="F965">
            <v>2</v>
          </cell>
          <cell r="G965" t="str">
            <v>ja</v>
          </cell>
          <cell r="H965" t="str">
            <v>[ウィザード] 第2回　※Wizと難易度は同じ</v>
          </cell>
          <cell r="I965" t="str">
            <v>ランキング</v>
          </cell>
          <cell r="J965">
            <v>488</v>
          </cell>
          <cell r="K965">
            <v>5</v>
          </cell>
          <cell r="L965">
            <v>0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none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911</v>
          </cell>
          <cell r="AD965">
            <v>6</v>
          </cell>
          <cell r="AE965" t="str">
            <v>singleonly</v>
          </cell>
        </row>
        <row r="966">
          <cell r="A966" t="str">
            <v>60003_1</v>
          </cell>
          <cell r="B966">
            <v>1</v>
          </cell>
          <cell r="C966">
            <v>60003</v>
          </cell>
          <cell r="D966" t="str">
            <v>ヘンペルチャレンジ</v>
          </cell>
          <cell r="E966" t="str">
            <v>ランキング1</v>
          </cell>
          <cell r="F966">
            <v>1</v>
          </cell>
          <cell r="G966" t="str">
            <v>ja</v>
          </cell>
          <cell r="H966" t="str">
            <v>[中級] 第3回　</v>
          </cell>
          <cell r="I966" t="str">
            <v>ランキング</v>
          </cell>
          <cell r="J966">
            <v>488</v>
          </cell>
          <cell r="K966">
            <v>5</v>
          </cell>
          <cell r="L966">
            <v>0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none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911</v>
          </cell>
          <cell r="AD966">
            <v>6</v>
          </cell>
          <cell r="AE966" t="str">
            <v>singleonly</v>
          </cell>
        </row>
        <row r="967">
          <cell r="A967" t="str">
            <v>60003_2</v>
          </cell>
          <cell r="B967">
            <v>1</v>
          </cell>
          <cell r="C967">
            <v>60003</v>
          </cell>
          <cell r="D967" t="str">
            <v>ヘンペルチャレンジ</v>
          </cell>
          <cell r="E967" t="str">
            <v>ランキング1</v>
          </cell>
          <cell r="F967">
            <v>2</v>
          </cell>
          <cell r="G967" t="str">
            <v>ja</v>
          </cell>
          <cell r="H967" t="str">
            <v>[超級] 第3回　</v>
          </cell>
          <cell r="I967" t="str">
            <v>ランキング</v>
          </cell>
          <cell r="J967">
            <v>488</v>
          </cell>
          <cell r="K967">
            <v>5</v>
          </cell>
          <cell r="L967">
            <v>0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none</v>
          </cell>
          <cell r="T967">
            <v>0</v>
          </cell>
          <cell r="U967">
            <v>60003</v>
          </cell>
          <cell r="V967">
            <v>1</v>
          </cell>
          <cell r="W967" t="str">
            <v>[中級] 第3回　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911</v>
          </cell>
          <cell r="AD967">
            <v>6</v>
          </cell>
          <cell r="AE967" t="str">
            <v>singleonly</v>
          </cell>
        </row>
        <row r="968">
          <cell r="A968" t="str">
            <v>60003_3</v>
          </cell>
          <cell r="B968">
            <v>1</v>
          </cell>
          <cell r="C968">
            <v>60003</v>
          </cell>
          <cell r="D968" t="str">
            <v>ヘンペルチャレンジ</v>
          </cell>
          <cell r="E968" t="str">
            <v>ランキング1</v>
          </cell>
          <cell r="F968">
            <v>3</v>
          </cell>
          <cell r="G968" t="str">
            <v>ja</v>
          </cell>
          <cell r="H968" t="str">
            <v>[ウィザード] 第3回　</v>
          </cell>
          <cell r="I968" t="str">
            <v>ランキング</v>
          </cell>
          <cell r="J968">
            <v>488</v>
          </cell>
          <cell r="K968">
            <v>5</v>
          </cell>
          <cell r="L968">
            <v>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>
            <v>60003</v>
          </cell>
          <cell r="V968">
            <v>2</v>
          </cell>
          <cell r="W968" t="str">
            <v>[超級] 第3回　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911</v>
          </cell>
          <cell r="AD968">
            <v>6</v>
          </cell>
          <cell r="AE968" t="str">
            <v>singleonly</v>
          </cell>
        </row>
        <row r="969">
          <cell r="A969" t="str">
            <v>60004_1</v>
          </cell>
          <cell r="B969">
            <v>1</v>
          </cell>
          <cell r="C969">
            <v>60004</v>
          </cell>
          <cell r="D969" t="str">
            <v>ヘンペルチャレンジ</v>
          </cell>
          <cell r="E969" t="str">
            <v>ランキング1</v>
          </cell>
          <cell r="F969">
            <v>1</v>
          </cell>
          <cell r="G969" t="str">
            <v>ja</v>
          </cell>
          <cell r="H969" t="str">
            <v>[ウィザード] 第4回　</v>
          </cell>
          <cell r="I969" t="str">
            <v>ランキング</v>
          </cell>
          <cell r="J969">
            <v>488</v>
          </cell>
          <cell r="K969">
            <v>5</v>
          </cell>
          <cell r="L969">
            <v>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none</v>
          </cell>
          <cell r="T969">
            <v>0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911</v>
          </cell>
          <cell r="AD969">
            <v>6</v>
          </cell>
          <cell r="AE969" t="str">
            <v>singleonly</v>
          </cell>
        </row>
        <row r="970">
          <cell r="A970" t="str">
            <v>60005_1</v>
          </cell>
          <cell r="B970">
            <v>1</v>
          </cell>
          <cell r="C970">
            <v>60005</v>
          </cell>
          <cell r="D970" t="str">
            <v>オイラーチャレンジ</v>
          </cell>
          <cell r="E970" t="str">
            <v>ランキング1</v>
          </cell>
          <cell r="F970">
            <v>1</v>
          </cell>
          <cell r="G970" t="str">
            <v>ja</v>
          </cell>
          <cell r="H970" t="str">
            <v>[ウィザード] 第5回　</v>
          </cell>
          <cell r="I970" t="str">
            <v>ランキング</v>
          </cell>
          <cell r="J970">
            <v>379</v>
          </cell>
          <cell r="K970">
            <v>5</v>
          </cell>
          <cell r="L970">
            <v>0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none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923</v>
          </cell>
          <cell r="AD970">
            <v>6</v>
          </cell>
          <cell r="AE970" t="str">
            <v>singleonly</v>
          </cell>
        </row>
        <row r="971">
          <cell r="A971" t="str">
            <v>60006_1</v>
          </cell>
          <cell r="B971">
            <v>0</v>
          </cell>
          <cell r="C971">
            <v>60006</v>
          </cell>
          <cell r="D971" t="str">
            <v>オイラーチャレンジ</v>
          </cell>
          <cell r="E971" t="str">
            <v>ランキング1（本番実装用）</v>
          </cell>
          <cell r="F971">
            <v>1</v>
          </cell>
          <cell r="G971" t="str">
            <v>ja</v>
          </cell>
          <cell r="H971" t="str">
            <v>【中級】オイラーチャレンジ</v>
          </cell>
          <cell r="I971" t="str">
            <v>中級</v>
          </cell>
          <cell r="J971">
            <v>378</v>
          </cell>
          <cell r="K971">
            <v>15</v>
          </cell>
          <cell r="L971">
            <v>1200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none</v>
          </cell>
          <cell r="T971">
            <v>0</v>
          </cell>
          <cell r="U971">
            <v>60006</v>
          </cell>
          <cell r="V971">
            <v>1</v>
          </cell>
          <cell r="W971" t="str">
            <v>【中級】オイラーチャレンジ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923</v>
          </cell>
          <cell r="AD971">
            <v>6</v>
          </cell>
          <cell r="AE971" t="str">
            <v>singleonly</v>
          </cell>
        </row>
        <row r="972">
          <cell r="A972" t="str">
            <v>60006_2</v>
          </cell>
          <cell r="B972">
            <v>0</v>
          </cell>
          <cell r="C972">
            <v>60006</v>
          </cell>
          <cell r="D972" t="str">
            <v>オイラーチャレンジ</v>
          </cell>
          <cell r="E972" t="str">
            <v>ランキング1（本番実装用）</v>
          </cell>
          <cell r="F972">
            <v>2</v>
          </cell>
          <cell r="G972" t="str">
            <v>ja</v>
          </cell>
          <cell r="H972" t="str">
            <v>【超級】オイラーチャレンジ</v>
          </cell>
          <cell r="I972" t="str">
            <v>超級</v>
          </cell>
          <cell r="J972">
            <v>378</v>
          </cell>
          <cell r="K972">
            <v>30</v>
          </cell>
          <cell r="L972">
            <v>3300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>
            <v>60006</v>
          </cell>
          <cell r="V972">
            <v>2</v>
          </cell>
          <cell r="W972" t="str">
            <v>【超級】オイラーチャレンジ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923</v>
          </cell>
          <cell r="AD972">
            <v>6</v>
          </cell>
          <cell r="AE972" t="str">
            <v>singleonly</v>
          </cell>
        </row>
        <row r="973">
          <cell r="A973" t="str">
            <v>60006_3</v>
          </cell>
          <cell r="B973">
            <v>3</v>
          </cell>
          <cell r="C973">
            <v>60006</v>
          </cell>
          <cell r="D973" t="str">
            <v>オイラーチャレンジ</v>
          </cell>
          <cell r="E973" t="str">
            <v>ランキング1（本番実装用）</v>
          </cell>
          <cell r="F973">
            <v>3</v>
          </cell>
          <cell r="G973" t="str">
            <v>ja</v>
          </cell>
          <cell r="H973" t="str">
            <v>【ウィザード級】オイラーチャレンジ</v>
          </cell>
          <cell r="I973" t="str">
            <v>ウィザード級</v>
          </cell>
          <cell r="J973">
            <v>379</v>
          </cell>
          <cell r="K973">
            <v>35</v>
          </cell>
          <cell r="L973">
            <v>4200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>
            <v>60006</v>
          </cell>
          <cell r="V973">
            <v>3</v>
          </cell>
          <cell r="W973" t="str">
            <v>【ウィザード級】オイラーチャレンジ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923</v>
          </cell>
          <cell r="AD973">
            <v>6</v>
          </cell>
          <cell r="AE973" t="str">
            <v>singleonly</v>
          </cell>
        </row>
        <row r="974">
          <cell r="A974" t="str">
            <v>60007_1</v>
          </cell>
          <cell r="B974">
            <v>0</v>
          </cell>
          <cell r="C974">
            <v>60007</v>
          </cell>
          <cell r="D974" t="str">
            <v>オイラーチャレンジ</v>
          </cell>
          <cell r="E974" t="str">
            <v>ランキング1（改修版）</v>
          </cell>
          <cell r="F974">
            <v>1</v>
          </cell>
          <cell r="G974" t="str">
            <v>ja</v>
          </cell>
          <cell r="H974" t="str">
            <v>【中級】オイラーチャレンジ</v>
          </cell>
          <cell r="I974" t="str">
            <v>中級</v>
          </cell>
          <cell r="J974">
            <v>378</v>
          </cell>
          <cell r="K974">
            <v>15</v>
          </cell>
          <cell r="L974">
            <v>1200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923</v>
          </cell>
          <cell r="AD974">
            <v>6</v>
          </cell>
          <cell r="AE974" t="str">
            <v>singleonly</v>
          </cell>
        </row>
        <row r="975">
          <cell r="A975" t="str">
            <v>60007_2</v>
          </cell>
          <cell r="B975">
            <v>0</v>
          </cell>
          <cell r="C975">
            <v>60007</v>
          </cell>
          <cell r="D975" t="str">
            <v>オイラーチャレンジ</v>
          </cell>
          <cell r="E975" t="str">
            <v>ランキング1（改修版）</v>
          </cell>
          <cell r="F975">
            <v>2</v>
          </cell>
          <cell r="G975" t="str">
            <v>ja</v>
          </cell>
          <cell r="H975" t="str">
            <v>【超級】オイラーチャレンジ</v>
          </cell>
          <cell r="I975" t="str">
            <v>超級</v>
          </cell>
          <cell r="J975">
            <v>378</v>
          </cell>
          <cell r="K975">
            <v>30</v>
          </cell>
          <cell r="L975">
            <v>3300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923</v>
          </cell>
          <cell r="AD975">
            <v>6</v>
          </cell>
          <cell r="AE975" t="str">
            <v>singleonly</v>
          </cell>
        </row>
        <row r="976">
          <cell r="A976" t="str">
            <v>60007_3</v>
          </cell>
          <cell r="B976">
            <v>3</v>
          </cell>
          <cell r="C976">
            <v>60007</v>
          </cell>
          <cell r="D976" t="str">
            <v>オイラーチャレンジ</v>
          </cell>
          <cell r="E976" t="str">
            <v>ランキング1（改修版）</v>
          </cell>
          <cell r="F976">
            <v>3</v>
          </cell>
          <cell r="G976" t="str">
            <v>ja</v>
          </cell>
          <cell r="H976" t="str">
            <v>【ウィザード級】オイラーチャレンジ</v>
          </cell>
          <cell r="I976" t="str">
            <v>ウィザード級</v>
          </cell>
          <cell r="J976">
            <v>379</v>
          </cell>
          <cell r="K976">
            <v>35</v>
          </cell>
          <cell r="L976">
            <v>4200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923</v>
          </cell>
          <cell r="AD976">
            <v>6</v>
          </cell>
          <cell r="AE976" t="str">
            <v>singleonly</v>
          </cell>
        </row>
        <row r="977">
          <cell r="A977" t="str">
            <v>60010_1</v>
          </cell>
          <cell r="B977">
            <v>3</v>
          </cell>
          <cell r="C977">
            <v>60010</v>
          </cell>
          <cell r="D977" t="str">
            <v>ラグランジュチャレンジ</v>
          </cell>
          <cell r="E977" t="str">
            <v>ランキング2（ラグランジュ）</v>
          </cell>
          <cell r="F977">
            <v>1</v>
          </cell>
          <cell r="G977" t="str">
            <v>ja</v>
          </cell>
          <cell r="H977" t="str">
            <v>ラグランジュチャレンジ</v>
          </cell>
          <cell r="I977" t="str">
            <v>ウィザード級</v>
          </cell>
          <cell r="J977">
            <v>796</v>
          </cell>
          <cell r="K977">
            <v>35</v>
          </cell>
          <cell r="L977">
            <v>4200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922</v>
          </cell>
          <cell r="AD977">
            <v>6</v>
          </cell>
          <cell r="AE977" t="str">
            <v>singleonly</v>
          </cell>
        </row>
        <row r="978">
          <cell r="A978" t="str">
            <v>60011_1</v>
          </cell>
          <cell r="B978">
            <v>3</v>
          </cell>
          <cell r="C978">
            <v>60011</v>
          </cell>
          <cell r="D978" t="str">
            <v>ユークリッドチャレンジ</v>
          </cell>
          <cell r="E978" t="str">
            <v>ランキング3（ユークリッド）</v>
          </cell>
          <cell r="F978">
            <v>1</v>
          </cell>
          <cell r="G978" t="str">
            <v>ja</v>
          </cell>
          <cell r="H978" t="str">
            <v>ウィザード級</v>
          </cell>
          <cell r="I978" t="str">
            <v>ウィザード級</v>
          </cell>
          <cell r="J978">
            <v>690</v>
          </cell>
          <cell r="K978">
            <v>35</v>
          </cell>
          <cell r="L978">
            <v>4200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924</v>
          </cell>
          <cell r="AD978">
            <v>6</v>
          </cell>
          <cell r="AE978" t="str">
            <v>singleonly</v>
          </cell>
        </row>
        <row r="979">
          <cell r="A979" t="str">
            <v>60011_2</v>
          </cell>
          <cell r="B979">
            <v>1</v>
          </cell>
          <cell r="C979">
            <v>60011</v>
          </cell>
          <cell r="D979" t="str">
            <v>ユークリッドチャレンジ</v>
          </cell>
          <cell r="E979" t="str">
            <v>ランキング3（ユークリッド）</v>
          </cell>
          <cell r="F979">
            <v>2</v>
          </cell>
          <cell r="G979" t="str">
            <v>ja</v>
          </cell>
          <cell r="H979" t="str">
            <v>超絶級</v>
          </cell>
          <cell r="I979" t="str">
            <v>ウィザード級</v>
          </cell>
          <cell r="J979">
            <v>690</v>
          </cell>
          <cell r="K979">
            <v>30</v>
          </cell>
          <cell r="L979">
            <v>3300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924</v>
          </cell>
          <cell r="AD979">
            <v>6</v>
          </cell>
          <cell r="AE979" t="str">
            <v>singleonly</v>
          </cell>
        </row>
        <row r="980">
          <cell r="A980" t="str">
            <v>60012_1</v>
          </cell>
          <cell r="B980">
            <v>3</v>
          </cell>
          <cell r="C980">
            <v>60012</v>
          </cell>
          <cell r="D980" t="str">
            <v>ユークリッドチャレンジ</v>
          </cell>
          <cell r="E980" t="str">
            <v>ランキング3（ユークリッド）</v>
          </cell>
          <cell r="F980">
            <v>1</v>
          </cell>
          <cell r="G980" t="str">
            <v>ja</v>
          </cell>
          <cell r="H980" t="str">
            <v>ユークリッドチャレンジ</v>
          </cell>
          <cell r="I980" t="str">
            <v>ウィザード級</v>
          </cell>
          <cell r="J980">
            <v>690</v>
          </cell>
          <cell r="K980">
            <v>35</v>
          </cell>
          <cell r="L980">
            <v>4200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924</v>
          </cell>
          <cell r="AD980">
            <v>6</v>
          </cell>
          <cell r="AE980" t="str">
            <v>singleonly</v>
          </cell>
        </row>
        <row r="981">
          <cell r="A981" t="str">
            <v>60013_1</v>
          </cell>
          <cell r="B981">
            <v>0</v>
          </cell>
          <cell r="C981">
            <v>60013</v>
          </cell>
          <cell r="D981" t="str">
            <v>オイラーチャレンジ</v>
          </cell>
          <cell r="E981" t="str">
            <v>ランキング1（再開催版）</v>
          </cell>
          <cell r="F981">
            <v>1</v>
          </cell>
          <cell r="G981" t="str">
            <v>ja</v>
          </cell>
          <cell r="H981" t="str">
            <v>【中級】オイラーチャレンジ</v>
          </cell>
          <cell r="I981" t="str">
            <v>中級</v>
          </cell>
          <cell r="J981">
            <v>378</v>
          </cell>
          <cell r="K981">
            <v>15</v>
          </cell>
          <cell r="L981">
            <v>1200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923</v>
          </cell>
          <cell r="AD981">
            <v>6</v>
          </cell>
          <cell r="AE981" t="str">
            <v>singleonly</v>
          </cell>
        </row>
        <row r="982">
          <cell r="A982" t="str">
            <v>60013_2</v>
          </cell>
          <cell r="B982">
            <v>0</v>
          </cell>
          <cell r="C982">
            <v>60013</v>
          </cell>
          <cell r="D982" t="str">
            <v>オイラーチャレンジ</v>
          </cell>
          <cell r="E982" t="str">
            <v>ランキング1（再開催版）</v>
          </cell>
          <cell r="F982">
            <v>2</v>
          </cell>
          <cell r="G982" t="str">
            <v>ja</v>
          </cell>
          <cell r="H982" t="str">
            <v>【超級】オイラーチャレンジ</v>
          </cell>
          <cell r="I982" t="str">
            <v>超級</v>
          </cell>
          <cell r="J982">
            <v>378</v>
          </cell>
          <cell r="K982">
            <v>30</v>
          </cell>
          <cell r="L982">
            <v>3300</v>
          </cell>
          <cell r="M982">
            <v>1</v>
          </cell>
          <cell r="N982">
            <v>1</v>
          </cell>
          <cell r="O982">
            <v>1</v>
          </cell>
          <cell r="P982">
            <v>1</v>
          </cell>
          <cell r="Q982">
            <v>1</v>
          </cell>
          <cell r="R982">
            <v>3</v>
          </cell>
          <cell r="S982" t="str">
            <v>none</v>
          </cell>
          <cell r="T982">
            <v>0</v>
          </cell>
          <cell r="U982" t="str">
            <v>NULL</v>
          </cell>
          <cell r="V982" t="str">
            <v>NULL</v>
          </cell>
          <cell r="W982" t="str">
            <v/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 t="str">
            <v>anytime</v>
          </cell>
          <cell r="AC982">
            <v>923</v>
          </cell>
          <cell r="AD982">
            <v>6</v>
          </cell>
          <cell r="AE982" t="str">
            <v>singleonly</v>
          </cell>
        </row>
        <row r="983">
          <cell r="A983" t="str">
            <v>60013_3</v>
          </cell>
          <cell r="B983">
            <v>3</v>
          </cell>
          <cell r="C983">
            <v>60013</v>
          </cell>
          <cell r="D983" t="str">
            <v>オイラーチャレンジ</v>
          </cell>
          <cell r="E983" t="str">
            <v>ランキング1（再開催版）</v>
          </cell>
          <cell r="F983">
            <v>3</v>
          </cell>
          <cell r="G983" t="str">
            <v>ja</v>
          </cell>
          <cell r="H983" t="str">
            <v>【ウィザード級】オイラーチャレンジ</v>
          </cell>
          <cell r="I983" t="str">
            <v>ウィザード級</v>
          </cell>
          <cell r="J983">
            <v>379</v>
          </cell>
          <cell r="K983">
            <v>35</v>
          </cell>
          <cell r="L983">
            <v>4200</v>
          </cell>
          <cell r="M983">
            <v>1</v>
          </cell>
          <cell r="N983">
            <v>1</v>
          </cell>
          <cell r="O983">
            <v>1</v>
          </cell>
          <cell r="P983">
            <v>1</v>
          </cell>
          <cell r="Q983">
            <v>1</v>
          </cell>
          <cell r="R983">
            <v>3</v>
          </cell>
          <cell r="S983" t="str">
            <v>none</v>
          </cell>
          <cell r="T983">
            <v>0</v>
          </cell>
          <cell r="U983" t="str">
            <v>NULL</v>
          </cell>
          <cell r="V983" t="str">
            <v>NULL</v>
          </cell>
          <cell r="W983" t="str">
            <v/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 t="str">
            <v>anytime</v>
          </cell>
          <cell r="AC983">
            <v>923</v>
          </cell>
          <cell r="AD983">
            <v>6</v>
          </cell>
          <cell r="AE983" t="str">
            <v>singleonly</v>
          </cell>
        </row>
        <row r="984">
          <cell r="A984" t="str">
            <v>60014_1</v>
          </cell>
          <cell r="B984">
            <v>3</v>
          </cell>
          <cell r="C984">
            <v>60014</v>
          </cell>
          <cell r="D984" t="str">
            <v xml:space="preserve">クロネッカーチャレンジ </v>
          </cell>
          <cell r="E984" t="str">
            <v>ランキング4（クロネッカー）</v>
          </cell>
          <cell r="F984">
            <v>1</v>
          </cell>
          <cell r="G984" t="str">
            <v>ja</v>
          </cell>
          <cell r="H984" t="str">
            <v>クロネッカーチャレンジ</v>
          </cell>
          <cell r="I984" t="str">
            <v>ウィザード級</v>
          </cell>
          <cell r="J984">
            <v>761</v>
          </cell>
          <cell r="K984">
            <v>35</v>
          </cell>
          <cell r="L984">
            <v>4200</v>
          </cell>
          <cell r="M984">
            <v>1</v>
          </cell>
          <cell r="N984">
            <v>1</v>
          </cell>
          <cell r="O984">
            <v>1</v>
          </cell>
          <cell r="P984">
            <v>1</v>
          </cell>
          <cell r="Q984">
            <v>1</v>
          </cell>
          <cell r="R984">
            <v>3</v>
          </cell>
          <cell r="S984" t="str">
            <v>none</v>
          </cell>
          <cell r="T984">
            <v>0</v>
          </cell>
          <cell r="U984" t="str">
            <v>NULL</v>
          </cell>
          <cell r="V984" t="str">
            <v>NULL</v>
          </cell>
          <cell r="W984" t="str">
            <v/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 t="str">
            <v>anytime</v>
          </cell>
          <cell r="AC984">
            <v>925</v>
          </cell>
          <cell r="AD984">
            <v>6</v>
          </cell>
          <cell r="AE984" t="str">
            <v>singleonly</v>
          </cell>
        </row>
        <row r="985">
          <cell r="A985" t="str">
            <v>60015_1</v>
          </cell>
          <cell r="B985">
            <v>3</v>
          </cell>
          <cell r="C985">
            <v>60015</v>
          </cell>
          <cell r="D985" t="str">
            <v>ラグランジュチャレンジ</v>
          </cell>
          <cell r="E985" t="str">
            <v>ランキング2（再開催）</v>
          </cell>
          <cell r="F985">
            <v>1</v>
          </cell>
          <cell r="G985" t="str">
            <v>ja</v>
          </cell>
          <cell r="H985" t="str">
            <v>ラグランジュチャレンジ</v>
          </cell>
          <cell r="I985" t="str">
            <v>ウィザード級</v>
          </cell>
          <cell r="J985">
            <v>796</v>
          </cell>
          <cell r="K985">
            <v>35</v>
          </cell>
          <cell r="L985">
            <v>4200</v>
          </cell>
          <cell r="M985">
            <v>1</v>
          </cell>
          <cell r="N985">
            <v>1</v>
          </cell>
          <cell r="O985">
            <v>1</v>
          </cell>
          <cell r="P985">
            <v>1</v>
          </cell>
          <cell r="Q985">
            <v>1</v>
          </cell>
          <cell r="R985">
            <v>3</v>
          </cell>
          <cell r="S985" t="str">
            <v>none</v>
          </cell>
          <cell r="T985">
            <v>0</v>
          </cell>
          <cell r="U985" t="str">
            <v>NULL</v>
          </cell>
          <cell r="V985" t="str">
            <v>NULL</v>
          </cell>
          <cell r="W985" t="str">
            <v/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 t="str">
            <v>anytime</v>
          </cell>
          <cell r="AC985">
            <v>922</v>
          </cell>
          <cell r="AD985">
            <v>6</v>
          </cell>
          <cell r="AE985" t="str">
            <v>singleonly</v>
          </cell>
        </row>
        <row r="986">
          <cell r="A986" t="str">
            <v>60016_1</v>
          </cell>
          <cell r="B986">
            <v>3</v>
          </cell>
          <cell r="C986">
            <v>60016</v>
          </cell>
          <cell r="D986" t="str">
            <v>シュレディンガーチャレンジ</v>
          </cell>
          <cell r="E986" t="str">
            <v>ランキング5（シュレディンガー）</v>
          </cell>
          <cell r="F986">
            <v>1</v>
          </cell>
          <cell r="G986" t="str">
            <v>ja</v>
          </cell>
          <cell r="H986" t="str">
            <v>シュレディンガーチャレンジ</v>
          </cell>
          <cell r="I986" t="str">
            <v>ウィザード級</v>
          </cell>
          <cell r="J986">
            <v>797</v>
          </cell>
          <cell r="K986">
            <v>35</v>
          </cell>
          <cell r="L986">
            <v>4200</v>
          </cell>
          <cell r="M986">
            <v>1</v>
          </cell>
          <cell r="N986">
            <v>1</v>
          </cell>
          <cell r="O986">
            <v>1</v>
          </cell>
          <cell r="P986">
            <v>1</v>
          </cell>
          <cell r="Q986">
            <v>1</v>
          </cell>
          <cell r="R986">
            <v>3</v>
          </cell>
          <cell r="S986" t="str">
            <v>none</v>
          </cell>
          <cell r="T986">
            <v>0</v>
          </cell>
          <cell r="U986" t="str">
            <v>NULL</v>
          </cell>
          <cell r="V986" t="str">
            <v>NULL</v>
          </cell>
          <cell r="W986" t="str">
            <v/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 t="str">
            <v>anytime</v>
          </cell>
          <cell r="AC986">
            <v>922</v>
          </cell>
          <cell r="AD986">
            <v>6</v>
          </cell>
          <cell r="AE986" t="str">
            <v>singleonly</v>
          </cell>
        </row>
        <row r="987">
          <cell r="A987" t="str">
            <v>60017_1</v>
          </cell>
          <cell r="B987">
            <v>3</v>
          </cell>
          <cell r="C987">
            <v>60017</v>
          </cell>
          <cell r="D987" t="str">
            <v>ユークリッドチャレンジ</v>
          </cell>
          <cell r="E987" t="str">
            <v>ランキング3（再開催）</v>
          </cell>
          <cell r="F987">
            <v>1</v>
          </cell>
          <cell r="G987" t="str">
            <v>ja</v>
          </cell>
          <cell r="H987" t="str">
            <v>ユークリッドチャレンジ</v>
          </cell>
          <cell r="I987" t="str">
            <v>ウィザード級</v>
          </cell>
          <cell r="J987">
            <v>690</v>
          </cell>
          <cell r="K987">
            <v>35</v>
          </cell>
          <cell r="L987">
            <v>4200</v>
          </cell>
          <cell r="M987">
            <v>1</v>
          </cell>
          <cell r="N987">
            <v>1</v>
          </cell>
          <cell r="O987">
            <v>1</v>
          </cell>
          <cell r="P987">
            <v>1</v>
          </cell>
          <cell r="Q987">
            <v>1</v>
          </cell>
          <cell r="R987">
            <v>3</v>
          </cell>
          <cell r="S987" t="str">
            <v>none</v>
          </cell>
          <cell r="T987">
            <v>0</v>
          </cell>
          <cell r="U987" t="str">
            <v>NULL</v>
          </cell>
          <cell r="V987" t="str">
            <v>NULL</v>
          </cell>
          <cell r="W987" t="str">
            <v/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 t="str">
            <v>anytime</v>
          </cell>
          <cell r="AC987">
            <v>924</v>
          </cell>
          <cell r="AD987">
            <v>6</v>
          </cell>
          <cell r="AE987" t="str">
            <v>singleonly</v>
          </cell>
        </row>
        <row r="988">
          <cell r="A988" t="str">
            <v>60018_1</v>
          </cell>
          <cell r="B988">
            <v>3</v>
          </cell>
          <cell r="C988">
            <v>60018</v>
          </cell>
          <cell r="D988" t="str">
            <v>チューリングチャレンジ</v>
          </cell>
          <cell r="E988" t="str">
            <v>ランキング6</v>
          </cell>
          <cell r="F988">
            <v>1</v>
          </cell>
          <cell r="G988" t="str">
            <v>ja</v>
          </cell>
          <cell r="H988" t="str">
            <v>チューリングチャレンジ</v>
          </cell>
          <cell r="I988" t="str">
            <v>ウィザード級</v>
          </cell>
          <cell r="J988">
            <v>799</v>
          </cell>
          <cell r="K988">
            <v>35</v>
          </cell>
          <cell r="L988">
            <v>4200</v>
          </cell>
          <cell r="M988">
            <v>1</v>
          </cell>
          <cell r="N988">
            <v>1</v>
          </cell>
          <cell r="O988">
            <v>1</v>
          </cell>
          <cell r="P988">
            <v>1</v>
          </cell>
          <cell r="Q988">
            <v>1</v>
          </cell>
          <cell r="R988">
            <v>3</v>
          </cell>
          <cell r="S988" t="str">
            <v>none</v>
          </cell>
          <cell r="T988">
            <v>0</v>
          </cell>
          <cell r="U988" t="str">
            <v>NULL</v>
          </cell>
          <cell r="V988" t="str">
            <v>NULL</v>
          </cell>
          <cell r="W988" t="str">
            <v/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 t="str">
            <v>anytime</v>
          </cell>
          <cell r="AC988">
            <v>923</v>
          </cell>
          <cell r="AD988">
            <v>6</v>
          </cell>
          <cell r="AE988" t="str">
            <v>singleonly</v>
          </cell>
        </row>
        <row r="989">
          <cell r="A989" t="str">
            <v>60019_1</v>
          </cell>
          <cell r="B989">
            <v>3</v>
          </cell>
          <cell r="C989">
            <v>60019</v>
          </cell>
          <cell r="D989" t="str">
            <v>ヘンペルチャレンジ</v>
          </cell>
          <cell r="E989" t="str">
            <v>ランキング7</v>
          </cell>
          <cell r="F989">
            <v>1</v>
          </cell>
          <cell r="G989" t="str">
            <v>ja</v>
          </cell>
          <cell r="H989" t="str">
            <v>ヘンペルチャレンジ</v>
          </cell>
          <cell r="I989" t="str">
            <v>ウィザード級</v>
          </cell>
          <cell r="J989">
            <v>800</v>
          </cell>
          <cell r="K989">
            <v>35</v>
          </cell>
          <cell r="L989">
            <v>4200</v>
          </cell>
          <cell r="M989">
            <v>1</v>
          </cell>
          <cell r="N989">
            <v>1</v>
          </cell>
          <cell r="O989">
            <v>1</v>
          </cell>
          <cell r="P989">
            <v>1</v>
          </cell>
          <cell r="Q989">
            <v>1</v>
          </cell>
          <cell r="R989">
            <v>3</v>
          </cell>
          <cell r="S989" t="str">
            <v>none</v>
          </cell>
          <cell r="T989">
            <v>0</v>
          </cell>
          <cell r="U989" t="str">
            <v>NULL</v>
          </cell>
          <cell r="V989" t="str">
            <v>NULL</v>
          </cell>
          <cell r="W989" t="str">
            <v/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 t="str">
            <v>anytime</v>
          </cell>
          <cell r="AC989">
            <v>924</v>
          </cell>
          <cell r="AD989">
            <v>6</v>
          </cell>
          <cell r="AE989" t="str">
            <v>singleonly</v>
          </cell>
        </row>
        <row r="990">
          <cell r="A990" t="str">
            <v>60020_1</v>
          </cell>
          <cell r="B990">
            <v>3</v>
          </cell>
          <cell r="C990">
            <v>60020</v>
          </cell>
          <cell r="D990" t="str">
            <v>シュレディンガーチャレンジ</v>
          </cell>
          <cell r="E990" t="str">
            <v>ランキング5（再開催）</v>
          </cell>
          <cell r="F990">
            <v>1</v>
          </cell>
          <cell r="G990" t="str">
            <v>ja</v>
          </cell>
          <cell r="H990" t="str">
            <v>シュレディンガーチャレンジ</v>
          </cell>
          <cell r="I990" t="str">
            <v>ウィザード級</v>
          </cell>
          <cell r="J990">
            <v>797</v>
          </cell>
          <cell r="K990">
            <v>35</v>
          </cell>
          <cell r="L990">
            <v>4200</v>
          </cell>
          <cell r="M990">
            <v>1</v>
          </cell>
          <cell r="N990">
            <v>1</v>
          </cell>
          <cell r="O990">
            <v>1</v>
          </cell>
          <cell r="P990">
            <v>1</v>
          </cell>
          <cell r="Q990">
            <v>1</v>
          </cell>
          <cell r="R990">
            <v>3</v>
          </cell>
          <cell r="S990" t="str">
            <v>none</v>
          </cell>
          <cell r="T990">
            <v>0</v>
          </cell>
          <cell r="U990" t="str">
            <v>NULL</v>
          </cell>
          <cell r="V990" t="str">
            <v>NULL</v>
          </cell>
          <cell r="W990" t="str">
            <v/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 t="str">
            <v>anytime</v>
          </cell>
          <cell r="AC990">
            <v>922</v>
          </cell>
          <cell r="AD990">
            <v>6</v>
          </cell>
          <cell r="AE990" t="str">
            <v>singleonly</v>
          </cell>
        </row>
        <row r="991">
          <cell r="A991" t="str">
            <v>60021_3</v>
          </cell>
          <cell r="B991">
            <v>1</v>
          </cell>
          <cell r="C991">
            <v>60021</v>
          </cell>
          <cell r="D991" t="str">
            <v>【月曜限定】 黄の素材verハンプ検証</v>
          </cell>
          <cell r="E991" t="str">
            <v>検証</v>
          </cell>
          <cell r="F991">
            <v>3</v>
          </cell>
          <cell r="G991" t="str">
            <v>ja</v>
          </cell>
          <cell r="H991" t="str">
            <v>【上級】ハンプティ検証</v>
          </cell>
          <cell r="I991" t="str">
            <v>上級</v>
          </cell>
          <cell r="J991">
            <v>84</v>
          </cell>
          <cell r="K991">
            <v>20</v>
          </cell>
          <cell r="L991">
            <v>860</v>
          </cell>
          <cell r="M991">
            <v>1</v>
          </cell>
          <cell r="N991">
            <v>1</v>
          </cell>
          <cell r="O991">
            <v>1</v>
          </cell>
          <cell r="P991">
            <v>1</v>
          </cell>
          <cell r="Q991">
            <v>1</v>
          </cell>
          <cell r="R991">
            <v>3</v>
          </cell>
          <cell r="S991" t="str">
            <v>none</v>
          </cell>
          <cell r="T991">
            <v>0</v>
          </cell>
          <cell r="U991" t="str">
            <v>NULL</v>
          </cell>
          <cell r="V991" t="str">
            <v>NULL</v>
          </cell>
          <cell r="W991" t="str">
            <v/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 t="str">
            <v>anytime</v>
          </cell>
          <cell r="AC991">
            <v>101</v>
          </cell>
          <cell r="AD991">
            <v>6</v>
          </cell>
          <cell r="AE991" t="str">
            <v>everyone</v>
          </cell>
        </row>
        <row r="992">
          <cell r="A992" t="str">
            <v>60022_3</v>
          </cell>
          <cell r="B992">
            <v>1</v>
          </cell>
          <cell r="C992">
            <v>60022</v>
          </cell>
          <cell r="D992" t="str">
            <v>【火曜限定】 赤の素材verハンプ検証</v>
          </cell>
          <cell r="E992" t="str">
            <v>検証</v>
          </cell>
          <cell r="F992">
            <v>3</v>
          </cell>
          <cell r="G992" t="str">
            <v>ja</v>
          </cell>
          <cell r="H992" t="str">
            <v>【上級】ハンプティ検証</v>
          </cell>
          <cell r="I992" t="str">
            <v>上級</v>
          </cell>
          <cell r="J992">
            <v>84</v>
          </cell>
          <cell r="K992">
            <v>20</v>
          </cell>
          <cell r="L992">
            <v>860</v>
          </cell>
          <cell r="M992">
            <v>1</v>
          </cell>
          <cell r="N992">
            <v>1</v>
          </cell>
          <cell r="O992">
            <v>1</v>
          </cell>
          <cell r="P992">
            <v>1</v>
          </cell>
          <cell r="Q992">
            <v>1</v>
          </cell>
          <cell r="R992">
            <v>3</v>
          </cell>
          <cell r="S992" t="str">
            <v>none</v>
          </cell>
          <cell r="T992">
            <v>0</v>
          </cell>
          <cell r="U992" t="str">
            <v>NULL</v>
          </cell>
          <cell r="V992" t="str">
            <v>NULL</v>
          </cell>
          <cell r="W992" t="str">
            <v/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 t="str">
            <v>anytime</v>
          </cell>
          <cell r="AC992">
            <v>101</v>
          </cell>
          <cell r="AD992">
            <v>6</v>
          </cell>
          <cell r="AE992" t="str">
            <v>everyone</v>
          </cell>
        </row>
        <row r="993">
          <cell r="A993" t="str">
            <v>60023_3</v>
          </cell>
          <cell r="B993">
            <v>1</v>
          </cell>
          <cell r="C993">
            <v>60023</v>
          </cell>
          <cell r="D993" t="str">
            <v>【水曜限定】 青の素材verハンプ検証</v>
          </cell>
          <cell r="E993" t="str">
            <v>検証</v>
          </cell>
          <cell r="F993">
            <v>3</v>
          </cell>
          <cell r="G993" t="str">
            <v>ja</v>
          </cell>
          <cell r="H993" t="str">
            <v>【上級】ハンプティ検証</v>
          </cell>
          <cell r="I993" t="str">
            <v>上級</v>
          </cell>
          <cell r="J993">
            <v>84</v>
          </cell>
          <cell r="K993">
            <v>20</v>
          </cell>
          <cell r="L993">
            <v>860</v>
          </cell>
          <cell r="M993">
            <v>1</v>
          </cell>
          <cell r="N993">
            <v>1</v>
          </cell>
          <cell r="O993">
            <v>1</v>
          </cell>
          <cell r="P993">
            <v>1</v>
          </cell>
          <cell r="Q993">
            <v>1</v>
          </cell>
          <cell r="R993">
            <v>3</v>
          </cell>
          <cell r="S993" t="str">
            <v>none</v>
          </cell>
          <cell r="T993">
            <v>0</v>
          </cell>
          <cell r="U993" t="str">
            <v>NULL</v>
          </cell>
          <cell r="V993" t="str">
            <v>NULL</v>
          </cell>
          <cell r="W993" t="str">
            <v/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 t="str">
            <v>anytime</v>
          </cell>
          <cell r="AC993">
            <v>101</v>
          </cell>
          <cell r="AD993">
            <v>6</v>
          </cell>
          <cell r="AE993" t="str">
            <v>everyone</v>
          </cell>
        </row>
        <row r="994">
          <cell r="A994" t="str">
            <v>60024_3</v>
          </cell>
          <cell r="B994">
            <v>1</v>
          </cell>
          <cell r="C994">
            <v>60024</v>
          </cell>
          <cell r="D994" t="str">
            <v>【木曜限定】 緑の素材verハンプ検証</v>
          </cell>
          <cell r="E994" t="str">
            <v>検証</v>
          </cell>
          <cell r="F994">
            <v>3</v>
          </cell>
          <cell r="G994" t="str">
            <v>ja</v>
          </cell>
          <cell r="H994" t="str">
            <v>【上級】ハンプティ検証</v>
          </cell>
          <cell r="I994" t="str">
            <v>上級</v>
          </cell>
          <cell r="J994">
            <v>84</v>
          </cell>
          <cell r="K994">
            <v>20</v>
          </cell>
          <cell r="L994">
            <v>860</v>
          </cell>
          <cell r="M994">
            <v>1</v>
          </cell>
          <cell r="N994">
            <v>1</v>
          </cell>
          <cell r="O994">
            <v>1</v>
          </cell>
          <cell r="P994">
            <v>1</v>
          </cell>
          <cell r="Q994">
            <v>1</v>
          </cell>
          <cell r="R994">
            <v>3</v>
          </cell>
          <cell r="S994" t="str">
            <v>none</v>
          </cell>
          <cell r="T994">
            <v>0</v>
          </cell>
          <cell r="U994" t="str">
            <v>NULL</v>
          </cell>
          <cell r="V994" t="str">
            <v>NULL</v>
          </cell>
          <cell r="W994" t="str">
            <v/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 t="str">
            <v>anytime</v>
          </cell>
          <cell r="AC994">
            <v>101</v>
          </cell>
          <cell r="AD994">
            <v>6</v>
          </cell>
          <cell r="AE994" t="str">
            <v>everyone</v>
          </cell>
        </row>
        <row r="995">
          <cell r="A995" t="str">
            <v>60025_1</v>
          </cell>
          <cell r="B995">
            <v>3</v>
          </cell>
          <cell r="C995">
            <v>60025</v>
          </cell>
          <cell r="D995" t="str">
            <v>マリアチャレンジ</v>
          </cell>
          <cell r="E995" t="str">
            <v>ランキング8</v>
          </cell>
          <cell r="F995">
            <v>1</v>
          </cell>
          <cell r="G995" t="str">
            <v>ja</v>
          </cell>
          <cell r="H995" t="str">
            <v>マリアチャレンジ</v>
          </cell>
          <cell r="I995" t="str">
            <v>ウィザード級</v>
          </cell>
          <cell r="J995">
            <v>1274</v>
          </cell>
          <cell r="K995">
            <v>35</v>
          </cell>
          <cell r="L995">
            <v>4200</v>
          </cell>
          <cell r="M995">
            <v>1</v>
          </cell>
          <cell r="N995">
            <v>1</v>
          </cell>
          <cell r="O995">
            <v>1</v>
          </cell>
          <cell r="P995">
            <v>1</v>
          </cell>
          <cell r="Q995">
            <v>1</v>
          </cell>
          <cell r="R995">
            <v>3</v>
          </cell>
          <cell r="S995" t="str">
            <v>none</v>
          </cell>
          <cell r="T995">
            <v>0</v>
          </cell>
          <cell r="U995" t="str">
            <v>NULL</v>
          </cell>
          <cell r="V995" t="str">
            <v>NULL</v>
          </cell>
          <cell r="W995" t="str">
            <v/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 t="str">
            <v>anytime</v>
          </cell>
          <cell r="AC995">
            <v>9</v>
          </cell>
          <cell r="AD995">
            <v>6</v>
          </cell>
          <cell r="AE995" t="str">
            <v>singleonly</v>
          </cell>
        </row>
        <row r="996">
          <cell r="A996" t="str">
            <v>60026_1</v>
          </cell>
          <cell r="B996">
            <v>3</v>
          </cell>
          <cell r="C996">
            <v>60026</v>
          </cell>
          <cell r="D996" t="str">
            <v>ハップルチャレンジ</v>
          </cell>
          <cell r="E996" t="str">
            <v>ランキング9</v>
          </cell>
          <cell r="F996">
            <v>1</v>
          </cell>
          <cell r="G996" t="str">
            <v>ja</v>
          </cell>
          <cell r="H996" t="str">
            <v>ハップルチャレンジ</v>
          </cell>
          <cell r="I996" t="str">
            <v>ウィザード級</v>
          </cell>
          <cell r="J996">
            <v>803</v>
          </cell>
          <cell r="K996">
            <v>35</v>
          </cell>
          <cell r="L996">
            <v>4200</v>
          </cell>
          <cell r="M996">
            <v>1</v>
          </cell>
          <cell r="N996">
            <v>1</v>
          </cell>
          <cell r="O996">
            <v>1</v>
          </cell>
          <cell r="P996">
            <v>1</v>
          </cell>
          <cell r="Q996">
            <v>1</v>
          </cell>
          <cell r="R996">
            <v>3</v>
          </cell>
          <cell r="S996" t="str">
            <v>none</v>
          </cell>
          <cell r="T996">
            <v>0</v>
          </cell>
          <cell r="U996" t="str">
            <v>NULL</v>
          </cell>
          <cell r="V996" t="str">
            <v>NULL</v>
          </cell>
          <cell r="W996" t="str">
            <v/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 t="str">
            <v>anytime</v>
          </cell>
          <cell r="AC996">
            <v>925</v>
          </cell>
          <cell r="AD996">
            <v>6</v>
          </cell>
          <cell r="AE996" t="str">
            <v>singleonly</v>
          </cell>
        </row>
        <row r="997">
          <cell r="A997" t="str">
            <v>61011_1</v>
          </cell>
          <cell r="B997">
            <v>1</v>
          </cell>
          <cell r="C997">
            <v>61011</v>
          </cell>
          <cell r="D997" t="str">
            <v>ユークリッドチャレンジコピー</v>
          </cell>
          <cell r="E997" t="str">
            <v>ランキング3（ユークリッド）</v>
          </cell>
          <cell r="F997">
            <v>1</v>
          </cell>
          <cell r="G997" t="str">
            <v>ja</v>
          </cell>
          <cell r="H997" t="str">
            <v>ウィザード級コピー</v>
          </cell>
          <cell r="I997" t="str">
            <v>ウィザード級</v>
          </cell>
          <cell r="J997">
            <v>690</v>
          </cell>
          <cell r="K997">
            <v>35</v>
          </cell>
          <cell r="L997">
            <v>4200</v>
          </cell>
          <cell r="M997">
            <v>1</v>
          </cell>
          <cell r="N997">
            <v>1</v>
          </cell>
          <cell r="O997">
            <v>1</v>
          </cell>
          <cell r="P997">
            <v>1</v>
          </cell>
          <cell r="Q997">
            <v>1</v>
          </cell>
          <cell r="R997">
            <v>3</v>
          </cell>
          <cell r="S997" t="str">
            <v>none</v>
          </cell>
          <cell r="T997">
            <v>0</v>
          </cell>
          <cell r="U997" t="str">
            <v>NULL</v>
          </cell>
          <cell r="V997" t="str">
            <v>NULL</v>
          </cell>
          <cell r="W997" t="str">
            <v/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 t="str">
            <v>anytime</v>
          </cell>
          <cell r="AC997">
            <v>925</v>
          </cell>
          <cell r="AD997">
            <v>6</v>
          </cell>
          <cell r="AE997" t="str">
            <v>singleonly</v>
          </cell>
        </row>
        <row r="998">
          <cell r="A998" t="str">
            <v>60027_1</v>
          </cell>
          <cell r="B998">
            <v>3</v>
          </cell>
          <cell r="C998">
            <v>60027</v>
          </cell>
          <cell r="D998" t="str">
            <v>チューリングチャレンジ</v>
          </cell>
          <cell r="E998" t="str">
            <v>ランキング6（再開催）</v>
          </cell>
          <cell r="F998">
            <v>1</v>
          </cell>
          <cell r="G998" t="str">
            <v>ja</v>
          </cell>
          <cell r="H998" t="str">
            <v>チューリングチャレンジ</v>
          </cell>
          <cell r="I998" t="str">
            <v>ウィザード級</v>
          </cell>
          <cell r="J998">
            <v>799</v>
          </cell>
          <cell r="K998">
            <v>35</v>
          </cell>
          <cell r="L998">
            <v>4200</v>
          </cell>
          <cell r="M998">
            <v>1</v>
          </cell>
          <cell r="N998">
            <v>1</v>
          </cell>
          <cell r="O998">
            <v>1</v>
          </cell>
          <cell r="P998">
            <v>1</v>
          </cell>
          <cell r="Q998">
            <v>1</v>
          </cell>
          <cell r="R998">
            <v>3</v>
          </cell>
          <cell r="S998" t="str">
            <v>none</v>
          </cell>
          <cell r="T998">
            <v>0</v>
          </cell>
          <cell r="U998" t="str">
            <v>NULL</v>
          </cell>
          <cell r="V998" t="str">
            <v>NULL</v>
          </cell>
          <cell r="W998" t="str">
            <v/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 t="str">
            <v>anytime</v>
          </cell>
          <cell r="AC998">
            <v>923</v>
          </cell>
          <cell r="AD998">
            <v>6</v>
          </cell>
          <cell r="AE998" t="str">
            <v>singleonly</v>
          </cell>
        </row>
        <row r="999">
          <cell r="A999" t="str">
            <v>60028_1</v>
          </cell>
          <cell r="B999">
            <v>3</v>
          </cell>
          <cell r="C999">
            <v>60028</v>
          </cell>
          <cell r="D999" t="str">
            <v xml:space="preserve">クロネッカーチャレンジ </v>
          </cell>
          <cell r="E999" t="str">
            <v>ランキング4（再開催）</v>
          </cell>
          <cell r="F999">
            <v>1</v>
          </cell>
          <cell r="G999" t="str">
            <v>ja</v>
          </cell>
          <cell r="H999" t="str">
            <v>クロネッカーチャレンジ</v>
          </cell>
          <cell r="I999" t="str">
            <v>ウィザード級</v>
          </cell>
          <cell r="J999">
            <v>761</v>
          </cell>
          <cell r="K999">
            <v>35</v>
          </cell>
          <cell r="L999">
            <v>4200</v>
          </cell>
          <cell r="M999">
            <v>1</v>
          </cell>
          <cell r="N999">
            <v>1</v>
          </cell>
          <cell r="O999">
            <v>1</v>
          </cell>
          <cell r="P999">
            <v>1</v>
          </cell>
          <cell r="Q999">
            <v>1</v>
          </cell>
          <cell r="R999">
            <v>3</v>
          </cell>
          <cell r="S999" t="str">
            <v>none</v>
          </cell>
          <cell r="T999">
            <v>0</v>
          </cell>
          <cell r="U999" t="str">
            <v>NULL</v>
          </cell>
          <cell r="V999" t="str">
            <v>NULL</v>
          </cell>
          <cell r="W999" t="str">
            <v/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 t="str">
            <v>anytime</v>
          </cell>
          <cell r="AC999">
            <v>925</v>
          </cell>
          <cell r="AD999">
            <v>6</v>
          </cell>
          <cell r="AE999" t="str">
            <v>singleonly</v>
          </cell>
        </row>
        <row r="1000">
          <cell r="A1000" t="str">
            <v>60029_1</v>
          </cell>
          <cell r="B1000">
            <v>3</v>
          </cell>
          <cell r="C1000">
            <v>60029</v>
          </cell>
          <cell r="D1000" t="str">
            <v xml:space="preserve">オイラーチャレンジ </v>
          </cell>
          <cell r="E1000" t="str">
            <v>ランキング1（3回目）</v>
          </cell>
          <cell r="F1000">
            <v>1</v>
          </cell>
          <cell r="G1000" t="str">
            <v>ja</v>
          </cell>
          <cell r="H1000" t="str">
            <v>オイラーチャレンジ</v>
          </cell>
          <cell r="I1000" t="str">
            <v>ウィザード級</v>
          </cell>
          <cell r="J1000">
            <v>798</v>
          </cell>
          <cell r="K1000">
            <v>35</v>
          </cell>
          <cell r="L1000">
            <v>4200</v>
          </cell>
          <cell r="M1000">
            <v>1</v>
          </cell>
          <cell r="N1000">
            <v>1</v>
          </cell>
          <cell r="O1000">
            <v>1</v>
          </cell>
          <cell r="P1000">
            <v>1</v>
          </cell>
          <cell r="Q1000">
            <v>1</v>
          </cell>
          <cell r="R1000">
            <v>3</v>
          </cell>
          <cell r="S1000" t="str">
            <v>none</v>
          </cell>
          <cell r="T1000">
            <v>0</v>
          </cell>
          <cell r="U1000" t="str">
            <v>NULL</v>
          </cell>
          <cell r="V1000" t="str">
            <v>NULL</v>
          </cell>
          <cell r="W1000" t="str">
            <v/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 t="str">
            <v>anytime</v>
          </cell>
          <cell r="AC1000">
            <v>923</v>
          </cell>
          <cell r="AD1000">
            <v>6</v>
          </cell>
          <cell r="AE1000" t="str">
            <v>singleonly</v>
          </cell>
        </row>
        <row r="1001">
          <cell r="A1001" t="str">
            <v>60030_1</v>
          </cell>
          <cell r="B1001">
            <v>1</v>
          </cell>
          <cell r="C1001">
            <v>60030</v>
          </cell>
          <cell r="D1001" t="str">
            <v xml:space="preserve">フロイトチャレンジ </v>
          </cell>
          <cell r="E1001" t="str">
            <v>ランキング10</v>
          </cell>
          <cell r="F1001">
            <v>1</v>
          </cell>
          <cell r="G1001" t="str">
            <v>ja</v>
          </cell>
          <cell r="H1001" t="str">
            <v>フロイトチャレンジ</v>
          </cell>
          <cell r="I1001" t="str">
            <v>ウィザード級</v>
          </cell>
          <cell r="J1001">
            <v>871</v>
          </cell>
          <cell r="K1001">
            <v>35</v>
          </cell>
          <cell r="L1001">
            <v>4200</v>
          </cell>
          <cell r="M1001">
            <v>1</v>
          </cell>
          <cell r="N1001">
            <v>1</v>
          </cell>
          <cell r="O1001">
            <v>1</v>
          </cell>
          <cell r="P1001">
            <v>1</v>
          </cell>
          <cell r="Q1001">
            <v>0</v>
          </cell>
          <cell r="R1001">
            <v>3</v>
          </cell>
          <cell r="S1001" t="str">
            <v>none</v>
          </cell>
          <cell r="T1001">
            <v>0</v>
          </cell>
          <cell r="U1001" t="str">
            <v>NULL</v>
          </cell>
          <cell r="V1001" t="str">
            <v>NULL</v>
          </cell>
          <cell r="W1001" t="str">
            <v/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 t="str">
            <v>anytime</v>
          </cell>
          <cell r="AC1001">
            <v>922</v>
          </cell>
          <cell r="AD1001">
            <v>6</v>
          </cell>
          <cell r="AE1001" t="str">
            <v>singleonly</v>
          </cell>
        </row>
        <row r="1002">
          <cell r="A1002" t="str">
            <v>60031_1</v>
          </cell>
          <cell r="B1002">
            <v>3</v>
          </cell>
          <cell r="C1002">
            <v>60031</v>
          </cell>
          <cell r="D1002" t="str">
            <v xml:space="preserve">ヘンペルチャレンジ </v>
          </cell>
          <cell r="E1002" t="str">
            <v>ランキング7（再開催）</v>
          </cell>
          <cell r="F1002">
            <v>1</v>
          </cell>
          <cell r="G1002" t="str">
            <v>ja</v>
          </cell>
          <cell r="H1002" t="str">
            <v xml:space="preserve">ヘンペルチャレンジ </v>
          </cell>
          <cell r="I1002" t="str">
            <v>ウィザード級</v>
          </cell>
          <cell r="J1002">
            <v>800</v>
          </cell>
          <cell r="K1002">
            <v>35</v>
          </cell>
          <cell r="L1002">
            <v>4200</v>
          </cell>
          <cell r="M1002">
            <v>1</v>
          </cell>
          <cell r="N1002">
            <v>1</v>
          </cell>
          <cell r="O1002">
            <v>1</v>
          </cell>
          <cell r="P1002">
            <v>1</v>
          </cell>
          <cell r="Q1002">
            <v>1</v>
          </cell>
          <cell r="R1002">
            <v>3</v>
          </cell>
          <cell r="S1002" t="str">
            <v>none</v>
          </cell>
          <cell r="T1002">
            <v>0</v>
          </cell>
          <cell r="U1002" t="str">
            <v>NULL</v>
          </cell>
          <cell r="V1002" t="str">
            <v>NULL</v>
          </cell>
          <cell r="W1002" t="str">
            <v/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 t="str">
            <v>anytime</v>
          </cell>
          <cell r="AC1002">
            <v>924</v>
          </cell>
          <cell r="AD1002">
            <v>6</v>
          </cell>
          <cell r="AE1002" t="str">
            <v>singleonly</v>
          </cell>
        </row>
        <row r="1003">
          <cell r="A1003" t="str">
            <v>65523_1</v>
          </cell>
          <cell r="B1003">
            <v>1</v>
          </cell>
          <cell r="C1003">
            <v>65523</v>
          </cell>
          <cell r="D1003" t="str">
            <v>【LB尾崎】検証クエスト</v>
          </cell>
          <cell r="E1003" t="str">
            <v>童話シリーズ　超級</v>
          </cell>
          <cell r="F1003">
            <v>1</v>
          </cell>
          <cell r="G1003" t="str">
            <v>ja</v>
          </cell>
          <cell r="H1003" t="str">
            <v>【超級】スリーピギーズ（仮）</v>
          </cell>
          <cell r="I1003" t="str">
            <v>中級</v>
          </cell>
          <cell r="J1003">
            <v>1</v>
          </cell>
          <cell r="K1003">
            <v>30</v>
          </cell>
          <cell r="L1003">
            <v>3300</v>
          </cell>
          <cell r="M1003">
            <v>1</v>
          </cell>
          <cell r="N1003">
            <v>1</v>
          </cell>
          <cell r="O1003">
            <v>1</v>
          </cell>
          <cell r="P1003">
            <v>1</v>
          </cell>
          <cell r="Q1003">
            <v>1</v>
          </cell>
          <cell r="R1003">
            <v>3</v>
          </cell>
          <cell r="S1003" t="str">
            <v>polygon</v>
          </cell>
          <cell r="T1003">
            <v>1</v>
          </cell>
          <cell r="U1003" t="str">
            <v>NULL</v>
          </cell>
          <cell r="V1003" t="str">
            <v>NULL</v>
          </cell>
          <cell r="W1003" t="str">
            <v/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 t="str">
            <v>anytime</v>
          </cell>
          <cell r="AC1003">
            <v>2</v>
          </cell>
          <cell r="AD1003">
            <v>6</v>
          </cell>
          <cell r="AE1003" t="str">
            <v>everyone</v>
          </cell>
        </row>
        <row r="1004">
          <cell r="A1004" t="str">
            <v>65523_2</v>
          </cell>
          <cell r="B1004">
            <v>1</v>
          </cell>
          <cell r="C1004">
            <v>65523</v>
          </cell>
          <cell r="D1004" t="str">
            <v>【LB尾崎】検証クエスト</v>
          </cell>
          <cell r="E1004" t="str">
            <v>童話シリーズ　超級</v>
          </cell>
          <cell r="F1004">
            <v>2</v>
          </cell>
          <cell r="G1004" t="str">
            <v>ja</v>
          </cell>
          <cell r="H1004" t="str">
            <v>【超級】スリーピギーズ（仮）</v>
          </cell>
          <cell r="I1004" t="str">
            <v>上級</v>
          </cell>
          <cell r="J1004">
            <v>1</v>
          </cell>
          <cell r="K1004">
            <v>30</v>
          </cell>
          <cell r="L1004">
            <v>3300</v>
          </cell>
          <cell r="M1004">
            <v>1</v>
          </cell>
          <cell r="N1004">
            <v>1</v>
          </cell>
          <cell r="O1004">
            <v>1</v>
          </cell>
          <cell r="P1004">
            <v>1</v>
          </cell>
          <cell r="Q1004">
            <v>1</v>
          </cell>
          <cell r="R1004">
            <v>3</v>
          </cell>
          <cell r="S1004" t="str">
            <v>polygon</v>
          </cell>
          <cell r="T1004">
            <v>1</v>
          </cell>
          <cell r="U1004" t="str">
            <v>NULL</v>
          </cell>
          <cell r="V1004" t="str">
            <v>NULL</v>
          </cell>
          <cell r="W1004" t="str">
            <v/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 t="str">
            <v>anytime</v>
          </cell>
          <cell r="AC1004">
            <v>2</v>
          </cell>
          <cell r="AD1004">
            <v>6</v>
          </cell>
          <cell r="AE1004" t="str">
            <v>everyone</v>
          </cell>
        </row>
        <row r="1005">
          <cell r="A1005" t="str">
            <v>65523_3</v>
          </cell>
          <cell r="B1005">
            <v>1</v>
          </cell>
          <cell r="C1005">
            <v>65523</v>
          </cell>
          <cell r="D1005" t="str">
            <v>【LB尾崎】検証クエスト</v>
          </cell>
          <cell r="E1005" t="str">
            <v>童話シリーズ　超級</v>
          </cell>
          <cell r="F1005">
            <v>3</v>
          </cell>
          <cell r="G1005" t="str">
            <v>ja</v>
          </cell>
          <cell r="H1005" t="str">
            <v>【超級】スリーピギーズ（仮）</v>
          </cell>
          <cell r="I1005" t="str">
            <v>超級</v>
          </cell>
          <cell r="J1005">
            <v>1</v>
          </cell>
          <cell r="K1005">
            <v>30</v>
          </cell>
          <cell r="L1005">
            <v>3300</v>
          </cell>
          <cell r="M1005">
            <v>1</v>
          </cell>
          <cell r="N1005">
            <v>1</v>
          </cell>
          <cell r="O1005">
            <v>1</v>
          </cell>
          <cell r="P1005">
            <v>1</v>
          </cell>
          <cell r="Q1005">
            <v>1</v>
          </cell>
          <cell r="R1005">
            <v>3</v>
          </cell>
          <cell r="S1005" t="str">
            <v>polygon</v>
          </cell>
          <cell r="T1005">
            <v>1</v>
          </cell>
          <cell r="U1005" t="str">
            <v>NULL</v>
          </cell>
          <cell r="V1005" t="str">
            <v>NULL</v>
          </cell>
          <cell r="W1005" t="str">
            <v/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 t="str">
            <v>anytime</v>
          </cell>
          <cell r="AC1005">
            <v>2</v>
          </cell>
          <cell r="AD1005">
            <v>6</v>
          </cell>
          <cell r="AE1005" t="str">
            <v>everyone</v>
          </cell>
        </row>
        <row r="1006">
          <cell r="A1006" t="str">
            <v>65524_1</v>
          </cell>
          <cell r="B1006">
            <v>1</v>
          </cell>
          <cell r="C1006">
            <v>65524</v>
          </cell>
          <cell r="D1006" t="str">
            <v>【LB田頭】検証クエスト</v>
          </cell>
          <cell r="E1006" t="str">
            <v>童話シリーズ　超級</v>
          </cell>
          <cell r="F1006">
            <v>1</v>
          </cell>
          <cell r="G1006" t="str">
            <v>ja</v>
          </cell>
          <cell r="H1006" t="str">
            <v>【上級】スリーピギーズ（仮）</v>
          </cell>
          <cell r="I1006" t="str">
            <v>上級</v>
          </cell>
          <cell r="J1006">
            <v>1</v>
          </cell>
          <cell r="K1006">
            <v>20</v>
          </cell>
          <cell r="L1006">
            <v>2000</v>
          </cell>
          <cell r="M1006">
            <v>1</v>
          </cell>
          <cell r="N1006">
            <v>1</v>
          </cell>
          <cell r="O1006">
            <v>1</v>
          </cell>
          <cell r="P1006">
            <v>1</v>
          </cell>
          <cell r="Q1006">
            <v>1</v>
          </cell>
          <cell r="R1006">
            <v>3</v>
          </cell>
          <cell r="S1006" t="str">
            <v>none</v>
          </cell>
          <cell r="T1006">
            <v>1</v>
          </cell>
          <cell r="U1006" t="str">
            <v>NULL</v>
          </cell>
          <cell r="V1006" t="str">
            <v>NULL</v>
          </cell>
          <cell r="W1006" t="str">
            <v/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 t="str">
            <v>anytime</v>
          </cell>
          <cell r="AC1006">
            <v>2</v>
          </cell>
          <cell r="AD1006">
            <v>6</v>
          </cell>
          <cell r="AE1006" t="str">
            <v>everyone</v>
          </cell>
        </row>
        <row r="1007">
          <cell r="A1007" t="str">
            <v>65524_2</v>
          </cell>
          <cell r="B1007">
            <v>1</v>
          </cell>
          <cell r="C1007">
            <v>65524</v>
          </cell>
          <cell r="D1007" t="str">
            <v>【LB田頭】検証クエスト</v>
          </cell>
          <cell r="E1007" t="str">
            <v>童話シリーズ　超級</v>
          </cell>
          <cell r="F1007">
            <v>2</v>
          </cell>
          <cell r="G1007" t="str">
            <v>ja</v>
          </cell>
          <cell r="H1007" t="str">
            <v>【超級】スリーピギーズ（仮）</v>
          </cell>
          <cell r="I1007" t="str">
            <v>超級</v>
          </cell>
          <cell r="J1007">
            <v>1</v>
          </cell>
          <cell r="K1007">
            <v>30</v>
          </cell>
          <cell r="L1007">
            <v>3300</v>
          </cell>
          <cell r="M1007">
            <v>1</v>
          </cell>
          <cell r="N1007">
            <v>1</v>
          </cell>
          <cell r="O1007">
            <v>1</v>
          </cell>
          <cell r="P1007">
            <v>1</v>
          </cell>
          <cell r="Q1007">
            <v>1</v>
          </cell>
          <cell r="R1007">
            <v>3</v>
          </cell>
          <cell r="S1007" t="str">
            <v>polygon</v>
          </cell>
          <cell r="T1007">
            <v>1</v>
          </cell>
          <cell r="U1007" t="str">
            <v>NULL</v>
          </cell>
          <cell r="V1007" t="str">
            <v>NULL</v>
          </cell>
          <cell r="W1007" t="str">
            <v/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 t="str">
            <v>anytime</v>
          </cell>
          <cell r="AC1007">
            <v>2</v>
          </cell>
          <cell r="AD1007">
            <v>6</v>
          </cell>
          <cell r="AE1007" t="str">
            <v>everyone</v>
          </cell>
        </row>
        <row r="1008">
          <cell r="A1008" t="str">
            <v>65525_1</v>
          </cell>
          <cell r="B1008">
            <v>1</v>
          </cell>
          <cell r="C1008">
            <v>65525</v>
          </cell>
          <cell r="D1008" t="str">
            <v>【LB田邉】検証クエスト</v>
          </cell>
          <cell r="E1008" t="str">
            <v>検証</v>
          </cell>
          <cell r="F1008">
            <v>1</v>
          </cell>
          <cell r="G1008" t="str">
            <v>ja</v>
          </cell>
          <cell r="H1008" t="str">
            <v>【LB田邉】アニメーション検証</v>
          </cell>
          <cell r="I1008" t="str">
            <v>検証</v>
          </cell>
          <cell r="J1008">
            <v>1</v>
          </cell>
          <cell r="K1008">
            <v>1</v>
          </cell>
          <cell r="L1008">
            <v>1</v>
          </cell>
          <cell r="M1008">
            <v>1</v>
          </cell>
          <cell r="N1008">
            <v>1</v>
          </cell>
          <cell r="O1008">
            <v>1</v>
          </cell>
          <cell r="P1008">
            <v>1</v>
          </cell>
          <cell r="Q1008">
            <v>1</v>
          </cell>
          <cell r="R1008">
            <v>3</v>
          </cell>
          <cell r="S1008" t="str">
            <v>polygon</v>
          </cell>
          <cell r="T1008">
            <v>0</v>
          </cell>
          <cell r="U1008" t="str">
            <v>NULL</v>
          </cell>
          <cell r="V1008" t="str">
            <v>NULL</v>
          </cell>
          <cell r="W1008" t="str">
            <v/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 t="str">
            <v>anytime</v>
          </cell>
          <cell r="AC1008">
            <v>24</v>
          </cell>
          <cell r="AD1008">
            <v>4</v>
          </cell>
          <cell r="AE1008" t="str">
            <v>everyone</v>
          </cell>
        </row>
        <row r="1009">
          <cell r="A1009" t="str">
            <v>65526_1</v>
          </cell>
          <cell r="B1009">
            <v>1</v>
          </cell>
          <cell r="C1009">
            <v>65526</v>
          </cell>
          <cell r="D1009" t="str">
            <v>【LB加藤】検証クエスト</v>
          </cell>
          <cell r="E1009" t="str">
            <v>検証</v>
          </cell>
          <cell r="F1009">
            <v>1</v>
          </cell>
          <cell r="G1009" t="str">
            <v>ja</v>
          </cell>
          <cell r="H1009" t="str">
            <v>【LB加藤】検証</v>
          </cell>
          <cell r="I1009" t="str">
            <v>検証</v>
          </cell>
          <cell r="J1009">
            <v>1</v>
          </cell>
          <cell r="K1009">
            <v>1</v>
          </cell>
          <cell r="L1009">
            <v>1</v>
          </cell>
          <cell r="M1009">
            <v>1</v>
          </cell>
          <cell r="N1009">
            <v>1</v>
          </cell>
          <cell r="O1009">
            <v>1</v>
          </cell>
          <cell r="P1009">
            <v>1</v>
          </cell>
          <cell r="Q1009">
            <v>1</v>
          </cell>
          <cell r="R1009">
            <v>3</v>
          </cell>
          <cell r="S1009" t="str">
            <v>polygon</v>
          </cell>
          <cell r="T1009">
            <v>0</v>
          </cell>
          <cell r="U1009" t="str">
            <v>NULL</v>
          </cell>
          <cell r="V1009" t="str">
            <v>NULL</v>
          </cell>
          <cell r="W1009" t="str">
            <v/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 t="str">
            <v>anytime</v>
          </cell>
          <cell r="AC1009">
            <v>1</v>
          </cell>
          <cell r="AD1009">
            <v>6</v>
          </cell>
          <cell r="AE1009" t="str">
            <v>everyone</v>
          </cell>
        </row>
        <row r="1010">
          <cell r="A1010" t="str">
            <v>65526_2</v>
          </cell>
          <cell r="B1010">
            <v>1</v>
          </cell>
          <cell r="C1010">
            <v>65526</v>
          </cell>
          <cell r="D1010" t="str">
            <v>【LB加藤】検証クエスト</v>
          </cell>
          <cell r="E1010" t="str">
            <v>検証</v>
          </cell>
          <cell r="F1010">
            <v>2</v>
          </cell>
          <cell r="G1010" t="str">
            <v>ja</v>
          </cell>
          <cell r="H1010" t="str">
            <v>【LB加藤】ハップル仮実装</v>
          </cell>
          <cell r="I1010" t="str">
            <v>検証</v>
          </cell>
          <cell r="J1010">
            <v>1</v>
          </cell>
          <cell r="K1010">
            <v>1</v>
          </cell>
          <cell r="L1010">
            <v>1</v>
          </cell>
          <cell r="M1010">
            <v>1</v>
          </cell>
          <cell r="N1010">
            <v>1</v>
          </cell>
          <cell r="O1010">
            <v>1</v>
          </cell>
          <cell r="P1010">
            <v>1</v>
          </cell>
          <cell r="Q1010">
            <v>1</v>
          </cell>
          <cell r="R1010">
            <v>3</v>
          </cell>
          <cell r="S1010" t="str">
            <v>polygon</v>
          </cell>
          <cell r="T1010">
            <v>0</v>
          </cell>
          <cell r="U1010" t="str">
            <v>NULL</v>
          </cell>
          <cell r="V1010" t="str">
            <v>NULL</v>
          </cell>
          <cell r="W1010" t="str">
            <v/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 t="str">
            <v>anytime</v>
          </cell>
          <cell r="AC1010">
            <v>1</v>
          </cell>
          <cell r="AD1010">
            <v>6</v>
          </cell>
          <cell r="AE1010" t="str">
            <v>everyone</v>
          </cell>
        </row>
        <row r="1011">
          <cell r="A1011" t="str">
            <v>65527_1</v>
          </cell>
          <cell r="B1011">
            <v>1</v>
          </cell>
          <cell r="C1011">
            <v>65527</v>
          </cell>
          <cell r="D1011" t="str">
            <v>【LB石川】検証クエスト</v>
          </cell>
          <cell r="E1011" t="str">
            <v>検証</v>
          </cell>
          <cell r="F1011">
            <v>1</v>
          </cell>
          <cell r="G1011" t="str">
            <v>ja</v>
          </cell>
          <cell r="H1011" t="str">
            <v>【LB石川】検証</v>
          </cell>
          <cell r="I1011" t="str">
            <v>検証</v>
          </cell>
          <cell r="J1011">
            <v>1</v>
          </cell>
          <cell r="K1011">
            <v>1</v>
          </cell>
          <cell r="L1011">
            <v>1</v>
          </cell>
          <cell r="M1011">
            <v>1</v>
          </cell>
          <cell r="N1011">
            <v>1</v>
          </cell>
          <cell r="O1011">
            <v>1</v>
          </cell>
          <cell r="P1011">
            <v>1</v>
          </cell>
          <cell r="Q1011">
            <v>1</v>
          </cell>
          <cell r="R1011">
            <v>3</v>
          </cell>
          <cell r="S1011" t="str">
            <v>polygon</v>
          </cell>
          <cell r="T1011">
            <v>0</v>
          </cell>
          <cell r="U1011" t="str">
            <v>NULL</v>
          </cell>
          <cell r="V1011" t="str">
            <v>NULL</v>
          </cell>
          <cell r="W1011" t="str">
            <v/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 t="str">
            <v>anytime</v>
          </cell>
          <cell r="AC1011">
            <v>1</v>
          </cell>
          <cell r="AD1011">
            <v>6</v>
          </cell>
          <cell r="AE1011" t="str">
            <v>everyone</v>
          </cell>
        </row>
        <row r="1012">
          <cell r="A1012" t="str">
            <v>65528_1</v>
          </cell>
          <cell r="B1012">
            <v>1</v>
          </cell>
          <cell r="C1012">
            <v>65528</v>
          </cell>
          <cell r="D1012" t="str">
            <v>【LB保堂】検証クエスト</v>
          </cell>
          <cell r="E1012" t="str">
            <v>検証</v>
          </cell>
          <cell r="F1012">
            <v>1</v>
          </cell>
          <cell r="G1012" t="str">
            <v>ja</v>
          </cell>
          <cell r="H1012" t="str">
            <v>【LB保堂】検証</v>
          </cell>
          <cell r="I1012" t="str">
            <v>検証</v>
          </cell>
          <cell r="J1012">
            <v>1</v>
          </cell>
          <cell r="K1012">
            <v>1</v>
          </cell>
          <cell r="L1012">
            <v>1</v>
          </cell>
          <cell r="M1012">
            <v>1</v>
          </cell>
          <cell r="N1012">
            <v>1</v>
          </cell>
          <cell r="O1012">
            <v>1</v>
          </cell>
          <cell r="P1012">
            <v>1</v>
          </cell>
          <cell r="Q1012">
            <v>1</v>
          </cell>
          <cell r="R1012">
            <v>3</v>
          </cell>
          <cell r="S1012" t="str">
            <v>polygon</v>
          </cell>
          <cell r="T1012">
            <v>0</v>
          </cell>
          <cell r="U1012" t="str">
            <v>NULL</v>
          </cell>
          <cell r="V1012" t="str">
            <v>NULL</v>
          </cell>
          <cell r="W1012" t="str">
            <v/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 t="str">
            <v>anytime</v>
          </cell>
          <cell r="AC1012">
            <v>1</v>
          </cell>
          <cell r="AD1012">
            <v>6</v>
          </cell>
          <cell r="AE1012" t="str">
            <v>everyone</v>
          </cell>
        </row>
        <row r="1013">
          <cell r="A1013" t="str">
            <v>65529_1</v>
          </cell>
          <cell r="B1013">
            <v>1</v>
          </cell>
          <cell r="C1013">
            <v>65529</v>
          </cell>
          <cell r="D1013" t="str">
            <v>【LB植松】検証クエスト</v>
          </cell>
          <cell r="E1013" t="str">
            <v>検証</v>
          </cell>
          <cell r="F1013">
            <v>1</v>
          </cell>
          <cell r="G1013" t="str">
            <v>ja</v>
          </cell>
          <cell r="H1013" t="str">
            <v>【LB植松】検証</v>
          </cell>
          <cell r="I1013" t="str">
            <v>検証</v>
          </cell>
          <cell r="J1013">
            <v>1</v>
          </cell>
          <cell r="K1013">
            <v>1</v>
          </cell>
          <cell r="L1013">
            <v>1</v>
          </cell>
          <cell r="M1013">
            <v>1</v>
          </cell>
          <cell r="N1013">
            <v>1</v>
          </cell>
          <cell r="O1013">
            <v>1</v>
          </cell>
          <cell r="P1013">
            <v>1</v>
          </cell>
          <cell r="Q1013">
            <v>1</v>
          </cell>
          <cell r="R1013">
            <v>3</v>
          </cell>
          <cell r="S1013" t="str">
            <v>polygon</v>
          </cell>
          <cell r="T1013">
            <v>0</v>
          </cell>
          <cell r="U1013" t="str">
            <v>NULL</v>
          </cell>
          <cell r="V1013" t="str">
            <v>NULL</v>
          </cell>
          <cell r="W1013" t="str">
            <v/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 t="str">
            <v>anytime</v>
          </cell>
          <cell r="AC1013">
            <v>1</v>
          </cell>
          <cell r="AD1013">
            <v>6</v>
          </cell>
          <cell r="AE1013" t="str">
            <v>everyone</v>
          </cell>
        </row>
        <row r="1014">
          <cell r="A1014" t="str">
            <v>65530_1</v>
          </cell>
          <cell r="B1014">
            <v>1</v>
          </cell>
          <cell r="C1014">
            <v>65530</v>
          </cell>
          <cell r="D1014" t="str">
            <v>【LB渡邉】検証クエスト</v>
          </cell>
          <cell r="E1014" t="str">
            <v>検証</v>
          </cell>
          <cell r="F1014">
            <v>1</v>
          </cell>
          <cell r="G1014" t="str">
            <v>ja</v>
          </cell>
          <cell r="H1014" t="str">
            <v>【LB渡邉】検証</v>
          </cell>
          <cell r="I1014" t="str">
            <v>検証</v>
          </cell>
          <cell r="J1014">
            <v>1</v>
          </cell>
          <cell r="K1014">
            <v>1</v>
          </cell>
          <cell r="L1014">
            <v>1</v>
          </cell>
          <cell r="M1014">
            <v>1</v>
          </cell>
          <cell r="N1014">
            <v>1</v>
          </cell>
          <cell r="O1014">
            <v>1</v>
          </cell>
          <cell r="P1014">
            <v>1</v>
          </cell>
          <cell r="Q1014">
            <v>1</v>
          </cell>
          <cell r="R1014">
            <v>3</v>
          </cell>
          <cell r="S1014" t="str">
            <v>polygon</v>
          </cell>
          <cell r="T1014">
            <v>0</v>
          </cell>
          <cell r="U1014" t="str">
            <v>NULL</v>
          </cell>
          <cell r="V1014" t="str">
            <v>NULL</v>
          </cell>
          <cell r="W1014" t="str">
            <v/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 t="str">
            <v>anytime</v>
          </cell>
          <cell r="AC1014">
            <v>1</v>
          </cell>
          <cell r="AD1014">
            <v>6</v>
          </cell>
          <cell r="AE1014" t="str">
            <v>everyone</v>
          </cell>
        </row>
        <row r="1015">
          <cell r="A1015" t="str">
            <v>65531_1</v>
          </cell>
          <cell r="B1015">
            <v>1</v>
          </cell>
          <cell r="C1015">
            <v>65531</v>
          </cell>
          <cell r="D1015" t="str">
            <v>【LB塚本】検証クエスト</v>
          </cell>
          <cell r="E1015" t="str">
            <v>検証</v>
          </cell>
          <cell r="F1015">
            <v>1</v>
          </cell>
          <cell r="G1015" t="str">
            <v>ja</v>
          </cell>
          <cell r="H1015" t="str">
            <v>【LB塚本】検証</v>
          </cell>
          <cell r="I1015" t="str">
            <v>検証</v>
          </cell>
          <cell r="J1015">
            <v>1</v>
          </cell>
          <cell r="K1015">
            <v>1</v>
          </cell>
          <cell r="L1015">
            <v>1</v>
          </cell>
          <cell r="M1015">
            <v>1</v>
          </cell>
          <cell r="N1015">
            <v>1</v>
          </cell>
          <cell r="O1015">
            <v>1</v>
          </cell>
          <cell r="P1015">
            <v>1</v>
          </cell>
          <cell r="Q1015">
            <v>1</v>
          </cell>
          <cell r="R1015">
            <v>3</v>
          </cell>
          <cell r="S1015" t="str">
            <v>polygon</v>
          </cell>
          <cell r="T1015">
            <v>0</v>
          </cell>
          <cell r="U1015" t="str">
            <v>NULL</v>
          </cell>
          <cell r="V1015" t="str">
            <v>NULL</v>
          </cell>
          <cell r="W1015" t="str">
            <v/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 t="str">
            <v>anytime</v>
          </cell>
          <cell r="AC1015">
            <v>1</v>
          </cell>
          <cell r="AD1015">
            <v>6</v>
          </cell>
          <cell r="AE1015" t="str">
            <v>everyone</v>
          </cell>
        </row>
        <row r="1016">
          <cell r="A1016" t="str">
            <v>65531_2</v>
          </cell>
          <cell r="B1016">
            <v>1</v>
          </cell>
          <cell r="C1016">
            <v>65531</v>
          </cell>
          <cell r="D1016" t="str">
            <v>【LB塚本】検証クエスト</v>
          </cell>
          <cell r="E1016" t="str">
            <v>検証</v>
          </cell>
          <cell r="F1016">
            <v>2</v>
          </cell>
          <cell r="G1016" t="str">
            <v>ja</v>
          </cell>
          <cell r="H1016" t="str">
            <v>【LB塚本】検証プレイ用</v>
          </cell>
          <cell r="I1016" t="str">
            <v>検証</v>
          </cell>
          <cell r="J1016">
            <v>1</v>
          </cell>
          <cell r="K1016">
            <v>1</v>
          </cell>
          <cell r="L1016">
            <v>1</v>
          </cell>
          <cell r="M1016">
            <v>1</v>
          </cell>
          <cell r="N1016">
            <v>1</v>
          </cell>
          <cell r="O1016">
            <v>1</v>
          </cell>
          <cell r="P1016">
            <v>1</v>
          </cell>
          <cell r="Q1016">
            <v>1</v>
          </cell>
          <cell r="R1016">
            <v>3</v>
          </cell>
          <cell r="S1016" t="str">
            <v>polygon</v>
          </cell>
          <cell r="T1016">
            <v>0</v>
          </cell>
          <cell r="U1016" t="str">
            <v>NULL</v>
          </cell>
          <cell r="V1016" t="str">
            <v>NULL</v>
          </cell>
          <cell r="W1016" t="str">
            <v/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 t="str">
            <v>anytime</v>
          </cell>
          <cell r="AC1016">
            <v>1</v>
          </cell>
          <cell r="AD1016">
            <v>6</v>
          </cell>
          <cell r="AE1016" t="str">
            <v>everyone</v>
          </cell>
        </row>
        <row r="1017">
          <cell r="A1017" t="str">
            <v>65532_1</v>
          </cell>
          <cell r="B1017">
            <v>1</v>
          </cell>
          <cell r="C1017">
            <v>65532</v>
          </cell>
          <cell r="D1017" t="str">
            <v>【LB山川】検証クエスト</v>
          </cell>
          <cell r="E1017" t="str">
            <v>検証</v>
          </cell>
          <cell r="F1017">
            <v>1</v>
          </cell>
          <cell r="G1017" t="str">
            <v>ja</v>
          </cell>
          <cell r="H1017" t="str">
            <v>【LB山川】検証</v>
          </cell>
          <cell r="I1017" t="str">
            <v>検証</v>
          </cell>
          <cell r="J1017">
            <v>1</v>
          </cell>
          <cell r="K1017">
            <v>1</v>
          </cell>
          <cell r="L1017">
            <v>1</v>
          </cell>
          <cell r="M1017">
            <v>1</v>
          </cell>
          <cell r="N1017">
            <v>1</v>
          </cell>
          <cell r="O1017">
            <v>1</v>
          </cell>
          <cell r="P1017">
            <v>1</v>
          </cell>
          <cell r="Q1017">
            <v>1</v>
          </cell>
          <cell r="R1017">
            <v>3</v>
          </cell>
          <cell r="S1017" t="str">
            <v>polygon</v>
          </cell>
          <cell r="T1017">
            <v>0</v>
          </cell>
          <cell r="U1017" t="str">
            <v>NULL</v>
          </cell>
          <cell r="V1017" t="str">
            <v>NULL</v>
          </cell>
          <cell r="W1017" t="str">
            <v/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 t="str">
            <v>anytime</v>
          </cell>
          <cell r="AC1017">
            <v>1</v>
          </cell>
          <cell r="AD1017">
            <v>6</v>
          </cell>
          <cell r="AE1017" t="str">
            <v>everyone</v>
          </cell>
        </row>
        <row r="1018">
          <cell r="A1018" t="str">
            <v>65532_2</v>
          </cell>
          <cell r="B1018">
            <v>1</v>
          </cell>
          <cell r="C1018">
            <v>65532</v>
          </cell>
          <cell r="D1018" t="str">
            <v>【LB山川】検証クエスト</v>
          </cell>
          <cell r="E1018" t="str">
            <v>検証</v>
          </cell>
          <cell r="F1018">
            <v>2</v>
          </cell>
          <cell r="G1018" t="str">
            <v>ja</v>
          </cell>
          <cell r="H1018" t="str">
            <v>【LB山川】検証プレイ用</v>
          </cell>
          <cell r="I1018" t="str">
            <v>検証</v>
          </cell>
          <cell r="J1018">
            <v>1</v>
          </cell>
          <cell r="K1018">
            <v>1</v>
          </cell>
          <cell r="L1018">
            <v>1</v>
          </cell>
          <cell r="M1018">
            <v>1</v>
          </cell>
          <cell r="N1018">
            <v>1</v>
          </cell>
          <cell r="O1018">
            <v>1</v>
          </cell>
          <cell r="P1018">
            <v>1</v>
          </cell>
          <cell r="Q1018">
            <v>1</v>
          </cell>
          <cell r="R1018">
            <v>3</v>
          </cell>
          <cell r="S1018" t="str">
            <v>polygon</v>
          </cell>
          <cell r="T1018">
            <v>0</v>
          </cell>
          <cell r="U1018" t="str">
            <v>NULL</v>
          </cell>
          <cell r="V1018" t="str">
            <v>NULL</v>
          </cell>
          <cell r="W1018" t="str">
            <v/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 t="str">
            <v>anytime</v>
          </cell>
          <cell r="AC1018">
            <v>1</v>
          </cell>
          <cell r="AD1018">
            <v>6</v>
          </cell>
          <cell r="AE1018" t="str">
            <v>everyone</v>
          </cell>
        </row>
        <row r="1019">
          <cell r="A1019" t="str">
            <v>65533_1</v>
          </cell>
          <cell r="B1019">
            <v>1</v>
          </cell>
          <cell r="C1019">
            <v>65533</v>
          </cell>
          <cell r="D1019" t="str">
            <v>【程塚】検証クエスト</v>
          </cell>
          <cell r="E1019" t="str">
            <v>検証</v>
          </cell>
          <cell r="F1019">
            <v>1</v>
          </cell>
          <cell r="G1019" t="str">
            <v>ja</v>
          </cell>
          <cell r="H1019" t="str">
            <v>【超級】若造よ、身の程を知れ</v>
          </cell>
          <cell r="I1019" t="str">
            <v>超級</v>
          </cell>
          <cell r="J1019">
            <v>458</v>
          </cell>
          <cell r="K1019">
            <v>30</v>
          </cell>
          <cell r="L1019">
            <v>3300</v>
          </cell>
          <cell r="M1019">
            <v>1</v>
          </cell>
          <cell r="N1019">
            <v>1</v>
          </cell>
          <cell r="O1019">
            <v>1</v>
          </cell>
          <cell r="P1019">
            <v>1</v>
          </cell>
          <cell r="Q1019">
            <v>1</v>
          </cell>
          <cell r="R1019">
            <v>3</v>
          </cell>
          <cell r="S1019" t="str">
            <v>none</v>
          </cell>
          <cell r="T1019">
            <v>0</v>
          </cell>
          <cell r="U1019" t="str">
            <v>NULL</v>
          </cell>
          <cell r="V1019" t="str">
            <v>NULL</v>
          </cell>
          <cell r="W1019" t="str">
            <v/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 t="str">
            <v>anytime</v>
          </cell>
          <cell r="AC1019">
            <v>13</v>
          </cell>
          <cell r="AD1019">
            <v>6</v>
          </cell>
          <cell r="AE1019" t="str">
            <v>everyone</v>
          </cell>
        </row>
        <row r="1020">
          <cell r="A1020" t="str">
            <v>65533_2</v>
          </cell>
          <cell r="B1020">
            <v>1</v>
          </cell>
          <cell r="C1020">
            <v>65533</v>
          </cell>
          <cell r="D1020" t="str">
            <v>【程塚】検証クエスト</v>
          </cell>
          <cell r="E1020" t="str">
            <v>検証</v>
          </cell>
          <cell r="F1020">
            <v>2</v>
          </cell>
          <cell r="G1020" t="str">
            <v>ja</v>
          </cell>
          <cell r="H1020" t="str">
            <v>【超絶級】若造よ、身の程を知れ</v>
          </cell>
          <cell r="I1020" t="str">
            <v>超絶級</v>
          </cell>
          <cell r="J1020">
            <v>459</v>
          </cell>
          <cell r="K1020">
            <v>35</v>
          </cell>
          <cell r="L1020">
            <v>4200</v>
          </cell>
          <cell r="M1020">
            <v>1</v>
          </cell>
          <cell r="N1020">
            <v>1</v>
          </cell>
          <cell r="O1020">
            <v>1</v>
          </cell>
          <cell r="P1020">
            <v>1</v>
          </cell>
          <cell r="Q1020">
            <v>1</v>
          </cell>
          <cell r="R1020">
            <v>3</v>
          </cell>
          <cell r="S1020" t="str">
            <v>polygon</v>
          </cell>
          <cell r="T1020">
            <v>1</v>
          </cell>
          <cell r="U1020" t="str">
            <v>NULL</v>
          </cell>
          <cell r="V1020" t="str">
            <v>NULL</v>
          </cell>
          <cell r="W1020" t="str">
            <v/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 t="str">
            <v>anytime</v>
          </cell>
          <cell r="AC1020">
            <v>13</v>
          </cell>
          <cell r="AD1020">
            <v>6</v>
          </cell>
          <cell r="AE1020" t="str">
            <v>everyone</v>
          </cell>
        </row>
        <row r="1021">
          <cell r="A1021" t="str">
            <v>65534_1</v>
          </cell>
          <cell r="B1021">
            <v>1</v>
          </cell>
          <cell r="C1021">
            <v>65534</v>
          </cell>
          <cell r="D1021" t="str">
            <v>【LB大野】検証クエスト</v>
          </cell>
          <cell r="E1021" t="str">
            <v>検証</v>
          </cell>
          <cell r="F1021">
            <v>1</v>
          </cell>
          <cell r="G1021" t="str">
            <v>ja</v>
          </cell>
          <cell r="H1021" t="str">
            <v>【LB大野】検証</v>
          </cell>
          <cell r="I1021" t="str">
            <v>検証</v>
          </cell>
          <cell r="J1021">
            <v>1</v>
          </cell>
          <cell r="K1021">
            <v>1</v>
          </cell>
          <cell r="L1021">
            <v>1</v>
          </cell>
          <cell r="M1021">
            <v>1</v>
          </cell>
          <cell r="N1021">
            <v>1</v>
          </cell>
          <cell r="O1021">
            <v>1</v>
          </cell>
          <cell r="P1021">
            <v>1</v>
          </cell>
          <cell r="Q1021">
            <v>1</v>
          </cell>
          <cell r="R1021">
            <v>3</v>
          </cell>
          <cell r="S1021" t="str">
            <v>polygon</v>
          </cell>
          <cell r="T1021">
            <v>0</v>
          </cell>
          <cell r="U1021" t="str">
            <v>NULL</v>
          </cell>
          <cell r="V1021" t="str">
            <v>NULL</v>
          </cell>
          <cell r="W1021" t="str">
            <v/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 t="str">
            <v>anytime</v>
          </cell>
          <cell r="AC1021">
            <v>24</v>
          </cell>
          <cell r="AD1021">
            <v>4</v>
          </cell>
          <cell r="AE1021" t="str">
            <v>everyone</v>
          </cell>
        </row>
        <row r="1022">
          <cell r="A1022" t="str">
            <v>65535_1</v>
          </cell>
          <cell r="B1022">
            <v>1</v>
          </cell>
          <cell r="C1022">
            <v>65535</v>
          </cell>
          <cell r="D1022" t="str">
            <v>１２３４５６７８９０１２３４５６７８９０１２３４５６７８９０</v>
          </cell>
          <cell r="E1022" t="str">
            <v>検証</v>
          </cell>
          <cell r="F1022">
            <v>1</v>
          </cell>
          <cell r="G1022" t="str">
            <v>ja</v>
          </cell>
          <cell r="H1022" t="str">
            <v>テンプレート</v>
          </cell>
          <cell r="I1022" t="str">
            <v>検証</v>
          </cell>
          <cell r="J1022" t="str">
            <v>NULL</v>
          </cell>
          <cell r="K1022">
            <v>1</v>
          </cell>
          <cell r="L1022">
            <v>1</v>
          </cell>
          <cell r="M1022">
            <v>1</v>
          </cell>
          <cell r="N1022">
            <v>1</v>
          </cell>
          <cell r="O1022">
            <v>1</v>
          </cell>
          <cell r="P1022">
            <v>1</v>
          </cell>
          <cell r="Q1022">
            <v>1</v>
          </cell>
          <cell r="R1022">
            <v>3</v>
          </cell>
          <cell r="S1022" t="str">
            <v>none</v>
          </cell>
          <cell r="T1022">
            <v>0</v>
          </cell>
          <cell r="U1022" t="str">
            <v>NULL</v>
          </cell>
          <cell r="V1022" t="str">
            <v>NULL</v>
          </cell>
          <cell r="W1022" t="str">
            <v/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 t="str">
            <v>anytime</v>
          </cell>
          <cell r="AC1022">
            <v>903</v>
          </cell>
          <cell r="AD1022">
            <v>6</v>
          </cell>
          <cell r="AE1022" t="str">
            <v>everyone</v>
          </cell>
        </row>
        <row r="1023">
          <cell r="A1023" t="str">
            <v>65535_2</v>
          </cell>
          <cell r="B1023">
            <v>1</v>
          </cell>
          <cell r="C1023">
            <v>65535</v>
          </cell>
          <cell r="D1023" t="str">
            <v>１２３４５６７８９０１２３４５６７８９０１２３４５６７８９０</v>
          </cell>
          <cell r="E1023" t="str">
            <v>検証</v>
          </cell>
          <cell r="F1023">
            <v>2</v>
          </cell>
          <cell r="G1023" t="str">
            <v>ja</v>
          </cell>
          <cell r="H1023" t="str">
            <v>ランクアップクエスト</v>
          </cell>
          <cell r="I1023" t="str">
            <v>検証</v>
          </cell>
          <cell r="J1023" t="str">
            <v>NULL</v>
          </cell>
          <cell r="K1023">
            <v>1</v>
          </cell>
          <cell r="L1023">
            <v>65535</v>
          </cell>
          <cell r="M1023">
            <v>1</v>
          </cell>
          <cell r="N1023">
            <v>1</v>
          </cell>
          <cell r="O1023">
            <v>1</v>
          </cell>
          <cell r="P1023">
            <v>1</v>
          </cell>
          <cell r="Q1023">
            <v>1</v>
          </cell>
          <cell r="R1023">
            <v>3</v>
          </cell>
          <cell r="S1023" t="str">
            <v>none</v>
          </cell>
          <cell r="T1023">
            <v>0</v>
          </cell>
          <cell r="U1023" t="str">
            <v>NULL</v>
          </cell>
          <cell r="V1023" t="str">
            <v>NULL</v>
          </cell>
          <cell r="W1023" t="str">
            <v/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 t="str">
            <v>anytime</v>
          </cell>
          <cell r="AC1023">
            <v>903</v>
          </cell>
          <cell r="AD1023">
            <v>6</v>
          </cell>
          <cell r="AE1023" t="str">
            <v>everyone</v>
          </cell>
        </row>
        <row r="1024">
          <cell r="A1024" t="str">
            <v>65535_3</v>
          </cell>
          <cell r="B1024">
            <v>1</v>
          </cell>
          <cell r="C1024">
            <v>65535</v>
          </cell>
          <cell r="D1024" t="str">
            <v>１２３４５６７８９０１２３４５６７８９０１２３４５６７８９０</v>
          </cell>
          <cell r="E1024" t="str">
            <v>検証</v>
          </cell>
          <cell r="F1024">
            <v>3</v>
          </cell>
          <cell r="G1024" t="str">
            <v>ja</v>
          </cell>
          <cell r="H1024" t="str">
            <v>サンドボックス</v>
          </cell>
          <cell r="I1024" t="str">
            <v>検証</v>
          </cell>
          <cell r="J1024" t="str">
            <v>NULL</v>
          </cell>
          <cell r="K1024">
            <v>1</v>
          </cell>
          <cell r="L1024">
            <v>1</v>
          </cell>
          <cell r="M1024">
            <v>1</v>
          </cell>
          <cell r="N1024">
            <v>1</v>
          </cell>
          <cell r="O1024">
            <v>1</v>
          </cell>
          <cell r="P1024">
            <v>1</v>
          </cell>
          <cell r="Q1024">
            <v>1</v>
          </cell>
          <cell r="R1024">
            <v>3</v>
          </cell>
          <cell r="S1024" t="str">
            <v>none</v>
          </cell>
          <cell r="T1024">
            <v>0</v>
          </cell>
          <cell r="U1024" t="str">
            <v>NULL</v>
          </cell>
          <cell r="V1024" t="str">
            <v>NULL</v>
          </cell>
          <cell r="W1024" t="str">
            <v/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 t="str">
            <v>anytime</v>
          </cell>
          <cell r="AC1024">
            <v>105</v>
          </cell>
          <cell r="AD1024">
            <v>6</v>
          </cell>
          <cell r="AE1024" t="str">
            <v>everyone</v>
          </cell>
        </row>
        <row r="1025">
          <cell r="A1025" t="str">
            <v>65535_4</v>
          </cell>
          <cell r="B1025">
            <v>1</v>
          </cell>
          <cell r="C1025">
            <v>65535</v>
          </cell>
          <cell r="D1025" t="str">
            <v>１２３４５６７８９０１２３４５６７８９０１２３４５６７８９０</v>
          </cell>
          <cell r="E1025" t="str">
            <v>検証</v>
          </cell>
          <cell r="F1025">
            <v>4</v>
          </cell>
          <cell r="G1025" t="str">
            <v>ja</v>
          </cell>
          <cell r="H1025" t="str">
            <v>フリーズジャンヌ</v>
          </cell>
          <cell r="I1025" t="str">
            <v>検証</v>
          </cell>
          <cell r="J1025" t="str">
            <v>NULL</v>
          </cell>
          <cell r="K1025">
            <v>1</v>
          </cell>
          <cell r="L1025">
            <v>1</v>
          </cell>
          <cell r="M1025">
            <v>1</v>
          </cell>
          <cell r="N1025">
            <v>1</v>
          </cell>
          <cell r="O1025">
            <v>1</v>
          </cell>
          <cell r="P1025">
            <v>1</v>
          </cell>
          <cell r="Q1025">
            <v>1</v>
          </cell>
          <cell r="R1025">
            <v>3</v>
          </cell>
          <cell r="S1025" t="str">
            <v>none</v>
          </cell>
          <cell r="T1025">
            <v>0</v>
          </cell>
          <cell r="U1025" t="str">
            <v>NULL</v>
          </cell>
          <cell r="V1025" t="str">
            <v>NULL</v>
          </cell>
          <cell r="W1025" t="str">
            <v/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 t="str">
            <v>anytime</v>
          </cell>
          <cell r="AC1025">
            <v>105</v>
          </cell>
          <cell r="AD1025">
            <v>6</v>
          </cell>
          <cell r="AE1025" t="str">
            <v>everyone</v>
          </cell>
        </row>
        <row r="1026">
          <cell r="A1026" t="str">
            <v>65535_5</v>
          </cell>
          <cell r="B1026">
            <v>1</v>
          </cell>
          <cell r="C1026">
            <v>65535</v>
          </cell>
          <cell r="D1026" t="str">
            <v>１２３４５６７８９０１２３４５６７８９０１２３４５６７８９０</v>
          </cell>
          <cell r="E1026" t="str">
            <v>検証</v>
          </cell>
          <cell r="F1026">
            <v>5</v>
          </cell>
          <cell r="G1026" t="str">
            <v>ja</v>
          </cell>
          <cell r="H1026" t="str">
            <v>ウィルスジャンヌ</v>
          </cell>
          <cell r="I1026" t="str">
            <v>検証</v>
          </cell>
          <cell r="J1026" t="str">
            <v>NULL</v>
          </cell>
          <cell r="K1026">
            <v>1</v>
          </cell>
          <cell r="L1026">
            <v>1</v>
          </cell>
          <cell r="M1026">
            <v>1</v>
          </cell>
          <cell r="N1026">
            <v>1</v>
          </cell>
          <cell r="O1026">
            <v>1</v>
          </cell>
          <cell r="P1026">
            <v>1</v>
          </cell>
          <cell r="Q1026">
            <v>1</v>
          </cell>
          <cell r="R1026">
            <v>3</v>
          </cell>
          <cell r="S1026" t="str">
            <v>none</v>
          </cell>
          <cell r="T1026">
            <v>0</v>
          </cell>
          <cell r="U1026" t="str">
            <v>NULL</v>
          </cell>
          <cell r="V1026" t="str">
            <v>NULL</v>
          </cell>
          <cell r="W1026" t="str">
            <v/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 t="str">
            <v>anytime</v>
          </cell>
          <cell r="AC1026">
            <v>105</v>
          </cell>
          <cell r="AD1026">
            <v>6</v>
          </cell>
          <cell r="AE1026" t="str">
            <v>everyone</v>
          </cell>
        </row>
        <row r="1027">
          <cell r="A1027" t="str">
            <v>65535_6</v>
          </cell>
          <cell r="B1027">
            <v>1</v>
          </cell>
          <cell r="C1027">
            <v>65535</v>
          </cell>
          <cell r="D1027" t="str">
            <v>１２３４５６７８９０１２３４５６７８９０１２３４５６７８９０</v>
          </cell>
          <cell r="E1027" t="str">
            <v>検証</v>
          </cell>
          <cell r="F1027">
            <v>6</v>
          </cell>
          <cell r="G1027" t="str">
            <v>ja</v>
          </cell>
          <cell r="H1027" t="str">
            <v>お邪魔ジャンヌ</v>
          </cell>
          <cell r="I1027" t="str">
            <v>検証</v>
          </cell>
          <cell r="J1027" t="str">
            <v>NULL</v>
          </cell>
          <cell r="K1027">
            <v>1</v>
          </cell>
          <cell r="L1027">
            <v>1</v>
          </cell>
          <cell r="M1027">
            <v>1</v>
          </cell>
          <cell r="N1027">
            <v>1</v>
          </cell>
          <cell r="O1027">
            <v>1</v>
          </cell>
          <cell r="P1027">
            <v>1</v>
          </cell>
          <cell r="Q1027">
            <v>1</v>
          </cell>
          <cell r="R1027">
            <v>3</v>
          </cell>
          <cell r="S1027" t="str">
            <v>none</v>
          </cell>
          <cell r="T1027">
            <v>0</v>
          </cell>
          <cell r="U1027" t="str">
            <v>NULL</v>
          </cell>
          <cell r="V1027" t="str">
            <v>NULL</v>
          </cell>
          <cell r="W1027" t="str">
            <v/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 t="str">
            <v>anytime</v>
          </cell>
          <cell r="AC1027">
            <v>105</v>
          </cell>
          <cell r="AD1027">
            <v>6</v>
          </cell>
          <cell r="AE1027" t="str">
            <v>everyone</v>
          </cell>
        </row>
        <row r="1028">
          <cell r="A1028" t="str">
            <v>65535_7</v>
          </cell>
          <cell r="B1028">
            <v>1</v>
          </cell>
          <cell r="C1028">
            <v>65535</v>
          </cell>
          <cell r="D1028" t="str">
            <v>１２３４５６７８９０１２３４５６７８９０１２３４５６７８９０</v>
          </cell>
          <cell r="E1028" t="str">
            <v>検証</v>
          </cell>
          <cell r="F1028">
            <v>7</v>
          </cell>
          <cell r="G1028" t="str">
            <v>ja</v>
          </cell>
          <cell r="H1028" t="str">
            <v>爆風ジャンヌ</v>
          </cell>
          <cell r="I1028" t="str">
            <v>検証</v>
          </cell>
          <cell r="J1028" t="str">
            <v>NULL</v>
          </cell>
          <cell r="K1028">
            <v>1</v>
          </cell>
          <cell r="L1028">
            <v>1</v>
          </cell>
          <cell r="M1028">
            <v>1</v>
          </cell>
          <cell r="N1028">
            <v>1</v>
          </cell>
          <cell r="O1028">
            <v>1</v>
          </cell>
          <cell r="P1028">
            <v>1</v>
          </cell>
          <cell r="Q1028">
            <v>1</v>
          </cell>
          <cell r="R1028">
            <v>3</v>
          </cell>
          <cell r="S1028" t="str">
            <v>none</v>
          </cell>
          <cell r="T1028">
            <v>0</v>
          </cell>
          <cell r="U1028" t="str">
            <v>NULL</v>
          </cell>
          <cell r="V1028" t="str">
            <v>NULL</v>
          </cell>
          <cell r="W1028" t="str">
            <v/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 t="str">
            <v>anytime</v>
          </cell>
          <cell r="AC1028">
            <v>105</v>
          </cell>
          <cell r="AD1028">
            <v>6</v>
          </cell>
          <cell r="AE1028" t="str">
            <v>everyone</v>
          </cell>
        </row>
        <row r="1029">
          <cell r="A1029" t="str">
            <v>65535_8</v>
          </cell>
          <cell r="B1029">
            <v>1</v>
          </cell>
          <cell r="C1029">
            <v>65535</v>
          </cell>
          <cell r="D1029" t="str">
            <v>１２３４５６７８９０１２３４５６７８９０１２３４５６７８９０</v>
          </cell>
          <cell r="E1029" t="str">
            <v>検証</v>
          </cell>
          <cell r="F1029">
            <v>8</v>
          </cell>
          <cell r="G1029" t="str">
            <v>ja</v>
          </cell>
          <cell r="H1029" t="str">
            <v>テスト</v>
          </cell>
          <cell r="I1029" t="str">
            <v>検証</v>
          </cell>
          <cell r="J1029" t="str">
            <v>NULL</v>
          </cell>
          <cell r="K1029">
            <v>1</v>
          </cell>
          <cell r="L1029">
            <v>1</v>
          </cell>
          <cell r="M1029">
            <v>1</v>
          </cell>
          <cell r="N1029">
            <v>1</v>
          </cell>
          <cell r="O1029">
            <v>1</v>
          </cell>
          <cell r="P1029">
            <v>1</v>
          </cell>
          <cell r="Q1029">
            <v>1</v>
          </cell>
          <cell r="R1029">
            <v>3</v>
          </cell>
          <cell r="S1029" t="str">
            <v>none</v>
          </cell>
          <cell r="T1029">
            <v>0</v>
          </cell>
          <cell r="U1029" t="str">
            <v>NULL</v>
          </cell>
          <cell r="V1029" t="str">
            <v>NULL</v>
          </cell>
          <cell r="W1029" t="str">
            <v/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 t="str">
            <v>anytime</v>
          </cell>
          <cell r="AC1029">
            <v>105</v>
          </cell>
          <cell r="AD1029">
            <v>6</v>
          </cell>
          <cell r="AE1029" t="str">
            <v>everyone</v>
          </cell>
        </row>
        <row r="1030">
          <cell r="A1030" t="str">
            <v>65535_9</v>
          </cell>
          <cell r="B1030">
            <v>1</v>
          </cell>
          <cell r="C1030">
            <v>65535</v>
          </cell>
          <cell r="D1030" t="str">
            <v>１２３４５６７８９０１２３４５６７８９０１２３４５６７８９０</v>
          </cell>
          <cell r="E1030" t="str">
            <v>検証</v>
          </cell>
          <cell r="F1030">
            <v>9</v>
          </cell>
          <cell r="G1030" t="str">
            <v>ja</v>
          </cell>
          <cell r="H1030" t="str">
            <v>本気プロテクトジャンヌ</v>
          </cell>
          <cell r="I1030" t="str">
            <v>検証</v>
          </cell>
          <cell r="J1030">
            <v>814</v>
          </cell>
          <cell r="K1030">
            <v>1</v>
          </cell>
          <cell r="L1030">
            <v>1</v>
          </cell>
          <cell r="M1030">
            <v>1</v>
          </cell>
          <cell r="N1030">
            <v>1</v>
          </cell>
          <cell r="O1030">
            <v>1</v>
          </cell>
          <cell r="P1030">
            <v>1</v>
          </cell>
          <cell r="Q1030">
            <v>1</v>
          </cell>
          <cell r="R1030">
            <v>3</v>
          </cell>
          <cell r="S1030" t="str">
            <v>none</v>
          </cell>
          <cell r="T1030">
            <v>0</v>
          </cell>
          <cell r="U1030" t="str">
            <v>NULL</v>
          </cell>
          <cell r="V1030" t="str">
            <v>NULL</v>
          </cell>
          <cell r="W1030" t="str">
            <v/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 t="str">
            <v>anytime</v>
          </cell>
          <cell r="AC1030">
            <v>105</v>
          </cell>
          <cell r="AD1030">
            <v>6</v>
          </cell>
          <cell r="AE1030" t="str">
            <v>everyone</v>
          </cell>
        </row>
        <row r="1031">
          <cell r="A1031" t="str">
            <v>65535_10</v>
          </cell>
          <cell r="B1031">
            <v>1</v>
          </cell>
          <cell r="C1031">
            <v>65535</v>
          </cell>
          <cell r="D1031" t="str">
            <v>１２３４５６７８９０１２３４５６７８９０１２３４５６７８９０</v>
          </cell>
          <cell r="E1031" t="str">
            <v>検証</v>
          </cell>
          <cell r="F1031">
            <v>10</v>
          </cell>
          <cell r="G1031" t="str">
            <v>ja</v>
          </cell>
          <cell r="H1031" t="str">
            <v>本気ウィルスミケランジェロ</v>
          </cell>
          <cell r="I1031" t="str">
            <v>検証</v>
          </cell>
          <cell r="J1031">
            <v>1089</v>
          </cell>
          <cell r="K1031">
            <v>1</v>
          </cell>
          <cell r="L1031">
            <v>1</v>
          </cell>
          <cell r="M1031">
            <v>1</v>
          </cell>
          <cell r="N1031">
            <v>1</v>
          </cell>
          <cell r="O1031">
            <v>1</v>
          </cell>
          <cell r="P1031">
            <v>1</v>
          </cell>
          <cell r="Q1031">
            <v>1</v>
          </cell>
          <cell r="R1031">
            <v>3</v>
          </cell>
          <cell r="S1031" t="str">
            <v>none</v>
          </cell>
          <cell r="T1031">
            <v>0</v>
          </cell>
          <cell r="U1031" t="str">
            <v>NULL</v>
          </cell>
          <cell r="V1031" t="str">
            <v>NULL</v>
          </cell>
          <cell r="W1031" t="str">
            <v/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 t="str">
            <v>anytime</v>
          </cell>
          <cell r="AC1031">
            <v>105</v>
          </cell>
          <cell r="AD1031">
            <v>6</v>
          </cell>
          <cell r="AE103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8127</v>
          </cell>
        </row>
        <row r="1572">
          <cell r="A1572">
            <v>8128</v>
          </cell>
        </row>
        <row r="1573">
          <cell r="A1573">
            <v>8129</v>
          </cell>
        </row>
        <row r="1574">
          <cell r="A1574">
            <v>8130</v>
          </cell>
        </row>
        <row r="1575">
          <cell r="A1575">
            <v>8131</v>
          </cell>
        </row>
        <row r="1576">
          <cell r="A1576">
            <v>8132</v>
          </cell>
        </row>
        <row r="1577">
          <cell r="A1577">
            <v>8133</v>
          </cell>
        </row>
        <row r="1578">
          <cell r="A1578">
            <v>8134</v>
          </cell>
        </row>
        <row r="1579">
          <cell r="A1579">
            <v>8135</v>
          </cell>
        </row>
        <row r="1580">
          <cell r="A1580">
            <v>8136</v>
          </cell>
        </row>
        <row r="1581">
          <cell r="A1581">
            <v>8137</v>
          </cell>
        </row>
        <row r="1582">
          <cell r="A1582">
            <v>8138</v>
          </cell>
        </row>
        <row r="1583">
          <cell r="A1583">
            <v>9001</v>
          </cell>
        </row>
        <row r="1584">
          <cell r="A1584">
            <v>9002</v>
          </cell>
        </row>
        <row r="1585">
          <cell r="A1585">
            <v>9003</v>
          </cell>
        </row>
        <row r="1586">
          <cell r="A1586">
            <v>9004</v>
          </cell>
        </row>
        <row r="1587">
          <cell r="A1587">
            <v>9005</v>
          </cell>
        </row>
        <row r="1588">
          <cell r="A1588">
            <v>9006</v>
          </cell>
        </row>
        <row r="1589">
          <cell r="A1589">
            <v>9007</v>
          </cell>
        </row>
        <row r="1590">
          <cell r="A1590">
            <v>9008</v>
          </cell>
        </row>
        <row r="1591">
          <cell r="A1591">
            <v>10101</v>
          </cell>
        </row>
        <row r="1592">
          <cell r="A1592">
            <v>10102</v>
          </cell>
        </row>
        <row r="1593">
          <cell r="A1593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1687</v>
          </cell>
        </row>
        <row r="1565">
          <cell r="A1565">
            <v>1688</v>
          </cell>
        </row>
        <row r="1566">
          <cell r="A1566">
            <v>1689</v>
          </cell>
        </row>
        <row r="1567">
          <cell r="A1567">
            <v>1690</v>
          </cell>
        </row>
        <row r="1568">
          <cell r="A1568">
            <v>1691</v>
          </cell>
        </row>
        <row r="1569">
          <cell r="A1569">
            <v>5001</v>
          </cell>
        </row>
        <row r="1570">
          <cell r="A1570">
            <v>5002</v>
          </cell>
        </row>
        <row r="1571">
          <cell r="A1571">
            <v>5003</v>
          </cell>
        </row>
        <row r="1572">
          <cell r="A1572">
            <v>5004</v>
          </cell>
        </row>
        <row r="1573">
          <cell r="A1573">
            <v>5005</v>
          </cell>
        </row>
        <row r="1574">
          <cell r="A1574">
            <v>5006</v>
          </cell>
        </row>
        <row r="1575">
          <cell r="A1575">
            <v>5007</v>
          </cell>
        </row>
        <row r="1576">
          <cell r="A1576">
            <v>5008</v>
          </cell>
        </row>
        <row r="1577">
          <cell r="A1577">
            <v>6001</v>
          </cell>
        </row>
        <row r="1578">
          <cell r="A1578">
            <v>6002</v>
          </cell>
        </row>
        <row r="1579">
          <cell r="A1579">
            <v>6003</v>
          </cell>
        </row>
        <row r="1580">
          <cell r="A1580">
            <v>6004</v>
          </cell>
        </row>
        <row r="1581">
          <cell r="A1581">
            <v>6005</v>
          </cell>
        </row>
        <row r="1582">
          <cell r="A1582">
            <v>6006</v>
          </cell>
        </row>
        <row r="1583">
          <cell r="A1583">
            <v>6007</v>
          </cell>
        </row>
        <row r="1584">
          <cell r="A1584">
            <v>6008</v>
          </cell>
        </row>
        <row r="1585">
          <cell r="A1585">
            <v>6009</v>
          </cell>
        </row>
        <row r="1586">
          <cell r="A1586">
            <v>6010</v>
          </cell>
        </row>
        <row r="1587">
          <cell r="A1587">
            <v>6011</v>
          </cell>
        </row>
        <row r="1588">
          <cell r="A1588">
            <v>6012</v>
          </cell>
        </row>
        <row r="1589">
          <cell r="A1589">
            <v>6013</v>
          </cell>
        </row>
        <row r="1590">
          <cell r="A1590">
            <v>6014</v>
          </cell>
        </row>
        <row r="1591">
          <cell r="A1591">
            <v>6015</v>
          </cell>
        </row>
        <row r="1592">
          <cell r="A1592">
            <v>6016</v>
          </cell>
        </row>
        <row r="1593">
          <cell r="A1593">
            <v>6017</v>
          </cell>
        </row>
        <row r="1594">
          <cell r="A1594">
            <v>6018</v>
          </cell>
        </row>
        <row r="1595">
          <cell r="A1595">
            <v>6019</v>
          </cell>
        </row>
        <row r="1596">
          <cell r="A1596">
            <v>6020</v>
          </cell>
        </row>
        <row r="1597">
          <cell r="A1597">
            <v>8001</v>
          </cell>
        </row>
        <row r="1598">
          <cell r="A1598">
            <v>8002</v>
          </cell>
        </row>
        <row r="1599">
          <cell r="A1599">
            <v>8003</v>
          </cell>
        </row>
        <row r="1600">
          <cell r="A1600">
            <v>8004</v>
          </cell>
        </row>
        <row r="1601">
          <cell r="A1601">
            <v>8005</v>
          </cell>
        </row>
        <row r="1602">
          <cell r="A1602">
            <v>8006</v>
          </cell>
        </row>
        <row r="1603">
          <cell r="A1603">
            <v>8007</v>
          </cell>
        </row>
        <row r="1604">
          <cell r="A1604">
            <v>8008</v>
          </cell>
        </row>
        <row r="1605">
          <cell r="A1605">
            <v>8009</v>
          </cell>
        </row>
        <row r="1606">
          <cell r="A1606">
            <v>8010</v>
          </cell>
        </row>
        <row r="1607">
          <cell r="A1607">
            <v>8011</v>
          </cell>
        </row>
        <row r="1608">
          <cell r="A1608">
            <v>8012</v>
          </cell>
        </row>
        <row r="1609">
          <cell r="A1609">
            <v>8013</v>
          </cell>
        </row>
        <row r="1610">
          <cell r="A1610">
            <v>8014</v>
          </cell>
        </row>
        <row r="1611">
          <cell r="A1611">
            <v>8015</v>
          </cell>
        </row>
        <row r="1612">
          <cell r="A1612">
            <v>8016</v>
          </cell>
        </row>
        <row r="1613">
          <cell r="A1613">
            <v>8017</v>
          </cell>
        </row>
        <row r="1614">
          <cell r="A1614">
            <v>8018</v>
          </cell>
        </row>
        <row r="1615">
          <cell r="A1615">
            <v>8019</v>
          </cell>
        </row>
        <row r="1616">
          <cell r="A1616">
            <v>8020</v>
          </cell>
        </row>
        <row r="1617">
          <cell r="A1617">
            <v>8021</v>
          </cell>
        </row>
        <row r="1618">
          <cell r="A1618">
            <v>8022</v>
          </cell>
        </row>
        <row r="1619">
          <cell r="A1619">
            <v>8023</v>
          </cell>
        </row>
        <row r="1620">
          <cell r="A1620">
            <v>8024</v>
          </cell>
        </row>
        <row r="1621">
          <cell r="A1621">
            <v>8025</v>
          </cell>
        </row>
        <row r="1622">
          <cell r="A1622">
            <v>8026</v>
          </cell>
        </row>
        <row r="1623">
          <cell r="A1623">
            <v>8027</v>
          </cell>
        </row>
        <row r="1624">
          <cell r="A1624">
            <v>8028</v>
          </cell>
        </row>
        <row r="1625">
          <cell r="A1625">
            <v>8029</v>
          </cell>
        </row>
        <row r="1626">
          <cell r="A1626">
            <v>8030</v>
          </cell>
        </row>
        <row r="1627">
          <cell r="A1627">
            <v>8031</v>
          </cell>
        </row>
        <row r="1628">
          <cell r="A1628">
            <v>8032</v>
          </cell>
        </row>
        <row r="1629">
          <cell r="A1629">
            <v>8033</v>
          </cell>
        </row>
        <row r="1630">
          <cell r="A1630">
            <v>8034</v>
          </cell>
        </row>
        <row r="1631">
          <cell r="A1631">
            <v>8035</v>
          </cell>
        </row>
        <row r="1632">
          <cell r="A1632">
            <v>8036</v>
          </cell>
        </row>
        <row r="1633">
          <cell r="A1633">
            <v>8037</v>
          </cell>
        </row>
        <row r="1634">
          <cell r="A1634">
            <v>8038</v>
          </cell>
        </row>
        <row r="1635">
          <cell r="A1635">
            <v>8039</v>
          </cell>
        </row>
        <row r="1636">
          <cell r="A1636">
            <v>8040</v>
          </cell>
        </row>
        <row r="1637">
          <cell r="A1637">
            <v>8041</v>
          </cell>
        </row>
        <row r="1638">
          <cell r="A1638">
            <v>8042</v>
          </cell>
        </row>
        <row r="1639">
          <cell r="A1639">
            <v>8043</v>
          </cell>
        </row>
        <row r="1640">
          <cell r="A1640">
            <v>8044</v>
          </cell>
        </row>
        <row r="1641">
          <cell r="A1641">
            <v>8045</v>
          </cell>
        </row>
        <row r="1642">
          <cell r="A1642">
            <v>8046</v>
          </cell>
        </row>
        <row r="1643">
          <cell r="A1643">
            <v>8047</v>
          </cell>
        </row>
        <row r="1644">
          <cell r="A1644">
            <v>8048</v>
          </cell>
        </row>
        <row r="1645">
          <cell r="A1645">
            <v>8049</v>
          </cell>
        </row>
        <row r="1646">
          <cell r="A1646">
            <v>8050</v>
          </cell>
        </row>
        <row r="1647">
          <cell r="A1647">
            <v>8051</v>
          </cell>
        </row>
        <row r="1648">
          <cell r="A1648">
            <v>8052</v>
          </cell>
        </row>
        <row r="1649">
          <cell r="A1649">
            <v>8053</v>
          </cell>
        </row>
        <row r="1650">
          <cell r="A1650">
            <v>8054</v>
          </cell>
        </row>
        <row r="1651">
          <cell r="A1651">
            <v>8055</v>
          </cell>
        </row>
        <row r="1652">
          <cell r="A1652">
            <v>8056</v>
          </cell>
        </row>
        <row r="1653">
          <cell r="A1653">
            <v>8057</v>
          </cell>
        </row>
        <row r="1654">
          <cell r="A1654">
            <v>8058</v>
          </cell>
        </row>
        <row r="1655">
          <cell r="A1655">
            <v>8059</v>
          </cell>
        </row>
        <row r="1656">
          <cell r="A1656">
            <v>8060</v>
          </cell>
        </row>
        <row r="1657">
          <cell r="A1657">
            <v>8061</v>
          </cell>
        </row>
        <row r="1658">
          <cell r="A1658">
            <v>8062</v>
          </cell>
        </row>
        <row r="1659">
          <cell r="A1659">
            <v>8063</v>
          </cell>
        </row>
        <row r="1660">
          <cell r="A1660">
            <v>8064</v>
          </cell>
        </row>
        <row r="1661">
          <cell r="A1661">
            <v>8065</v>
          </cell>
        </row>
        <row r="1662">
          <cell r="A1662">
            <v>8066</v>
          </cell>
        </row>
        <row r="1663">
          <cell r="A1663">
            <v>8067</v>
          </cell>
        </row>
        <row r="1664">
          <cell r="A1664">
            <v>8068</v>
          </cell>
        </row>
        <row r="1665">
          <cell r="A1665">
            <v>8069</v>
          </cell>
        </row>
        <row r="1666">
          <cell r="A1666">
            <v>8070</v>
          </cell>
        </row>
        <row r="1667">
          <cell r="A1667">
            <v>8071</v>
          </cell>
        </row>
        <row r="1668">
          <cell r="A1668">
            <v>8072</v>
          </cell>
        </row>
        <row r="1669">
          <cell r="A1669">
            <v>8073</v>
          </cell>
        </row>
        <row r="1670">
          <cell r="A1670">
            <v>8074</v>
          </cell>
        </row>
        <row r="1671">
          <cell r="A1671">
            <v>8075</v>
          </cell>
        </row>
        <row r="1672">
          <cell r="A1672">
            <v>8076</v>
          </cell>
        </row>
        <row r="1673">
          <cell r="A1673">
            <v>8077</v>
          </cell>
        </row>
        <row r="1674">
          <cell r="A1674">
            <v>8078</v>
          </cell>
        </row>
        <row r="1675">
          <cell r="A1675">
            <v>8079</v>
          </cell>
        </row>
        <row r="1676">
          <cell r="A1676">
            <v>8080</v>
          </cell>
        </row>
        <row r="1677">
          <cell r="A1677">
            <v>8081</v>
          </cell>
        </row>
        <row r="1678">
          <cell r="A1678">
            <v>8082</v>
          </cell>
        </row>
        <row r="1679">
          <cell r="A1679">
            <v>8083</v>
          </cell>
        </row>
        <row r="1680">
          <cell r="A1680">
            <v>8084</v>
          </cell>
        </row>
        <row r="1681">
          <cell r="A1681">
            <v>8085</v>
          </cell>
        </row>
        <row r="1682">
          <cell r="A1682">
            <v>8086</v>
          </cell>
        </row>
        <row r="1683">
          <cell r="A1683">
            <v>8087</v>
          </cell>
        </row>
        <row r="1684">
          <cell r="A1684">
            <v>8088</v>
          </cell>
        </row>
        <row r="1685">
          <cell r="A1685">
            <v>8089</v>
          </cell>
        </row>
        <row r="1686">
          <cell r="A1686">
            <v>8090</v>
          </cell>
        </row>
        <row r="1687">
          <cell r="A1687">
            <v>8095</v>
          </cell>
        </row>
        <row r="1688">
          <cell r="A1688">
            <v>8096</v>
          </cell>
        </row>
        <row r="1689">
          <cell r="A1689">
            <v>8097</v>
          </cell>
        </row>
        <row r="1690">
          <cell r="A1690">
            <v>8098</v>
          </cell>
        </row>
        <row r="1691">
          <cell r="A1691">
            <v>8099</v>
          </cell>
        </row>
        <row r="1692">
          <cell r="A1692">
            <v>8100</v>
          </cell>
        </row>
        <row r="1693">
          <cell r="A1693">
            <v>8101</v>
          </cell>
        </row>
        <row r="1694">
          <cell r="A1694">
            <v>8102</v>
          </cell>
        </row>
        <row r="1695">
          <cell r="A1695">
            <v>8103</v>
          </cell>
        </row>
        <row r="1696">
          <cell r="A1696">
            <v>8104</v>
          </cell>
        </row>
        <row r="1697">
          <cell r="A1697">
            <v>8105</v>
          </cell>
        </row>
        <row r="1698">
          <cell r="A1698">
            <v>8106</v>
          </cell>
        </row>
        <row r="1699">
          <cell r="A1699">
            <v>8111</v>
          </cell>
        </row>
        <row r="1700">
          <cell r="A1700">
            <v>8112</v>
          </cell>
        </row>
        <row r="1701">
          <cell r="A1701">
            <v>8113</v>
          </cell>
        </row>
        <row r="1702">
          <cell r="A1702">
            <v>8114</v>
          </cell>
        </row>
        <row r="1703">
          <cell r="A1703">
            <v>8115</v>
          </cell>
        </row>
        <row r="1704">
          <cell r="A1704">
            <v>8116</v>
          </cell>
        </row>
        <row r="1705">
          <cell r="A1705">
            <v>8117</v>
          </cell>
        </row>
        <row r="1706">
          <cell r="A1706">
            <v>8118</v>
          </cell>
        </row>
        <row r="1707">
          <cell r="A1707">
            <v>8119</v>
          </cell>
        </row>
        <row r="1708">
          <cell r="A1708">
            <v>8120</v>
          </cell>
        </row>
        <row r="1709">
          <cell r="A1709">
            <v>8121</v>
          </cell>
        </row>
        <row r="1710">
          <cell r="A1710">
            <v>8122</v>
          </cell>
        </row>
        <row r="1711">
          <cell r="A1711">
            <v>8123</v>
          </cell>
        </row>
        <row r="1712">
          <cell r="A1712">
            <v>8124</v>
          </cell>
        </row>
        <row r="1713">
          <cell r="A1713">
            <v>8125</v>
          </cell>
        </row>
        <row r="1714">
          <cell r="A1714">
            <v>8126</v>
          </cell>
        </row>
        <row r="1715">
          <cell r="A1715">
            <v>8127</v>
          </cell>
        </row>
        <row r="1716">
          <cell r="A1716">
            <v>8128</v>
          </cell>
        </row>
        <row r="1717">
          <cell r="A1717">
            <v>8129</v>
          </cell>
        </row>
        <row r="1718">
          <cell r="A1718">
            <v>8130</v>
          </cell>
        </row>
        <row r="1719">
          <cell r="A1719">
            <v>8131</v>
          </cell>
        </row>
        <row r="1720">
          <cell r="A1720">
            <v>8132</v>
          </cell>
        </row>
        <row r="1721">
          <cell r="A1721">
            <v>8133</v>
          </cell>
        </row>
        <row r="1722">
          <cell r="A1722">
            <v>8134</v>
          </cell>
        </row>
        <row r="1723">
          <cell r="A1723">
            <v>8135</v>
          </cell>
        </row>
        <row r="1724">
          <cell r="A1724">
            <v>8136</v>
          </cell>
        </row>
        <row r="1725">
          <cell r="A1725">
            <v>8137</v>
          </cell>
        </row>
        <row r="1726">
          <cell r="A1726">
            <v>8138</v>
          </cell>
        </row>
        <row r="1727">
          <cell r="A1727">
            <v>9001</v>
          </cell>
        </row>
        <row r="1728">
          <cell r="A1728">
            <v>9002</v>
          </cell>
        </row>
        <row r="1729">
          <cell r="A1729">
            <v>9003</v>
          </cell>
        </row>
        <row r="1730">
          <cell r="A1730">
            <v>9004</v>
          </cell>
        </row>
        <row r="1731">
          <cell r="A1731">
            <v>9005</v>
          </cell>
        </row>
        <row r="1732">
          <cell r="A1732">
            <v>9006</v>
          </cell>
        </row>
        <row r="1733">
          <cell r="A1733">
            <v>9007</v>
          </cell>
        </row>
        <row r="1734">
          <cell r="A1734">
            <v>9008</v>
          </cell>
        </row>
        <row r="1735">
          <cell r="A1735">
            <v>10001</v>
          </cell>
        </row>
        <row r="1736">
          <cell r="A1736">
            <v>10002</v>
          </cell>
        </row>
        <row r="1737">
          <cell r="A1737">
            <v>10003</v>
          </cell>
        </row>
        <row r="1738">
          <cell r="A1738">
            <v>10004</v>
          </cell>
        </row>
        <row r="1739">
          <cell r="A1739">
            <v>10005</v>
          </cell>
        </row>
        <row r="1740">
          <cell r="A1740">
            <v>10006</v>
          </cell>
        </row>
        <row r="1741">
          <cell r="A1741">
            <v>10007</v>
          </cell>
        </row>
        <row r="1742">
          <cell r="A1742">
            <v>10008</v>
          </cell>
        </row>
        <row r="1743">
          <cell r="A1743">
            <v>10009</v>
          </cell>
        </row>
        <row r="1744">
          <cell r="A1744">
            <v>10010</v>
          </cell>
        </row>
        <row r="1745">
          <cell r="A1745">
            <v>10011</v>
          </cell>
        </row>
        <row r="1746">
          <cell r="A1746">
            <v>10012</v>
          </cell>
        </row>
        <row r="1747">
          <cell r="A1747">
            <v>10013</v>
          </cell>
        </row>
        <row r="1748">
          <cell r="A1748">
            <v>10014</v>
          </cell>
        </row>
        <row r="1749">
          <cell r="A1749">
            <v>10015</v>
          </cell>
        </row>
        <row r="1750">
          <cell r="A1750">
            <v>10016</v>
          </cell>
        </row>
        <row r="1751">
          <cell r="A1751">
            <v>10017</v>
          </cell>
        </row>
        <row r="1752">
          <cell r="A1752">
            <v>10018</v>
          </cell>
        </row>
        <row r="1753">
          <cell r="A1753">
            <v>10019</v>
          </cell>
        </row>
        <row r="1754">
          <cell r="A1754">
            <v>10020</v>
          </cell>
        </row>
        <row r="1755">
          <cell r="A1755">
            <v>10021</v>
          </cell>
        </row>
        <row r="1756">
          <cell r="A1756">
            <v>10022</v>
          </cell>
        </row>
        <row r="1757">
          <cell r="A1757">
            <v>10023</v>
          </cell>
        </row>
        <row r="1758">
          <cell r="A1758">
            <v>10024</v>
          </cell>
        </row>
        <row r="1759">
          <cell r="A1759">
            <v>10025</v>
          </cell>
        </row>
        <row r="1760">
          <cell r="A1760">
            <v>10026</v>
          </cell>
        </row>
        <row r="1761">
          <cell r="A1761">
            <v>10027</v>
          </cell>
        </row>
        <row r="1762">
          <cell r="A1762">
            <v>10028</v>
          </cell>
        </row>
        <row r="1763">
          <cell r="A1763">
            <v>10029</v>
          </cell>
        </row>
        <row r="1764">
          <cell r="A1764">
            <v>10030</v>
          </cell>
        </row>
        <row r="1765">
          <cell r="A1765">
            <v>10031</v>
          </cell>
        </row>
        <row r="1766">
          <cell r="A1766">
            <v>10032</v>
          </cell>
        </row>
        <row r="1767">
          <cell r="A1767">
            <v>10033</v>
          </cell>
        </row>
        <row r="1768">
          <cell r="A1768">
            <v>10034</v>
          </cell>
        </row>
        <row r="1769">
          <cell r="A1769">
            <v>10035</v>
          </cell>
        </row>
        <row r="1770">
          <cell r="A1770">
            <v>10036</v>
          </cell>
        </row>
        <row r="1771">
          <cell r="A1771">
            <v>10037</v>
          </cell>
        </row>
        <row r="1772">
          <cell r="A1772">
            <v>10038</v>
          </cell>
        </row>
        <row r="1773">
          <cell r="A1773">
            <v>10039</v>
          </cell>
        </row>
        <row r="1774">
          <cell r="A1774">
            <v>10040</v>
          </cell>
        </row>
        <row r="1775">
          <cell r="A1775">
            <v>10041</v>
          </cell>
        </row>
        <row r="1776">
          <cell r="A1776">
            <v>10042</v>
          </cell>
        </row>
        <row r="1777">
          <cell r="A1777">
            <v>10043</v>
          </cell>
        </row>
        <row r="1778">
          <cell r="A1778">
            <v>10044</v>
          </cell>
        </row>
        <row r="1779">
          <cell r="A1779">
            <v>10045</v>
          </cell>
        </row>
        <row r="1780">
          <cell r="A1780">
            <v>10046</v>
          </cell>
        </row>
        <row r="1781">
          <cell r="A1781">
            <v>10047</v>
          </cell>
        </row>
        <row r="1782">
          <cell r="A1782">
            <v>10048</v>
          </cell>
        </row>
        <row r="1783">
          <cell r="A1783">
            <v>10049</v>
          </cell>
        </row>
        <row r="1784">
          <cell r="A1784">
            <v>10050</v>
          </cell>
        </row>
        <row r="1785">
          <cell r="A1785">
            <v>10051</v>
          </cell>
        </row>
        <row r="1786">
          <cell r="A1786">
            <v>10052</v>
          </cell>
        </row>
        <row r="1787">
          <cell r="A1787">
            <v>10053</v>
          </cell>
        </row>
        <row r="1788">
          <cell r="A1788">
            <v>10054</v>
          </cell>
        </row>
        <row r="1789">
          <cell r="A1789">
            <v>10055</v>
          </cell>
        </row>
        <row r="1790">
          <cell r="A1790">
            <v>10056</v>
          </cell>
        </row>
        <row r="1791">
          <cell r="A1791">
            <v>10057</v>
          </cell>
        </row>
        <row r="1792">
          <cell r="A1792">
            <v>10058</v>
          </cell>
        </row>
        <row r="1793">
          <cell r="A1793">
            <v>10059</v>
          </cell>
        </row>
        <row r="1794">
          <cell r="A1794">
            <v>10060</v>
          </cell>
        </row>
        <row r="1795">
          <cell r="A1795">
            <v>10061</v>
          </cell>
        </row>
        <row r="1796">
          <cell r="A1796">
            <v>10062</v>
          </cell>
        </row>
        <row r="1797">
          <cell r="A1797">
            <v>10063</v>
          </cell>
        </row>
        <row r="1798">
          <cell r="A1798">
            <v>10064</v>
          </cell>
        </row>
        <row r="1799">
          <cell r="A1799">
            <v>10065</v>
          </cell>
        </row>
        <row r="1800">
          <cell r="A1800">
            <v>10066</v>
          </cell>
        </row>
        <row r="1801">
          <cell r="A1801">
            <v>10067</v>
          </cell>
        </row>
        <row r="1802">
          <cell r="A1802">
            <v>10068</v>
          </cell>
        </row>
        <row r="1803">
          <cell r="A1803">
            <v>10069</v>
          </cell>
        </row>
        <row r="1804">
          <cell r="A1804">
            <v>10070</v>
          </cell>
        </row>
        <row r="1805">
          <cell r="A1805">
            <v>10071</v>
          </cell>
        </row>
        <row r="1806">
          <cell r="A1806">
            <v>10072</v>
          </cell>
        </row>
        <row r="1807">
          <cell r="A1807">
            <v>10073</v>
          </cell>
        </row>
        <row r="1808">
          <cell r="A1808">
            <v>10074</v>
          </cell>
        </row>
        <row r="1809">
          <cell r="A1809">
            <v>10075</v>
          </cell>
        </row>
        <row r="1810">
          <cell r="A1810">
            <v>10076</v>
          </cell>
        </row>
        <row r="1811">
          <cell r="A1811">
            <v>10077</v>
          </cell>
        </row>
        <row r="1812">
          <cell r="A1812">
            <v>10078</v>
          </cell>
        </row>
        <row r="1813">
          <cell r="A1813">
            <v>10079</v>
          </cell>
        </row>
        <row r="1814">
          <cell r="A1814">
            <v>10080</v>
          </cell>
        </row>
        <row r="1815">
          <cell r="A1815">
            <v>10081</v>
          </cell>
        </row>
        <row r="1816">
          <cell r="A1816">
            <v>10082</v>
          </cell>
        </row>
        <row r="1817">
          <cell r="A1817">
            <v>10083</v>
          </cell>
        </row>
        <row r="1818">
          <cell r="A1818">
            <v>10084</v>
          </cell>
        </row>
        <row r="1819">
          <cell r="A1819">
            <v>10085</v>
          </cell>
        </row>
        <row r="1820">
          <cell r="A1820">
            <v>10086</v>
          </cell>
        </row>
        <row r="1821">
          <cell r="A1821">
            <v>10087</v>
          </cell>
        </row>
        <row r="1822">
          <cell r="A1822">
            <v>10088</v>
          </cell>
        </row>
        <row r="1823">
          <cell r="A1823">
            <v>10089</v>
          </cell>
        </row>
        <row r="1824">
          <cell r="A1824">
            <v>10090</v>
          </cell>
        </row>
        <row r="1825">
          <cell r="A1825">
            <v>10101</v>
          </cell>
        </row>
        <row r="1826">
          <cell r="A1826">
            <v>10102</v>
          </cell>
        </row>
        <row r="1827">
          <cell r="A1827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20" sqref="C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126</v>
      </c>
      <c r="B1" s="51" t="s">
        <v>96</v>
      </c>
      <c r="C1" s="51" t="s">
        <v>97</v>
      </c>
      <c r="D1" s="51" t="s">
        <v>98</v>
      </c>
      <c r="E1" s="51" t="s">
        <v>99</v>
      </c>
      <c r="F1" s="51" t="s">
        <v>100</v>
      </c>
      <c r="G1" s="51" t="s">
        <v>101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30" x14ac:dyDescent="0.15">
      <c r="A2" s="57" t="s">
        <v>350</v>
      </c>
      <c r="B2" s="53" t="s">
        <v>102</v>
      </c>
      <c r="C2" s="58">
        <v>51002</v>
      </c>
      <c r="D2" s="53" t="s">
        <v>103</v>
      </c>
      <c r="E2" s="52" t="str">
        <f>B2&amp;C2&amp;D2</f>
        <v>floors_51002.tmp</v>
      </c>
      <c r="F2" s="53" t="s">
        <v>104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</row>
    <row r="3" spans="1:30" x14ac:dyDescent="0.15">
      <c r="A3" s="57" t="s">
        <v>350</v>
      </c>
      <c r="B3" s="53" t="s">
        <v>105</v>
      </c>
      <c r="C3" s="58">
        <f>C$2</f>
        <v>51002</v>
      </c>
      <c r="D3" s="53" t="s">
        <v>103</v>
      </c>
      <c r="E3" s="52" t="str">
        <f>B3&amp;C3&amp;D3</f>
        <v>enemy_habitats_51002.tmp</v>
      </c>
      <c r="F3" s="53" t="s">
        <v>106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54</v>
      </c>
      <c r="AD3" s="54" t="s">
        <v>174</v>
      </c>
    </row>
    <row r="4" spans="1:30" x14ac:dyDescent="0.15">
      <c r="A4" s="57" t="s">
        <v>350</v>
      </c>
      <c r="B4" s="53" t="s">
        <v>107</v>
      </c>
      <c r="C4" s="58">
        <f t="shared" ref="C4:C12" si="0">C$2</f>
        <v>51002</v>
      </c>
      <c r="D4" s="53" t="s">
        <v>103</v>
      </c>
      <c r="E4" s="52" t="str">
        <f>B4&amp;C4&amp;D4</f>
        <v>enemy_habitat_S_51002.tmp</v>
      </c>
      <c r="F4" s="53" t="s">
        <v>108</v>
      </c>
      <c r="G4" s="54" t="s">
        <v>0</v>
      </c>
      <c r="H4" s="54" t="s">
        <v>1</v>
      </c>
      <c r="I4" s="54" t="s">
        <v>13</v>
      </c>
      <c r="J4" s="54" t="s">
        <v>54</v>
      </c>
      <c r="K4" s="54" t="s">
        <v>55</v>
      </c>
      <c r="L4" s="54" t="s">
        <v>56</v>
      </c>
      <c r="M4" s="54" t="s">
        <v>57</v>
      </c>
      <c r="N4" s="54" t="s">
        <v>58</v>
      </c>
      <c r="O4" s="54" t="s">
        <v>59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</row>
    <row r="5" spans="1:30" x14ac:dyDescent="0.15">
      <c r="A5" s="57" t="s">
        <v>350</v>
      </c>
      <c r="B5" s="53" t="s">
        <v>109</v>
      </c>
      <c r="C5" s="58">
        <f t="shared" si="0"/>
        <v>51002</v>
      </c>
      <c r="D5" s="53" t="s">
        <v>103</v>
      </c>
      <c r="E5" s="52" t="str">
        <f>B5&amp;C5&amp;D5</f>
        <v>enemy_skill_sets_51002.tmp</v>
      </c>
      <c r="F5" s="53" t="s">
        <v>110</v>
      </c>
      <c r="G5" s="55" t="s">
        <v>22</v>
      </c>
      <c r="H5" s="55" t="s">
        <v>95</v>
      </c>
      <c r="I5" s="55" t="s">
        <v>90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</row>
    <row r="6" spans="1:30" x14ac:dyDescent="0.15">
      <c r="A6" s="57" t="s">
        <v>350</v>
      </c>
      <c r="B6" s="53" t="s">
        <v>111</v>
      </c>
      <c r="C6" s="58">
        <f t="shared" si="0"/>
        <v>51002</v>
      </c>
      <c r="D6" s="53" t="s">
        <v>112</v>
      </c>
      <c r="E6" s="52" t="str">
        <f t="shared" ref="E6:E10" si="1">B6&amp;C6&amp;D6</f>
        <v>enemy_skills_tmp_51002.tmp</v>
      </c>
      <c r="F6" s="53" t="s">
        <v>86</v>
      </c>
      <c r="G6" s="54" t="s">
        <v>78</v>
      </c>
      <c r="H6" s="54" t="s">
        <v>79</v>
      </c>
      <c r="I6" s="54" t="s">
        <v>80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</row>
    <row r="7" spans="1:30" x14ac:dyDescent="0.15">
      <c r="A7" s="57" t="s">
        <v>350</v>
      </c>
      <c r="B7" s="53" t="s">
        <v>113</v>
      </c>
      <c r="C7" s="58">
        <f t="shared" si="0"/>
        <v>51002</v>
      </c>
      <c r="D7" s="53" t="s">
        <v>103</v>
      </c>
      <c r="E7" s="52" t="str">
        <f>B7&amp;C7&amp;D7</f>
        <v>enemy_skills_i18n_51002.tmp</v>
      </c>
      <c r="F7" s="53" t="s">
        <v>114</v>
      </c>
      <c r="G7" s="54" t="s">
        <v>78</v>
      </c>
      <c r="H7" s="54" t="s">
        <v>87</v>
      </c>
      <c r="I7" s="54" t="s">
        <v>88</v>
      </c>
      <c r="J7" s="54" t="s">
        <v>89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</row>
    <row r="8" spans="1:30" x14ac:dyDescent="0.15">
      <c r="A8" s="57" t="s">
        <v>350</v>
      </c>
      <c r="B8" s="53" t="s">
        <v>115</v>
      </c>
      <c r="C8" s="58">
        <f t="shared" si="0"/>
        <v>51002</v>
      </c>
      <c r="D8" s="53" t="s">
        <v>116</v>
      </c>
      <c r="E8" s="52" t="str">
        <f t="shared" si="1"/>
        <v>enemy_skill_triggers_51002.tmp</v>
      </c>
      <c r="F8" s="53" t="s">
        <v>117</v>
      </c>
      <c r="G8" s="54" t="s">
        <v>90</v>
      </c>
      <c r="H8" s="54" t="s">
        <v>91</v>
      </c>
      <c r="I8" s="54" t="s">
        <v>92</v>
      </c>
      <c r="J8" s="54" t="s">
        <v>93</v>
      </c>
      <c r="K8" s="54" t="s">
        <v>118</v>
      </c>
      <c r="L8" s="54" t="s">
        <v>94</v>
      </c>
      <c r="M8" s="54" t="s">
        <v>119</v>
      </c>
      <c r="N8" s="54" t="s">
        <v>120</v>
      </c>
      <c r="O8" s="54" t="s">
        <v>121</v>
      </c>
      <c r="P8" s="54" t="s">
        <v>66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</row>
    <row r="9" spans="1:30" x14ac:dyDescent="0.15">
      <c r="A9" s="57" t="s">
        <v>350</v>
      </c>
      <c r="B9" s="63" t="s">
        <v>173</v>
      </c>
      <c r="C9" s="58">
        <f t="shared" si="0"/>
        <v>51002</v>
      </c>
      <c r="D9" s="63" t="s">
        <v>167</v>
      </c>
      <c r="E9" s="64" t="str">
        <f t="shared" si="1"/>
        <v>stage_bug_bonuses_51002.tmp</v>
      </c>
      <c r="F9" s="63" t="s">
        <v>168</v>
      </c>
      <c r="G9" s="60" t="s">
        <v>146</v>
      </c>
      <c r="H9" s="60" t="s">
        <v>169</v>
      </c>
      <c r="I9" s="60" t="s">
        <v>170</v>
      </c>
      <c r="J9" s="62" t="s">
        <v>171</v>
      </c>
      <c r="K9" s="60" t="s">
        <v>172</v>
      </c>
      <c r="L9" s="60" t="s">
        <v>152</v>
      </c>
      <c r="M9" s="60" t="s">
        <v>153</v>
      </c>
      <c r="N9" s="60" t="s">
        <v>154</v>
      </c>
      <c r="O9" s="60" t="s">
        <v>155</v>
      </c>
      <c r="P9" s="60" t="s">
        <v>156</v>
      </c>
      <c r="Q9" s="60" t="s">
        <v>157</v>
      </c>
      <c r="R9" s="60" t="s">
        <v>158</v>
      </c>
      <c r="S9" s="60" t="s">
        <v>159</v>
      </c>
      <c r="T9" s="60" t="s">
        <v>160</v>
      </c>
      <c r="U9" s="60" t="s">
        <v>161</v>
      </c>
      <c r="V9" s="60" t="s">
        <v>162</v>
      </c>
      <c r="W9" s="60" t="s">
        <v>163</v>
      </c>
    </row>
    <row r="10" spans="1:30" s="71" customFormat="1" x14ac:dyDescent="0.15">
      <c r="A10" s="57" t="s">
        <v>350</v>
      </c>
      <c r="B10" s="63" t="s">
        <v>196</v>
      </c>
      <c r="C10" s="58">
        <f>C$2</f>
        <v>51002</v>
      </c>
      <c r="D10" s="63" t="s">
        <v>176</v>
      </c>
      <c r="E10" s="64" t="str">
        <f t="shared" si="1"/>
        <v>stage_hints_data_c_51002.tmp</v>
      </c>
      <c r="F10" s="63" t="s">
        <v>204</v>
      </c>
      <c r="G10" s="68" t="s">
        <v>177</v>
      </c>
      <c r="H10" s="68" t="s">
        <v>169</v>
      </c>
      <c r="I10" s="69" t="s">
        <v>178</v>
      </c>
      <c r="J10" s="62" t="s">
        <v>179</v>
      </c>
      <c r="K10" s="70" t="s">
        <v>180</v>
      </c>
    </row>
    <row r="11" spans="1:30" s="71" customFormat="1" x14ac:dyDescent="0.15">
      <c r="A11" s="57" t="s">
        <v>350</v>
      </c>
      <c r="B11" s="63" t="s">
        <v>197</v>
      </c>
      <c r="C11" s="58">
        <f t="shared" si="0"/>
        <v>51002</v>
      </c>
      <c r="D11" s="63" t="s">
        <v>167</v>
      </c>
      <c r="E11" s="64" t="str">
        <f t="shared" ref="E11:E12" si="2">B11&amp;C11&amp;D11</f>
        <v>stage_hints_data_f_51002.tmp</v>
      </c>
      <c r="F11" s="63" t="s">
        <v>205</v>
      </c>
      <c r="G11" s="68" t="s">
        <v>177</v>
      </c>
      <c r="H11" s="68" t="s">
        <v>169</v>
      </c>
      <c r="I11" s="69" t="s">
        <v>178</v>
      </c>
      <c r="J11" s="62" t="s">
        <v>179</v>
      </c>
      <c r="K11" s="70" t="s">
        <v>180</v>
      </c>
    </row>
    <row r="12" spans="1:30" s="71" customFormat="1" x14ac:dyDescent="0.15">
      <c r="A12" s="57" t="s">
        <v>350</v>
      </c>
      <c r="B12" s="63" t="s">
        <v>198</v>
      </c>
      <c r="C12" s="58">
        <f t="shared" si="0"/>
        <v>51002</v>
      </c>
      <c r="D12" s="63" t="s">
        <v>167</v>
      </c>
      <c r="E12" s="64" t="str">
        <f t="shared" si="2"/>
        <v>stage_hints_i18n_51002.tmp</v>
      </c>
      <c r="F12" s="63" t="s">
        <v>206</v>
      </c>
      <c r="G12" s="69" t="s">
        <v>199</v>
      </c>
      <c r="H12" s="89" t="s">
        <v>200</v>
      </c>
      <c r="I12" s="68" t="s">
        <v>201</v>
      </c>
      <c r="J12" s="90" t="s">
        <v>202</v>
      </c>
      <c r="K12" s="70" t="s">
        <v>203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K31" sqref="K31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19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4" t="str">
        <f>G2&amp;"-"&amp;I2</f>
        <v>51002_1-1</v>
      </c>
      <c r="B2" s="14" t="s">
        <v>349</v>
      </c>
      <c r="C2" s="91">
        <v>51002</v>
      </c>
      <c r="D2" s="16" t="str">
        <f ca="1">VLOOKUP($C2,OFFSET([2]quests!$A$1,0,0,COUNTA([2]quests!$A:$A),MATCH(D$1,[2]quests!$1:$1,0)-MATCH($C$1,[2]quests!$1:$1,0)+1),MATCH(D$1,[2]quests!$1:$1,0)-MATCH($C$1,[2]quests!$1:$1,0)+1,FALSE)</f>
        <v>オーディン襲来！</v>
      </c>
      <c r="E2" s="16" t="str">
        <f ca="1">VLOOKUP($C2,OFFSET([2]quests!$A$1,0,0,COUNTA([2]quests!$A:$A),MATCH(E$1,[2]quests!$1:$1,0)-MATCH($C$1,[2]quests!$1:$1,0)+1),MATCH(E$1,[2]quests!$1:$1,0)-MATCH($C$1,[2]quests!$1:$1,0)+1,FALSE)</f>
        <v>超降臨2</v>
      </c>
      <c r="F2" s="92">
        <v>1</v>
      </c>
      <c r="G2" s="19" t="str">
        <f>C2&amp;"_"&amp;F2</f>
        <v>51002_1</v>
      </c>
      <c r="H2" s="13" t="str">
        <f ca="1">VLOOKUP($G2,OFFSET([2]stages!$A$1,0,0,COUNTA([2]stages!$A:$A),MATCH(H$1,[2]stages!$2:$2,0)-MATCH($G$1,[2]stages!$2:$2,0)+1),MATCH(H$1,[2]stages!$2:$2,0)-MATCH($G$1,[2]stages!$2:$2,0)+1,FALSE)</f>
        <v>【超ウィザード級】オーディン襲来</v>
      </c>
      <c r="I2" s="92">
        <v>1</v>
      </c>
      <c r="J2" s="34">
        <v>60</v>
      </c>
      <c r="K2" s="34">
        <v>60</v>
      </c>
    </row>
    <row r="3" spans="1:11" ht="21" customHeight="1" x14ac:dyDescent="0.15">
      <c r="A3" s="14" t="str">
        <f t="shared" ref="A3:A5" si="0">G3&amp;"-"&amp;I3</f>
        <v>51002_1-2</v>
      </c>
      <c r="B3" s="14" t="s">
        <v>349</v>
      </c>
      <c r="C3" s="91">
        <v>51002</v>
      </c>
      <c r="D3" s="16" t="str">
        <f ca="1">VLOOKUP($C3,OFFSET([2]quests!$A$1,0,0,COUNTA([2]quests!$A:$A),MATCH(D$1,[2]quests!$1:$1,0)-MATCH($C$1,[2]quests!$1:$1,0)+1),MATCH(D$1,[2]quests!$1:$1,0)-MATCH($C$1,[2]quests!$1:$1,0)+1,FALSE)</f>
        <v>オーディン襲来！</v>
      </c>
      <c r="E3" s="16" t="str">
        <f ca="1">VLOOKUP($C3,OFFSET([2]quests!$A$1,0,0,COUNTA([2]quests!$A:$A),MATCH(E$1,[2]quests!$1:$1,0)-MATCH($C$1,[2]quests!$1:$1,0)+1),MATCH(E$1,[2]quests!$1:$1,0)-MATCH($C$1,[2]quests!$1:$1,0)+1,FALSE)</f>
        <v>超降臨2</v>
      </c>
      <c r="F3" s="92">
        <v>1</v>
      </c>
      <c r="G3" s="19" t="str">
        <f t="shared" ref="G3:G5" si="1">C3&amp;"_"&amp;F3</f>
        <v>51002_1</v>
      </c>
      <c r="H3" s="13" t="str">
        <f ca="1">VLOOKUP($G3,OFFSET([2]stages!$A$1,0,0,COUNTA([2]stages!$A:$A),MATCH(H$1,[2]stages!$2:$2,0)-MATCH($G$1,[2]stages!$2:$2,0)+1),MATCH(H$1,[2]stages!$2:$2,0)-MATCH($G$1,[2]stages!$2:$2,0)+1,FALSE)</f>
        <v>【超ウィザード級】オーディン襲来</v>
      </c>
      <c r="I3" s="92">
        <v>2</v>
      </c>
      <c r="J3" s="34">
        <v>60</v>
      </c>
      <c r="K3" s="34">
        <v>60</v>
      </c>
    </row>
    <row r="4" spans="1:11" ht="21" customHeight="1" x14ac:dyDescent="0.15">
      <c r="A4" s="14" t="str">
        <f t="shared" si="0"/>
        <v>51002_1-3</v>
      </c>
      <c r="B4" s="14" t="s">
        <v>349</v>
      </c>
      <c r="C4" s="91">
        <v>51002</v>
      </c>
      <c r="D4" s="16" t="str">
        <f ca="1">VLOOKUP($C4,OFFSET([2]quests!$A$1,0,0,COUNTA([2]quests!$A:$A),MATCH(D$1,[2]quests!$1:$1,0)-MATCH($C$1,[2]quests!$1:$1,0)+1),MATCH(D$1,[2]quests!$1:$1,0)-MATCH($C$1,[2]quests!$1:$1,0)+1,FALSE)</f>
        <v>オーディン襲来！</v>
      </c>
      <c r="E4" s="16" t="str">
        <f ca="1">VLOOKUP($C4,OFFSET([2]quests!$A$1,0,0,COUNTA([2]quests!$A:$A),MATCH(E$1,[2]quests!$1:$1,0)-MATCH($C$1,[2]quests!$1:$1,0)+1),MATCH(E$1,[2]quests!$1:$1,0)-MATCH($C$1,[2]quests!$1:$1,0)+1,FALSE)</f>
        <v>超降臨2</v>
      </c>
      <c r="F4" s="92">
        <v>1</v>
      </c>
      <c r="G4" s="19" t="str">
        <f t="shared" si="1"/>
        <v>51002_1</v>
      </c>
      <c r="H4" s="13" t="str">
        <f ca="1">VLOOKUP($G4,OFFSET([2]stages!$A$1,0,0,COUNTA([2]stages!$A:$A),MATCH(H$1,[2]stages!$2:$2,0)-MATCH($G$1,[2]stages!$2:$2,0)+1),MATCH(H$1,[2]stages!$2:$2,0)-MATCH($G$1,[2]stages!$2:$2,0)+1,FALSE)</f>
        <v>【超ウィザード級】オーディン襲来</v>
      </c>
      <c r="I4" s="92">
        <v>3</v>
      </c>
      <c r="J4" s="34">
        <v>30</v>
      </c>
      <c r="K4" s="34">
        <v>30</v>
      </c>
    </row>
    <row r="5" spans="1:11" ht="21" customHeight="1" x14ac:dyDescent="0.15">
      <c r="A5" s="14" t="str">
        <f t="shared" si="0"/>
        <v>51002_1-4</v>
      </c>
      <c r="B5" s="14" t="s">
        <v>349</v>
      </c>
      <c r="C5" s="91">
        <v>51002</v>
      </c>
      <c r="D5" s="16" t="str">
        <f ca="1">VLOOKUP($C5,OFFSET([2]quests!$A$1,0,0,COUNTA([2]quests!$A:$A),MATCH(D$1,[2]quests!$1:$1,0)-MATCH($C$1,[2]quests!$1:$1,0)+1),MATCH(D$1,[2]quests!$1:$1,0)-MATCH($C$1,[2]quests!$1:$1,0)+1,FALSE)</f>
        <v>オーディン襲来！</v>
      </c>
      <c r="E5" s="16" t="str">
        <f ca="1">VLOOKUP($C5,OFFSET([2]quests!$A$1,0,0,COUNTA([2]quests!$A:$A),MATCH(E$1,[2]quests!$1:$1,0)-MATCH($C$1,[2]quests!$1:$1,0)+1),MATCH(E$1,[2]quests!$1:$1,0)-MATCH($C$1,[2]quests!$1:$1,0)+1,FALSE)</f>
        <v>超降臨2</v>
      </c>
      <c r="F5" s="92">
        <v>1</v>
      </c>
      <c r="G5" s="19" t="str">
        <f t="shared" si="1"/>
        <v>51002_1</v>
      </c>
      <c r="H5" s="13" t="str">
        <f ca="1">VLOOKUP($G5,OFFSET([2]stages!$A$1,0,0,COUNTA([2]stages!$A:$A),MATCH(H$1,[2]stages!$2:$2,0)-MATCH($G$1,[2]stages!$2:$2,0)+1),MATCH(H$1,[2]stages!$2:$2,0)-MATCH($G$1,[2]stages!$2:$2,0)+1,FALSE)</f>
        <v>【超ウィザード級】オーディン襲来</v>
      </c>
      <c r="I5" s="92">
        <v>4</v>
      </c>
      <c r="J5" s="34">
        <v>60</v>
      </c>
      <c r="K5" s="34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6"/>
  <sheetViews>
    <sheetView showGridLines="0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Z15" sqref="Z15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 collapsed="1"/>
    <col min="29" max="29" width="8.83203125" style="11" hidden="1" customWidth="1" outlineLevel="1"/>
    <col min="30" max="30" width="8" style="12" hidden="1" customWidth="1" outlineLevel="1"/>
    <col min="31" max="31" width="12" style="12" hidden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20</v>
      </c>
      <c r="F1" s="26" t="s">
        <v>20</v>
      </c>
      <c r="G1" s="24" t="s">
        <v>19</v>
      </c>
      <c r="H1" s="25" t="s">
        <v>35</v>
      </c>
      <c r="I1" s="25" t="s">
        <v>14</v>
      </c>
      <c r="J1" s="25" t="s">
        <v>15</v>
      </c>
      <c r="K1" s="32" t="s">
        <v>54</v>
      </c>
      <c r="L1" s="33" t="s">
        <v>2</v>
      </c>
      <c r="M1" s="27" t="s">
        <v>21</v>
      </c>
      <c r="N1" s="25" t="s">
        <v>24</v>
      </c>
      <c r="O1" s="25" t="s">
        <v>23</v>
      </c>
      <c r="P1" s="28" t="s">
        <v>26</v>
      </c>
      <c r="Q1" s="26" t="s">
        <v>25</v>
      </c>
      <c r="R1" s="24" t="s">
        <v>3</v>
      </c>
      <c r="S1" s="22" t="s">
        <v>48</v>
      </c>
      <c r="T1" s="22" t="s">
        <v>50</v>
      </c>
      <c r="U1" s="22" t="s">
        <v>52</v>
      </c>
      <c r="V1" s="25" t="s">
        <v>31</v>
      </c>
      <c r="W1" s="24" t="s">
        <v>4</v>
      </c>
      <c r="X1" s="24" t="s">
        <v>5</v>
      </c>
      <c r="Y1" s="24" t="s">
        <v>6</v>
      </c>
      <c r="Z1" s="24" t="s">
        <v>7</v>
      </c>
      <c r="AA1" s="24" t="s">
        <v>8</v>
      </c>
      <c r="AB1" s="29" t="s">
        <v>9</v>
      </c>
      <c r="AC1" s="30" t="s">
        <v>16</v>
      </c>
      <c r="AD1" s="30" t="s">
        <v>17</v>
      </c>
      <c r="AE1" s="30" t="s">
        <v>27</v>
      </c>
      <c r="AF1" s="29" t="s">
        <v>10</v>
      </c>
      <c r="AG1" s="24" t="s">
        <v>11</v>
      </c>
      <c r="AH1" s="24" t="s">
        <v>12</v>
      </c>
      <c r="AI1" s="24" t="s">
        <v>38</v>
      </c>
      <c r="AJ1" s="24" t="s">
        <v>40</v>
      </c>
      <c r="AK1" s="24" t="s">
        <v>42</v>
      </c>
      <c r="AL1" s="24" t="s">
        <v>44</v>
      </c>
      <c r="AM1" s="24" t="s">
        <v>46</v>
      </c>
      <c r="AN1" s="32" t="s">
        <v>175</v>
      </c>
    </row>
    <row r="2" spans="1:40" ht="21" customHeight="1" x14ac:dyDescent="0.15">
      <c r="A2" s="14" t="str">
        <f t="shared" ref="A2:A9" si="0">B2&amp;"_"&amp;C2&amp;"-"&amp;G2&amp;"/"&amp;L2&amp;"&lt;lv"&amp;R2&amp;"&gt;s"&amp;AA2</f>
        <v>51002_1-1/600&lt;lv52&gt;s2</v>
      </c>
      <c r="B2" s="18">
        <v>51002</v>
      </c>
      <c r="C2" s="92">
        <v>1</v>
      </c>
      <c r="D2" s="13" t="str">
        <f>B2&amp;"_"&amp;C2</f>
        <v>51002_1</v>
      </c>
      <c r="E2" s="4" t="str">
        <f ca="1">VLOOKUP($B2,OFFSET([2]quests!$A$1,0,0,COUNTA([2]quests!$A:$A),MATCH(E$1,[2]quests!$1:$1,0)-MATCH($B$1,[2]quests!$1:$1,0)+1),MATCH(E$1,[2]quests!$1:$1,0)-MATCH($B$1,[2]quests!$1:$1,0)+1,FALSE)</f>
        <v>オーディン襲来！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【超ウィザード級】オーディン襲来</v>
      </c>
      <c r="G2" s="92">
        <v>1</v>
      </c>
      <c r="H2" s="13" t="str">
        <f>B2&amp;"_"&amp;C2&amp;"-"&amp;G2</f>
        <v>51002_1-1</v>
      </c>
      <c r="I2" s="4" t="e">
        <v>#N/A</v>
      </c>
      <c r="J2" s="4" t="e">
        <v>#N/A</v>
      </c>
      <c r="K2" s="34" t="s">
        <v>207</v>
      </c>
      <c r="L2" s="93">
        <v>600</v>
      </c>
      <c r="M2" s="15" t="str">
        <f ca="1">VLOOKUP($L2,OFFSET([3]enemies!$A$1,0,0,COUNTA([3]enemies!$A:$A),MATCH(M$1,[3]enemies!$1:$1,0)-MATCH($L$1,[3]enemies!$1:$1,0)+1),MATCH(M$1,[3]enemies!$1:$1,0)-MATCH($L$1,[3]enemies!$1:$1,0)+1,FALSE)</f>
        <v>界下に潜む蛇 ニーズヘッグ</v>
      </c>
      <c r="N2" s="15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5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5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52</v>
      </c>
      <c r="S2" s="21">
        <v>2</v>
      </c>
      <c r="T2" s="21">
        <v>0.5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味方全体にスキルバインド</v>
      </c>
      <c r="W2" s="18">
        <v>51002002</v>
      </c>
      <c r="X2" s="6">
        <v>1</v>
      </c>
      <c r="Y2" s="6">
        <v>100</v>
      </c>
      <c r="Z2" s="6">
        <v>1</v>
      </c>
      <c r="AA2" s="15">
        <v>2</v>
      </c>
      <c r="AB2" s="20">
        <f>L2</f>
        <v>600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界下に潜む蛇 ニーズヘッグ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7">
        <v>1</v>
      </c>
      <c r="AG2" s="20">
        <f t="shared" ref="AG2:AG9" ca="1" si="1">AD2</f>
        <v>4</v>
      </c>
      <c r="AH2" s="8">
        <v>0</v>
      </c>
      <c r="AI2" s="91">
        <v>0</v>
      </c>
      <c r="AJ2" s="91">
        <v>0</v>
      </c>
      <c r="AK2" s="91">
        <v>0</v>
      </c>
      <c r="AL2" s="91">
        <v>0</v>
      </c>
      <c r="AM2" s="91">
        <v>1</v>
      </c>
      <c r="AN2" s="65">
        <v>1</v>
      </c>
    </row>
    <row r="3" spans="1:40" ht="21" customHeight="1" x14ac:dyDescent="0.15">
      <c r="A3" s="14" t="str">
        <f t="shared" si="0"/>
        <v>51002_1-1/5&lt;lv75&gt;s2</v>
      </c>
      <c r="B3" s="18">
        <v>51002</v>
      </c>
      <c r="C3" s="92">
        <v>1</v>
      </c>
      <c r="D3" s="13" t="str">
        <f t="shared" ref="D3:D9" si="2">B3&amp;"_"&amp;C3</f>
        <v>51002_1</v>
      </c>
      <c r="E3" s="4" t="str">
        <f ca="1">VLOOKUP($B3,OFFSET([2]quests!$A$1,0,0,COUNTA([2]quests!$A:$A),MATCH(E$1,[2]quests!$1:$1,0)-MATCH($B$1,[2]quests!$1:$1,0)+1),MATCH(E$1,[2]quests!$1:$1,0)-MATCH($B$1,[2]quests!$1:$1,0)+1,FALSE)</f>
        <v>オーディン襲来！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【超ウィザード級】オーディン襲来</v>
      </c>
      <c r="G3" s="92">
        <v>1</v>
      </c>
      <c r="H3" s="13" t="str">
        <f t="shared" ref="H3:H9" si="3">B3&amp;"_"&amp;C3&amp;"-"&amp;G3</f>
        <v>51002_1-1</v>
      </c>
      <c r="I3" s="4" t="e">
        <v>#N/A</v>
      </c>
      <c r="J3" s="4" t="e">
        <v>#N/A</v>
      </c>
      <c r="K3" s="34" t="s">
        <v>53</v>
      </c>
      <c r="L3" s="93">
        <v>5</v>
      </c>
      <c r="M3" s="15" t="str">
        <f ca="1">VLOOKUP($L3,OFFSET([3]enemies!$A$1,0,0,COUNTA([3]enemies!$A:$A),MATCH(M$1,[3]enemies!$1:$1,0)-MATCH($L$1,[3]enemies!$1:$1,0)+1),MATCH(M$1,[3]enemies!$1:$1,0)-MATCH($L$1,[3]enemies!$1:$1,0)+1,FALSE)</f>
        <v>パトドッグ ポチ</v>
      </c>
      <c r="N3" s="15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5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5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75</v>
      </c>
      <c r="S3" s="21">
        <v>1.5</v>
      </c>
      <c r="T3" s="21">
        <v>1.2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逃げ出した！</v>
      </c>
      <c r="W3" s="18">
        <v>51002001</v>
      </c>
      <c r="X3" s="6">
        <v>1</v>
      </c>
      <c r="Y3" s="6">
        <v>100</v>
      </c>
      <c r="Z3" s="6">
        <v>0</v>
      </c>
      <c r="AA3" s="15">
        <v>2</v>
      </c>
      <c r="AB3" s="20">
        <f>L3</f>
        <v>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0">
        <f t="shared" ca="1" si="1"/>
        <v>1</v>
      </c>
      <c r="AH3" s="8">
        <v>0</v>
      </c>
      <c r="AI3" s="91">
        <v>0</v>
      </c>
      <c r="AJ3" s="91">
        <v>0</v>
      </c>
      <c r="AK3" s="91">
        <v>0</v>
      </c>
      <c r="AL3" s="91">
        <v>0</v>
      </c>
      <c r="AM3" s="91">
        <v>1</v>
      </c>
      <c r="AN3" s="65">
        <v>1</v>
      </c>
    </row>
    <row r="4" spans="1:40" ht="21" customHeight="1" x14ac:dyDescent="0.15">
      <c r="A4" s="14" t="str">
        <f t="shared" ca="1" si="0"/>
        <v>51002_1-1/7&lt;lv65&gt;s2</v>
      </c>
      <c r="B4" s="18">
        <v>51002</v>
      </c>
      <c r="C4" s="92">
        <v>1</v>
      </c>
      <c r="D4" s="13" t="str">
        <f t="shared" si="2"/>
        <v>51002_1</v>
      </c>
      <c r="E4" s="4" t="str">
        <f ca="1">VLOOKUP($B4,OFFSET([2]quests!$A$1,0,0,COUNTA([2]quests!$A:$A),MATCH(E$1,[2]quests!$1:$1,0)-MATCH($B$1,[2]quests!$1:$1,0)+1),MATCH(E$1,[2]quests!$1:$1,0)-MATCH($B$1,[2]quests!$1:$1,0)+1,FALSE)</f>
        <v>オーディン襲来！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【超ウィザード級】オーディン襲来</v>
      </c>
      <c r="G4" s="92">
        <v>1</v>
      </c>
      <c r="H4" s="13" t="str">
        <f t="shared" si="3"/>
        <v>51002_1-1</v>
      </c>
      <c r="I4" s="4" t="e">
        <v>#N/A</v>
      </c>
      <c r="J4" s="4" t="e">
        <v>#N/A</v>
      </c>
      <c r="K4" s="34" t="s">
        <v>207</v>
      </c>
      <c r="L4" s="93">
        <v>7</v>
      </c>
      <c r="M4" s="15" t="str">
        <f ca="1">VLOOKUP($L4,OFFSET([3]enemies!$A$1,0,0,COUNTA([3]enemies!$A:$A),MATCH(M$1,[3]enemies!$1:$1,0)-MATCH($L$1,[3]enemies!$1:$1,0)+1),MATCH(M$1,[3]enemies!$1:$1,0)-MATCH($L$1,[3]enemies!$1:$1,0)+1,FALSE)</f>
        <v>エレキポット</v>
      </c>
      <c r="N4" s="15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5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5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65</v>
      </c>
      <c r="S4" s="21">
        <v>1.5</v>
      </c>
      <c r="T4" s="21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逃げ出した！</v>
      </c>
      <c r="W4" s="18">
        <v>51002001</v>
      </c>
      <c r="X4" s="6">
        <v>1</v>
      </c>
      <c r="Y4" s="6">
        <v>100</v>
      </c>
      <c r="Z4" s="6">
        <v>0</v>
      </c>
      <c r="AA4" s="15">
        <f ca="1">VLOOKUP($L4,OFFSET([3]enemies!$A$1,0,0,COUNTA([3]enemies!$A:$A),MATCH(AA$1,[3]enemies!$1:$1,0)-MATCH($L$1,[3]enemies!$1:$1,0)+1),MATCH(AA$1,[3]enemies!$1:$1,0)-MATCH($L$1,[3]enemies!$1:$1,0)+1,FALSE)</f>
        <v>2</v>
      </c>
      <c r="AB4" s="20">
        <f t="shared" ref="AB4:AB9" si="4">L4</f>
        <v>7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Drop1T</v>
      </c>
      <c r="AF4" s="7">
        <v>1</v>
      </c>
      <c r="AG4" s="20">
        <f t="shared" ca="1" si="1"/>
        <v>1</v>
      </c>
      <c r="AH4" s="8">
        <v>0</v>
      </c>
      <c r="AI4" s="91">
        <v>0</v>
      </c>
      <c r="AJ4" s="91">
        <v>0</v>
      </c>
      <c r="AK4" s="91">
        <v>0</v>
      </c>
      <c r="AL4" s="91">
        <v>0</v>
      </c>
      <c r="AM4" s="91">
        <v>1</v>
      </c>
      <c r="AN4" s="65">
        <v>1</v>
      </c>
    </row>
    <row r="5" spans="1:40" ht="21" customHeight="1" x14ac:dyDescent="0.15">
      <c r="A5" s="14" t="str">
        <f t="shared" si="0"/>
        <v>51002_1-2/68&lt;lv79&gt;s2</v>
      </c>
      <c r="B5" s="18">
        <v>51002</v>
      </c>
      <c r="C5" s="92">
        <v>1</v>
      </c>
      <c r="D5" s="13" t="str">
        <f t="shared" si="2"/>
        <v>51002_1</v>
      </c>
      <c r="E5" s="4" t="str">
        <f ca="1">VLOOKUP($B5,OFFSET([2]quests!$A$1,0,0,COUNTA([2]quests!$A:$A),MATCH(E$1,[2]quests!$1:$1,0)-MATCH($B$1,[2]quests!$1:$1,0)+1),MATCH(E$1,[2]quests!$1:$1,0)-MATCH($B$1,[2]quests!$1:$1,0)+1,FALSE)</f>
        <v>オーディン襲来！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【超ウィザード級】オーディン襲来</v>
      </c>
      <c r="G5" s="92">
        <v>2</v>
      </c>
      <c r="H5" s="13" t="str">
        <f t="shared" si="3"/>
        <v>51002_1-2</v>
      </c>
      <c r="I5" s="4" t="e">
        <v>#N/A</v>
      </c>
      <c r="J5" s="4" t="e">
        <v>#N/A</v>
      </c>
      <c r="K5" s="34" t="s">
        <v>53</v>
      </c>
      <c r="L5" s="93">
        <v>68</v>
      </c>
      <c r="M5" s="15" t="str">
        <f ca="1">VLOOKUP($L5,OFFSET([3]enemies!$A$1,0,0,COUNTA([3]enemies!$A:$A),MATCH(M$1,[3]enemies!$1:$1,0)-MATCH($L$1,[3]enemies!$1:$1,0)+1),MATCH(M$1,[3]enemies!$1:$1,0)-MATCH($L$1,[3]enemies!$1:$1,0)+1,FALSE)</f>
        <v>ストール</v>
      </c>
      <c r="N5" s="15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5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5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79</v>
      </c>
      <c r="S5" s="21">
        <v>1.5</v>
      </c>
      <c r="T5" s="21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回復</v>
      </c>
      <c r="W5" s="18">
        <v>51002003</v>
      </c>
      <c r="X5" s="6">
        <v>1</v>
      </c>
      <c r="Y5" s="6">
        <v>100</v>
      </c>
      <c r="Z5" s="6">
        <v>0</v>
      </c>
      <c r="AA5" s="15">
        <v>2</v>
      </c>
      <c r="AB5" s="20">
        <f t="shared" si="4"/>
        <v>68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ストール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0">
        <f t="shared" ca="1" si="1"/>
        <v>2</v>
      </c>
      <c r="AH5" s="8">
        <v>0</v>
      </c>
      <c r="AI5" s="91">
        <v>0</v>
      </c>
      <c r="AJ5" s="91">
        <v>0</v>
      </c>
      <c r="AK5" s="91">
        <v>0</v>
      </c>
      <c r="AL5" s="91">
        <v>0</v>
      </c>
      <c r="AM5" s="91">
        <v>1</v>
      </c>
      <c r="AN5" s="65">
        <v>1</v>
      </c>
    </row>
    <row r="6" spans="1:40" ht="21" customHeight="1" x14ac:dyDescent="0.15">
      <c r="A6" s="14" t="str">
        <f t="shared" si="0"/>
        <v>51002_1-2/68&lt;lv80&gt;s2</v>
      </c>
      <c r="B6" s="18">
        <v>51002</v>
      </c>
      <c r="C6" s="92">
        <v>1</v>
      </c>
      <c r="D6" s="13" t="str">
        <f t="shared" si="2"/>
        <v>51002_1</v>
      </c>
      <c r="E6" s="4" t="str">
        <f ca="1">VLOOKUP($B6,OFFSET([2]quests!$A$1,0,0,COUNTA([2]quests!$A:$A),MATCH(E$1,[2]quests!$1:$1,0)-MATCH($B$1,[2]quests!$1:$1,0)+1),MATCH(E$1,[2]quests!$1:$1,0)-MATCH($B$1,[2]quests!$1:$1,0)+1,FALSE)</f>
        <v>オーディン襲来！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【超ウィザード級】オーディン襲来</v>
      </c>
      <c r="G6" s="92">
        <v>2</v>
      </c>
      <c r="H6" s="13" t="str">
        <f t="shared" si="3"/>
        <v>51002_1-2</v>
      </c>
      <c r="I6" s="4" t="e">
        <v>#N/A</v>
      </c>
      <c r="J6" s="4" t="e">
        <v>#N/A</v>
      </c>
      <c r="K6" s="34" t="s">
        <v>207</v>
      </c>
      <c r="L6" s="93">
        <v>68</v>
      </c>
      <c r="M6" s="15" t="str">
        <f ca="1">VLOOKUP($L6,OFFSET([3]enemies!$A$1,0,0,COUNTA([3]enemies!$A:$A),MATCH(M$1,[3]enemies!$1:$1,0)-MATCH($L$1,[3]enemies!$1:$1,0)+1),MATCH(M$1,[3]enemies!$1:$1,0)-MATCH($L$1,[3]enemies!$1:$1,0)+1,FALSE)</f>
        <v>ストール</v>
      </c>
      <c r="N6" s="15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5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5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21">
        <v>1.5</v>
      </c>
      <c r="T6" s="21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回復</v>
      </c>
      <c r="W6" s="18">
        <v>51002004</v>
      </c>
      <c r="X6" s="6">
        <v>1</v>
      </c>
      <c r="Y6" s="6">
        <v>100</v>
      </c>
      <c r="Z6" s="6">
        <v>0</v>
      </c>
      <c r="AA6" s="15">
        <v>2</v>
      </c>
      <c r="AB6" s="20">
        <f t="shared" si="4"/>
        <v>68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ストール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0">
        <f t="shared" ca="1" si="1"/>
        <v>2</v>
      </c>
      <c r="AH6" s="8">
        <v>0</v>
      </c>
      <c r="AI6" s="91">
        <v>0</v>
      </c>
      <c r="AJ6" s="91">
        <v>0</v>
      </c>
      <c r="AK6" s="91">
        <v>0</v>
      </c>
      <c r="AL6" s="91">
        <v>0</v>
      </c>
      <c r="AM6" s="91">
        <v>1</v>
      </c>
      <c r="AN6" s="65">
        <v>1</v>
      </c>
    </row>
    <row r="7" spans="1:40" ht="21" customHeight="1" x14ac:dyDescent="0.15">
      <c r="A7" s="14" t="str">
        <f t="shared" si="0"/>
        <v>51002_1-2/245&lt;lv80&gt;s1</v>
      </c>
      <c r="B7" s="18">
        <v>51002</v>
      </c>
      <c r="C7" s="92">
        <v>1</v>
      </c>
      <c r="D7" s="13" t="str">
        <f t="shared" si="2"/>
        <v>51002_1</v>
      </c>
      <c r="E7" s="4" t="str">
        <f ca="1">VLOOKUP($B7,OFFSET([2]quests!$A$1,0,0,COUNTA([2]quests!$A:$A),MATCH(E$1,[2]quests!$1:$1,0)-MATCH($B$1,[2]quests!$1:$1,0)+1),MATCH(E$1,[2]quests!$1:$1,0)-MATCH($B$1,[2]quests!$1:$1,0)+1,FALSE)</f>
        <v>オーディン襲来！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【超ウィザード級】オーディン襲来</v>
      </c>
      <c r="G7" s="92">
        <v>2</v>
      </c>
      <c r="H7" s="13" t="str">
        <f t="shared" si="3"/>
        <v>51002_1-2</v>
      </c>
      <c r="I7" s="4" t="e">
        <v>#N/A</v>
      </c>
      <c r="J7" s="4" t="e">
        <v>#N/A</v>
      </c>
      <c r="K7" s="34" t="s">
        <v>53</v>
      </c>
      <c r="L7" s="93">
        <v>245</v>
      </c>
      <c r="M7" s="15" t="str">
        <f ca="1">VLOOKUP($L7,OFFSET([3]enemies!$A$1,0,0,COUNTA([3]enemies!$A:$A),MATCH(M$1,[3]enemies!$1:$1,0)-MATCH($L$1,[3]enemies!$1:$1,0)+1),MATCH(M$1,[3]enemies!$1:$1,0)-MATCH($L$1,[3]enemies!$1:$1,0)+1,FALSE)</f>
        <v>鎮癒の天使 ラファエル</v>
      </c>
      <c r="N7" s="15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5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5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1">
        <v>2.4</v>
      </c>
      <c r="T7" s="21">
        <v>2.7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フィーバーゲージ減少</v>
      </c>
      <c r="W7" s="18">
        <v>51002005</v>
      </c>
      <c r="X7" s="6">
        <v>1</v>
      </c>
      <c r="Y7" s="6">
        <v>100</v>
      </c>
      <c r="Z7" s="6">
        <v>1</v>
      </c>
      <c r="AA7" s="15">
        <v>1</v>
      </c>
      <c r="AB7" s="20">
        <f t="shared" si="4"/>
        <v>245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鎮癒の天使 ラファエル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0">
        <f t="shared" ca="1" si="1"/>
        <v>4</v>
      </c>
      <c r="AH7" s="8">
        <v>0</v>
      </c>
      <c r="AI7" s="91">
        <v>0</v>
      </c>
      <c r="AJ7" s="91">
        <v>0</v>
      </c>
      <c r="AK7" s="91">
        <v>0</v>
      </c>
      <c r="AL7" s="91">
        <v>0</v>
      </c>
      <c r="AM7" s="91">
        <v>1</v>
      </c>
      <c r="AN7" s="65">
        <v>1</v>
      </c>
    </row>
    <row r="8" spans="1:40" ht="21" customHeight="1" x14ac:dyDescent="0.15">
      <c r="A8" s="14" t="str">
        <f t="shared" si="0"/>
        <v>51002_1-3/581&lt;lv80&gt;s2</v>
      </c>
      <c r="B8" s="18">
        <v>51002</v>
      </c>
      <c r="C8" s="92">
        <v>1</v>
      </c>
      <c r="D8" s="13" t="str">
        <f t="shared" si="2"/>
        <v>51002_1</v>
      </c>
      <c r="E8" s="4" t="str">
        <f ca="1">VLOOKUP($B8,OFFSET([2]quests!$A$1,0,0,COUNTA([2]quests!$A:$A),MATCH(E$1,[2]quests!$1:$1,0)-MATCH($B$1,[2]quests!$1:$1,0)+1),MATCH(E$1,[2]quests!$1:$1,0)-MATCH($B$1,[2]quests!$1:$1,0)+1,FALSE)</f>
        <v>オーディン襲来！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【超ウィザード級】オーディン襲来</v>
      </c>
      <c r="G8" s="92">
        <v>3</v>
      </c>
      <c r="H8" s="13" t="str">
        <f t="shared" si="3"/>
        <v>51002_1-3</v>
      </c>
      <c r="I8" s="4" t="e">
        <v>#N/A</v>
      </c>
      <c r="J8" s="4" t="e">
        <v>#N/A</v>
      </c>
      <c r="K8" s="34">
        <v>1</v>
      </c>
      <c r="L8" s="93">
        <v>581</v>
      </c>
      <c r="M8" s="15" t="str">
        <f ca="1">VLOOKUP($L8,OFFSET([3]enemies!$A$1,0,0,COUNTA([3]enemies!$A:$A),MATCH(M$1,[3]enemies!$1:$1,0)-MATCH($L$1,[3]enemies!$1:$1,0)+1),MATCH(M$1,[3]enemies!$1:$1,0)-MATCH($L$1,[3]enemies!$1:$1,0)+1,FALSE)</f>
        <v>フギンとムニン</v>
      </c>
      <c r="N8" s="15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5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5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5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21">
        <v>5</v>
      </c>
      <c r="T8" s="21">
        <v>1.3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8" s="18">
        <v>51002006</v>
      </c>
      <c r="X8" s="6">
        <v>1</v>
      </c>
      <c r="Y8" s="6">
        <v>100</v>
      </c>
      <c r="Z8" s="6">
        <v>1</v>
      </c>
      <c r="AA8" s="15">
        <v>2</v>
      </c>
      <c r="AB8" s="20">
        <f t="shared" si="4"/>
        <v>581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フギンとムニン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7">
        <v>1</v>
      </c>
      <c r="AG8" s="20">
        <f t="shared" ca="1" si="1"/>
        <v>4</v>
      </c>
      <c r="AH8" s="8">
        <v>0</v>
      </c>
      <c r="AI8" s="91">
        <v>0</v>
      </c>
      <c r="AJ8" s="91">
        <v>0</v>
      </c>
      <c r="AK8" s="91">
        <v>0</v>
      </c>
      <c r="AL8" s="91">
        <v>0</v>
      </c>
      <c r="AM8" s="91">
        <v>1</v>
      </c>
      <c r="AN8" s="65">
        <v>1</v>
      </c>
    </row>
    <row r="9" spans="1:40" ht="21" customHeight="1" x14ac:dyDescent="0.15">
      <c r="A9" s="14" t="str">
        <f t="shared" ca="1" si="0"/>
        <v>51002_1-4/573&lt;lv80&gt;s3</v>
      </c>
      <c r="B9" s="18">
        <v>51002</v>
      </c>
      <c r="C9" s="92">
        <v>1</v>
      </c>
      <c r="D9" s="13" t="str">
        <f t="shared" si="2"/>
        <v>51002_1</v>
      </c>
      <c r="E9" s="4" t="str">
        <f ca="1">VLOOKUP($B9,OFFSET([2]quests!$A$1,0,0,COUNTA([2]quests!$A:$A),MATCH(E$1,[2]quests!$1:$1,0)-MATCH($B$1,[2]quests!$1:$1,0)+1),MATCH(E$1,[2]quests!$1:$1,0)-MATCH($B$1,[2]quests!$1:$1,0)+1,FALSE)</f>
        <v>オーディン襲来！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【超ウィザード級】オーディン襲来</v>
      </c>
      <c r="G9" s="92">
        <v>4</v>
      </c>
      <c r="H9" s="13" t="str">
        <f t="shared" si="3"/>
        <v>51002_1-4</v>
      </c>
      <c r="I9" s="4" t="e">
        <v>#N/A</v>
      </c>
      <c r="J9" s="4" t="e">
        <v>#N/A</v>
      </c>
      <c r="K9" s="34">
        <v>2</v>
      </c>
      <c r="L9" s="93">
        <v>573</v>
      </c>
      <c r="M9" s="15" t="str">
        <f ca="1">VLOOKUP($L9,OFFSET([3]enemies!$A$1,0,0,COUNTA([3]enemies!$A:$A),MATCH(M$1,[3]enemies!$1:$1,0)-MATCH($L$1,[3]enemies!$1:$1,0)+1),MATCH(M$1,[3]enemies!$1:$1,0)-MATCH($L$1,[3]enemies!$1:$1,0)+1,FALSE)</f>
        <v>オーディン</v>
      </c>
      <c r="N9" s="15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5" t="str">
        <f ca="1">VLOOKUP($L9,OFFSET([4]characters!$A$1,0,0,COUNTA([4]characters!$A:$A),MATCH(O$1,[4]characters!$1:$1,0)-MATCH($L$1,[4]characters!$1:$1,0)+1),MATCH(O$1,[4]characters!$1:$1,0)-MATCH($L$1,[4]characters!$1:$1,0)+1,FALSE)</f>
        <v>DropWizSS</v>
      </c>
      <c r="P9" s="15" t="str">
        <f ca="1">VLOOKUP($L9,OFFSET([3]enemies!$A$1,0,0,COUNTA([3]enemies!$A:$A),MATCH(P$1,[3]enemies!$1:$1,0)-MATCH($L$1,[3]enemies!$1:$1,0)+1),MATCH(P$1,[3]enemies!$1:$1,0)-MATCH($L$1,[3]enemies!$1:$1,0)+1,FALSE)</f>
        <v>machine</v>
      </c>
      <c r="Q9" s="15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80</v>
      </c>
      <c r="S9" s="21">
        <v>2.8</v>
      </c>
      <c r="T9" s="21">
        <v>2.2000000000000002</v>
      </c>
      <c r="U9" s="5">
        <v>10000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状態異常無効＋カウンター</v>
      </c>
      <c r="W9" s="18">
        <v>51002008</v>
      </c>
      <c r="X9" s="6">
        <v>1</v>
      </c>
      <c r="Y9" s="6">
        <v>100</v>
      </c>
      <c r="Z9" s="6">
        <v>1</v>
      </c>
      <c r="AA9" s="15">
        <f ca="1">VLOOKUP($L9,OFFSET([3]enemies!$A$1,0,0,COUNTA([3]enemies!$A:$A),MATCH(AA$1,[3]enemies!$1:$1,0)-MATCH($L$1,[3]enemies!$1:$1,0)+1),MATCH(AA$1,[3]enemies!$1:$1,0)-MATCH($L$1,[3]enemies!$1:$1,0)+1,FALSE)</f>
        <v>3</v>
      </c>
      <c r="AB9" s="20">
        <f t="shared" si="4"/>
        <v>573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オーディン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DropWizSS</v>
      </c>
      <c r="AF9" s="7">
        <v>1</v>
      </c>
      <c r="AG9" s="20">
        <f t="shared" ca="1" si="1"/>
        <v>4</v>
      </c>
      <c r="AH9" s="94">
        <v>85</v>
      </c>
      <c r="AI9" s="91">
        <v>0</v>
      </c>
      <c r="AJ9" s="91">
        <v>0</v>
      </c>
      <c r="AK9" s="91">
        <v>0</v>
      </c>
      <c r="AL9" s="91">
        <v>0</v>
      </c>
      <c r="AM9" s="91">
        <v>1</v>
      </c>
      <c r="AN9" s="65">
        <v>1</v>
      </c>
    </row>
    <row r="14" spans="1:40" ht="21" customHeight="1" x14ac:dyDescent="0.15">
      <c r="AD14" s="3"/>
      <c r="AE14" s="3"/>
      <c r="AF14" s="3"/>
    </row>
    <row r="15" spans="1:40" ht="21" customHeight="1" x14ac:dyDescent="0.15">
      <c r="AD15" s="3"/>
      <c r="AE15" s="3"/>
      <c r="AF15" s="3"/>
    </row>
    <row r="16" spans="1:40" ht="21" customHeight="1" x14ac:dyDescent="0.15">
      <c r="P16"/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K21" sqref="K21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/>
    <col min="4" max="4" width="13" style="12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16</v>
      </c>
      <c r="F1" s="26" t="s">
        <v>16</v>
      </c>
      <c r="G1" s="24" t="s">
        <v>19</v>
      </c>
      <c r="H1" s="25" t="s">
        <v>30</v>
      </c>
      <c r="I1" s="25" t="s">
        <v>14</v>
      </c>
      <c r="J1" s="25" t="s">
        <v>15</v>
      </c>
      <c r="K1" s="32" t="s">
        <v>54</v>
      </c>
      <c r="L1" s="32" t="s">
        <v>55</v>
      </c>
      <c r="M1" s="33" t="s">
        <v>2</v>
      </c>
      <c r="N1" s="27" t="s">
        <v>16</v>
      </c>
      <c r="O1" s="25" t="s">
        <v>24</v>
      </c>
      <c r="P1" s="25" t="s">
        <v>23</v>
      </c>
      <c r="Q1" s="28" t="s">
        <v>26</v>
      </c>
      <c r="R1" s="26" t="s">
        <v>25</v>
      </c>
      <c r="S1" s="24" t="s">
        <v>3</v>
      </c>
      <c r="T1" s="22" t="s">
        <v>48</v>
      </c>
      <c r="U1" s="22" t="s">
        <v>50</v>
      </c>
      <c r="V1" s="22" t="s">
        <v>52</v>
      </c>
      <c r="W1" s="24" t="s">
        <v>125</v>
      </c>
      <c r="X1" s="25" t="s">
        <v>124</v>
      </c>
      <c r="Y1" s="24" t="s">
        <v>8</v>
      </c>
    </row>
    <row r="2" spans="1:25" ht="21" customHeight="1" x14ac:dyDescent="0.15">
      <c r="A2" s="14" t="str">
        <f>B2&amp;"_"&amp;C2&amp;"-"&amp;G2&amp;"/"&amp;M2&amp;"&lt;lv"&amp;S2&amp;"&gt;sq"&amp;K2&amp;"st"&amp;L2</f>
        <v>51002_1-3/581&lt;lv80&gt;sq1st2</v>
      </c>
      <c r="B2" s="18">
        <v>51002</v>
      </c>
      <c r="C2" s="92">
        <v>1</v>
      </c>
      <c r="D2" s="13" t="str">
        <f>B2&amp;"_"&amp;C2</f>
        <v>51002_1</v>
      </c>
      <c r="E2" s="4" t="str">
        <f ca="1">VLOOKUP($B2,OFFSET([2]quests!$A$1,0,0,COUNTA([2]quests!$A:$A),MATCH(E$1,[2]quests!$1:$1,0)-MATCH($B$1,[2]quests!$1:$1,0)+1),MATCH(E$1,[2]quests!$1:$1,0)-MATCH($B$1,[2]quests!$1:$1,0)+1,FALSE)</f>
        <v>オーディン襲来！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【超ウィザード級】オーディン襲来</v>
      </c>
      <c r="G2" s="92">
        <v>3</v>
      </c>
      <c r="H2" s="13" t="str">
        <f>B2&amp;"_"&amp;C2&amp;"-"&amp;G2</f>
        <v>51002_1-3</v>
      </c>
      <c r="I2" s="4" t="e">
        <v>#N/A</v>
      </c>
      <c r="J2" s="4" t="e">
        <v>#N/A</v>
      </c>
      <c r="K2" s="34">
        <v>1</v>
      </c>
      <c r="L2" s="34">
        <v>2</v>
      </c>
      <c r="M2" s="93">
        <v>581</v>
      </c>
      <c r="N2" s="15" t="str">
        <f ca="1">VLOOKUP($M2,OFFSET([3]enemies!$A$1,0,0,COUNTA([3]enemies!$A:$A),MATCH(N$1,[3]enemies!$1:$1,0)-MATCH($M$1,[3]enemies!$1:$1,0)+1),MATCH(N$1,[3]enemies!$1:$1,0)-MATCH($M$1,[3]enemies!$1:$1,0)+1,FALSE)</f>
        <v>フギンとムニン</v>
      </c>
      <c r="O2" s="15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5" t="str">
        <f ca="1">VLOOKUP($M2,OFFSET([3]enemies!$A$1,0,0,COUNTA([3]enemies!$A:$A),MATCH(Q$1,[3]enemies!$1:$1,0)-MATCH($M$1,[3]enemies!$1:$1,0)+1),MATCH(Q$1,[3]enemies!$1:$1,0)-MATCH($M$1,[3]enemies!$1:$1,0)+1,FALSE)</f>
        <v>machine</v>
      </c>
      <c r="R2" s="15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80</v>
      </c>
      <c r="T2" s="21">
        <v>5</v>
      </c>
      <c r="U2" s="21">
        <v>1.22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8">
        <v>51002007</v>
      </c>
      <c r="Y2" s="66">
        <v>1</v>
      </c>
    </row>
    <row r="3" spans="1:25" ht="21" customHeight="1" x14ac:dyDescent="0.15">
      <c r="A3" s="14" t="str">
        <f t="shared" ref="A3:A4" si="0">B3&amp;"_"&amp;C3&amp;"-"&amp;G3&amp;"/"&amp;M3&amp;"&lt;lv"&amp;S3&amp;"&gt;sq"&amp;K3&amp;"st"&amp;L3</f>
        <v>51002_1-4/574&lt;lv80&gt;sq2st2</v>
      </c>
      <c r="B3" s="18">
        <v>51002</v>
      </c>
      <c r="C3" s="92">
        <v>1</v>
      </c>
      <c r="D3" s="13" t="str">
        <f>B3&amp;"_"&amp;C3</f>
        <v>51002_1</v>
      </c>
      <c r="E3" s="4" t="str">
        <f ca="1">VLOOKUP($B3,OFFSET([2]quests!$A$1,0,0,COUNTA([2]quests!$A:$A),MATCH(E$1,[2]quests!$1:$1,0)-MATCH($B$1,[2]quests!$1:$1,0)+1),MATCH(E$1,[2]quests!$1:$1,0)-MATCH($B$1,[2]quests!$1:$1,0)+1,FALSE)</f>
        <v>オーディン襲来！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【超ウィザード級】オーディン襲来</v>
      </c>
      <c r="G3" s="92">
        <v>4</v>
      </c>
      <c r="H3" s="13" t="str">
        <f>B3&amp;"_"&amp;C3&amp;"-"&amp;G3</f>
        <v>51002_1-4</v>
      </c>
      <c r="I3" s="4" t="e">
        <v>#N/A</v>
      </c>
      <c r="J3" s="4" t="e">
        <v>#N/A</v>
      </c>
      <c r="K3" s="34">
        <v>2</v>
      </c>
      <c r="L3" s="34">
        <v>2</v>
      </c>
      <c r="M3" s="93">
        <v>574</v>
      </c>
      <c r="N3" s="15" t="str">
        <f ca="1">VLOOKUP($M3,OFFSET([3]enemies!$A$1,0,0,COUNTA([3]enemies!$A:$A),MATCH(N$1,[3]enemies!$1:$1,0)-MATCH($M$1,[3]enemies!$1:$1,0)+1),MATCH(N$1,[3]enemies!$1:$1,0)-MATCH($M$1,[3]enemies!$1:$1,0)+1,FALSE)</f>
        <v>世慧の守神 オーディン</v>
      </c>
      <c r="O3" s="15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DropWizSS</v>
      </c>
      <c r="Q3" s="15" t="str">
        <f ca="1">VLOOKUP($M3,OFFSET([3]enemies!$A$1,0,0,COUNTA([3]enemies!$A:$A),MATCH(Q$1,[3]enemies!$1:$1,0)-MATCH($M$1,[3]enemies!$1:$1,0)+1),MATCH(Q$1,[3]enemies!$1:$1,0)-MATCH($M$1,[3]enemies!$1:$1,0)+1,FALSE)</f>
        <v>machine</v>
      </c>
      <c r="R3" s="15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1">
        <v>2.8</v>
      </c>
      <c r="U3" s="21">
        <v>1.7</v>
      </c>
      <c r="V3" s="5">
        <v>5000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8">
        <v>51002009</v>
      </c>
      <c r="Y3" s="66">
        <v>2</v>
      </c>
    </row>
    <row r="4" spans="1:25" ht="21" customHeight="1" x14ac:dyDescent="0.15">
      <c r="A4" s="14" t="str">
        <f t="shared" si="0"/>
        <v>51002_1-4/801&lt;lv80&gt;sq2st3</v>
      </c>
      <c r="B4" s="18">
        <v>51002</v>
      </c>
      <c r="C4" s="92">
        <v>1</v>
      </c>
      <c r="D4" s="13" t="str">
        <f>B4&amp;"_"&amp;C4</f>
        <v>51002_1</v>
      </c>
      <c r="E4" s="4" t="str">
        <f ca="1">VLOOKUP($B4,OFFSET([2]quests!$A$1,0,0,COUNTA([2]quests!$A:$A),MATCH(E$1,[2]quests!$1:$1,0)-MATCH($B$1,[2]quests!$1:$1,0)+1),MATCH(E$1,[2]quests!$1:$1,0)-MATCH($B$1,[2]quests!$1:$1,0)+1,FALSE)</f>
        <v>オーディン襲来！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【超ウィザード級】オーディン襲来</v>
      </c>
      <c r="G4" s="92">
        <v>4</v>
      </c>
      <c r="H4" s="13" t="str">
        <f>B4&amp;"_"&amp;C4&amp;"-"&amp;G4</f>
        <v>51002_1-4</v>
      </c>
      <c r="I4" s="4" t="e">
        <v>#N/A</v>
      </c>
      <c r="J4" s="4" t="e">
        <v>#N/A</v>
      </c>
      <c r="K4" s="34">
        <v>2</v>
      </c>
      <c r="L4" s="34">
        <v>3</v>
      </c>
      <c r="M4" s="93">
        <v>801</v>
      </c>
      <c r="N4" s="15" t="str">
        <f ca="1">VLOOKUP($M4,OFFSET([3]enemies!$A$1,0,0,COUNTA([3]enemies!$A:$A),MATCH(N$1,[3]enemies!$1:$1,0)-MATCH($M$1,[3]enemies!$1:$1,0)+1),MATCH(N$1,[3]enemies!$1:$1,0)-MATCH($M$1,[3]enemies!$1:$1,0)+1,FALSE)</f>
        <v>覚世の大機神 オーディン</v>
      </c>
      <c r="O4" s="15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5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5" t="str">
        <f ca="1">VLOOKUP($M4,OFFSET([3]enemies!$A$1,0,0,COUNTA([3]enemies!$A:$A),MATCH(Q$1,[3]enemies!$1:$1,0)-MATCH($M$1,[3]enemies!$1:$1,0)+1),MATCH(Q$1,[3]enemies!$1:$1,0)-MATCH($M$1,[3]enemies!$1:$1,0)+1,FALSE)</f>
        <v>machine</v>
      </c>
      <c r="R4" s="15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1">
        <v>2.8</v>
      </c>
      <c r="U4" s="21">
        <v>1.7</v>
      </c>
      <c r="V4" s="5">
        <v>5000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8">
        <v>51002010</v>
      </c>
      <c r="Y4" s="66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5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H61" sqref="H61"/>
    </sheetView>
  </sheetViews>
  <sheetFormatPr baseColWidth="12" defaultColWidth="12.83203125" defaultRowHeight="21" customHeight="1" outlineLevelCol="1" x14ac:dyDescent="0.15"/>
  <cols>
    <col min="1" max="1" width="11.33203125" style="35" bestFit="1" customWidth="1"/>
    <col min="2" max="2" width="9.5" style="45" bestFit="1" customWidth="1"/>
    <col min="3" max="3" width="9.6640625" style="45" customWidth="1"/>
    <col min="4" max="4" width="18.5" style="45" customWidth="1" outlineLevel="1"/>
    <col min="5" max="5" width="44.1640625" style="45" bestFit="1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x14ac:dyDescent="0.15">
      <c r="A1" s="35" t="s">
        <v>60</v>
      </c>
      <c r="B1" s="36" t="s">
        <v>61</v>
      </c>
      <c r="C1" s="36" t="s">
        <v>62</v>
      </c>
      <c r="D1" s="37" t="s">
        <v>63</v>
      </c>
      <c r="E1" s="37" t="s">
        <v>64</v>
      </c>
      <c r="F1" s="38" t="s">
        <v>90</v>
      </c>
      <c r="G1" s="39" t="s">
        <v>65</v>
      </c>
      <c r="H1" s="39" t="s">
        <v>67</v>
      </c>
      <c r="I1" s="39" t="s">
        <v>68</v>
      </c>
      <c r="J1" s="39" t="s">
        <v>69</v>
      </c>
      <c r="K1" s="40" t="s">
        <v>70</v>
      </c>
      <c r="L1" s="40" t="s">
        <v>71</v>
      </c>
      <c r="M1" s="39" t="s">
        <v>72</v>
      </c>
      <c r="N1" s="39" t="s">
        <v>73</v>
      </c>
      <c r="O1" s="39" t="s">
        <v>74</v>
      </c>
      <c r="P1" s="37" t="s">
        <v>75</v>
      </c>
      <c r="Q1" s="37" t="s">
        <v>76</v>
      </c>
      <c r="R1" s="37" t="s">
        <v>77</v>
      </c>
    </row>
    <row r="2" spans="1:18" ht="21" customHeight="1" x14ac:dyDescent="0.15">
      <c r="A2" s="35" t="str">
        <f t="shared" ref="A2" si="0">B2&amp;"_"&amp;C2</f>
        <v>51002002_51002006</v>
      </c>
      <c r="B2" s="18">
        <v>51002002</v>
      </c>
      <c r="C2" s="18">
        <v>51002006</v>
      </c>
      <c r="D2" s="42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ジャマヲスルナ…!</v>
      </c>
      <c r="E2" s="42" t="str">
        <f ca="1">VLOOKUP($C2,OFFSET(enemy_skills!$A$1,0,0,COUNTA(enemy_skills!$A:$A),MATCH(E$1,enemy_skills!$1:$1,0)-MATCH("enemy_skill_id",enemy_skills!$1:$1,0)+1),MATCH(E$1,enemy_skills!$1:$1,0)-MATCH("enemy_skill_id",enemy_skills!$1:$1,0)+1,FALSE)</f>
        <v>味方全体にスキルバインド</v>
      </c>
      <c r="F2" s="43">
        <v>51002006</v>
      </c>
      <c r="G2" s="4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4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4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4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4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3"/>
      <c r="Q2" s="43"/>
      <c r="R2" s="43"/>
    </row>
    <row r="3" spans="1:18" ht="21" customHeight="1" x14ac:dyDescent="0.15">
      <c r="A3" s="35" t="str">
        <f t="shared" ref="A3:A18" si="1">B3&amp;"_"&amp;C3</f>
        <v>51002002_51002007</v>
      </c>
      <c r="B3" s="18">
        <v>51002002</v>
      </c>
      <c r="C3" s="18">
        <v>51002007</v>
      </c>
      <c r="D3" s="42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ルートバイオレーション</v>
      </c>
      <c r="E3" s="42" t="str">
        <f ca="1">VLOOKUP($C3,OFFSET(enemy_skills!$A$1,0,0,COUNTA(enemy_skills!$A:$A),MATCH(E$1,enemy_skills!$1:$1,0)-MATCH("enemy_skill_id",enemy_skills!$1:$1,0)+1),MATCH(E$1,enemy_skills!$1:$1,0)-MATCH("enemy_skill_id",enemy_skills!$1:$1,0)+1,FALSE)</f>
        <v>緑属性に対して大ダメージの攻撃</v>
      </c>
      <c r="F3" s="43">
        <v>51002007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4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3" s="4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3" s="43"/>
      <c r="Q3" s="43"/>
      <c r="R3" s="43"/>
    </row>
    <row r="4" spans="1:18" ht="21" customHeight="1" x14ac:dyDescent="0.15">
      <c r="A4" s="35" t="str">
        <f t="shared" si="1"/>
        <v>51002002_51002008</v>
      </c>
      <c r="B4" s="18">
        <v>51002002</v>
      </c>
      <c r="C4" s="18">
        <v>51002008</v>
      </c>
      <c r="D4" s="42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ゼンブ…クウ!!</v>
      </c>
      <c r="E4" s="42" t="str">
        <f ca="1">VLOOKUP($C4,OFFSET(enemy_skills!$A$1,0,0,COUNTA(enemy_skills!$A:$A),MATCH(E$1,enemy_skills!$1:$1,0)-MATCH("enemy_skill_id",enemy_skills!$1:$1,0)+1),MATCH(E$1,enemy_skills!$1:$1,0)-MATCH("enemy_skill_id",enemy_skills!$1:$1,0)+1,FALSE)</f>
        <v>仲間を吸収してパワーアップ</v>
      </c>
      <c r="F4" s="43">
        <v>51002008</v>
      </c>
      <c r="G4" s="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4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4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4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4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" s="4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3"/>
      <c r="Q4" s="43"/>
      <c r="R4" s="43"/>
    </row>
    <row r="5" spans="1:18" ht="21" customHeight="1" x14ac:dyDescent="0.15">
      <c r="A5" s="35" t="str">
        <f t="shared" si="1"/>
        <v>51002002_51002010</v>
      </c>
      <c r="B5" s="18">
        <v>51002002</v>
      </c>
      <c r="C5" s="18">
        <v>51002010</v>
      </c>
      <c r="D5" s="42" t="str">
        <f ca="1">VLOOKUP($C5,OFFSET(enemy_skills!$A$1,0,0,COUNTA(enemy_skills!$A:$A),MATCH(D$1,enemy_skills!$1:$1,0)-MATCH("enemy_skill_id",enemy_skills!$1:$1,0)+1),MATCH(D$1,enemy_skills!$1:$1,0)-MATCH("enemy_skill_id",enemy_skills!$1:$1,0)+1,FALSE)</f>
        <v>加速する食欲</v>
      </c>
      <c r="E5" s="42" t="str">
        <f ca="1">VLOOKUP($C5,OFFSET(enemy_skills!$A$1,0,0,COUNTA(enemy_skills!$A:$A),MATCH(E$1,enemy_skills!$1:$1,0)-MATCH("enemy_skill_id",enemy_skills!$1:$1,0)+1),MATCH(E$1,enemy_skills!$1:$1,0)-MATCH("enemy_skill_id",enemy_skills!$1:$1,0)+1,FALSE)</f>
        <v>4ターンの間攻撃頻度アップ</v>
      </c>
      <c r="F5" s="43">
        <v>51002010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4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4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4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4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4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7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3"/>
      <c r="Q5" s="43"/>
      <c r="R5" s="43"/>
    </row>
    <row r="6" spans="1:18" ht="21" customHeight="1" x14ac:dyDescent="0.15">
      <c r="A6" s="35" t="str">
        <f t="shared" si="1"/>
        <v>51002002_51002011</v>
      </c>
      <c r="B6" s="18">
        <v>51002002</v>
      </c>
      <c r="C6" s="18">
        <v>51002011</v>
      </c>
      <c r="D6" s="42" t="str">
        <f ca="1">VLOOKUP($C6,OFFSET(enemy_skills!$A$1,0,0,COUNTA(enemy_skills!$A:$A),MATCH(D$1,enemy_skills!$1:$1,0)-MATCH("enemy_skill_id",enemy_skills!$1:$1,0)+1),MATCH(D$1,enemy_skills!$1:$1,0)-MATCH("enemy_skill_id",enemy_skills!$1:$1,0)+1,FALSE)</f>
        <v>肥大する暴食</v>
      </c>
      <c r="E6" s="42" t="str">
        <f ca="1">VLOOKUP($C6,OFFSET(enemy_skills!$A$1,0,0,COUNTA(enemy_skills!$A:$A),MATCH(E$1,enemy_skills!$1:$1,0)-MATCH("enemy_skill_id",enemy_skills!$1:$1,0)+1),MATCH(E$1,enemy_skills!$1:$1,0)-MATCH("enemy_skill_id",enemy_skills!$1:$1,0)+1,FALSE)</f>
        <v>4ターンの間攻撃力アップ</v>
      </c>
      <c r="F6" s="43">
        <v>51002011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4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4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5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3"/>
      <c r="Q6" s="43"/>
      <c r="R6" s="43"/>
    </row>
    <row r="7" spans="1:18" ht="21" customHeight="1" x14ac:dyDescent="0.15">
      <c r="A7" s="35" t="str">
        <f t="shared" si="1"/>
        <v>51002003_51002016</v>
      </c>
      <c r="B7" s="18">
        <v>51002003</v>
      </c>
      <c r="C7" s="18">
        <v>51002016</v>
      </c>
      <c r="D7" s="42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システムリペア</v>
      </c>
      <c r="E7" s="42" t="str">
        <f ca="1">VLOOKUP($C7,OFFSET(enemy_skills!$A$1,0,0,COUNTA(enemy_skills!$A:$A),MATCH(E$1,enemy_skills!$1:$1,0)-MATCH("enemy_skill_id",enemy_skills!$1:$1,0)+1),MATCH(E$1,enemy_skills!$1:$1,0)-MATCH("enemy_skill_id",enemy_skills!$1:$1,0)+1,FALSE)</f>
        <v>回復</v>
      </c>
      <c r="F7" s="43">
        <v>51002016</v>
      </c>
      <c r="G7" s="4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4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4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4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4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4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4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3"/>
      <c r="Q7" s="43"/>
      <c r="R7" s="43"/>
    </row>
    <row r="8" spans="1:18" ht="21" customHeight="1" x14ac:dyDescent="0.15">
      <c r="A8" s="35" t="str">
        <f t="shared" si="1"/>
        <v>51002003_51002017</v>
      </c>
      <c r="B8" s="18">
        <v>51002003</v>
      </c>
      <c r="C8" s="18">
        <v>51002017</v>
      </c>
      <c r="D8" s="42" t="str">
        <f ca="1">VLOOKUP($C8,OFFSET(enemy_skills!$A$1,0,0,COUNTA(enemy_skills!$A:$A),MATCH(D$1,enemy_skills!$1:$1,0)-MATCH("enemy_skill_id",enemy_skills!$1:$1,0)+1),MATCH(D$1,enemy_skills!$1:$1,0)-MATCH("enemy_skill_id",enemy_skills!$1:$1,0)+1,FALSE)</f>
        <v>侵入者を発見</v>
      </c>
      <c r="E8" s="42" t="str">
        <f ca="1">VLOOKUP($C8,OFFSET(enemy_skills!$A$1,0,0,COUNTA(enemy_skills!$A:$A),MATCH(E$1,enemy_skills!$1:$1,0)-MATCH("enemy_skill_id",enemy_skills!$1:$1,0)+1),MATCH(E$1,enemy_skills!$1:$1,0)-MATCH("enemy_skill_id",enemy_skills!$1:$1,0)+1,FALSE)</f>
        <v>警戒態勢</v>
      </c>
      <c r="F8" s="43">
        <v>51002017</v>
      </c>
      <c r="G8" s="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4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4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4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3"/>
      <c r="Q8" s="43"/>
      <c r="R8" s="43"/>
    </row>
    <row r="9" spans="1:18" ht="21" customHeight="1" x14ac:dyDescent="0.15">
      <c r="A9" s="35" t="str">
        <f t="shared" si="1"/>
        <v>51002003_51002018</v>
      </c>
      <c r="B9" s="18">
        <v>51002003</v>
      </c>
      <c r="C9" s="18">
        <v>51002018</v>
      </c>
      <c r="D9" s="42" t="str">
        <f ca="1">VLOOKUP($C9,OFFSET(enemy_skills!$A$1,0,0,COUNTA(enemy_skills!$A:$A),MATCH(D$1,enemy_skills!$1:$1,0)-MATCH("enemy_skill_id",enemy_skills!$1:$1,0)+1),MATCH(D$1,enemy_skills!$1:$1,0)-MATCH("enemy_skill_id",enemy_skills!$1:$1,0)+1,FALSE)</f>
        <v>迎撃に失敗！</v>
      </c>
      <c r="E9" s="42" t="str">
        <f ca="1">VLOOKUP($C9,OFFSET(enemy_skills!$A$1,0,0,COUNTA(enemy_skills!$A:$A),MATCH(E$1,enemy_skills!$1:$1,0)-MATCH("enemy_skill_id",enemy_skills!$1:$1,0)+1),MATCH(E$1,enemy_skills!$1:$1,0)-MATCH("enemy_skill_id",enemy_skills!$1:$1,0)+1,FALSE)</f>
        <v>逃げ出した！</v>
      </c>
      <c r="F9" s="43">
        <v>51002018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4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4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4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4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3"/>
      <c r="Q9" s="43"/>
      <c r="R9" s="43"/>
    </row>
    <row r="10" spans="1:18" ht="21" customHeight="1" x14ac:dyDescent="0.15">
      <c r="A10" s="35" t="str">
        <f t="shared" si="1"/>
        <v>51002004_51002021</v>
      </c>
      <c r="B10" s="18">
        <v>51002004</v>
      </c>
      <c r="C10" s="18">
        <v>51002021</v>
      </c>
      <c r="D10" s="4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システムリペア</v>
      </c>
      <c r="E10" s="4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回復</v>
      </c>
      <c r="F10" s="43">
        <v>51002021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4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3"/>
      <c r="Q10" s="43"/>
      <c r="R10" s="43"/>
    </row>
    <row r="11" spans="1:18" ht="21" customHeight="1" x14ac:dyDescent="0.15">
      <c r="A11" s="35" t="str">
        <f t="shared" si="1"/>
        <v>51002004_51002022</v>
      </c>
      <c r="B11" s="18">
        <v>51002004</v>
      </c>
      <c r="C11" s="18">
        <v>51002022</v>
      </c>
      <c r="D11" s="4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これより迎撃します</v>
      </c>
      <c r="E11" s="4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警戒態勢</v>
      </c>
      <c r="F11" s="43">
        <v>51002022</v>
      </c>
      <c r="G11" s="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4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4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4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4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3"/>
      <c r="Q11" s="43"/>
      <c r="R11" s="43"/>
    </row>
    <row r="12" spans="1:18" ht="21" customHeight="1" x14ac:dyDescent="0.15">
      <c r="A12" s="35" t="str">
        <f t="shared" si="1"/>
        <v>51002004_51002023</v>
      </c>
      <c r="B12" s="18">
        <v>51002004</v>
      </c>
      <c r="C12" s="18">
        <v>51002023</v>
      </c>
      <c r="D12" s="4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警戒レベルを上昇！</v>
      </c>
      <c r="E12" s="4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逃げ出した！</v>
      </c>
      <c r="F12" s="43">
        <v>51002023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4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4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4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4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4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3"/>
      <c r="Q12" s="43"/>
      <c r="R12" s="43"/>
    </row>
    <row r="13" spans="1:18" ht="21" customHeight="1" x14ac:dyDescent="0.15">
      <c r="A13" s="35" t="str">
        <f t="shared" si="1"/>
        <v>51002005_51002026</v>
      </c>
      <c r="B13" s="18">
        <v>51002005</v>
      </c>
      <c r="C13" s="18">
        <v>51002026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危険因子の隔離を実行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フィーバーゲージ減少</v>
      </c>
      <c r="F13" s="43">
        <v>51002026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4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4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4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3"/>
      <c r="Q13" s="43"/>
      <c r="R13" s="43"/>
    </row>
    <row r="14" spans="1:18" ht="21" customHeight="1" x14ac:dyDescent="0.15">
      <c r="A14" s="35" t="str">
        <f t="shared" si="1"/>
        <v>51002005_51002027</v>
      </c>
      <c r="B14" s="18">
        <v>51002005</v>
      </c>
      <c r="C14" s="18">
        <v>51002027</v>
      </c>
      <c r="D14" s="4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ブルーパニッシュメント</v>
      </c>
      <c r="E14" s="4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青属性に対して大ダメージの攻撃</v>
      </c>
      <c r="F14" s="43">
        <v>51002027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4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4" s="44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4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4" s="43"/>
      <c r="Q14" s="43"/>
      <c r="R14" s="43"/>
    </row>
    <row r="15" spans="1:18" ht="21" customHeight="1" x14ac:dyDescent="0.15">
      <c r="A15" s="35" t="str">
        <f t="shared" si="1"/>
        <v>51002006_51002031</v>
      </c>
      <c r="B15" s="18">
        <v>51002006</v>
      </c>
      <c r="C15" s="18">
        <v>51002031</v>
      </c>
      <c r="D15" s="4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敵襲である！警戒すべし！</v>
      </c>
      <c r="E15" s="4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5" s="43">
        <v>51002031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4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4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4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4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3"/>
      <c r="Q15" s="43"/>
      <c r="R15" s="43"/>
    </row>
    <row r="16" spans="1:18" ht="21" customHeight="1" x14ac:dyDescent="0.15">
      <c r="A16" s="35" t="str">
        <f t="shared" si="1"/>
        <v>51002006_51002032</v>
      </c>
      <c r="B16" s="18">
        <v>51002006</v>
      </c>
      <c r="C16" s="18">
        <v>51002032</v>
      </c>
      <c r="D16" s="4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ダブルレイヴン</v>
      </c>
      <c r="E16" s="4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6" s="43">
        <v>51002032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4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4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4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4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4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3"/>
      <c r="Q16" s="43"/>
      <c r="R16" s="43"/>
    </row>
    <row r="17" spans="1:18" ht="21" customHeight="1" x14ac:dyDescent="0.15">
      <c r="A17" s="35" t="str">
        <f t="shared" si="1"/>
        <v>51002006_51002034</v>
      </c>
      <c r="B17" s="18">
        <v>51002006</v>
      </c>
      <c r="C17" s="18">
        <v>51002034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不届き者は排除すべし！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種族マシンにスキルバインド</v>
      </c>
      <c r="F17" s="43">
        <v>51002034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4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4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/>
      <c r="Q17" s="43"/>
      <c r="R17" s="43"/>
    </row>
    <row r="18" spans="1:18" ht="21" customHeight="1" x14ac:dyDescent="0.15">
      <c r="A18" s="35" t="str">
        <f t="shared" si="1"/>
        <v>51002006_51002035</v>
      </c>
      <c r="B18" s="18">
        <v>51002006</v>
      </c>
      <c r="C18" s="18">
        <v>51002035</v>
      </c>
      <c r="D18" s="4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アンチハート</v>
      </c>
      <c r="E18" s="4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5ターンの間ハートパネルが出現しない</v>
      </c>
      <c r="F18" s="43">
        <v>51002035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4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4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4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4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3"/>
      <c r="Q18" s="43"/>
      <c r="R18" s="43"/>
    </row>
    <row r="19" spans="1:18" ht="21" customHeight="1" x14ac:dyDescent="0.15">
      <c r="A19" s="35" t="str">
        <f t="shared" ref="A19:A25" si="2">B19&amp;"_"&amp;C19</f>
        <v>51002007_51002041</v>
      </c>
      <c r="B19" s="18">
        <v>51002007</v>
      </c>
      <c r="C19" s="18">
        <v>51002041</v>
      </c>
      <c r="D19" s="4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セキュリティ再構築せよ！</v>
      </c>
      <c r="E19" s="4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9" s="43">
        <v>51002041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4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4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4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4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3"/>
      <c r="Q19" s="43"/>
      <c r="R19" s="43"/>
    </row>
    <row r="20" spans="1:18" ht="21" customHeight="1" x14ac:dyDescent="0.15">
      <c r="A20" s="35" t="str">
        <f t="shared" si="2"/>
        <v>51002007_51002042</v>
      </c>
      <c r="B20" s="18">
        <v>51002007</v>
      </c>
      <c r="C20" s="18">
        <v>51002042</v>
      </c>
      <c r="D20" s="4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無法者はデリートせよ！</v>
      </c>
      <c r="E20" s="4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種族アニマルに対して大ダメージの攻撃</v>
      </c>
      <c r="F20" s="43">
        <v>51002042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4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4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4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43"/>
      <c r="Q20" s="43"/>
      <c r="R20" s="43"/>
    </row>
    <row r="21" spans="1:18" ht="21" customHeight="1" x14ac:dyDescent="0.15">
      <c r="A21" s="35" t="str">
        <f t="shared" si="2"/>
        <v>51002007_51002043</v>
      </c>
      <c r="B21" s="18">
        <v>51002007</v>
      </c>
      <c r="C21" s="18">
        <v>51002043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危険因子はフリーズすべし！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3ターン青パネルロック</v>
      </c>
      <c r="F21" s="43">
        <v>51002043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4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4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4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4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3"/>
      <c r="Q21" s="43"/>
      <c r="R21" s="43"/>
    </row>
    <row r="22" spans="1:18" ht="21" customHeight="1" x14ac:dyDescent="0.15">
      <c r="A22" s="35" t="str">
        <f t="shared" si="2"/>
        <v>51002007_51002044</v>
      </c>
      <c r="B22" s="18">
        <v>51002007</v>
      </c>
      <c r="C22" s="18">
        <v>51002044</v>
      </c>
      <c r="D22" s="4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混沌たる戦場を刮目せよ！</v>
      </c>
      <c r="E22" s="4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パネル大量変換</v>
      </c>
      <c r="F22" s="43">
        <v>51002044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4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4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/>
      <c r="Q22" s="43"/>
      <c r="R22" s="43"/>
    </row>
    <row r="23" spans="1:18" ht="21" customHeight="1" x14ac:dyDescent="0.15">
      <c r="A23" s="35" t="str">
        <f t="shared" si="2"/>
        <v>51002007_51002045</v>
      </c>
      <c r="B23" s="18">
        <v>51002007</v>
      </c>
      <c r="C23" s="18">
        <v>51002045</v>
      </c>
      <c r="D23" s="4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23" s="4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23" s="43">
        <v>51002045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4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4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4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3"/>
      <c r="Q23" s="43"/>
      <c r="R23" s="43"/>
    </row>
    <row r="24" spans="1:18" ht="21" customHeight="1" x14ac:dyDescent="0.15">
      <c r="A24" s="35" t="str">
        <f t="shared" si="2"/>
        <v>51002007_51002046</v>
      </c>
      <c r="B24" s="18">
        <v>51002007</v>
      </c>
      <c r="C24" s="18">
        <v>51002046</v>
      </c>
      <c r="D24" s="4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24" s="4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24" s="43">
        <v>51002046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4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4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3"/>
      <c r="Q24" s="43"/>
      <c r="R24" s="43"/>
    </row>
    <row r="25" spans="1:18" ht="21" customHeight="1" x14ac:dyDescent="0.15">
      <c r="A25" s="35" t="str">
        <f t="shared" si="2"/>
        <v>51002007_51002047</v>
      </c>
      <c r="B25" s="18">
        <v>51002007</v>
      </c>
      <c r="C25" s="18">
        <v>51002047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25" s="43">
        <v>51002047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4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4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3"/>
      <c r="Q25" s="43"/>
      <c r="R25" s="43"/>
    </row>
    <row r="26" spans="1:18" ht="21" customHeight="1" x14ac:dyDescent="0.15">
      <c r="A26" s="35" t="str">
        <f t="shared" ref="A26:A49" si="3">B26&amp;"_"&amp;C26</f>
        <v>51002007_51002048</v>
      </c>
      <c r="B26" s="18">
        <v>51002007</v>
      </c>
      <c r="C26" s="18">
        <v>51002048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26" s="43">
        <v>51002048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4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4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3"/>
      <c r="Q26" s="43"/>
      <c r="R26" s="43"/>
    </row>
    <row r="27" spans="1:18" ht="21" customHeight="1" x14ac:dyDescent="0.15">
      <c r="A27" s="35" t="str">
        <f t="shared" si="3"/>
        <v>51002008_51002051</v>
      </c>
      <c r="B27" s="18">
        <v>51002008</v>
      </c>
      <c r="C27" s="18">
        <v>51002051</v>
      </c>
      <c r="D27" s="4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ここまで来たか、待っていたぞ！</v>
      </c>
      <c r="E27" s="4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状態異常無効＋カウンター</v>
      </c>
      <c r="F27" s="43">
        <v>51002051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4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4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4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4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3"/>
      <c r="Q27" s="43"/>
      <c r="R27" s="43"/>
    </row>
    <row r="28" spans="1:18" ht="21" customHeight="1" x14ac:dyDescent="0.15">
      <c r="A28" s="35" t="str">
        <f t="shared" si="3"/>
        <v>51002008_51002052</v>
      </c>
      <c r="B28" s="18">
        <v>51002008</v>
      </c>
      <c r="C28" s="18">
        <v>51002052</v>
      </c>
      <c r="D28" s="4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アンチ・ラグナロク</v>
      </c>
      <c r="E28" s="4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赤属性に対して大ダメージの攻撃</v>
      </c>
      <c r="F28" s="43">
        <v>51002052</v>
      </c>
      <c r="G28" s="4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4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4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4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4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4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3"/>
      <c r="Q28" s="43"/>
      <c r="R28" s="43"/>
    </row>
    <row r="29" spans="1:18" ht="21" customHeight="1" x14ac:dyDescent="0.15">
      <c r="A29" s="35" t="str">
        <f t="shared" si="3"/>
        <v>51002008_51002053</v>
      </c>
      <c r="B29" s="18">
        <v>51002008</v>
      </c>
      <c r="C29" s="18">
        <v>51002053</v>
      </c>
      <c r="D29" s="4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グングニル起動</v>
      </c>
      <c r="E29" s="4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嫌な予感がする・・・</v>
      </c>
      <c r="F29" s="43">
        <v>51002053</v>
      </c>
      <c r="G29" s="4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4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9" s="4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4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4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4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9" s="44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3"/>
      <c r="Q29" s="43"/>
      <c r="R29" s="43"/>
    </row>
    <row r="30" spans="1:18" ht="21" customHeight="1" x14ac:dyDescent="0.15">
      <c r="A30" s="35" t="str">
        <f t="shared" si="3"/>
        <v>51002008_51002054</v>
      </c>
      <c r="B30" s="18">
        <v>51002008</v>
      </c>
      <c r="C30" s="18">
        <v>51002054</v>
      </c>
      <c r="D30" s="42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イグニッション・グングニル</v>
      </c>
      <c r="E30" s="4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防御系スキル解除＋強力な一撃！</v>
      </c>
      <c r="F30" s="43">
        <v>51002054</v>
      </c>
      <c r="G30" s="4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4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0" s="4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4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4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0" s="4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3"/>
      <c r="Q30" s="43"/>
      <c r="R30" s="43"/>
    </row>
    <row r="31" spans="1:18" ht="21" customHeight="1" x14ac:dyDescent="0.15">
      <c r="A31" s="35" t="str">
        <f t="shared" si="3"/>
        <v>51002008_51002055</v>
      </c>
      <c r="B31" s="18">
        <v>51002008</v>
      </c>
      <c r="C31" s="18">
        <v>51002055</v>
      </c>
      <c r="D31" s="4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こいつを耐えきれるか？</v>
      </c>
      <c r="E31" s="4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HPを全て消費して、大ダメージ！</v>
      </c>
      <c r="F31" s="43">
        <v>51002055</v>
      </c>
      <c r="G31" s="4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4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1" s="4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4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31" s="4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4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4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4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3"/>
      <c r="Q31" s="43"/>
      <c r="R31" s="43"/>
    </row>
    <row r="32" spans="1:18" ht="21" customHeight="1" x14ac:dyDescent="0.15">
      <c r="A32" s="35" t="str">
        <f t="shared" si="3"/>
        <v>51002009_51002061</v>
      </c>
      <c r="B32" s="18">
        <v>51002009</v>
      </c>
      <c r="C32" s="18">
        <v>51002061</v>
      </c>
      <c r="D32" s="4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期待以上だ、レベルを上げるぞ</v>
      </c>
      <c r="E32" s="4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攻撃頻度アップ＋状態異常無効_x000D_＋青属性にスキルバインド</v>
      </c>
      <c r="F32" s="43">
        <v>51002061</v>
      </c>
      <c r="G32" s="44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4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4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4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4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4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4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4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3"/>
      <c r="Q32" s="43"/>
      <c r="R32" s="43"/>
    </row>
    <row r="33" spans="1:18" ht="21" customHeight="1" x14ac:dyDescent="0.15">
      <c r="A33" s="35" t="str">
        <f t="shared" si="3"/>
        <v>51002009_51002062</v>
      </c>
      <c r="B33" s="18">
        <v>51002009</v>
      </c>
      <c r="C33" s="18">
        <v>51002062</v>
      </c>
      <c r="D33" s="4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ルーン・エングレイブ</v>
      </c>
      <c r="E33" s="4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3" s="43">
        <v>51002062</v>
      </c>
      <c r="G33" s="44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4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4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3" s="44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4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4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4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4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3" s="43"/>
      <c r="Q33" s="43"/>
      <c r="R33" s="43"/>
    </row>
    <row r="34" spans="1:18" ht="21" customHeight="1" x14ac:dyDescent="0.15">
      <c r="A34" s="35" t="str">
        <f t="shared" si="3"/>
        <v>51002009_51002063</v>
      </c>
      <c r="B34" s="18">
        <v>51002009</v>
      </c>
      <c r="C34" s="18">
        <v>51002063</v>
      </c>
      <c r="D34" s="4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アンノーン・バスティング</v>
      </c>
      <c r="E34" s="4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種族Unknownに対して大ダメージの攻撃</v>
      </c>
      <c r="F34" s="43">
        <v>51002063</v>
      </c>
      <c r="G34" s="4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4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4" s="44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4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4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4" s="43"/>
      <c r="Q34" s="43"/>
      <c r="R34" s="43"/>
    </row>
    <row r="35" spans="1:18" ht="21" customHeight="1" x14ac:dyDescent="0.15">
      <c r="A35" s="35" t="str">
        <f t="shared" si="3"/>
        <v>51002009_51002064</v>
      </c>
      <c r="B35" s="18">
        <v>51002009</v>
      </c>
      <c r="C35" s="18">
        <v>51002064</v>
      </c>
      <c r="D35" s="42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グングニル出力上昇</v>
      </c>
      <c r="E35" s="42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力を溜め始めた・・・</v>
      </c>
      <c r="F35" s="43">
        <v>51002064</v>
      </c>
      <c r="G35" s="44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4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5" s="44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4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4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4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5" s="44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3"/>
      <c r="Q35" s="43"/>
      <c r="R35" s="43"/>
    </row>
    <row r="36" spans="1:18" ht="21" customHeight="1" x14ac:dyDescent="0.15">
      <c r="A36" s="35" t="str">
        <f t="shared" si="3"/>
        <v>51002009_51002065</v>
      </c>
      <c r="B36" s="18">
        <v>51002009</v>
      </c>
      <c r="C36" s="18">
        <v>51002065</v>
      </c>
      <c r="D36" s="4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インパクト・グングニル</v>
      </c>
      <c r="E36" s="4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防御系スキル解除＋強力な一撃！</v>
      </c>
      <c r="F36" s="43">
        <v>51002065</v>
      </c>
      <c r="G36" s="4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4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6" s="4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4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4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4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36" s="44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3"/>
      <c r="Q36" s="43"/>
      <c r="R36" s="43"/>
    </row>
    <row r="37" spans="1:18" ht="21" customHeight="1" x14ac:dyDescent="0.15">
      <c r="A37" s="35" t="str">
        <f t="shared" si="3"/>
        <v>51002009_51002066</v>
      </c>
      <c r="B37" s="18">
        <v>51002009</v>
      </c>
      <c r="C37" s="18">
        <v>51002066</v>
      </c>
      <c r="D37" s="4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仕切り直しだ</v>
      </c>
      <c r="E37" s="4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ステータスアップ解除+ハートパネルが出現しない</v>
      </c>
      <c r="F37" s="43">
        <v>51002066</v>
      </c>
      <c r="G37" s="4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4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7" s="4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4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7" s="4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4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4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4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3"/>
      <c r="Q37" s="43"/>
      <c r="R37" s="43"/>
    </row>
    <row r="38" spans="1:18" ht="21" customHeight="1" x14ac:dyDescent="0.15">
      <c r="A38" s="35" t="str">
        <f t="shared" si="3"/>
        <v>51002010_51002071</v>
      </c>
      <c r="B38" s="18">
        <v>51002010</v>
      </c>
      <c r="C38" s="18">
        <v>51002071</v>
      </c>
      <c r="D38" s="42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ラストスパートだ</v>
      </c>
      <c r="E38" s="4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ハートパネルを吸収して攻撃力アップ_x000D_＋ハートパネルが出現しない</v>
      </c>
      <c r="F38" s="43">
        <v>51002071</v>
      </c>
      <c r="G38" s="4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4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4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4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4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4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3"/>
      <c r="Q38" s="43"/>
      <c r="R38" s="43"/>
    </row>
    <row r="39" spans="1:18" ht="21" customHeight="1" x14ac:dyDescent="0.15">
      <c r="A39" s="35" t="str">
        <f t="shared" si="3"/>
        <v>51002010_51002072</v>
      </c>
      <c r="B39" s="18">
        <v>51002010</v>
      </c>
      <c r="C39" s="18">
        <v>51002072</v>
      </c>
      <c r="D39" s="4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ルーン・ラストラヴァージ</v>
      </c>
      <c r="E39" s="4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フィーバーゲージ減少＋全体攻撃</v>
      </c>
      <c r="F39" s="43">
        <v>51002072</v>
      </c>
      <c r="G39" s="4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4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9" s="4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4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4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9" s="43"/>
      <c r="Q39" s="43"/>
      <c r="R39" s="43"/>
    </row>
    <row r="40" spans="1:18" ht="21" customHeight="1" x14ac:dyDescent="0.15">
      <c r="A40" s="35" t="str">
        <f t="shared" si="3"/>
        <v>51002010_51002073</v>
      </c>
      <c r="B40" s="18">
        <v>51002010</v>
      </c>
      <c r="C40" s="18">
        <v>51002073</v>
      </c>
      <c r="D40" s="4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セクスタプル・グングニル</v>
      </c>
      <c r="E40" s="4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連続攻撃</v>
      </c>
      <c r="F40" s="43">
        <v>51002073</v>
      </c>
      <c r="G40" s="4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4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0" s="44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4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4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0" s="43"/>
      <c r="Q40" s="43"/>
      <c r="R40" s="43"/>
    </row>
    <row r="41" spans="1:18" ht="21" customHeight="1" x14ac:dyDescent="0.15">
      <c r="A41" s="35" t="str">
        <f t="shared" si="3"/>
        <v>51002010_51002074</v>
      </c>
      <c r="B41" s="18">
        <v>51002010</v>
      </c>
      <c r="C41" s="18">
        <v>51002074</v>
      </c>
      <c r="D41" s="4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全力を出そう</v>
      </c>
      <c r="E41" s="4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1" s="43">
        <v>51002074</v>
      </c>
      <c r="G41" s="4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4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4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1" s="4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4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4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4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3"/>
      <c r="Q41" s="43"/>
      <c r="R41" s="43"/>
    </row>
    <row r="42" spans="1:18" ht="21" customHeight="1" x14ac:dyDescent="0.15">
      <c r="A42" s="35" t="str">
        <f t="shared" si="3"/>
        <v>51002010_51002075</v>
      </c>
      <c r="B42" s="18">
        <v>51002010</v>
      </c>
      <c r="C42" s="18">
        <v>51002075</v>
      </c>
      <c r="D42" s="42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グングニル出力最大</v>
      </c>
      <c r="E42" s="4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力を溜め始めた・・・</v>
      </c>
      <c r="F42" s="43">
        <v>51002075</v>
      </c>
      <c r="G42" s="44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4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2" s="44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4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4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42" s="44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4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2" s="44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4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3"/>
      <c r="Q42" s="43"/>
      <c r="R42" s="43"/>
    </row>
    <row r="43" spans="1:18" ht="21" customHeight="1" x14ac:dyDescent="0.15">
      <c r="A43" s="35" t="str">
        <f t="shared" si="3"/>
        <v>51002010_51002076</v>
      </c>
      <c r="B43" s="18">
        <v>51002010</v>
      </c>
      <c r="C43" s="18">
        <v>51002076</v>
      </c>
      <c r="D43" s="4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ルイネーション・グングニル</v>
      </c>
      <c r="E43" s="4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防御系スキル解除＋強力な一撃！</v>
      </c>
      <c r="F43" s="43">
        <v>51002076</v>
      </c>
      <c r="G43" s="4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4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3" s="4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4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4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43" s="44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4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3" s="44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3"/>
      <c r="Q43" s="43"/>
      <c r="R43" s="43"/>
    </row>
    <row r="44" spans="1:18" ht="21" customHeight="1" x14ac:dyDescent="0.15">
      <c r="A44" s="35" t="str">
        <f t="shared" si="3"/>
        <v>51002010_51002077</v>
      </c>
      <c r="B44" s="18">
        <v>51002010</v>
      </c>
      <c r="C44" s="18">
        <v>51002077</v>
      </c>
      <c r="D44" s="4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これで決着をつけよう…</v>
      </c>
      <c r="E44" s="4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防御力アップ＋力を溜めている</v>
      </c>
      <c r="F44" s="43">
        <v>51002077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4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4" s="4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4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3"/>
      <c r="Q44" s="43"/>
      <c r="R44" s="43"/>
    </row>
    <row r="45" spans="1:18" ht="21" customHeight="1" x14ac:dyDescent="0.15">
      <c r="A45" s="35" t="str">
        <f t="shared" si="3"/>
        <v>51002010_51002078</v>
      </c>
      <c r="B45" s="18">
        <v>51002010</v>
      </c>
      <c r="C45" s="18">
        <v>51002078</v>
      </c>
      <c r="D45" s="4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終焉のルーン</v>
      </c>
      <c r="E45" s="4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ステータスアップを解除＋激烈ダメージ！！</v>
      </c>
      <c r="F45" s="43">
        <v>51002078</v>
      </c>
      <c r="G45" s="4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4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45" s="4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4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5" s="44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4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4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4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3"/>
      <c r="Q45" s="43"/>
      <c r="R45" s="43"/>
    </row>
    <row r="46" spans="1:18" ht="21" customHeight="1" x14ac:dyDescent="0.15">
      <c r="A46" s="35" t="str">
        <f t="shared" si="3"/>
        <v>51002001_51002081</v>
      </c>
      <c r="B46" s="18">
        <v>51002001</v>
      </c>
      <c r="C46" s="18">
        <v>51002081</v>
      </c>
      <c r="D46" s="4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逃走</v>
      </c>
      <c r="E46" s="4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逃げ出した！</v>
      </c>
      <c r="F46" s="43">
        <v>51002081</v>
      </c>
      <c r="G46" s="4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4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4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4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4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4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4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600</v>
      </c>
      <c r="O46" s="44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3"/>
      <c r="Q46" s="43"/>
      <c r="R46" s="43"/>
    </row>
    <row r="47" spans="1:18" ht="21" customHeight="1" x14ac:dyDescent="0.15">
      <c r="A47" s="35" t="str">
        <f t="shared" si="3"/>
        <v>51002008_51002083</v>
      </c>
      <c r="B47" s="18">
        <v>51002008</v>
      </c>
      <c r="C47" s="18">
        <v>51002083</v>
      </c>
      <c r="D47" s="42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それは”鍵”か？…道理でな</v>
      </c>
      <c r="E47" s="42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状態異常無効＋カウンター</v>
      </c>
      <c r="F47" s="43">
        <v>51002083</v>
      </c>
      <c r="G47" s="44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4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7" s="44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4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4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4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4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4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433</v>
      </c>
      <c r="O47" s="44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3"/>
      <c r="Q47" s="43"/>
      <c r="R47" s="43"/>
    </row>
    <row r="48" spans="1:18" ht="21" customHeight="1" x14ac:dyDescent="0.15">
      <c r="A48" s="35" t="str">
        <f t="shared" si="3"/>
        <v>51002009_51002084</v>
      </c>
      <c r="B48" s="18">
        <v>51002009</v>
      </c>
      <c r="C48" s="18">
        <v>51002084</v>
      </c>
      <c r="D48" s="4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麒麟を手懐けただけはある…</v>
      </c>
      <c r="E48" s="4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攻撃頻度アップ＋状態異常無効_x000D_＋青属性にスキルバインド</v>
      </c>
      <c r="F48" s="43">
        <v>51002085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4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4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4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433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3"/>
      <c r="Q48" s="43"/>
      <c r="R48" s="43"/>
    </row>
    <row r="49" spans="1:18" ht="21" customHeight="1" x14ac:dyDescent="0.15">
      <c r="A49" s="35" t="str">
        <f t="shared" si="3"/>
        <v>51002010_51002085</v>
      </c>
      <c r="B49" s="18">
        <v>51002010</v>
      </c>
      <c r="C49" s="95">
        <v>51002085</v>
      </c>
      <c r="D49" s="42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お前になら任せられるかもしれない</v>
      </c>
      <c r="E49" s="4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ハートパネルを吸収して攻撃力アップ_x000D_＋ハートパネルが出現しない</v>
      </c>
      <c r="F49" s="43">
        <v>51002087</v>
      </c>
      <c r="G49" s="44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4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9" s="44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4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4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4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4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4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433</v>
      </c>
      <c r="O49" s="44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3"/>
      <c r="Q49" s="43"/>
      <c r="R49" s="43"/>
    </row>
    <row r="50" spans="1:18" ht="21" customHeight="1" x14ac:dyDescent="0.15">
      <c r="A50" s="35" t="str">
        <f t="shared" ref="A50:A55" si="4">B50&amp;"_"&amp;C50</f>
        <v>51002008_51002086</v>
      </c>
      <c r="B50" s="18">
        <v>51002008</v>
      </c>
      <c r="C50" s="18">
        <v>51002086</v>
      </c>
      <c r="D50" s="4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それは”鍵”か？…道理でな</v>
      </c>
      <c r="E50" s="4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状態異常無効＋カウンター</v>
      </c>
      <c r="F50" s="43">
        <v>51002084</v>
      </c>
      <c r="G50" s="4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0" s="4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4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4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4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4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432</v>
      </c>
      <c r="O50" s="4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3"/>
      <c r="Q50" s="43"/>
      <c r="R50" s="43"/>
    </row>
    <row r="51" spans="1:18" ht="21" customHeight="1" x14ac:dyDescent="0.15">
      <c r="A51" s="35" t="str">
        <f t="shared" si="4"/>
        <v>51002009_51002087</v>
      </c>
      <c r="B51" s="18">
        <v>51002009</v>
      </c>
      <c r="C51" s="95">
        <v>51002087</v>
      </c>
      <c r="D51" s="4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麒麟を手懐けただけはある…</v>
      </c>
      <c r="E51" s="4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攻撃頻度アップ＋状態異常無効_x000D_＋青属性にスキルバインド</v>
      </c>
      <c r="F51" s="43">
        <v>51002086</v>
      </c>
      <c r="G51" s="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4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1" s="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4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4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4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4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432</v>
      </c>
      <c r="O51" s="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3"/>
      <c r="Q51" s="43"/>
      <c r="R51" s="43"/>
    </row>
    <row r="52" spans="1:18" ht="21" customHeight="1" x14ac:dyDescent="0.15">
      <c r="A52" s="35" t="str">
        <f t="shared" si="4"/>
        <v>51002010_51002088</v>
      </c>
      <c r="B52" s="18">
        <v>51002010</v>
      </c>
      <c r="C52" s="18">
        <v>51002088</v>
      </c>
      <c r="D52" s="4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お前になら任せられるかもしれない</v>
      </c>
      <c r="E52" s="4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ハートパネルを吸収して攻撃力アップ_x000D_＋ハートパネルが出現しない</v>
      </c>
      <c r="F52" s="43">
        <v>51002088</v>
      </c>
      <c r="G52" s="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2" s="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4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432</v>
      </c>
      <c r="O52" s="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3"/>
      <c r="Q52" s="43"/>
      <c r="R52" s="43"/>
    </row>
    <row r="53" spans="1:18" ht="21" customHeight="1" x14ac:dyDescent="0.15">
      <c r="A53" s="35" t="str">
        <f t="shared" si="4"/>
        <v>51002008_51002089</v>
      </c>
      <c r="B53" s="18">
        <v>51002008</v>
      </c>
      <c r="C53" s="95">
        <v>51002089</v>
      </c>
      <c r="D53" s="42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それは”鍵”か？…道理でな</v>
      </c>
      <c r="E53" s="42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状態異常無効＋カウンター</v>
      </c>
      <c r="F53" s="103">
        <v>51002089</v>
      </c>
      <c r="G53" s="44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4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3" s="44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4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4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4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4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4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802</v>
      </c>
      <c r="O53" s="44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3"/>
      <c r="Q53" s="43"/>
      <c r="R53" s="43"/>
    </row>
    <row r="54" spans="1:18" ht="21" customHeight="1" x14ac:dyDescent="0.15">
      <c r="A54" s="35" t="str">
        <f t="shared" si="4"/>
        <v>51002009_51002090</v>
      </c>
      <c r="B54" s="18">
        <v>51002009</v>
      </c>
      <c r="C54" s="18">
        <v>51002090</v>
      </c>
      <c r="D54" s="42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麒麟を手懐けただけはある…</v>
      </c>
      <c r="E54" s="42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攻撃頻度アップ＋状態異常無効_x000D_＋青属性にスキルバインド</v>
      </c>
      <c r="F54" s="103">
        <v>51002089</v>
      </c>
      <c r="G54" s="4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4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4" s="4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4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4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4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4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802</v>
      </c>
      <c r="O54" s="4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3"/>
      <c r="Q54" s="43"/>
      <c r="R54" s="43"/>
    </row>
    <row r="55" spans="1:18" ht="21" customHeight="1" x14ac:dyDescent="0.15">
      <c r="A55" s="35" t="str">
        <f t="shared" si="4"/>
        <v>51002010_51002091</v>
      </c>
      <c r="B55" s="18">
        <v>51002010</v>
      </c>
      <c r="C55" s="95">
        <v>51002091</v>
      </c>
      <c r="D55" s="4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お前になら任せられるかもしれない</v>
      </c>
      <c r="E55" s="4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ハートパネルを吸収して攻撃力アップ_x000D_＋ハートパネルが出現しない</v>
      </c>
      <c r="F55" s="103">
        <v>51002089</v>
      </c>
      <c r="G55" s="44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4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5" s="44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4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4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4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4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4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802</v>
      </c>
      <c r="O55" s="44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3"/>
      <c r="Q55" s="43"/>
      <c r="R55" s="43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</sheetPr>
  <dimension ref="A1:AB57"/>
  <sheetViews>
    <sheetView showGridLines="0" tabSelected="1" workbookViewId="0">
      <pane ySplit="1" topLeftCell="A15" activePane="bottomLeft" state="frozenSplit"/>
      <selection pane="bottomLeft" activeCell="F23" sqref="F23"/>
    </sheetView>
  </sheetViews>
  <sheetFormatPr baseColWidth="12" defaultColWidth="12.83203125" defaultRowHeight="21" customHeight="1" outlineLevelCol="1" x14ac:dyDescent="0.15"/>
  <cols>
    <col min="1" max="1" width="12.83203125" style="45"/>
    <col min="2" max="2" width="67.1640625" style="45" customWidth="1"/>
    <col min="3" max="4" width="12.83203125" style="45"/>
    <col min="5" max="5" width="23.6640625" style="45" bestFit="1" customWidth="1"/>
    <col min="6" max="6" width="44.1640625" style="45" bestFit="1" customWidth="1"/>
    <col min="7" max="7" width="52" style="45" hidden="1" customWidth="1" outlineLevel="1"/>
    <col min="8" max="8" width="18.33203125" style="45" hidden="1" customWidth="1" outlineLevel="1"/>
    <col min="9" max="11" width="18.6640625" style="45" hidden="1" customWidth="1" outlineLevel="1"/>
    <col min="12" max="12" width="23.6640625" style="45" customWidth="1" collapsed="1"/>
    <col min="13" max="18" width="23.6640625" style="45" hidden="1" customWidth="1" outlineLevel="1"/>
    <col min="19" max="19" width="23.6640625" style="45" customWidth="1" collapsed="1"/>
    <col min="20" max="24" width="23.6640625" style="45" hidden="1" customWidth="1" outlineLevel="1"/>
    <col min="25" max="25" width="23.6640625" style="45" customWidth="1" collapsed="1"/>
    <col min="26" max="27" width="12.83203125" style="45"/>
    <col min="28" max="28" width="44.5" style="45" customWidth="1"/>
    <col min="29" max="16384" width="12.83203125" style="45"/>
  </cols>
  <sheetData>
    <row r="1" spans="1:28" ht="21" customHeight="1" x14ac:dyDescent="0.15">
      <c r="A1" s="36" t="s">
        <v>78</v>
      </c>
      <c r="B1" s="36" t="s">
        <v>208</v>
      </c>
      <c r="C1" s="36" t="s">
        <v>80</v>
      </c>
      <c r="D1" s="36" t="s">
        <v>209</v>
      </c>
      <c r="E1" s="36" t="s">
        <v>210</v>
      </c>
      <c r="F1" s="36" t="s">
        <v>211</v>
      </c>
      <c r="G1" s="37" t="s">
        <v>128</v>
      </c>
      <c r="H1" s="37" t="s">
        <v>134</v>
      </c>
      <c r="I1" s="37" t="s">
        <v>136</v>
      </c>
      <c r="J1" s="37" t="s">
        <v>135</v>
      </c>
      <c r="K1" s="37" t="s">
        <v>137</v>
      </c>
      <c r="L1" s="37" t="s">
        <v>129</v>
      </c>
      <c r="M1" s="37" t="s">
        <v>127</v>
      </c>
      <c r="N1" s="37" t="s">
        <v>130</v>
      </c>
      <c r="O1" s="37" t="s">
        <v>138</v>
      </c>
      <c r="P1" s="37" t="s">
        <v>139</v>
      </c>
      <c r="Q1" s="37" t="s">
        <v>140</v>
      </c>
      <c r="R1" s="37" t="s">
        <v>141</v>
      </c>
      <c r="S1" s="37" t="s">
        <v>131</v>
      </c>
      <c r="T1" s="37" t="s">
        <v>132</v>
      </c>
      <c r="U1" s="37" t="s">
        <v>142</v>
      </c>
      <c r="V1" s="37" t="s">
        <v>143</v>
      </c>
      <c r="W1" s="37" t="s">
        <v>144</v>
      </c>
      <c r="X1" s="37" t="s">
        <v>145</v>
      </c>
      <c r="Y1" s="37" t="s">
        <v>133</v>
      </c>
      <c r="Z1" s="37" t="s">
        <v>75</v>
      </c>
      <c r="AA1" s="37" t="s">
        <v>76</v>
      </c>
      <c r="AB1" s="37" t="s">
        <v>77</v>
      </c>
    </row>
    <row r="2" spans="1:28" ht="21" customHeight="1" x14ac:dyDescent="0.15">
      <c r="A2" s="18">
        <v>51002006</v>
      </c>
      <c r="B2" s="43" t="s">
        <v>352</v>
      </c>
      <c r="C2" s="46">
        <v>3</v>
      </c>
      <c r="D2" s="46" t="s">
        <v>213</v>
      </c>
      <c r="E2" s="47" t="s">
        <v>214</v>
      </c>
      <c r="F2" s="47" t="s">
        <v>215</v>
      </c>
      <c r="G2" s="59" t="str">
        <f t="shared" ref="G2:G37" si="0">IFERROR(LEFT(B2,FIND("],",B2)),B2)</f>
        <v>[effect:hungup, target:unit_all, turn:3, rate:1.0, animation:enemy_hungup]</v>
      </c>
      <c r="H2" s="59">
        <f t="shared" ref="H2:H37" si="1">FIND("effect:",G2)+7</f>
        <v>9</v>
      </c>
      <c r="I2" s="59">
        <f t="shared" ref="I2:I37" si="2">IFERROR(FIND(",",G2),LEN(G2))</f>
        <v>15</v>
      </c>
      <c r="J2" s="59">
        <f t="shared" ref="J2:J37" si="3">FIND("target:",G2)+7</f>
        <v>24</v>
      </c>
      <c r="K2" s="59">
        <f t="shared" ref="K2:K37" si="4">FIND(",",G2,I2+1)</f>
        <v>32</v>
      </c>
      <c r="L2" s="59" t="str">
        <f>IFERROR(VLOOKUP(MID(G2,J2,K2-J2),[6]skilldef!$C:$D,2,FALSE),"-") &amp; " / " &amp; IFERROR(VLOOKUP(MID(G2,H2,I2-H2),[6]skilldef!$A:$B,2,FALSE),"-")</f>
        <v>味方全体に / ハングアップ</v>
      </c>
      <c r="M2" s="59" t="str">
        <f t="shared" ref="M2:M37" si="5">IFERROR(RIGHT(B2,LEN(B2)-FIND("],",B2)-1),"none")</f>
        <v>[effect:fix_speed, target:myself, turn:2]</v>
      </c>
      <c r="N2" s="44" t="str">
        <f>IFERROR(LEFT(M2,FIND("],",M2)+S8),M2)</f>
        <v>[effect:fix_speed, target:myself, turn:2]</v>
      </c>
      <c r="O2" s="59">
        <f t="shared" ref="O2:O37" si="6">FIND("effect:",N2)+7</f>
        <v>9</v>
      </c>
      <c r="P2" s="59">
        <f t="shared" ref="P2:P37" si="7">IFERROR(FIND(",",N2),LEN(N2))</f>
        <v>18</v>
      </c>
      <c r="Q2" s="59">
        <f t="shared" ref="Q2:Q37" si="8">FIND("target:",N2)+7</f>
        <v>27</v>
      </c>
      <c r="R2" s="59">
        <f t="shared" ref="R2:R37" si="9">FIND(",",N2,P2+1)</f>
        <v>33</v>
      </c>
      <c r="S2" s="59" t="str">
        <f>IFERROR(VLOOKUP(MID(N2,Q2,R2-Q2),[6]skilldef!$C:$D,2,FALSE),"-") &amp; " / " &amp; IFERROR(VLOOKUP(MID(N2,O2,P2-O2),[6]skilldef!$A:$B,2,FALSE),"-")</f>
        <v>自分自身に / 行動値設定</v>
      </c>
      <c r="T2" s="44" t="str">
        <f t="shared" ref="T2:T37" si="10">IFERROR(RIGHT(M2,LEN(M2)-FIND("],",M2)-1),"none")</f>
        <v>none</v>
      </c>
      <c r="U2" s="59" t="e">
        <f t="shared" ref="U2:U37" si="11">FIND("effect:",T2)+7</f>
        <v>#VALUE!</v>
      </c>
      <c r="V2" s="59">
        <f t="shared" ref="V2:V37" si="12">IFERROR(FIND(",",T2),LEN(T2))</f>
        <v>4</v>
      </c>
      <c r="W2" s="59" t="e">
        <f t="shared" ref="W2:W37" si="13">FIND("target:",T2)+7</f>
        <v>#VALUE!</v>
      </c>
      <c r="X2" s="59" t="e">
        <f t="shared" ref="X2:X37" si="14">FIND(",",T2,V2+1)</f>
        <v>#VALUE!</v>
      </c>
      <c r="Y2" s="59" t="str">
        <f>IFERROR(VLOOKUP(MID(T2,W2,X2-W2),[6]skilldef!$C:$D,2,FALSE),"-") &amp; " / " &amp; IFERROR(VLOOKUP(MID(T2,U2,V2-U2),[6]skilldef!$A:$B,2,FALSE),"-")</f>
        <v>- / -</v>
      </c>
      <c r="Z2" s="46"/>
      <c r="AA2" s="48"/>
      <c r="AB2" s="46"/>
    </row>
    <row r="3" spans="1:28" ht="21" customHeight="1" x14ac:dyDescent="0.15">
      <c r="A3" s="18">
        <v>51002007</v>
      </c>
      <c r="B3" s="43" t="s">
        <v>355</v>
      </c>
      <c r="C3" s="46">
        <v>3</v>
      </c>
      <c r="D3" s="46" t="s">
        <v>213</v>
      </c>
      <c r="E3" s="47" t="s">
        <v>216</v>
      </c>
      <c r="F3" s="47" t="s">
        <v>217</v>
      </c>
      <c r="G3" s="59" t="str">
        <f t="shared" si="0"/>
        <v>[effect:damage_anti_color, target:unit_all, color:green, val1:1.2, val2:0.27]</v>
      </c>
      <c r="H3" s="59">
        <f t="shared" si="1"/>
        <v>9</v>
      </c>
      <c r="I3" s="59">
        <f t="shared" si="2"/>
        <v>26</v>
      </c>
      <c r="J3" s="59">
        <f t="shared" si="3"/>
        <v>35</v>
      </c>
      <c r="K3" s="59">
        <f t="shared" si="4"/>
        <v>43</v>
      </c>
      <c r="L3" s="59" t="str">
        <f>IFERROR(VLOOKUP(MID(G3,J3,K3-J3),[6]skilldef!$C:$D,2,FALSE),"-") &amp; " / " &amp; IFERROR(VLOOKUP(MID(G3,H3,I3-H3),[6]skilldef!$A:$B,2,FALSE),"-")</f>
        <v>味方全体に / 属性キラー</v>
      </c>
      <c r="M3" s="59" t="str">
        <f t="shared" si="5"/>
        <v>none</v>
      </c>
      <c r="N3" s="44" t="str">
        <f>IFERROR(LEFT(M3,FIND("],",M3)+S9),M3)</f>
        <v>none</v>
      </c>
      <c r="O3" s="59" t="e">
        <f t="shared" si="6"/>
        <v>#VALUE!</v>
      </c>
      <c r="P3" s="59">
        <f t="shared" si="7"/>
        <v>4</v>
      </c>
      <c r="Q3" s="59" t="e">
        <f t="shared" si="8"/>
        <v>#VALUE!</v>
      </c>
      <c r="R3" s="59" t="e">
        <f t="shared" si="9"/>
        <v>#VALUE!</v>
      </c>
      <c r="S3" s="59" t="str">
        <f>IFERROR(VLOOKUP(MID(N3,Q3,R3-Q3),[6]skilldef!$C:$D,2,FALSE),"-") &amp; " / " &amp; IFERROR(VLOOKUP(MID(N3,O3,P3-O3),[6]skilldef!$A:$B,2,FALSE),"-")</f>
        <v>- / -</v>
      </c>
      <c r="T3" s="44" t="str">
        <f t="shared" si="10"/>
        <v>none</v>
      </c>
      <c r="U3" s="59" t="e">
        <f t="shared" si="11"/>
        <v>#VALUE!</v>
      </c>
      <c r="V3" s="59">
        <f t="shared" si="12"/>
        <v>4</v>
      </c>
      <c r="W3" s="59" t="e">
        <f t="shared" si="13"/>
        <v>#VALUE!</v>
      </c>
      <c r="X3" s="59" t="e">
        <f t="shared" si="14"/>
        <v>#VALUE!</v>
      </c>
      <c r="Y3" s="59" t="str">
        <f>IFERROR(VLOOKUP(MID(T3,W3,X3-W3),[6]skilldef!$C:$D,2,FALSE),"-") &amp; " / " &amp; IFERROR(VLOOKUP(MID(T3,U3,V3-U3),[6]skilldef!$A:$B,2,FALSE),"-")</f>
        <v>- / -</v>
      </c>
      <c r="Z3" s="46"/>
      <c r="AA3" s="48"/>
      <c r="AB3" s="46"/>
    </row>
    <row r="4" spans="1:28" ht="21" customHeight="1" x14ac:dyDescent="0.15">
      <c r="A4" s="18">
        <v>51002008</v>
      </c>
      <c r="B4" s="43" t="s">
        <v>218</v>
      </c>
      <c r="C4" s="46">
        <v>3</v>
      </c>
      <c r="D4" s="46" t="s">
        <v>123</v>
      </c>
      <c r="E4" s="47" t="s">
        <v>219</v>
      </c>
      <c r="F4" s="47" t="s">
        <v>220</v>
      </c>
      <c r="G4" s="59" t="str">
        <f t="shared" si="0"/>
        <v>[effect:suicide, val:1, dead_type:suicide, target:enemy_unknown, animation:enemy_suicide]</v>
      </c>
      <c r="H4" s="59">
        <f t="shared" si="1"/>
        <v>9</v>
      </c>
      <c r="I4" s="59">
        <f t="shared" si="2"/>
        <v>16</v>
      </c>
      <c r="J4" s="59">
        <f t="shared" si="3"/>
        <v>51</v>
      </c>
      <c r="K4" s="59">
        <f t="shared" si="4"/>
        <v>23</v>
      </c>
      <c r="L4" s="59" t="str">
        <f>IFERROR(VLOOKUP(MID(G4,J4,K4-J4),[6]skilldef!$C:$D,2,FALSE),"-") &amp; " / " &amp; IFERROR(VLOOKUP(MID(G4,H4,I4-H4),[6]skilldef!$A:$B,2,FALSE),"-")</f>
        <v>- / -</v>
      </c>
      <c r="M4" s="59" t="str">
        <f t="shared" si="5"/>
        <v>none</v>
      </c>
      <c r="N4" s="44" t="str">
        <f>IFERROR(LEFT(M4,FIND("],",M4)+S10),M4)</f>
        <v>none</v>
      </c>
      <c r="O4" s="59" t="e">
        <f t="shared" si="6"/>
        <v>#VALUE!</v>
      </c>
      <c r="P4" s="59">
        <f t="shared" si="7"/>
        <v>4</v>
      </c>
      <c r="Q4" s="59" t="e">
        <f t="shared" si="8"/>
        <v>#VALUE!</v>
      </c>
      <c r="R4" s="59" t="e">
        <f t="shared" si="9"/>
        <v>#VALUE!</v>
      </c>
      <c r="S4" s="59" t="str">
        <f>IFERROR(VLOOKUP(MID(N4,Q4,R4-Q4),[6]skilldef!$C:$D,2,FALSE),"-") &amp; " / " &amp; IFERROR(VLOOKUP(MID(N4,O4,P4-O4),[6]skilldef!$A:$B,2,FALSE),"-")</f>
        <v>- / -</v>
      </c>
      <c r="T4" s="44" t="str">
        <f t="shared" si="10"/>
        <v>none</v>
      </c>
      <c r="U4" s="59" t="e">
        <f t="shared" si="11"/>
        <v>#VALUE!</v>
      </c>
      <c r="V4" s="59">
        <f t="shared" si="12"/>
        <v>4</v>
      </c>
      <c r="W4" s="59" t="e">
        <f t="shared" si="13"/>
        <v>#VALUE!</v>
      </c>
      <c r="X4" s="59" t="e">
        <f t="shared" si="14"/>
        <v>#VALUE!</v>
      </c>
      <c r="Y4" s="59" t="str">
        <f>IFERROR(VLOOKUP(MID(T4,W4,X4-W4),[6]skilldef!$C:$D,2,FALSE),"-") &amp; " / " &amp; IFERROR(VLOOKUP(MID(T4,U4,V4-U4),[6]skilldef!$A:$B,2,FALSE),"-")</f>
        <v>- / -</v>
      </c>
      <c r="Z4" s="46"/>
      <c r="AA4" s="48"/>
      <c r="AB4" s="46"/>
    </row>
    <row r="5" spans="1:28" ht="21" customHeight="1" x14ac:dyDescent="0.15">
      <c r="A5" s="18">
        <v>51002009</v>
      </c>
      <c r="B5" s="43" t="s">
        <v>221</v>
      </c>
      <c r="C5" s="46">
        <v>3</v>
      </c>
      <c r="D5" s="46" t="s">
        <v>123</v>
      </c>
      <c r="E5" s="47" t="s">
        <v>222</v>
      </c>
      <c r="F5" s="47" t="s">
        <v>223</v>
      </c>
      <c r="G5" s="59" t="str">
        <f t="shared" si="0"/>
        <v>[effect:remove_enhancement, target:unit_all, target_effect:enhance, target_type:buff, animation:frozen_wave]</v>
      </c>
      <c r="H5" s="59">
        <f t="shared" si="1"/>
        <v>9</v>
      </c>
      <c r="I5" s="59">
        <f t="shared" si="2"/>
        <v>27</v>
      </c>
      <c r="J5" s="59">
        <f t="shared" si="3"/>
        <v>36</v>
      </c>
      <c r="K5" s="59">
        <f t="shared" si="4"/>
        <v>44</v>
      </c>
      <c r="L5" s="59" t="str">
        <f>IFERROR(VLOOKUP(MID(G5,J5,K5-J5),[6]skilldef!$C:$D,2,FALSE),"-") &amp; " / " &amp; IFERROR(VLOOKUP(MID(G5,H5,I5-H5),[6]skilldef!$A:$B,2,FALSE),"-")</f>
        <v>味方全体に / -</v>
      </c>
      <c r="M5" s="59" t="str">
        <f t="shared" si="5"/>
        <v>none</v>
      </c>
      <c r="N5" s="44" t="str">
        <f>IFERROR(LEFT(M5,FIND("],",M5)+#REF!),M5)</f>
        <v>none</v>
      </c>
      <c r="O5" s="59" t="e">
        <f t="shared" si="6"/>
        <v>#VALUE!</v>
      </c>
      <c r="P5" s="59">
        <f t="shared" si="7"/>
        <v>4</v>
      </c>
      <c r="Q5" s="59" t="e">
        <f t="shared" si="8"/>
        <v>#VALUE!</v>
      </c>
      <c r="R5" s="59" t="e">
        <f t="shared" si="9"/>
        <v>#VALUE!</v>
      </c>
      <c r="S5" s="59" t="str">
        <f>IFERROR(VLOOKUP(MID(N5,Q5,R5-Q5),[6]skilldef!$C:$D,2,FALSE),"-") &amp; " / " &amp; IFERROR(VLOOKUP(MID(N5,O5,P5-O5),[6]skilldef!$A:$B,2,FALSE),"-")</f>
        <v>- / -</v>
      </c>
      <c r="T5" s="44" t="str">
        <f t="shared" si="10"/>
        <v>none</v>
      </c>
      <c r="U5" s="59" t="e">
        <f t="shared" si="11"/>
        <v>#VALUE!</v>
      </c>
      <c r="V5" s="59">
        <f t="shared" si="12"/>
        <v>4</v>
      </c>
      <c r="W5" s="59" t="e">
        <f t="shared" si="13"/>
        <v>#VALUE!</v>
      </c>
      <c r="X5" s="59" t="e">
        <f t="shared" si="14"/>
        <v>#VALUE!</v>
      </c>
      <c r="Y5" s="59" t="str">
        <f>IFERROR(VLOOKUP(MID(T5,W5,X5-W5),[6]skilldef!$C:$D,2,FALSE),"-") &amp; " / " &amp; IFERROR(VLOOKUP(MID(T5,U5,V5-U5),[6]skilldef!$A:$B,2,FALSE),"-")</f>
        <v>- / -</v>
      </c>
      <c r="Z5" s="46"/>
      <c r="AA5" s="48"/>
      <c r="AB5" s="46"/>
    </row>
    <row r="6" spans="1:28" ht="21" customHeight="1" x14ac:dyDescent="0.15">
      <c r="A6" s="18">
        <v>51002010</v>
      </c>
      <c r="B6" s="43" t="s">
        <v>224</v>
      </c>
      <c r="C6" s="46">
        <v>3</v>
      </c>
      <c r="D6" s="46" t="s">
        <v>123</v>
      </c>
      <c r="E6" s="47" t="s">
        <v>225</v>
      </c>
      <c r="F6" s="47" t="s">
        <v>226</v>
      </c>
      <c r="G6" s="59" t="str">
        <f t="shared" si="0"/>
        <v>[effect:freq_turn, target:myself, turn:4, val:1, animation:enemy_freq_turn]</v>
      </c>
      <c r="H6" s="59">
        <f t="shared" si="1"/>
        <v>9</v>
      </c>
      <c r="I6" s="59">
        <f t="shared" si="2"/>
        <v>18</v>
      </c>
      <c r="J6" s="59">
        <f t="shared" si="3"/>
        <v>27</v>
      </c>
      <c r="K6" s="59">
        <f t="shared" si="4"/>
        <v>33</v>
      </c>
      <c r="L6" s="59" t="str">
        <f>IFERROR(VLOOKUP(MID(G6,J6,K6-J6),[6]skilldef!$C:$D,2,FALSE),"-") &amp; " / " &amp; IFERROR(VLOOKUP(MID(G6,H6,I6-H6),[6]skilldef!$A:$B,2,FALSE),"-")</f>
        <v>自分自身に / 攻撃頻度がUP</v>
      </c>
      <c r="M6" s="59" t="str">
        <f t="shared" si="5"/>
        <v>none</v>
      </c>
      <c r="N6" s="44" t="str">
        <f>IFERROR(LEFT(M6,FIND("],",M6)+#REF!),M6)</f>
        <v>none</v>
      </c>
      <c r="O6" s="59" t="e">
        <f t="shared" si="6"/>
        <v>#VALUE!</v>
      </c>
      <c r="P6" s="59">
        <f t="shared" si="7"/>
        <v>4</v>
      </c>
      <c r="Q6" s="59" t="e">
        <f t="shared" si="8"/>
        <v>#VALUE!</v>
      </c>
      <c r="R6" s="59" t="e">
        <f t="shared" si="9"/>
        <v>#VALUE!</v>
      </c>
      <c r="S6" s="59" t="str">
        <f>IFERROR(VLOOKUP(MID(N6,Q6,R6-Q6),[6]skilldef!$C:$D,2,FALSE),"-") &amp; " / " &amp; IFERROR(VLOOKUP(MID(N6,O6,P6-O6),[6]skilldef!$A:$B,2,FALSE),"-")</f>
        <v>- / -</v>
      </c>
      <c r="T6" s="44" t="str">
        <f t="shared" si="10"/>
        <v>none</v>
      </c>
      <c r="U6" s="59" t="e">
        <f t="shared" si="11"/>
        <v>#VALUE!</v>
      </c>
      <c r="V6" s="59">
        <f t="shared" si="12"/>
        <v>4</v>
      </c>
      <c r="W6" s="59" t="e">
        <f t="shared" si="13"/>
        <v>#VALUE!</v>
      </c>
      <c r="X6" s="59" t="e">
        <f t="shared" si="14"/>
        <v>#VALUE!</v>
      </c>
      <c r="Y6" s="59" t="str">
        <f>IFERROR(VLOOKUP(MID(T6,W6,X6-W6),[6]skilldef!$C:$D,2,FALSE),"-") &amp; " / " &amp; IFERROR(VLOOKUP(MID(T6,U6,V6-U6),[6]skilldef!$A:$B,2,FALSE),"-")</f>
        <v>- / -</v>
      </c>
      <c r="Z6" s="46"/>
      <c r="AA6" s="48"/>
      <c r="AB6" s="46"/>
    </row>
    <row r="7" spans="1:28" ht="21" customHeight="1" x14ac:dyDescent="0.15">
      <c r="A7" s="18">
        <v>51002011</v>
      </c>
      <c r="B7" s="43" t="s">
        <v>227</v>
      </c>
      <c r="C7" s="46">
        <v>3</v>
      </c>
      <c r="D7" s="46" t="s">
        <v>123</v>
      </c>
      <c r="E7" s="47" t="s">
        <v>228</v>
      </c>
      <c r="F7" s="47" t="s">
        <v>229</v>
      </c>
      <c r="G7" s="59" t="str">
        <f t="shared" si="0"/>
        <v>[effect:enhance_enemy, target:myself, turn:4, status:attack, val:1.2, calc:mul, animation:enemy_enhance_attack]</v>
      </c>
      <c r="H7" s="59">
        <f t="shared" si="1"/>
        <v>9</v>
      </c>
      <c r="I7" s="59">
        <f t="shared" si="2"/>
        <v>22</v>
      </c>
      <c r="J7" s="59">
        <f t="shared" si="3"/>
        <v>31</v>
      </c>
      <c r="K7" s="59">
        <f t="shared" si="4"/>
        <v>37</v>
      </c>
      <c r="L7" s="59" t="str">
        <f>IFERROR(VLOOKUP(MID(G7,J7,K7-J7),[6]skilldef!$C:$D,2,FALSE),"-") &amp; " / " &amp; IFERROR(VLOOKUP(MID(G7,H7,I7-H7),[6]skilldef!$A:$B,2,FALSE),"-")</f>
        <v>自分自身に / ステータス強化</v>
      </c>
      <c r="M7" s="59" t="str">
        <f t="shared" si="5"/>
        <v>none</v>
      </c>
      <c r="N7" s="44" t="str">
        <f>IFERROR(LEFT(M7,FIND("],",M7)+S11),M7)</f>
        <v>none</v>
      </c>
      <c r="O7" s="59" t="e">
        <f t="shared" si="6"/>
        <v>#VALUE!</v>
      </c>
      <c r="P7" s="59">
        <f t="shared" si="7"/>
        <v>4</v>
      </c>
      <c r="Q7" s="59" t="e">
        <f t="shared" si="8"/>
        <v>#VALUE!</v>
      </c>
      <c r="R7" s="59" t="e">
        <f t="shared" si="9"/>
        <v>#VALUE!</v>
      </c>
      <c r="S7" s="59" t="str">
        <f>IFERROR(VLOOKUP(MID(N7,Q7,R7-Q7),[6]skilldef!$C:$D,2,FALSE),"-") &amp; " / " &amp; IFERROR(VLOOKUP(MID(N7,O7,P7-O7),[6]skilldef!$A:$B,2,FALSE),"-")</f>
        <v>- / -</v>
      </c>
      <c r="T7" s="44" t="str">
        <f t="shared" si="10"/>
        <v>none</v>
      </c>
      <c r="U7" s="59" t="e">
        <f t="shared" si="11"/>
        <v>#VALUE!</v>
      </c>
      <c r="V7" s="59">
        <f t="shared" si="12"/>
        <v>4</v>
      </c>
      <c r="W7" s="59" t="e">
        <f t="shared" si="13"/>
        <v>#VALUE!</v>
      </c>
      <c r="X7" s="59" t="e">
        <f t="shared" si="14"/>
        <v>#VALUE!</v>
      </c>
      <c r="Y7" s="59" t="str">
        <f>IFERROR(VLOOKUP(MID(T7,W7,X7-W7),[6]skilldef!$C:$D,2,FALSE),"-") &amp; " / " &amp; IFERROR(VLOOKUP(MID(T7,U7,V7-U7),[6]skilldef!$A:$B,2,FALSE),"-")</f>
        <v>- / -</v>
      </c>
      <c r="Z7" s="46"/>
      <c r="AA7" s="48"/>
      <c r="AB7" s="46"/>
    </row>
    <row r="8" spans="1:28" ht="21" customHeight="1" x14ac:dyDescent="0.15">
      <c r="A8" s="18">
        <v>51002016</v>
      </c>
      <c r="B8" s="43" t="s">
        <v>231</v>
      </c>
      <c r="C8" s="46">
        <v>3</v>
      </c>
      <c r="D8" s="46" t="s">
        <v>232</v>
      </c>
      <c r="E8" s="47" t="s">
        <v>233</v>
      </c>
      <c r="F8" s="47" t="s">
        <v>234</v>
      </c>
      <c r="G8" s="59" t="str">
        <f t="shared" si="0"/>
        <v>[effect:heal, target:enemy_all, val:0.25, animation:enemy_heal]</v>
      </c>
      <c r="H8" s="59">
        <f t="shared" si="1"/>
        <v>9</v>
      </c>
      <c r="I8" s="59">
        <f t="shared" si="2"/>
        <v>13</v>
      </c>
      <c r="J8" s="59">
        <f t="shared" si="3"/>
        <v>22</v>
      </c>
      <c r="K8" s="59">
        <f t="shared" si="4"/>
        <v>31</v>
      </c>
      <c r="L8" s="59" t="str">
        <f>IFERROR(VLOOKUP(MID(G8,J8,K8-J8),[6]skilldef!$C:$D,2,FALSE),"-") &amp; " / " &amp; IFERROR(VLOOKUP(MID(G8,H8,I8-H8),[6]skilldef!$A:$B,2,FALSE),"-")</f>
        <v>敵全体に / 回復</v>
      </c>
      <c r="M8" s="59" t="str">
        <f t="shared" si="5"/>
        <v>[effect:fix_speed, target:myself, turn:2]</v>
      </c>
      <c r="N8" s="44" t="str">
        <f>IFERROR(LEFT(M8,FIND("],",M8)+S14),M8)</f>
        <v>[effect:fix_speed, target:myself, turn:2]</v>
      </c>
      <c r="O8" s="59">
        <f t="shared" si="6"/>
        <v>9</v>
      </c>
      <c r="P8" s="59">
        <f t="shared" si="7"/>
        <v>18</v>
      </c>
      <c r="Q8" s="59">
        <f t="shared" si="8"/>
        <v>27</v>
      </c>
      <c r="R8" s="59">
        <f t="shared" si="9"/>
        <v>33</v>
      </c>
      <c r="S8" s="59" t="str">
        <f>IFERROR(VLOOKUP(MID(N8,Q8,R8-Q8),[6]skilldef!$C:$D,2,FALSE),"-") &amp; " / " &amp; IFERROR(VLOOKUP(MID(N8,O8,P8-O8),[6]skilldef!$A:$B,2,FALSE),"-")</f>
        <v>自分自身に / 行動値設定</v>
      </c>
      <c r="T8" s="44" t="str">
        <f t="shared" si="10"/>
        <v>none</v>
      </c>
      <c r="U8" s="59" t="e">
        <f t="shared" si="11"/>
        <v>#VALUE!</v>
      </c>
      <c r="V8" s="59">
        <f t="shared" si="12"/>
        <v>4</v>
      </c>
      <c r="W8" s="59" t="e">
        <f t="shared" si="13"/>
        <v>#VALUE!</v>
      </c>
      <c r="X8" s="59" t="e">
        <f t="shared" si="14"/>
        <v>#VALUE!</v>
      </c>
      <c r="Y8" s="59" t="str">
        <f>IFERROR(VLOOKUP(MID(T8,W8,X8-W8),[6]skilldef!$C:$D,2,FALSE),"-") &amp; " / " &amp; IFERROR(VLOOKUP(MID(T8,U8,V8-U8),[6]skilldef!$A:$B,2,FALSE),"-")</f>
        <v>- / -</v>
      </c>
      <c r="Z8" s="46"/>
      <c r="AA8" s="48"/>
      <c r="AB8" s="46"/>
    </row>
    <row r="9" spans="1:28" ht="21" customHeight="1" x14ac:dyDescent="0.15">
      <c r="A9" s="18">
        <v>51002017</v>
      </c>
      <c r="B9" s="43" t="s">
        <v>235</v>
      </c>
      <c r="C9" s="46">
        <v>3</v>
      </c>
      <c r="D9" s="46" t="s">
        <v>123</v>
      </c>
      <c r="E9" s="47" t="s">
        <v>236</v>
      </c>
      <c r="F9" s="47" t="s">
        <v>237</v>
      </c>
      <c r="G9" s="59" t="str">
        <f t="shared" si="0"/>
        <v>[effect:fix_speed, target:myself, turn:1]</v>
      </c>
      <c r="H9" s="59">
        <f t="shared" si="1"/>
        <v>9</v>
      </c>
      <c r="I9" s="59">
        <f t="shared" si="2"/>
        <v>18</v>
      </c>
      <c r="J9" s="59">
        <f t="shared" si="3"/>
        <v>27</v>
      </c>
      <c r="K9" s="59">
        <f t="shared" si="4"/>
        <v>33</v>
      </c>
      <c r="L9" s="59" t="str">
        <f>IFERROR(VLOOKUP(MID(G9,J9,K9-J9),[6]skilldef!$C:$D,2,FALSE),"-") &amp; " / " &amp; IFERROR(VLOOKUP(MID(G9,H9,I9-H9),[6]skilldef!$A:$B,2,FALSE),"-")</f>
        <v>自分自身に / 行動値設定</v>
      </c>
      <c r="M9" s="59" t="str">
        <f t="shared" si="5"/>
        <v>none</v>
      </c>
      <c r="N9" s="44" t="str">
        <f>IFERROR(LEFT(M9,FIND("],",M9)+S15),M9)</f>
        <v>none</v>
      </c>
      <c r="O9" s="59" t="e">
        <f t="shared" si="6"/>
        <v>#VALUE!</v>
      </c>
      <c r="P9" s="59">
        <f t="shared" si="7"/>
        <v>4</v>
      </c>
      <c r="Q9" s="59" t="e">
        <f t="shared" si="8"/>
        <v>#VALUE!</v>
      </c>
      <c r="R9" s="59" t="e">
        <f t="shared" si="9"/>
        <v>#VALUE!</v>
      </c>
      <c r="S9" s="59" t="str">
        <f>IFERROR(VLOOKUP(MID(N9,Q9,R9-Q9),[6]skilldef!$C:$D,2,FALSE),"-") &amp; " / " &amp; IFERROR(VLOOKUP(MID(N9,O9,P9-O9),[6]skilldef!$A:$B,2,FALSE),"-")</f>
        <v>- / -</v>
      </c>
      <c r="T9" s="44" t="str">
        <f t="shared" si="10"/>
        <v>none</v>
      </c>
      <c r="U9" s="59" t="e">
        <f t="shared" si="11"/>
        <v>#VALUE!</v>
      </c>
      <c r="V9" s="59">
        <f t="shared" si="12"/>
        <v>4</v>
      </c>
      <c r="W9" s="59" t="e">
        <f t="shared" si="13"/>
        <v>#VALUE!</v>
      </c>
      <c r="X9" s="59" t="e">
        <f t="shared" si="14"/>
        <v>#VALUE!</v>
      </c>
      <c r="Y9" s="59" t="str">
        <f>IFERROR(VLOOKUP(MID(T9,W9,X9-W9),[6]skilldef!$C:$D,2,FALSE),"-") &amp; " / " &amp; IFERROR(VLOOKUP(MID(T9,U9,V9-U9),[6]skilldef!$A:$B,2,FALSE),"-")</f>
        <v>- / -</v>
      </c>
      <c r="Z9" s="46"/>
      <c r="AA9" s="48"/>
      <c r="AB9" s="46"/>
    </row>
    <row r="10" spans="1:28" ht="21" customHeight="1" x14ac:dyDescent="0.15">
      <c r="A10" s="18">
        <v>51002018</v>
      </c>
      <c r="B10" s="43" t="s">
        <v>238</v>
      </c>
      <c r="C10" s="46">
        <v>3</v>
      </c>
      <c r="D10" s="46" t="s">
        <v>239</v>
      </c>
      <c r="E10" s="47" t="s">
        <v>240</v>
      </c>
      <c r="F10" s="47" t="s">
        <v>241</v>
      </c>
      <c r="G10" s="59" t="str">
        <f t="shared" si="0"/>
        <v>[effect:suicide, val:1, dead_type:escape, target:myself]</v>
      </c>
      <c r="H10" s="59">
        <f t="shared" si="1"/>
        <v>9</v>
      </c>
      <c r="I10" s="59">
        <f t="shared" si="2"/>
        <v>16</v>
      </c>
      <c r="J10" s="59">
        <f t="shared" si="3"/>
        <v>50</v>
      </c>
      <c r="K10" s="59">
        <f t="shared" si="4"/>
        <v>23</v>
      </c>
      <c r="L10" s="59" t="str">
        <f>IFERROR(VLOOKUP(MID(G10,J10,K10-J10),[6]skilldef!$C:$D,2,FALSE),"-") &amp; " / " &amp; IFERROR(VLOOKUP(MID(G10,H10,I10-H10),[6]skilldef!$A:$B,2,FALSE),"-")</f>
        <v>- / -</v>
      </c>
      <c r="M10" s="59" t="str">
        <f t="shared" si="5"/>
        <v>none</v>
      </c>
      <c r="N10" s="44" t="str">
        <f>IFERROR(LEFT(M10,FIND("],",M10)+#REF!),M10)</f>
        <v>none</v>
      </c>
      <c r="O10" s="59" t="e">
        <f t="shared" si="6"/>
        <v>#VALUE!</v>
      </c>
      <c r="P10" s="59">
        <f t="shared" si="7"/>
        <v>4</v>
      </c>
      <c r="Q10" s="59" t="e">
        <f t="shared" si="8"/>
        <v>#VALUE!</v>
      </c>
      <c r="R10" s="59" t="e">
        <f t="shared" si="9"/>
        <v>#VALUE!</v>
      </c>
      <c r="S10" s="59" t="str">
        <f>IFERROR(VLOOKUP(MID(N10,Q10,R10-Q10),[6]skilldef!$C:$D,2,FALSE),"-") &amp; " / " &amp; IFERROR(VLOOKUP(MID(N10,O10,P10-O10),[6]skilldef!$A:$B,2,FALSE),"-")</f>
        <v>- / -</v>
      </c>
      <c r="T10" s="44" t="str">
        <f t="shared" si="10"/>
        <v>none</v>
      </c>
      <c r="U10" s="59" t="e">
        <f t="shared" si="11"/>
        <v>#VALUE!</v>
      </c>
      <c r="V10" s="59">
        <f t="shared" si="12"/>
        <v>4</v>
      </c>
      <c r="W10" s="59" t="e">
        <f t="shared" si="13"/>
        <v>#VALUE!</v>
      </c>
      <c r="X10" s="59" t="e">
        <f t="shared" si="14"/>
        <v>#VALUE!</v>
      </c>
      <c r="Y10" s="59" t="str">
        <f>IFERROR(VLOOKUP(MID(T10,W10,X10-W10),[6]skilldef!$C:$D,2,FALSE),"-") &amp; " / " &amp; IFERROR(VLOOKUP(MID(T10,U10,V10-U10),[6]skilldef!$A:$B,2,FALSE),"-")</f>
        <v>- / -</v>
      </c>
      <c r="Z10" s="46"/>
      <c r="AA10" s="48"/>
      <c r="AB10" s="46"/>
    </row>
    <row r="11" spans="1:28" ht="21" customHeight="1" x14ac:dyDescent="0.15">
      <c r="A11" s="18">
        <v>51002021</v>
      </c>
      <c r="B11" s="43" t="s">
        <v>242</v>
      </c>
      <c r="C11" s="46">
        <v>3</v>
      </c>
      <c r="D11" s="46" t="s">
        <v>243</v>
      </c>
      <c r="E11" s="47" t="s">
        <v>244</v>
      </c>
      <c r="F11" s="47" t="s">
        <v>234</v>
      </c>
      <c r="G11" s="59" t="str">
        <f t="shared" si="0"/>
        <v>[effect:heal, target:enemy_all, val:0.25, animation:enemy_heal]</v>
      </c>
      <c r="H11" s="59">
        <f t="shared" si="1"/>
        <v>9</v>
      </c>
      <c r="I11" s="59">
        <f t="shared" si="2"/>
        <v>13</v>
      </c>
      <c r="J11" s="59">
        <f t="shared" si="3"/>
        <v>22</v>
      </c>
      <c r="K11" s="59">
        <f t="shared" si="4"/>
        <v>31</v>
      </c>
      <c r="L11" s="59" t="str">
        <f>IFERROR(VLOOKUP(MID(G11,J11,K11-J11),[6]skilldef!$C:$D,2,FALSE),"-") &amp; " / " &amp; IFERROR(VLOOKUP(MID(G11,H11,I11-H11),[6]skilldef!$A:$B,2,FALSE),"-")</f>
        <v>敵全体に / 回復</v>
      </c>
      <c r="M11" s="59" t="str">
        <f t="shared" si="5"/>
        <v>none</v>
      </c>
      <c r="N11" s="44" t="str">
        <f>IFERROR(LEFT(M11,FIND("],",M11)+S16),M11)</f>
        <v>none</v>
      </c>
      <c r="O11" s="59" t="e">
        <f t="shared" si="6"/>
        <v>#VALUE!</v>
      </c>
      <c r="P11" s="59">
        <f t="shared" si="7"/>
        <v>4</v>
      </c>
      <c r="Q11" s="59" t="e">
        <f t="shared" si="8"/>
        <v>#VALUE!</v>
      </c>
      <c r="R11" s="59" t="e">
        <f t="shared" si="9"/>
        <v>#VALUE!</v>
      </c>
      <c r="S11" s="59" t="str">
        <f>IFERROR(VLOOKUP(MID(N11,Q11,R11-Q11),[6]skilldef!$C:$D,2,FALSE),"-") &amp; " / " &amp; IFERROR(VLOOKUP(MID(N11,O11,P11-O11),[6]skilldef!$A:$B,2,FALSE),"-")</f>
        <v>- / -</v>
      </c>
      <c r="T11" s="44" t="str">
        <f t="shared" si="10"/>
        <v>none</v>
      </c>
      <c r="U11" s="59" t="e">
        <f t="shared" si="11"/>
        <v>#VALUE!</v>
      </c>
      <c r="V11" s="59">
        <f t="shared" si="12"/>
        <v>4</v>
      </c>
      <c r="W11" s="59" t="e">
        <f t="shared" si="13"/>
        <v>#VALUE!</v>
      </c>
      <c r="X11" s="59" t="e">
        <f t="shared" si="14"/>
        <v>#VALUE!</v>
      </c>
      <c r="Y11" s="59" t="str">
        <f>IFERROR(VLOOKUP(MID(T11,W11,X11-W11),[6]skilldef!$C:$D,2,FALSE),"-") &amp; " / " &amp; IFERROR(VLOOKUP(MID(T11,U11,V11-U11),[6]skilldef!$A:$B,2,FALSE),"-")</f>
        <v>- / -</v>
      </c>
      <c r="Z11" s="46"/>
      <c r="AA11" s="48"/>
      <c r="AB11" s="46"/>
    </row>
    <row r="12" spans="1:28" ht="21" customHeight="1" x14ac:dyDescent="0.15">
      <c r="A12" s="18">
        <v>51002022</v>
      </c>
      <c r="B12" s="43" t="s">
        <v>245</v>
      </c>
      <c r="C12" s="46">
        <v>3</v>
      </c>
      <c r="D12" s="46" t="s">
        <v>123</v>
      </c>
      <c r="E12" s="47" t="s">
        <v>246</v>
      </c>
      <c r="F12" s="47" t="s">
        <v>247</v>
      </c>
      <c r="G12" s="59" t="str">
        <f t="shared" si="0"/>
        <v>[effect:fix_speed, target:myself, turn:2]</v>
      </c>
      <c r="H12" s="59">
        <f t="shared" si="1"/>
        <v>9</v>
      </c>
      <c r="I12" s="59">
        <f t="shared" si="2"/>
        <v>18</v>
      </c>
      <c r="J12" s="59">
        <f t="shared" si="3"/>
        <v>27</v>
      </c>
      <c r="K12" s="59">
        <f t="shared" si="4"/>
        <v>33</v>
      </c>
      <c r="L12" s="59" t="str">
        <f>IFERROR(VLOOKUP(MID(G12,J12,K12-J12),[6]skilldef!$C:$D,2,FALSE),"-") &amp; " / " &amp; IFERROR(VLOOKUP(MID(G12,H12,I12-H12),[6]skilldef!$A:$B,2,FALSE),"-")</f>
        <v>自分自身に / 行動値設定</v>
      </c>
      <c r="M12" s="59" t="str">
        <f t="shared" si="5"/>
        <v>none</v>
      </c>
      <c r="N12" s="44" t="str">
        <f>IFERROR(LEFT(M12,FIND("],",M12)+S17),M12)</f>
        <v>none</v>
      </c>
      <c r="O12" s="59" t="e">
        <f t="shared" si="6"/>
        <v>#VALUE!</v>
      </c>
      <c r="P12" s="59">
        <f t="shared" si="7"/>
        <v>4</v>
      </c>
      <c r="Q12" s="59" t="e">
        <f t="shared" si="8"/>
        <v>#VALUE!</v>
      </c>
      <c r="R12" s="59" t="e">
        <f t="shared" si="9"/>
        <v>#VALUE!</v>
      </c>
      <c r="S12" s="59" t="str">
        <f>IFERROR(VLOOKUP(MID(N12,Q12,R12-Q12),[6]skilldef!$C:$D,2,FALSE),"-") &amp; " / " &amp; IFERROR(VLOOKUP(MID(N12,O12,P12-O12),[6]skilldef!$A:$B,2,FALSE),"-")</f>
        <v>- / -</v>
      </c>
      <c r="T12" s="44" t="str">
        <f t="shared" si="10"/>
        <v>none</v>
      </c>
      <c r="U12" s="59" t="e">
        <f t="shared" si="11"/>
        <v>#VALUE!</v>
      </c>
      <c r="V12" s="59">
        <f t="shared" si="12"/>
        <v>4</v>
      </c>
      <c r="W12" s="59" t="e">
        <f t="shared" si="13"/>
        <v>#VALUE!</v>
      </c>
      <c r="X12" s="59" t="e">
        <f t="shared" si="14"/>
        <v>#VALUE!</v>
      </c>
      <c r="Y12" s="59" t="str">
        <f>IFERROR(VLOOKUP(MID(T12,W12,X12-W12),[6]skilldef!$C:$D,2,FALSE),"-") &amp; " / " &amp; IFERROR(VLOOKUP(MID(T12,U12,V12-U12),[6]skilldef!$A:$B,2,FALSE),"-")</f>
        <v>- / -</v>
      </c>
      <c r="Z12" s="46"/>
      <c r="AA12" s="48"/>
      <c r="AB12" s="46"/>
    </row>
    <row r="13" spans="1:28" ht="21" customHeight="1" x14ac:dyDescent="0.15">
      <c r="A13" s="18">
        <v>51002023</v>
      </c>
      <c r="B13" s="43" t="s">
        <v>248</v>
      </c>
      <c r="C13" s="46">
        <v>3</v>
      </c>
      <c r="D13" s="46" t="s">
        <v>249</v>
      </c>
      <c r="E13" s="47" t="s">
        <v>250</v>
      </c>
      <c r="F13" s="47" t="s">
        <v>251</v>
      </c>
      <c r="G13" s="59" t="str">
        <f t="shared" si="0"/>
        <v>[effect:suicide, val:1, dead_type:escape, target:myself]</v>
      </c>
      <c r="H13" s="59">
        <f t="shared" si="1"/>
        <v>9</v>
      </c>
      <c r="I13" s="59">
        <f t="shared" si="2"/>
        <v>16</v>
      </c>
      <c r="J13" s="59">
        <f t="shared" si="3"/>
        <v>50</v>
      </c>
      <c r="K13" s="59">
        <f t="shared" si="4"/>
        <v>23</v>
      </c>
      <c r="L13" s="59" t="str">
        <f>IFERROR(VLOOKUP(MID(G13,J13,K13-J13),[6]skilldef!$C:$D,2,FALSE),"-") &amp; " / " &amp; IFERROR(VLOOKUP(MID(G13,H13,I13-H13),[6]skilldef!$A:$B,2,FALSE),"-")</f>
        <v>- / -</v>
      </c>
      <c r="M13" s="59" t="str">
        <f t="shared" si="5"/>
        <v>none</v>
      </c>
      <c r="N13" s="44" t="str">
        <f>IFERROR(LEFT(M13,FIND("],",M13)+#REF!),M13)</f>
        <v>none</v>
      </c>
      <c r="O13" s="59" t="e">
        <f t="shared" si="6"/>
        <v>#VALUE!</v>
      </c>
      <c r="P13" s="59">
        <f t="shared" si="7"/>
        <v>4</v>
      </c>
      <c r="Q13" s="59" t="e">
        <f t="shared" si="8"/>
        <v>#VALUE!</v>
      </c>
      <c r="R13" s="59" t="e">
        <f t="shared" si="9"/>
        <v>#VALUE!</v>
      </c>
      <c r="S13" s="59" t="str">
        <f>IFERROR(VLOOKUP(MID(N13,Q13,R13-Q13),[6]skilldef!$C:$D,2,FALSE),"-") &amp; " / " &amp; IFERROR(VLOOKUP(MID(N13,O13,P13-O13),[6]skilldef!$A:$B,2,FALSE),"-")</f>
        <v>- / -</v>
      </c>
      <c r="T13" s="44" t="str">
        <f t="shared" si="10"/>
        <v>none</v>
      </c>
      <c r="U13" s="59" t="e">
        <f t="shared" si="11"/>
        <v>#VALUE!</v>
      </c>
      <c r="V13" s="59">
        <f t="shared" si="12"/>
        <v>4</v>
      </c>
      <c r="W13" s="59" t="e">
        <f t="shared" si="13"/>
        <v>#VALUE!</v>
      </c>
      <c r="X13" s="59" t="e">
        <f t="shared" si="14"/>
        <v>#VALUE!</v>
      </c>
      <c r="Y13" s="59" t="str">
        <f>IFERROR(VLOOKUP(MID(T13,W13,X13-W13),[6]skilldef!$C:$D,2,FALSE),"-") &amp; " / " &amp; IFERROR(VLOOKUP(MID(T13,U13,V13-U13),[6]skilldef!$A:$B,2,FALSE),"-")</f>
        <v>- / -</v>
      </c>
      <c r="Z13" s="46"/>
      <c r="AA13" s="48"/>
      <c r="AB13" s="46"/>
    </row>
    <row r="14" spans="1:28" ht="21" customHeight="1" x14ac:dyDescent="0.15">
      <c r="A14" s="18">
        <v>51002026</v>
      </c>
      <c r="B14" s="43" t="s">
        <v>252</v>
      </c>
      <c r="C14" s="46">
        <v>3</v>
      </c>
      <c r="D14" s="46" t="s">
        <v>123</v>
      </c>
      <c r="E14" s="47" t="s">
        <v>253</v>
      </c>
      <c r="F14" s="47" t="s">
        <v>353</v>
      </c>
      <c r="G14" s="59" t="str">
        <f t="shared" si="0"/>
        <v>[effect:degrade_fever, val:1000, animation:fevergauge_down]</v>
      </c>
      <c r="H14" s="59">
        <f t="shared" si="1"/>
        <v>9</v>
      </c>
      <c r="I14" s="59">
        <f t="shared" si="2"/>
        <v>22</v>
      </c>
      <c r="J14" s="59" t="e">
        <f t="shared" si="3"/>
        <v>#VALUE!</v>
      </c>
      <c r="K14" s="59">
        <f t="shared" si="4"/>
        <v>32</v>
      </c>
      <c r="L14" s="59" t="str">
        <f>IFERROR(VLOOKUP(MID(G14,J14,K14-J14),[6]skilldef!$C:$D,2,FALSE),"-") &amp; " / " &amp; IFERROR(VLOOKUP(MID(G14,H14,I14-H14),[6]skilldef!$A:$B,2,FALSE),"-")</f>
        <v>- / フィーバーゲージ減少</v>
      </c>
      <c r="M14" s="59" t="str">
        <f t="shared" si="5"/>
        <v>none</v>
      </c>
      <c r="N14" s="44" t="str">
        <f>IFERROR(LEFT(M14,FIND("],",M14)+#REF!),M14)</f>
        <v>none</v>
      </c>
      <c r="O14" s="59" t="e">
        <f t="shared" si="6"/>
        <v>#VALUE!</v>
      </c>
      <c r="P14" s="59">
        <f t="shared" si="7"/>
        <v>4</v>
      </c>
      <c r="Q14" s="59" t="e">
        <f t="shared" si="8"/>
        <v>#VALUE!</v>
      </c>
      <c r="R14" s="59" t="e">
        <f t="shared" si="9"/>
        <v>#VALUE!</v>
      </c>
      <c r="S14" s="59" t="str">
        <f>IFERROR(VLOOKUP(MID(N14,Q14,R14-Q14),[6]skilldef!$C:$D,2,FALSE),"-") &amp; " / " &amp; IFERROR(VLOOKUP(MID(N14,O14,P14-O14),[6]skilldef!$A:$B,2,FALSE),"-")</f>
        <v>- / -</v>
      </c>
      <c r="T14" s="44" t="str">
        <f t="shared" si="10"/>
        <v>none</v>
      </c>
      <c r="U14" s="59" t="e">
        <f t="shared" si="11"/>
        <v>#VALUE!</v>
      </c>
      <c r="V14" s="59">
        <f t="shared" si="12"/>
        <v>4</v>
      </c>
      <c r="W14" s="59" t="e">
        <f t="shared" si="13"/>
        <v>#VALUE!</v>
      </c>
      <c r="X14" s="59" t="e">
        <f t="shared" si="14"/>
        <v>#VALUE!</v>
      </c>
      <c r="Y14" s="59" t="str">
        <f>IFERROR(VLOOKUP(MID(T14,W14,X14-W14),[6]skilldef!$C:$D,2,FALSE),"-") &amp; " / " &amp; IFERROR(VLOOKUP(MID(T14,U14,V14-U14),[6]skilldef!$A:$B,2,FALSE),"-")</f>
        <v>- / -</v>
      </c>
      <c r="Z14" s="46"/>
      <c r="AA14" s="48"/>
      <c r="AB14" s="46"/>
    </row>
    <row r="15" spans="1:28" ht="21" customHeight="1" x14ac:dyDescent="0.15">
      <c r="A15" s="18">
        <v>51002027</v>
      </c>
      <c r="B15" s="43" t="s">
        <v>254</v>
      </c>
      <c r="C15" s="46">
        <v>3</v>
      </c>
      <c r="D15" s="46" t="s">
        <v>123</v>
      </c>
      <c r="E15" s="47" t="s">
        <v>255</v>
      </c>
      <c r="F15" s="47" t="s">
        <v>256</v>
      </c>
      <c r="G15" s="59" t="str">
        <f t="shared" si="0"/>
        <v>[effect:damage_anti_color, target:unit_all, color:blue, val1:0.4, val2:0.2]</v>
      </c>
      <c r="H15" s="59">
        <f t="shared" si="1"/>
        <v>9</v>
      </c>
      <c r="I15" s="59">
        <f t="shared" si="2"/>
        <v>26</v>
      </c>
      <c r="J15" s="59">
        <f t="shared" si="3"/>
        <v>35</v>
      </c>
      <c r="K15" s="59">
        <f t="shared" si="4"/>
        <v>43</v>
      </c>
      <c r="L15" s="59" t="str">
        <f>IFERROR(VLOOKUP(MID(G15,J15,K15-J15),[6]skilldef!$C:$D,2,FALSE),"-") &amp; " / " &amp; IFERROR(VLOOKUP(MID(G15,H15,I15-H15),[6]skilldef!$A:$B,2,FALSE),"-")</f>
        <v>味方全体に / 属性キラー</v>
      </c>
      <c r="M15" s="59" t="str">
        <f t="shared" si="5"/>
        <v>none</v>
      </c>
      <c r="N15" s="44" t="str">
        <f>IFERROR(LEFT(M15,FIND("],",M15)+#REF!),M15)</f>
        <v>none</v>
      </c>
      <c r="O15" s="59" t="e">
        <f t="shared" si="6"/>
        <v>#VALUE!</v>
      </c>
      <c r="P15" s="59">
        <f t="shared" si="7"/>
        <v>4</v>
      </c>
      <c r="Q15" s="59" t="e">
        <f t="shared" si="8"/>
        <v>#VALUE!</v>
      </c>
      <c r="R15" s="59" t="e">
        <f t="shared" si="9"/>
        <v>#VALUE!</v>
      </c>
      <c r="S15" s="59" t="str">
        <f>IFERROR(VLOOKUP(MID(N15,Q15,R15-Q15),[6]skilldef!$C:$D,2,FALSE),"-") &amp; " / " &amp; IFERROR(VLOOKUP(MID(N15,O15,P15-O15),[6]skilldef!$A:$B,2,FALSE),"-")</f>
        <v>- / -</v>
      </c>
      <c r="T15" s="44" t="str">
        <f t="shared" si="10"/>
        <v>none</v>
      </c>
      <c r="U15" s="59" t="e">
        <f t="shared" si="11"/>
        <v>#VALUE!</v>
      </c>
      <c r="V15" s="59">
        <f t="shared" si="12"/>
        <v>4</v>
      </c>
      <c r="W15" s="59" t="e">
        <f t="shared" si="13"/>
        <v>#VALUE!</v>
      </c>
      <c r="X15" s="59" t="e">
        <f t="shared" si="14"/>
        <v>#VALUE!</v>
      </c>
      <c r="Y15" s="59" t="str">
        <f>IFERROR(VLOOKUP(MID(T15,W15,X15-W15),[6]skilldef!$C:$D,2,FALSE),"-") &amp; " / " &amp; IFERROR(VLOOKUP(MID(T15,U15,V15-U15),[6]skilldef!$A:$B,2,FALSE),"-")</f>
        <v>- / -</v>
      </c>
      <c r="Z15" s="46"/>
      <c r="AA15" s="48"/>
      <c r="AB15" s="46"/>
    </row>
    <row r="16" spans="1:28" ht="21" customHeight="1" x14ac:dyDescent="0.15">
      <c r="A16" s="18">
        <v>51002031</v>
      </c>
      <c r="B16" s="43" t="s">
        <v>257</v>
      </c>
      <c r="C16" s="46">
        <v>3</v>
      </c>
      <c r="D16" s="46" t="s">
        <v>123</v>
      </c>
      <c r="E16" s="47" t="s">
        <v>258</v>
      </c>
      <c r="F16" s="47" t="s">
        <v>259</v>
      </c>
      <c r="G16" s="59" t="str">
        <f t="shared" si="0"/>
        <v>[effect:tolerance, target:myself, turn:-1, tolerance_effect:hungup, count:-1]</v>
      </c>
      <c r="H16" s="59">
        <f t="shared" si="1"/>
        <v>9</v>
      </c>
      <c r="I16" s="59">
        <f t="shared" si="2"/>
        <v>18</v>
      </c>
      <c r="J16" s="59">
        <f t="shared" si="3"/>
        <v>27</v>
      </c>
      <c r="K16" s="59">
        <f t="shared" si="4"/>
        <v>33</v>
      </c>
      <c r="L16" s="59" t="str">
        <f>IFERROR(VLOOKUP(MID(G16,J16,K16-J16),[6]skilldef!$C:$D,2,FALSE),"-") &amp; " / " &amp; IFERROR(VLOOKUP(MID(G16,H16,I16-H16),[6]skilldef!$A:$B,2,FALSE),"-")</f>
        <v>自分自身に / 状態異常耐性</v>
      </c>
      <c r="M16" s="59" t="str">
        <f t="shared" si="5"/>
        <v>[effect:tolerance, target:myself, turn:-1, tolerance_effect:virus, count:-1],[effect:tolerance, target:myself, turn:-1, tolerance_effect:sleep, count:-1, animation:enemy_tolerance]</v>
      </c>
      <c r="N16" s="44" t="str">
        <f>IFERROR(LEFT(M16,FIND("],",M16)+S20),M16)</f>
        <v>[effect:tolerance, target:myself, turn:-1, tolerance_effect:virus, count:-1],[effect:tolerance, target:myself, turn:-1, tolerance_effect:sleep, count:-1, animation:enemy_tolerance]</v>
      </c>
      <c r="O16" s="59">
        <f t="shared" si="6"/>
        <v>9</v>
      </c>
      <c r="P16" s="59">
        <f t="shared" si="7"/>
        <v>18</v>
      </c>
      <c r="Q16" s="59">
        <f t="shared" si="8"/>
        <v>27</v>
      </c>
      <c r="R16" s="59">
        <f t="shared" si="9"/>
        <v>33</v>
      </c>
      <c r="S16" s="59" t="str">
        <f>IFERROR(VLOOKUP(MID(N16,Q16,R16-Q16),[6]skilldef!$C:$D,2,FALSE),"-") &amp; " / " &amp; IFERROR(VLOOKUP(MID(N16,O16,P16-O16),[6]skilldef!$A:$B,2,FALSE),"-")</f>
        <v>自分自身に / 状態異常耐性</v>
      </c>
      <c r="T16" s="44" t="str">
        <f t="shared" si="10"/>
        <v>[effect:tolerance, target:myself, turn:-1, tolerance_effect:sleep, count:-1, animation:enemy_tolerance]</v>
      </c>
      <c r="U16" s="59">
        <f t="shared" si="11"/>
        <v>9</v>
      </c>
      <c r="V16" s="59">
        <f t="shared" si="12"/>
        <v>18</v>
      </c>
      <c r="W16" s="59">
        <f t="shared" si="13"/>
        <v>27</v>
      </c>
      <c r="X16" s="59">
        <f t="shared" si="14"/>
        <v>33</v>
      </c>
      <c r="Y16" s="59" t="str">
        <f>IFERROR(VLOOKUP(MID(T16,W16,X16-W16),[6]skilldef!$C:$D,2,FALSE),"-") &amp; " / " &amp; IFERROR(VLOOKUP(MID(T16,U16,V16-U16),[6]skilldef!$A:$B,2,FALSE),"-")</f>
        <v>自分自身に / 状態異常耐性</v>
      </c>
      <c r="Z16" s="46"/>
      <c r="AA16" s="48"/>
      <c r="AB16" s="46"/>
    </row>
    <row r="17" spans="1:28" ht="21" customHeight="1" x14ac:dyDescent="0.15">
      <c r="A17" s="18">
        <v>51002032</v>
      </c>
      <c r="B17" s="43" t="s">
        <v>260</v>
      </c>
      <c r="C17" s="46">
        <v>3</v>
      </c>
      <c r="D17" s="46" t="s">
        <v>123</v>
      </c>
      <c r="E17" s="47" t="s">
        <v>261</v>
      </c>
      <c r="F17" s="47" t="s">
        <v>262</v>
      </c>
      <c r="G17" s="59" t="str">
        <f t="shared" si="0"/>
        <v>[effect:rush, count:2, val:0.7]</v>
      </c>
      <c r="H17" s="59">
        <f t="shared" si="1"/>
        <v>9</v>
      </c>
      <c r="I17" s="59">
        <f t="shared" si="2"/>
        <v>13</v>
      </c>
      <c r="J17" s="59" t="e">
        <f t="shared" si="3"/>
        <v>#VALUE!</v>
      </c>
      <c r="K17" s="59">
        <f t="shared" si="4"/>
        <v>22</v>
      </c>
      <c r="L17" s="59" t="str">
        <f>IFERROR(VLOOKUP(MID(G17,J17,K17-J17),[6]skilldef!$C:$D,2,FALSE),"-") &amp; " / " &amp; IFERROR(VLOOKUP(MID(G17,H17,I17-H17),[6]skilldef!$A:$B,2,FALSE),"-")</f>
        <v>- / 連続攻撃</v>
      </c>
      <c r="M17" s="59" t="str">
        <f t="shared" si="5"/>
        <v>none</v>
      </c>
      <c r="N17" s="44" t="str">
        <f>IFERROR(LEFT(M17,FIND("],",M17)+S21),M17)</f>
        <v>none</v>
      </c>
      <c r="O17" s="59" t="e">
        <f t="shared" si="6"/>
        <v>#VALUE!</v>
      </c>
      <c r="P17" s="59">
        <f t="shared" si="7"/>
        <v>4</v>
      </c>
      <c r="Q17" s="59" t="e">
        <f t="shared" si="8"/>
        <v>#VALUE!</v>
      </c>
      <c r="R17" s="59" t="e">
        <f t="shared" si="9"/>
        <v>#VALUE!</v>
      </c>
      <c r="S17" s="59" t="str">
        <f>IFERROR(VLOOKUP(MID(N17,Q17,R17-Q17),[6]skilldef!$C:$D,2,FALSE),"-") &amp; " / " &amp; IFERROR(VLOOKUP(MID(N17,O17,P17-O17),[6]skilldef!$A:$B,2,FALSE),"-")</f>
        <v>- / -</v>
      </c>
      <c r="T17" s="44" t="str">
        <f t="shared" si="10"/>
        <v>none</v>
      </c>
      <c r="U17" s="59" t="e">
        <f t="shared" si="11"/>
        <v>#VALUE!</v>
      </c>
      <c r="V17" s="59">
        <f t="shared" si="12"/>
        <v>4</v>
      </c>
      <c r="W17" s="59" t="e">
        <f t="shared" si="13"/>
        <v>#VALUE!</v>
      </c>
      <c r="X17" s="59" t="e">
        <f t="shared" si="14"/>
        <v>#VALUE!</v>
      </c>
      <c r="Y17" s="59" t="str">
        <f>IFERROR(VLOOKUP(MID(T17,W17,X17-W17),[6]skilldef!$C:$D,2,FALSE),"-") &amp; " / " &amp; IFERROR(VLOOKUP(MID(T17,U17,V17-U17),[6]skilldef!$A:$B,2,FALSE),"-")</f>
        <v>- / -</v>
      </c>
      <c r="Z17" s="46"/>
      <c r="AA17" s="48"/>
      <c r="AB17" s="46"/>
    </row>
    <row r="18" spans="1:28" ht="21" customHeight="1" x14ac:dyDescent="0.15">
      <c r="A18" s="18">
        <v>51002034</v>
      </c>
      <c r="B18" s="43" t="s">
        <v>263</v>
      </c>
      <c r="C18" s="46">
        <v>3</v>
      </c>
      <c r="D18" s="46" t="s">
        <v>123</v>
      </c>
      <c r="E18" s="47" t="s">
        <v>264</v>
      </c>
      <c r="F18" s="47" t="s">
        <v>265</v>
      </c>
      <c r="G18" s="59" t="str">
        <f t="shared" si="0"/>
        <v>[effect:hungup, target:unit_machine, turn:4, rate:1, animation:hungup01]</v>
      </c>
      <c r="H18" s="59">
        <f t="shared" si="1"/>
        <v>9</v>
      </c>
      <c r="I18" s="59">
        <f t="shared" si="2"/>
        <v>15</v>
      </c>
      <c r="J18" s="59">
        <f t="shared" si="3"/>
        <v>24</v>
      </c>
      <c r="K18" s="59">
        <f t="shared" si="4"/>
        <v>36</v>
      </c>
      <c r="L18" s="59" t="str">
        <f>IFERROR(VLOOKUP(MID(G18,J18,K18-J18),[6]skilldef!$C:$D,2,FALSE),"-") &amp; " / " &amp; IFERROR(VLOOKUP(MID(G18,H18,I18-H18),[6]skilldef!$A:$B,2,FALSE),"-")</f>
        <v>- / ハングアップ</v>
      </c>
      <c r="M18" s="59" t="str">
        <f t="shared" si="5"/>
        <v>[effect:spread, val:0.3]</v>
      </c>
      <c r="N18" s="44" t="str">
        <f>IFERROR(LEFT(M18,FIND("],",M18)+S23),M18)</f>
        <v>[effect:spread, val:0.3]</v>
      </c>
      <c r="O18" s="59">
        <f t="shared" si="6"/>
        <v>9</v>
      </c>
      <c r="P18" s="59">
        <f t="shared" si="7"/>
        <v>15</v>
      </c>
      <c r="Q18" s="59" t="e">
        <f t="shared" si="8"/>
        <v>#VALUE!</v>
      </c>
      <c r="R18" s="59" t="e">
        <f t="shared" si="9"/>
        <v>#VALUE!</v>
      </c>
      <c r="S18" s="59" t="str">
        <f>IFERROR(VLOOKUP(MID(N18,Q18,R18-Q18),[6]skilldef!$C:$D,2,FALSE),"-") &amp; " / " &amp; IFERROR(VLOOKUP(MID(N18,O18,P18-O18),[6]skilldef!$A:$B,2,FALSE),"-")</f>
        <v>- / 全体攻撃</v>
      </c>
      <c r="T18" s="44" t="str">
        <f t="shared" si="10"/>
        <v>none</v>
      </c>
      <c r="U18" s="59" t="e">
        <f t="shared" si="11"/>
        <v>#VALUE!</v>
      </c>
      <c r="V18" s="59">
        <f t="shared" si="12"/>
        <v>4</v>
      </c>
      <c r="W18" s="59" t="e">
        <f t="shared" si="13"/>
        <v>#VALUE!</v>
      </c>
      <c r="X18" s="59" t="e">
        <f t="shared" si="14"/>
        <v>#VALUE!</v>
      </c>
      <c r="Y18" s="59" t="str">
        <f>IFERROR(VLOOKUP(MID(T18,W18,X18-W18),[6]skilldef!$C:$D,2,FALSE),"-") &amp; " / " &amp; IFERROR(VLOOKUP(MID(T18,U18,V18-U18),[6]skilldef!$A:$B,2,FALSE),"-")</f>
        <v>- / -</v>
      </c>
      <c r="Z18" s="46"/>
      <c r="AA18" s="48"/>
      <c r="AB18" s="46"/>
    </row>
    <row r="19" spans="1:28" ht="21" customHeight="1" x14ac:dyDescent="0.15">
      <c r="A19" s="18">
        <v>51002035</v>
      </c>
      <c r="B19" s="43" t="s">
        <v>266</v>
      </c>
      <c r="C19" s="46">
        <v>3</v>
      </c>
      <c r="D19" s="46" t="s">
        <v>212</v>
      </c>
      <c r="E19" s="47" t="s">
        <v>267</v>
      </c>
      <c r="F19" s="47" t="s">
        <v>268</v>
      </c>
      <c r="G19" s="59" t="str">
        <f t="shared" si="0"/>
        <v>[effect:change_panel_ratio, turn:5, block_type:heal, val:0, animation:block_incidence04]</v>
      </c>
      <c r="H19" s="59">
        <f t="shared" si="1"/>
        <v>9</v>
      </c>
      <c r="I19" s="59">
        <f t="shared" si="2"/>
        <v>27</v>
      </c>
      <c r="J19" s="59" t="e">
        <f t="shared" si="3"/>
        <v>#VALUE!</v>
      </c>
      <c r="K19" s="59">
        <f t="shared" si="4"/>
        <v>35</v>
      </c>
      <c r="L19" s="59" t="str">
        <f>IFERROR(VLOOKUP(MID(G19,J19,K19-J19),[6]skilldef!$C:$D,2,FALSE),"-") &amp; " / " &amp; IFERROR(VLOOKUP(MID(G19,H19,I19-H19),[6]skilldef!$A:$B,2,FALSE),"-")</f>
        <v>- / -</v>
      </c>
      <c r="M19" s="59" t="str">
        <f t="shared" si="5"/>
        <v>none</v>
      </c>
      <c r="N19" s="44" t="str">
        <f>IFERROR(LEFT(M19,FIND("],",M19)+S24),M19)</f>
        <v>none</v>
      </c>
      <c r="O19" s="59" t="e">
        <f t="shared" si="6"/>
        <v>#VALUE!</v>
      </c>
      <c r="P19" s="59">
        <f t="shared" si="7"/>
        <v>4</v>
      </c>
      <c r="Q19" s="59" t="e">
        <f t="shared" si="8"/>
        <v>#VALUE!</v>
      </c>
      <c r="R19" s="59" t="e">
        <f t="shared" si="9"/>
        <v>#VALUE!</v>
      </c>
      <c r="S19" s="59" t="str">
        <f>IFERROR(VLOOKUP(MID(N19,Q19,R19-Q19),[6]skilldef!$C:$D,2,FALSE),"-") &amp; " / " &amp; IFERROR(VLOOKUP(MID(N19,O19,P19-O19),[6]skilldef!$A:$B,2,FALSE),"-")</f>
        <v>- / -</v>
      </c>
      <c r="T19" s="44" t="str">
        <f t="shared" si="10"/>
        <v>none</v>
      </c>
      <c r="U19" s="59" t="e">
        <f t="shared" si="11"/>
        <v>#VALUE!</v>
      </c>
      <c r="V19" s="59">
        <f t="shared" si="12"/>
        <v>4</v>
      </c>
      <c r="W19" s="59" t="e">
        <f t="shared" si="13"/>
        <v>#VALUE!</v>
      </c>
      <c r="X19" s="59" t="e">
        <f t="shared" si="14"/>
        <v>#VALUE!</v>
      </c>
      <c r="Y19" s="59" t="str">
        <f>IFERROR(VLOOKUP(MID(T19,W19,X19-W19),[6]skilldef!$C:$D,2,FALSE),"-") &amp; " / " &amp; IFERROR(VLOOKUP(MID(T19,U19,V19-U19),[6]skilldef!$A:$B,2,FALSE),"-")</f>
        <v>- / -</v>
      </c>
      <c r="Z19" s="46"/>
      <c r="AA19" s="48"/>
      <c r="AB19" s="46"/>
    </row>
    <row r="20" spans="1:28" ht="21" customHeight="1" x14ac:dyDescent="0.15">
      <c r="A20" s="18">
        <v>51002041</v>
      </c>
      <c r="B20" s="43" t="s">
        <v>257</v>
      </c>
      <c r="C20" s="46">
        <v>3</v>
      </c>
      <c r="D20" s="46" t="s">
        <v>123</v>
      </c>
      <c r="E20" s="47" t="s">
        <v>269</v>
      </c>
      <c r="F20" s="47" t="s">
        <v>259</v>
      </c>
      <c r="G20" s="59" t="str">
        <f t="shared" si="0"/>
        <v>[effect:tolerance, target:myself, turn:-1, tolerance_effect:hungup, count:-1]</v>
      </c>
      <c r="H20" s="59">
        <f t="shared" si="1"/>
        <v>9</v>
      </c>
      <c r="I20" s="59">
        <f t="shared" si="2"/>
        <v>18</v>
      </c>
      <c r="J20" s="59">
        <f t="shared" si="3"/>
        <v>27</v>
      </c>
      <c r="K20" s="59">
        <f t="shared" si="4"/>
        <v>33</v>
      </c>
      <c r="L20" s="59" t="str">
        <f>IFERROR(VLOOKUP(MID(G20,J20,K20-J20),[6]skilldef!$C:$D,2,FALSE),"-") &amp; " / " &amp; IFERROR(VLOOKUP(MID(G20,H20,I20-H20),[6]skilldef!$A:$B,2,FALSE),"-")</f>
        <v>自分自身に / 状態異常耐性</v>
      </c>
      <c r="M20" s="59" t="str">
        <f t="shared" si="5"/>
        <v>[effect:tolerance, target:myself, turn:-1, tolerance_effect:virus, count:-1],[effect:tolerance, target:myself, turn:-1, tolerance_effect:sleep, count:-1, animation:enemy_tolerance]</v>
      </c>
      <c r="N20" s="44" t="str">
        <f>IFERROR(LEFT(M20,FIND("],",M20)+S28),M20)</f>
        <v>[effect:tolerance, target:myself, turn:-1, tolerance_effect:virus, count:-1],[effect:tolerance, target:myself, turn:-1, tolerance_effect:sleep, count:-1, animation:enemy_tolerance]</v>
      </c>
      <c r="O20" s="59">
        <f t="shared" si="6"/>
        <v>9</v>
      </c>
      <c r="P20" s="59">
        <f t="shared" si="7"/>
        <v>18</v>
      </c>
      <c r="Q20" s="59">
        <f t="shared" si="8"/>
        <v>27</v>
      </c>
      <c r="R20" s="59">
        <f t="shared" si="9"/>
        <v>33</v>
      </c>
      <c r="S20" s="59" t="str">
        <f>IFERROR(VLOOKUP(MID(N20,Q20,R20-Q20),[6]skilldef!$C:$D,2,FALSE),"-") &amp; " / " &amp; IFERROR(VLOOKUP(MID(N20,O20,P20-O20),[6]skilldef!$A:$B,2,FALSE),"-")</f>
        <v>自分自身に / 状態異常耐性</v>
      </c>
      <c r="T20" s="44" t="str">
        <f t="shared" si="10"/>
        <v>[effect:tolerance, target:myself, turn:-1, tolerance_effect:sleep, count:-1, animation:enemy_tolerance]</v>
      </c>
      <c r="U20" s="59">
        <f t="shared" si="11"/>
        <v>9</v>
      </c>
      <c r="V20" s="59">
        <f t="shared" si="12"/>
        <v>18</v>
      </c>
      <c r="W20" s="59">
        <f t="shared" si="13"/>
        <v>27</v>
      </c>
      <c r="X20" s="59">
        <f t="shared" si="14"/>
        <v>33</v>
      </c>
      <c r="Y20" s="59" t="str">
        <f>IFERROR(VLOOKUP(MID(T20,W20,X20-W20),[6]skilldef!$C:$D,2,FALSE),"-") &amp; " / " &amp; IFERROR(VLOOKUP(MID(T20,U20,V20-U20),[6]skilldef!$A:$B,2,FALSE),"-")</f>
        <v>自分自身に / 状態異常耐性</v>
      </c>
      <c r="Z20" s="46"/>
      <c r="AA20" s="48"/>
      <c r="AB20" s="46"/>
    </row>
    <row r="21" spans="1:28" ht="21" customHeight="1" x14ac:dyDescent="0.15">
      <c r="A21" s="18">
        <v>51002042</v>
      </c>
      <c r="B21" s="43" t="s">
        <v>270</v>
      </c>
      <c r="C21" s="46">
        <v>3</v>
      </c>
      <c r="D21" s="46" t="s">
        <v>123</v>
      </c>
      <c r="E21" s="47" t="s">
        <v>271</v>
      </c>
      <c r="F21" s="47" t="s">
        <v>272</v>
      </c>
      <c r="G21" s="59" t="str">
        <f t="shared" si="0"/>
        <v>[effect:damage_anti_tribe, target:unit_all, tribe:animal, val1:0.5, val2:0.3]</v>
      </c>
      <c r="H21" s="59">
        <f t="shared" si="1"/>
        <v>9</v>
      </c>
      <c r="I21" s="59">
        <f t="shared" si="2"/>
        <v>26</v>
      </c>
      <c r="J21" s="59">
        <f t="shared" si="3"/>
        <v>35</v>
      </c>
      <c r="K21" s="59">
        <f t="shared" si="4"/>
        <v>43</v>
      </c>
      <c r="L21" s="59" t="str">
        <f>IFERROR(VLOOKUP(MID(G21,J21,K21-J21),[6]skilldef!$C:$D,2,FALSE),"-") &amp; " / " &amp; IFERROR(VLOOKUP(MID(G21,H21,I21-H21),[6]skilldef!$A:$B,2,FALSE),"-")</f>
        <v>味方全体に / 種族キラー</v>
      </c>
      <c r="M21" s="59" t="str">
        <f t="shared" si="5"/>
        <v>none</v>
      </c>
      <c r="N21" s="44" t="str">
        <f>IFERROR(LEFT(M21,FIND("],",M21)+S29),M21)</f>
        <v>none</v>
      </c>
      <c r="O21" s="59" t="e">
        <f t="shared" si="6"/>
        <v>#VALUE!</v>
      </c>
      <c r="P21" s="59">
        <f t="shared" si="7"/>
        <v>4</v>
      </c>
      <c r="Q21" s="59" t="e">
        <f t="shared" si="8"/>
        <v>#VALUE!</v>
      </c>
      <c r="R21" s="59" t="e">
        <f t="shared" si="9"/>
        <v>#VALUE!</v>
      </c>
      <c r="S21" s="59" t="str">
        <f>IFERROR(VLOOKUP(MID(N21,Q21,R21-Q21),[6]skilldef!$C:$D,2,FALSE),"-") &amp; " / " &amp; IFERROR(VLOOKUP(MID(N21,O21,P21-O21),[6]skilldef!$A:$B,2,FALSE),"-")</f>
        <v>- / -</v>
      </c>
      <c r="T21" s="44" t="str">
        <f t="shared" si="10"/>
        <v>none</v>
      </c>
      <c r="U21" s="59" t="e">
        <f t="shared" si="11"/>
        <v>#VALUE!</v>
      </c>
      <c r="V21" s="59">
        <f t="shared" si="12"/>
        <v>4</v>
      </c>
      <c r="W21" s="59" t="e">
        <f t="shared" si="13"/>
        <v>#VALUE!</v>
      </c>
      <c r="X21" s="59" t="e">
        <f t="shared" si="14"/>
        <v>#VALUE!</v>
      </c>
      <c r="Y21" s="59" t="str">
        <f>IFERROR(VLOOKUP(MID(T21,W21,X21-W21),[6]skilldef!$C:$D,2,FALSE),"-") &amp; " / " &amp; IFERROR(VLOOKUP(MID(T21,U21,V21-U21),[6]skilldef!$A:$B,2,FALSE),"-")</f>
        <v>- / -</v>
      </c>
      <c r="Z21" s="46"/>
      <c r="AA21" s="48"/>
      <c r="AB21" s="46"/>
    </row>
    <row r="22" spans="1:28" ht="21" customHeight="1" x14ac:dyDescent="0.15">
      <c r="A22" s="18">
        <v>51002043</v>
      </c>
      <c r="B22" s="43" t="s">
        <v>273</v>
      </c>
      <c r="C22" s="46">
        <v>3</v>
      </c>
      <c r="D22" s="46" t="s">
        <v>123</v>
      </c>
      <c r="E22" s="47" t="s">
        <v>274</v>
      </c>
      <c r="F22" s="47" t="s">
        <v>275</v>
      </c>
      <c r="G22" s="59" t="str">
        <f t="shared" si="0"/>
        <v>[effect:dis_panel, target:block_blue, turn:3, animation:enemy_dis_blue]</v>
      </c>
      <c r="H22" s="59">
        <f t="shared" si="1"/>
        <v>9</v>
      </c>
      <c r="I22" s="59">
        <f t="shared" si="2"/>
        <v>18</v>
      </c>
      <c r="J22" s="59">
        <f t="shared" si="3"/>
        <v>27</v>
      </c>
      <c r="K22" s="59">
        <f t="shared" si="4"/>
        <v>37</v>
      </c>
      <c r="L22" s="59" t="str">
        <f>IFERROR(VLOOKUP(MID(G22,J22,K22-J22),[6]skilldef!$C:$D,2,FALSE),"-") &amp; " / " &amp; IFERROR(VLOOKUP(MID(G22,H22,I22-H22),[6]skilldef!$A:$B,2,FALSE),"-")</f>
        <v>青パネルを / ディスパネル</v>
      </c>
      <c r="M22" s="59" t="str">
        <f t="shared" si="5"/>
        <v>[effect:rush, count:4, val:0.3]</v>
      </c>
      <c r="N22" s="44" t="str">
        <f>IFERROR(LEFT(M22,FIND("],",M22)+S30),M22)</f>
        <v>[effect:rush, count:4, val:0.3]</v>
      </c>
      <c r="O22" s="59">
        <f t="shared" si="6"/>
        <v>9</v>
      </c>
      <c r="P22" s="59">
        <f t="shared" si="7"/>
        <v>13</v>
      </c>
      <c r="Q22" s="59" t="e">
        <f t="shared" si="8"/>
        <v>#VALUE!</v>
      </c>
      <c r="R22" s="59">
        <f t="shared" si="9"/>
        <v>22</v>
      </c>
      <c r="S22" s="59" t="str">
        <f>IFERROR(VLOOKUP(MID(N22,Q22,R22-Q22),[6]skilldef!$C:$D,2,FALSE),"-") &amp; " / " &amp; IFERROR(VLOOKUP(MID(N22,O22,P22-O22),[6]skilldef!$A:$B,2,FALSE),"-")</f>
        <v>- / 連続攻撃</v>
      </c>
      <c r="T22" s="44" t="str">
        <f t="shared" si="10"/>
        <v>none</v>
      </c>
      <c r="U22" s="59" t="e">
        <f t="shared" si="11"/>
        <v>#VALUE!</v>
      </c>
      <c r="V22" s="59">
        <f t="shared" si="12"/>
        <v>4</v>
      </c>
      <c r="W22" s="59" t="e">
        <f t="shared" si="13"/>
        <v>#VALUE!</v>
      </c>
      <c r="X22" s="59" t="e">
        <f t="shared" si="14"/>
        <v>#VALUE!</v>
      </c>
      <c r="Y22" s="59" t="str">
        <f>IFERROR(VLOOKUP(MID(T22,W22,X22-W22),[6]skilldef!$C:$D,2,FALSE),"-") &amp; " / " &amp; IFERROR(VLOOKUP(MID(T22,U22,V22-U22),[6]skilldef!$A:$B,2,FALSE),"-")</f>
        <v>- / -</v>
      </c>
      <c r="Z22" s="46"/>
      <c r="AA22" s="48"/>
      <c r="AB22" s="46"/>
    </row>
    <row r="23" spans="1:28" ht="21" customHeight="1" x14ac:dyDescent="0.15">
      <c r="A23" s="18">
        <v>51002044</v>
      </c>
      <c r="B23" s="43" t="s">
        <v>276</v>
      </c>
      <c r="C23" s="46">
        <v>3</v>
      </c>
      <c r="D23" s="46" t="s">
        <v>123</v>
      </c>
      <c r="E23" s="47" t="s">
        <v>277</v>
      </c>
      <c r="F23" s="47" t="s">
        <v>278</v>
      </c>
      <c r="G23" s="59" t="str">
        <f t="shared" si="0"/>
        <v>[effect:change_block, new_block:jammer, target:block_heart, count:0, val:0, animation:change_block]</v>
      </c>
      <c r="H23" s="59">
        <f t="shared" si="1"/>
        <v>9</v>
      </c>
      <c r="I23" s="59">
        <f t="shared" si="2"/>
        <v>21</v>
      </c>
      <c r="J23" s="59">
        <f t="shared" si="3"/>
        <v>48</v>
      </c>
      <c r="K23" s="59">
        <f t="shared" si="4"/>
        <v>39</v>
      </c>
      <c r="L23" s="59" t="str">
        <f>IFERROR(VLOOKUP(MID(G23,J23,K23-J23),[6]skilldef!$C:$D,2,FALSE),"-") &amp; " / " &amp; IFERROR(VLOOKUP(MID(G23,H23,I23-H23),[6]skilldef!$A:$B,2,FALSE),"-")</f>
        <v>- / ブロック変換</v>
      </c>
      <c r="M23" s="59" t="str">
        <f t="shared" si="5"/>
        <v>[effect:change_block, new_block:time_bomb, target:block_blue, count:0, val:0.3, animation:change_block],[effect:change_block, new_block:block_red, target:block_yellow, count:0, val:0, animation:change_block]</v>
      </c>
      <c r="N23" s="44" t="str">
        <f>IFERROR(LEFT(M23,FIND("],",M23)+S31),M23)</f>
        <v>[effect:change_block, new_block:time_bomb, target:block_blue, count:0, val:0.3, animation:change_block],[effect:change_block, new_block:block_red, target:block_yellow, count:0, val:0, animation:change_block]</v>
      </c>
      <c r="O23" s="59">
        <f t="shared" si="6"/>
        <v>9</v>
      </c>
      <c r="P23" s="59">
        <f t="shared" si="7"/>
        <v>21</v>
      </c>
      <c r="Q23" s="59">
        <f t="shared" si="8"/>
        <v>51</v>
      </c>
      <c r="R23" s="59">
        <f t="shared" si="9"/>
        <v>42</v>
      </c>
      <c r="S23" s="59" t="str">
        <f>IFERROR(VLOOKUP(MID(N23,Q23,R23-Q23),[6]skilldef!$C:$D,2,FALSE),"-") &amp; " / " &amp; IFERROR(VLOOKUP(MID(N23,O23,P23-O23),[6]skilldef!$A:$B,2,FALSE),"-")</f>
        <v>- / ブロック変換</v>
      </c>
      <c r="T23" s="44" t="str">
        <f t="shared" si="10"/>
        <v>[effect:change_block, new_block:block_red, target:block_yellow, count:0, val:0, animation:change_block]</v>
      </c>
      <c r="U23" s="59">
        <f t="shared" si="11"/>
        <v>9</v>
      </c>
      <c r="V23" s="59">
        <f t="shared" si="12"/>
        <v>21</v>
      </c>
      <c r="W23" s="59">
        <f t="shared" si="13"/>
        <v>51</v>
      </c>
      <c r="X23" s="59">
        <f t="shared" si="14"/>
        <v>42</v>
      </c>
      <c r="Y23" s="59" t="str">
        <f>IFERROR(VLOOKUP(MID(T23,W23,X23-W23),[6]skilldef!$C:$D,2,FALSE),"-") &amp; " / " &amp; IFERROR(VLOOKUP(MID(T23,U23,V23-U23),[6]skilldef!$A:$B,2,FALSE),"-")</f>
        <v>- / ブロック変換</v>
      </c>
      <c r="Z23" s="46"/>
      <c r="AA23" s="48"/>
      <c r="AB23" s="46"/>
    </row>
    <row r="24" spans="1:28" ht="21" customHeight="1" x14ac:dyDescent="0.15">
      <c r="A24" s="18">
        <v>51002045</v>
      </c>
      <c r="B24" s="96" t="s">
        <v>279</v>
      </c>
      <c r="C24" s="46">
        <v>3</v>
      </c>
      <c r="D24" s="46" t="s">
        <v>123</v>
      </c>
      <c r="E24" s="47" t="s">
        <v>280</v>
      </c>
      <c r="F24" s="47" t="s">
        <v>281</v>
      </c>
      <c r="G24" s="59" t="str">
        <f t="shared" si="0"/>
        <v>[effect:rush, count:3, val:0.4]</v>
      </c>
      <c r="H24" s="59">
        <f t="shared" si="1"/>
        <v>9</v>
      </c>
      <c r="I24" s="59">
        <f t="shared" si="2"/>
        <v>13</v>
      </c>
      <c r="J24" s="59" t="e">
        <f t="shared" si="3"/>
        <v>#VALUE!</v>
      </c>
      <c r="K24" s="59">
        <f t="shared" si="4"/>
        <v>22</v>
      </c>
      <c r="L24" s="59" t="str">
        <f>IFERROR(VLOOKUP(MID(G24,J24,K24-J24),[6]skilldef!$C:$D,2,FALSE),"-") &amp; " / " &amp; IFERROR(VLOOKUP(MID(G24,H24,I24-H24),[6]skilldef!$A:$B,2,FALSE),"-")</f>
        <v>- / 連続攻撃</v>
      </c>
      <c r="M24" s="59" t="str">
        <f t="shared" si="5"/>
        <v>none</v>
      </c>
      <c r="N24" s="44" t="str">
        <f>IFERROR(LEFT(M24,FIND("],",M24)+S32),M24)</f>
        <v>none</v>
      </c>
      <c r="O24" s="59" t="e">
        <f t="shared" si="6"/>
        <v>#VALUE!</v>
      </c>
      <c r="P24" s="59">
        <f t="shared" si="7"/>
        <v>4</v>
      </c>
      <c r="Q24" s="59" t="e">
        <f t="shared" si="8"/>
        <v>#VALUE!</v>
      </c>
      <c r="R24" s="59" t="e">
        <f t="shared" si="9"/>
        <v>#VALUE!</v>
      </c>
      <c r="S24" s="59" t="str">
        <f>IFERROR(VLOOKUP(MID(N24,Q24,R24-Q24),[6]skilldef!$C:$D,2,FALSE),"-") &amp; " / " &amp; IFERROR(VLOOKUP(MID(N24,O24,P24-O24),[6]skilldef!$A:$B,2,FALSE),"-")</f>
        <v>- / -</v>
      </c>
      <c r="T24" s="44" t="str">
        <f t="shared" si="10"/>
        <v>none</v>
      </c>
      <c r="U24" s="59" t="e">
        <f t="shared" si="11"/>
        <v>#VALUE!</v>
      </c>
      <c r="V24" s="59">
        <f t="shared" si="12"/>
        <v>4</v>
      </c>
      <c r="W24" s="59" t="e">
        <f t="shared" si="13"/>
        <v>#VALUE!</v>
      </c>
      <c r="X24" s="59" t="e">
        <f t="shared" si="14"/>
        <v>#VALUE!</v>
      </c>
      <c r="Y24" s="59" t="str">
        <f>IFERROR(VLOOKUP(MID(T24,W24,X24-W24),[6]skilldef!$C:$D,2,FALSE),"-") &amp; " / " &amp; IFERROR(VLOOKUP(MID(T24,U24,V24-U24),[6]skilldef!$A:$B,2,FALSE),"-")</f>
        <v>- / -</v>
      </c>
      <c r="Z24" s="46"/>
      <c r="AA24" s="48"/>
      <c r="AB24" s="46"/>
    </row>
    <row r="25" spans="1:28" ht="21" customHeight="1" x14ac:dyDescent="0.15">
      <c r="A25" s="18">
        <v>51002046</v>
      </c>
      <c r="B25" s="96" t="s">
        <v>282</v>
      </c>
      <c r="C25" s="46">
        <v>3</v>
      </c>
      <c r="D25" s="46" t="s">
        <v>243</v>
      </c>
      <c r="E25" s="47" t="s">
        <v>283</v>
      </c>
      <c r="F25" s="47" t="s">
        <v>281</v>
      </c>
      <c r="G25" s="59" t="str">
        <f t="shared" si="0"/>
        <v>[effect:rush, count:3, val:0.5]</v>
      </c>
      <c r="H25" s="59">
        <f t="shared" si="1"/>
        <v>9</v>
      </c>
      <c r="I25" s="59">
        <f t="shared" si="2"/>
        <v>13</v>
      </c>
      <c r="J25" s="59" t="e">
        <f t="shared" si="3"/>
        <v>#VALUE!</v>
      </c>
      <c r="K25" s="59">
        <f t="shared" si="4"/>
        <v>22</v>
      </c>
      <c r="L25" s="59" t="str">
        <f>IFERROR(VLOOKUP(MID(G25,J25,K25-J25),[6]skilldef!$C:$D,2,FALSE),"-") &amp; " / " &amp; IFERROR(VLOOKUP(MID(G25,H25,I25-H25),[6]skilldef!$A:$B,2,FALSE),"-")</f>
        <v>- / 連続攻撃</v>
      </c>
      <c r="M25" s="59" t="str">
        <f t="shared" si="5"/>
        <v>none</v>
      </c>
      <c r="N25" s="44" t="str">
        <f>IFERROR(LEFT(M25,FIND("],",M25)+#REF!),M25)</f>
        <v>none</v>
      </c>
      <c r="O25" s="59" t="e">
        <f t="shared" si="6"/>
        <v>#VALUE!</v>
      </c>
      <c r="P25" s="59">
        <f t="shared" si="7"/>
        <v>4</v>
      </c>
      <c r="Q25" s="59" t="e">
        <f t="shared" si="8"/>
        <v>#VALUE!</v>
      </c>
      <c r="R25" s="59" t="e">
        <f t="shared" si="9"/>
        <v>#VALUE!</v>
      </c>
      <c r="S25" s="59" t="str">
        <f>IFERROR(VLOOKUP(MID(N25,Q25,R25-Q25),[6]skilldef!$C:$D,2,FALSE),"-") &amp; " / " &amp; IFERROR(VLOOKUP(MID(N25,O25,P25-O25),[6]skilldef!$A:$B,2,FALSE),"-")</f>
        <v>- / -</v>
      </c>
      <c r="T25" s="44" t="str">
        <f t="shared" si="10"/>
        <v>none</v>
      </c>
      <c r="U25" s="59" t="e">
        <f t="shared" si="11"/>
        <v>#VALUE!</v>
      </c>
      <c r="V25" s="59">
        <f t="shared" si="12"/>
        <v>4</v>
      </c>
      <c r="W25" s="59" t="e">
        <f t="shared" si="13"/>
        <v>#VALUE!</v>
      </c>
      <c r="X25" s="59" t="e">
        <f t="shared" si="14"/>
        <v>#VALUE!</v>
      </c>
      <c r="Y25" s="59" t="str">
        <f>IFERROR(VLOOKUP(MID(T25,W25,X25-W25),[6]skilldef!$C:$D,2,FALSE),"-") &amp; " / " &amp; IFERROR(VLOOKUP(MID(T25,U25,V25-U25),[6]skilldef!$A:$B,2,FALSE),"-")</f>
        <v>- / -</v>
      </c>
      <c r="Z25" s="46"/>
      <c r="AA25" s="48"/>
      <c r="AB25" s="46"/>
    </row>
    <row r="26" spans="1:28" ht="21" customHeight="1" x14ac:dyDescent="0.15">
      <c r="A26" s="18">
        <v>51002047</v>
      </c>
      <c r="B26" s="96" t="s">
        <v>284</v>
      </c>
      <c r="C26" s="46">
        <v>3</v>
      </c>
      <c r="D26" s="46" t="s">
        <v>123</v>
      </c>
      <c r="E26" s="47" t="s">
        <v>285</v>
      </c>
      <c r="F26" s="47" t="s">
        <v>281</v>
      </c>
      <c r="G26" s="59" t="str">
        <f t="shared" si="0"/>
        <v>[effect:rush, count:3, val:0.55]</v>
      </c>
      <c r="H26" s="59">
        <f t="shared" si="1"/>
        <v>9</v>
      </c>
      <c r="I26" s="59">
        <f t="shared" si="2"/>
        <v>13</v>
      </c>
      <c r="J26" s="59" t="e">
        <f t="shared" si="3"/>
        <v>#VALUE!</v>
      </c>
      <c r="K26" s="59">
        <f t="shared" si="4"/>
        <v>22</v>
      </c>
      <c r="L26" s="59" t="str">
        <f>IFERROR(VLOOKUP(MID(G26,J26,K26-J26),[6]skilldef!$C:$D,2,FALSE),"-") &amp; " / " &amp; IFERROR(VLOOKUP(MID(G26,H26,I26-H26),[6]skilldef!$A:$B,2,FALSE),"-")</f>
        <v>- / 連続攻撃</v>
      </c>
      <c r="M26" s="59" t="str">
        <f t="shared" si="5"/>
        <v>none</v>
      </c>
      <c r="N26" s="44" t="str">
        <f>IFERROR(LEFT(M26,FIND("],",M26)+#REF!),M26)</f>
        <v>none</v>
      </c>
      <c r="O26" s="59" t="e">
        <f t="shared" si="6"/>
        <v>#VALUE!</v>
      </c>
      <c r="P26" s="59">
        <f t="shared" si="7"/>
        <v>4</v>
      </c>
      <c r="Q26" s="59" t="e">
        <f t="shared" si="8"/>
        <v>#VALUE!</v>
      </c>
      <c r="R26" s="59" t="e">
        <f t="shared" si="9"/>
        <v>#VALUE!</v>
      </c>
      <c r="S26" s="59" t="str">
        <f>IFERROR(VLOOKUP(MID(N26,Q26,R26-Q26),[6]skilldef!$C:$D,2,FALSE),"-") &amp; " / " &amp; IFERROR(VLOOKUP(MID(N26,O26,P26-O26),[6]skilldef!$A:$B,2,FALSE),"-")</f>
        <v>- / -</v>
      </c>
      <c r="T26" s="44" t="str">
        <f t="shared" si="10"/>
        <v>none</v>
      </c>
      <c r="U26" s="59" t="e">
        <f t="shared" si="11"/>
        <v>#VALUE!</v>
      </c>
      <c r="V26" s="59">
        <f t="shared" si="12"/>
        <v>4</v>
      </c>
      <c r="W26" s="59" t="e">
        <f t="shared" si="13"/>
        <v>#VALUE!</v>
      </c>
      <c r="X26" s="59" t="e">
        <f t="shared" si="14"/>
        <v>#VALUE!</v>
      </c>
      <c r="Y26" s="59" t="str">
        <f>IFERROR(VLOOKUP(MID(T26,W26,X26-W26),[6]skilldef!$C:$D,2,FALSE),"-") &amp; " / " &amp; IFERROR(VLOOKUP(MID(T26,U26,V26-U26),[6]skilldef!$A:$B,2,FALSE),"-")</f>
        <v>- / -</v>
      </c>
      <c r="Z26" s="46"/>
      <c r="AA26" s="48"/>
      <c r="AB26" s="46"/>
    </row>
    <row r="27" spans="1:28" ht="21" customHeight="1" x14ac:dyDescent="0.15">
      <c r="A27" s="18">
        <v>51002048</v>
      </c>
      <c r="B27" s="96" t="s">
        <v>286</v>
      </c>
      <c r="C27" s="46">
        <v>3</v>
      </c>
      <c r="D27" s="46" t="s">
        <v>123</v>
      </c>
      <c r="E27" s="47" t="s">
        <v>285</v>
      </c>
      <c r="F27" s="47" t="s">
        <v>281</v>
      </c>
      <c r="G27" s="59" t="str">
        <f t="shared" si="0"/>
        <v>[effect:rush, count:3, val:0.6]</v>
      </c>
      <c r="H27" s="59">
        <f t="shared" si="1"/>
        <v>9</v>
      </c>
      <c r="I27" s="59">
        <f t="shared" si="2"/>
        <v>13</v>
      </c>
      <c r="J27" s="59" t="e">
        <f t="shared" si="3"/>
        <v>#VALUE!</v>
      </c>
      <c r="K27" s="59">
        <f t="shared" si="4"/>
        <v>22</v>
      </c>
      <c r="L27" s="59" t="str">
        <f>IFERROR(VLOOKUP(MID(G27,J27,K27-J27),[6]skilldef!$C:$D,2,FALSE),"-") &amp; " / " &amp; IFERROR(VLOOKUP(MID(G27,H27,I27-H27),[6]skilldef!$A:$B,2,FALSE),"-")</f>
        <v>- / 連続攻撃</v>
      </c>
      <c r="M27" s="59" t="str">
        <f t="shared" si="5"/>
        <v>none</v>
      </c>
      <c r="N27" s="44" t="str">
        <f>IFERROR(LEFT(M27,FIND("],",M27)+#REF!),M27)</f>
        <v>none</v>
      </c>
      <c r="O27" s="59" t="e">
        <f t="shared" si="6"/>
        <v>#VALUE!</v>
      </c>
      <c r="P27" s="59">
        <f t="shared" si="7"/>
        <v>4</v>
      </c>
      <c r="Q27" s="59" t="e">
        <f t="shared" si="8"/>
        <v>#VALUE!</v>
      </c>
      <c r="R27" s="59" t="e">
        <f t="shared" si="9"/>
        <v>#VALUE!</v>
      </c>
      <c r="S27" s="59" t="str">
        <f>IFERROR(VLOOKUP(MID(N27,Q27,R27-Q27),[6]skilldef!$C:$D,2,FALSE),"-") &amp; " / " &amp; IFERROR(VLOOKUP(MID(N27,O27,P27-O27),[6]skilldef!$A:$B,2,FALSE),"-")</f>
        <v>- / -</v>
      </c>
      <c r="T27" s="44" t="str">
        <f t="shared" si="10"/>
        <v>none</v>
      </c>
      <c r="U27" s="59" t="e">
        <f t="shared" si="11"/>
        <v>#VALUE!</v>
      </c>
      <c r="V27" s="59">
        <f t="shared" si="12"/>
        <v>4</v>
      </c>
      <c r="W27" s="59" t="e">
        <f t="shared" si="13"/>
        <v>#VALUE!</v>
      </c>
      <c r="X27" s="59" t="e">
        <f t="shared" si="14"/>
        <v>#VALUE!</v>
      </c>
      <c r="Y27" s="59" t="str">
        <f>IFERROR(VLOOKUP(MID(T27,W27,X27-W27),[6]skilldef!$C:$D,2,FALSE),"-") &amp; " / " &amp; IFERROR(VLOOKUP(MID(T27,U27,V27-U27),[6]skilldef!$A:$B,2,FALSE),"-")</f>
        <v>- / -</v>
      </c>
      <c r="Z27" s="46"/>
      <c r="AA27" s="48"/>
      <c r="AB27" s="46"/>
    </row>
    <row r="28" spans="1:28" ht="21" customHeight="1" x14ac:dyDescent="0.15">
      <c r="A28" s="18">
        <v>51002051</v>
      </c>
      <c r="B28" s="43" t="s">
        <v>356</v>
      </c>
      <c r="C28" s="46">
        <v>3</v>
      </c>
      <c r="D28" s="46" t="s">
        <v>123</v>
      </c>
      <c r="E28" s="47" t="s">
        <v>287</v>
      </c>
      <c r="F28" s="47" t="s">
        <v>288</v>
      </c>
      <c r="G28" s="59" t="str">
        <f t="shared" si="0"/>
        <v>[effect:tolerance, target:myself, turn:-1, tolerance_effect:hungup, count:-1]</v>
      </c>
      <c r="H28" s="59">
        <f t="shared" si="1"/>
        <v>9</v>
      </c>
      <c r="I28" s="59">
        <f t="shared" si="2"/>
        <v>18</v>
      </c>
      <c r="J28" s="59">
        <f t="shared" si="3"/>
        <v>27</v>
      </c>
      <c r="K28" s="59">
        <f t="shared" si="4"/>
        <v>33</v>
      </c>
      <c r="L28" s="59" t="str">
        <f>IFERROR(VLOOKUP(MID(G28,J28,K28-J28),[6]skilldef!$C:$D,2,FALSE),"-") &amp; " / " &amp; IFERROR(VLOOKUP(MID(G28,H28,I28-H28),[6]skilldef!$A:$B,2,FALSE),"-")</f>
        <v>自分自身に / 状態異常耐性</v>
      </c>
      <c r="M28" s="59" t="str">
        <f t="shared" si="5"/>
        <v>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val:0.67, animation:enemy_counter][effect:fix_speed, target:myself, turn:3]</v>
      </c>
      <c r="N28" s="44" t="str">
        <f>IFERROR(LEFT(M28,FIND("],",M28)+S33),M28)</f>
        <v>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val:0.67, animation:enemy_counter][effect:fix_speed, target:myself, turn:3]</v>
      </c>
      <c r="O28" s="59">
        <f t="shared" si="6"/>
        <v>9</v>
      </c>
      <c r="P28" s="59">
        <f t="shared" si="7"/>
        <v>18</v>
      </c>
      <c r="Q28" s="59">
        <f t="shared" si="8"/>
        <v>27</v>
      </c>
      <c r="R28" s="59">
        <f t="shared" si="9"/>
        <v>33</v>
      </c>
      <c r="S28" s="59" t="str">
        <f>IFERROR(VLOOKUP(MID(N28,Q28,R28-Q28),[6]skilldef!$C:$D,2,FALSE),"-") &amp; " / " &amp; IFERROR(VLOOKUP(MID(N28,O28,P28-O28),[6]skilldef!$A:$B,2,FALSE),"-")</f>
        <v>自分自身に / 状態異常耐性</v>
      </c>
      <c r="T28" s="44" t="str">
        <f t="shared" si="10"/>
        <v>[effect:tolerance, target:myself, turn:-1, tolerance_effect:sleep, count:-1, animation:enemy_tolerance],[effect:enemy_counter, target:myself, invoke_condition:unit_all, counter_target:attacker, turn:5, val:0.67, animation:enemy_counter][effect:fix_speed, target:myself, turn:3]</v>
      </c>
      <c r="U28" s="59">
        <f t="shared" si="11"/>
        <v>9</v>
      </c>
      <c r="V28" s="59">
        <f t="shared" si="12"/>
        <v>18</v>
      </c>
      <c r="W28" s="59">
        <f t="shared" si="13"/>
        <v>27</v>
      </c>
      <c r="X28" s="59">
        <f t="shared" si="14"/>
        <v>33</v>
      </c>
      <c r="Y28" s="59" t="str">
        <f>IFERROR(VLOOKUP(MID(T28,W28,X28-W28),[6]skilldef!$C:$D,2,FALSE),"-") &amp; " / " &amp; IFERROR(VLOOKUP(MID(T28,U28,V28-U28),[6]skilldef!$A:$B,2,FALSE),"-")</f>
        <v>自分自身に / 状態異常耐性</v>
      </c>
      <c r="Z28" s="46"/>
      <c r="AA28" s="48"/>
      <c r="AB28" s="46"/>
    </row>
    <row r="29" spans="1:28" ht="21" customHeight="1" x14ac:dyDescent="0.15">
      <c r="A29" s="18">
        <v>51002052</v>
      </c>
      <c r="B29" s="43" t="s">
        <v>289</v>
      </c>
      <c r="C29" s="46">
        <v>3</v>
      </c>
      <c r="D29" s="46" t="s">
        <v>123</v>
      </c>
      <c r="E29" s="47" t="s">
        <v>290</v>
      </c>
      <c r="F29" s="47" t="s">
        <v>291</v>
      </c>
      <c r="G29" s="59" t="str">
        <f t="shared" si="0"/>
        <v>[effect:damage_anti_color, target:unit_all, color:red, val1:0.6, val2:0.28]</v>
      </c>
      <c r="H29" s="59">
        <f t="shared" si="1"/>
        <v>9</v>
      </c>
      <c r="I29" s="59">
        <f t="shared" si="2"/>
        <v>26</v>
      </c>
      <c r="J29" s="59">
        <f t="shared" si="3"/>
        <v>35</v>
      </c>
      <c r="K29" s="59">
        <f t="shared" si="4"/>
        <v>43</v>
      </c>
      <c r="L29" s="59" t="str">
        <f>IFERROR(VLOOKUP(MID(G29,J29,K29-J29),[6]skilldef!$C:$D,2,FALSE),"-") &amp; " / " &amp; IFERROR(VLOOKUP(MID(G29,H29,I29-H29),[6]skilldef!$A:$B,2,FALSE),"-")</f>
        <v>味方全体に / 属性キラー</v>
      </c>
      <c r="M29" s="59" t="str">
        <f t="shared" si="5"/>
        <v>none</v>
      </c>
      <c r="N29" s="44" t="str">
        <f>IFERROR(LEFT(M29,FIND("],",M29)+S34),M29)</f>
        <v>none</v>
      </c>
      <c r="O29" s="59" t="e">
        <f t="shared" si="6"/>
        <v>#VALUE!</v>
      </c>
      <c r="P29" s="59">
        <f t="shared" si="7"/>
        <v>4</v>
      </c>
      <c r="Q29" s="59" t="e">
        <f t="shared" si="8"/>
        <v>#VALUE!</v>
      </c>
      <c r="R29" s="59" t="e">
        <f t="shared" si="9"/>
        <v>#VALUE!</v>
      </c>
      <c r="S29" s="59" t="str">
        <f>IFERROR(VLOOKUP(MID(N29,Q29,R29-Q29),[6]skilldef!$C:$D,2,FALSE),"-") &amp; " / " &amp; IFERROR(VLOOKUP(MID(N29,O29,P29-O29),[6]skilldef!$A:$B,2,FALSE),"-")</f>
        <v>- / -</v>
      </c>
      <c r="T29" s="44" t="str">
        <f t="shared" si="10"/>
        <v>none</v>
      </c>
      <c r="U29" s="59" t="e">
        <f t="shared" si="11"/>
        <v>#VALUE!</v>
      </c>
      <c r="V29" s="59">
        <f t="shared" si="12"/>
        <v>4</v>
      </c>
      <c r="W29" s="59" t="e">
        <f t="shared" si="13"/>
        <v>#VALUE!</v>
      </c>
      <c r="X29" s="59" t="e">
        <f t="shared" si="14"/>
        <v>#VALUE!</v>
      </c>
      <c r="Y29" s="59" t="str">
        <f>IFERROR(VLOOKUP(MID(T29,W29,X29-W29),[6]skilldef!$C:$D,2,FALSE),"-") &amp; " / " &amp; IFERROR(VLOOKUP(MID(T29,U29,V29-U29),[6]skilldef!$A:$B,2,FALSE),"-")</f>
        <v>- / -</v>
      </c>
      <c r="Z29" s="46"/>
      <c r="AA29" s="48"/>
      <c r="AB29" s="46"/>
    </row>
    <row r="30" spans="1:28" ht="21" customHeight="1" x14ac:dyDescent="0.15">
      <c r="A30" s="18">
        <v>51002053</v>
      </c>
      <c r="B30" s="43" t="s">
        <v>230</v>
      </c>
      <c r="C30" s="46">
        <v>3</v>
      </c>
      <c r="D30" s="46" t="s">
        <v>123</v>
      </c>
      <c r="E30" s="47" t="s">
        <v>292</v>
      </c>
      <c r="F30" s="47" t="s">
        <v>293</v>
      </c>
      <c r="G30" s="59" t="str">
        <f t="shared" si="0"/>
        <v>[effect:nothing]</v>
      </c>
      <c r="H30" s="59">
        <f t="shared" si="1"/>
        <v>9</v>
      </c>
      <c r="I30" s="59">
        <f t="shared" si="2"/>
        <v>16</v>
      </c>
      <c r="J30" s="59" t="e">
        <f t="shared" si="3"/>
        <v>#VALUE!</v>
      </c>
      <c r="K30" s="59" t="e">
        <f t="shared" si="4"/>
        <v>#VALUE!</v>
      </c>
      <c r="L30" s="59" t="str">
        <f>IFERROR(VLOOKUP(MID(G30,J30,K30-J30),[6]skilldef!$C:$D,2,FALSE),"-") &amp; " / " &amp; IFERROR(VLOOKUP(MID(G30,H30,I30-H30),[6]skilldef!$A:$B,2,FALSE),"-")</f>
        <v>- / 何もしない</v>
      </c>
      <c r="M30" s="59" t="str">
        <f t="shared" si="5"/>
        <v>none</v>
      </c>
      <c r="N30" s="44" t="str">
        <f>IFERROR(LEFT(M30,FIND("],",M30)+S35),M30)</f>
        <v>none</v>
      </c>
      <c r="O30" s="59" t="e">
        <f t="shared" si="6"/>
        <v>#VALUE!</v>
      </c>
      <c r="P30" s="59">
        <f t="shared" si="7"/>
        <v>4</v>
      </c>
      <c r="Q30" s="59" t="e">
        <f t="shared" si="8"/>
        <v>#VALUE!</v>
      </c>
      <c r="R30" s="59" t="e">
        <f t="shared" si="9"/>
        <v>#VALUE!</v>
      </c>
      <c r="S30" s="59" t="str">
        <f>IFERROR(VLOOKUP(MID(N30,Q30,R30-Q30),[6]skilldef!$C:$D,2,FALSE),"-") &amp; " / " &amp; IFERROR(VLOOKUP(MID(N30,O30,P30-O30),[6]skilldef!$A:$B,2,FALSE),"-")</f>
        <v>- / -</v>
      </c>
      <c r="T30" s="44" t="str">
        <f t="shared" si="10"/>
        <v>none</v>
      </c>
      <c r="U30" s="59" t="e">
        <f t="shared" si="11"/>
        <v>#VALUE!</v>
      </c>
      <c r="V30" s="59">
        <f t="shared" si="12"/>
        <v>4</v>
      </c>
      <c r="W30" s="59" t="e">
        <f t="shared" si="13"/>
        <v>#VALUE!</v>
      </c>
      <c r="X30" s="59" t="e">
        <f t="shared" si="14"/>
        <v>#VALUE!</v>
      </c>
      <c r="Y30" s="59" t="str">
        <f>IFERROR(VLOOKUP(MID(T30,W30,X30-W30),[6]skilldef!$C:$D,2,FALSE),"-") &amp; " / " &amp; IFERROR(VLOOKUP(MID(T30,U30,V30-U30),[6]skilldef!$A:$B,2,FALSE),"-")</f>
        <v>- / -</v>
      </c>
      <c r="Z30" s="46"/>
      <c r="AA30" s="48"/>
      <c r="AB30" s="46"/>
    </row>
    <row r="31" spans="1:28" ht="21" customHeight="1" x14ac:dyDescent="0.15">
      <c r="A31" s="18">
        <v>51002054</v>
      </c>
      <c r="B31" s="43" t="s">
        <v>358</v>
      </c>
      <c r="C31" s="46">
        <v>3</v>
      </c>
      <c r="D31" s="46" t="s">
        <v>123</v>
      </c>
      <c r="E31" s="47" t="s">
        <v>294</v>
      </c>
      <c r="F31" s="47" t="s">
        <v>295</v>
      </c>
      <c r="G31" s="59" t="str">
        <f t="shared" si="0"/>
        <v>[effect:remove_enhancement, target:unit_all, target_effect:enhance, target_type:buff, status:defense, animation:frozen_wave]</v>
      </c>
      <c r="H31" s="59">
        <f t="shared" si="1"/>
        <v>9</v>
      </c>
      <c r="I31" s="59">
        <f t="shared" si="2"/>
        <v>27</v>
      </c>
      <c r="J31" s="59">
        <f t="shared" si="3"/>
        <v>36</v>
      </c>
      <c r="K31" s="59">
        <f t="shared" si="4"/>
        <v>44</v>
      </c>
      <c r="L31" s="59" t="str">
        <f>IFERROR(VLOOKUP(MID(G31,J31,K31-J31),[6]skilldef!$C:$D,2,FALSE),"-") &amp; " / " &amp; IFERROR(VLOOKUP(MID(G31,H31,I31-H31),[6]skilldef!$A:$B,2,FALSE),"-")</f>
        <v>味方全体に / -</v>
      </c>
      <c r="M31" s="59" t="str">
        <f t="shared" si="5"/>
        <v>[effect:remove_enhancement, target:unit_all, target_effect:reduction, target_type:buff],[effect:critical, val:2.35]</v>
      </c>
      <c r="N31" s="44" t="str">
        <f>IFERROR(LEFT(M31,FIND("],",M31)+S36),M31)</f>
        <v>[effect:remove_enhancement, target:unit_all, target_effect:reduction, target_type:buff],[effect:critical, val:2.35]</v>
      </c>
      <c r="O31" s="59">
        <f t="shared" si="6"/>
        <v>9</v>
      </c>
      <c r="P31" s="59">
        <f t="shared" si="7"/>
        <v>27</v>
      </c>
      <c r="Q31" s="59">
        <f t="shared" si="8"/>
        <v>36</v>
      </c>
      <c r="R31" s="59">
        <f t="shared" si="9"/>
        <v>44</v>
      </c>
      <c r="S31" s="59" t="str">
        <f>IFERROR(VLOOKUP(MID(N31,Q31,R31-Q31),[6]skilldef!$C:$D,2,FALSE),"-") &amp; " / " &amp; IFERROR(VLOOKUP(MID(N31,O31,P31-O31),[6]skilldef!$A:$B,2,FALSE),"-")</f>
        <v>味方全体に / -</v>
      </c>
      <c r="T31" s="44" t="str">
        <f t="shared" si="10"/>
        <v>[effect:critical, val:2.35]</v>
      </c>
      <c r="U31" s="59">
        <f t="shared" si="11"/>
        <v>9</v>
      </c>
      <c r="V31" s="59">
        <f t="shared" si="12"/>
        <v>17</v>
      </c>
      <c r="W31" s="59" t="e">
        <f t="shared" si="13"/>
        <v>#VALUE!</v>
      </c>
      <c r="X31" s="59" t="e">
        <f t="shared" si="14"/>
        <v>#VALUE!</v>
      </c>
      <c r="Y31" s="59" t="str">
        <f>IFERROR(VLOOKUP(MID(T31,W31,X31-W31),[6]skilldef!$C:$D,2,FALSE),"-") &amp; " / " &amp; IFERROR(VLOOKUP(MID(T31,U31,V31-U31),[6]skilldef!$A:$B,2,FALSE),"-")</f>
        <v>- / 大攻撃</v>
      </c>
      <c r="Z31" s="46"/>
      <c r="AA31" s="48"/>
      <c r="AB31" s="46"/>
    </row>
    <row r="32" spans="1:28" ht="21" customHeight="1" x14ac:dyDescent="0.15">
      <c r="A32" s="18">
        <v>51002055</v>
      </c>
      <c r="B32" s="43" t="s">
        <v>296</v>
      </c>
      <c r="C32" s="46">
        <v>3</v>
      </c>
      <c r="D32" s="46" t="s">
        <v>297</v>
      </c>
      <c r="E32" s="47" t="s">
        <v>298</v>
      </c>
      <c r="F32" s="47" t="s">
        <v>299</v>
      </c>
      <c r="G32" s="59" t="str">
        <f t="shared" si="0"/>
        <v>[effect:kamikaze, val:0.35]</v>
      </c>
      <c r="H32" s="59">
        <f t="shared" si="1"/>
        <v>9</v>
      </c>
      <c r="I32" s="59">
        <f t="shared" si="2"/>
        <v>17</v>
      </c>
      <c r="J32" s="59" t="e">
        <f t="shared" si="3"/>
        <v>#VALUE!</v>
      </c>
      <c r="K32" s="59" t="e">
        <f t="shared" si="4"/>
        <v>#VALUE!</v>
      </c>
      <c r="L32" s="59" t="str">
        <f>IFERROR(VLOOKUP(MID(G32,J32,K32-J32),[6]skilldef!$C:$D,2,FALSE),"-") &amp; " / " &amp; IFERROR(VLOOKUP(MID(G32,H32,I32-H32),[6]skilldef!$A:$B,2,FALSE),"-")</f>
        <v>- / 自爆</v>
      </c>
      <c r="M32" s="59" t="str">
        <f t="shared" si="5"/>
        <v>none</v>
      </c>
      <c r="N32" s="44" t="str">
        <f>IFERROR(LEFT(M32,FIND("],",M32)+S37),M32)</f>
        <v>none</v>
      </c>
      <c r="O32" s="59" t="e">
        <f t="shared" si="6"/>
        <v>#VALUE!</v>
      </c>
      <c r="P32" s="59">
        <f t="shared" si="7"/>
        <v>4</v>
      </c>
      <c r="Q32" s="59" t="e">
        <f t="shared" si="8"/>
        <v>#VALUE!</v>
      </c>
      <c r="R32" s="59" t="e">
        <f t="shared" si="9"/>
        <v>#VALUE!</v>
      </c>
      <c r="S32" s="59" t="str">
        <f>IFERROR(VLOOKUP(MID(N32,Q32,R32-Q32),[6]skilldef!$C:$D,2,FALSE),"-") &amp; " / " &amp; IFERROR(VLOOKUP(MID(N32,O32,P32-O32),[6]skilldef!$A:$B,2,FALSE),"-")</f>
        <v>- / -</v>
      </c>
      <c r="T32" s="44" t="str">
        <f t="shared" si="10"/>
        <v>none</v>
      </c>
      <c r="U32" s="59" t="e">
        <f t="shared" si="11"/>
        <v>#VALUE!</v>
      </c>
      <c r="V32" s="59">
        <f t="shared" si="12"/>
        <v>4</v>
      </c>
      <c r="W32" s="59" t="e">
        <f t="shared" si="13"/>
        <v>#VALUE!</v>
      </c>
      <c r="X32" s="59" t="e">
        <f t="shared" si="14"/>
        <v>#VALUE!</v>
      </c>
      <c r="Y32" s="59" t="str">
        <f>IFERROR(VLOOKUP(MID(T32,W32,X32-W32),[6]skilldef!$C:$D,2,FALSE),"-") &amp; " / " &amp; IFERROR(VLOOKUP(MID(T32,U32,V32-U32),[6]skilldef!$A:$B,2,FALSE),"-")</f>
        <v>- / -</v>
      </c>
      <c r="Z32" s="46"/>
      <c r="AA32" s="48"/>
      <c r="AB32" s="46"/>
    </row>
    <row r="33" spans="1:28" ht="21" customHeight="1" x14ac:dyDescent="0.15">
      <c r="A33" s="18">
        <v>51002061</v>
      </c>
      <c r="B33" s="43" t="s">
        <v>301</v>
      </c>
      <c r="C33" s="46">
        <v>3</v>
      </c>
      <c r="D33" s="46" t="s">
        <v>302</v>
      </c>
      <c r="E33" s="47" t="s">
        <v>303</v>
      </c>
      <c r="F33" s="47" t="s">
        <v>304</v>
      </c>
      <c r="G33" s="59" t="str">
        <f t="shared" si="0"/>
        <v>[effect:fix_speed, target:myself, turn:1]</v>
      </c>
      <c r="H33" s="59">
        <f t="shared" si="1"/>
        <v>9</v>
      </c>
      <c r="I33" s="59">
        <f t="shared" si="2"/>
        <v>18</v>
      </c>
      <c r="J33" s="59">
        <f t="shared" si="3"/>
        <v>27</v>
      </c>
      <c r="K33" s="59">
        <f t="shared" si="4"/>
        <v>33</v>
      </c>
      <c r="L33" s="59" t="str">
        <f>IFERROR(VLOOKUP(MID(G33,J33,K33-J33),[6]skilldef!$C:$D,2,FALSE),"-") &amp; " / " &amp; IFERROR(VLOOKUP(MID(G33,H33,I33-H33),[6]skilldef!$A:$B,2,FALSE),"-")</f>
        <v>自分自身に / 行動値設定</v>
      </c>
      <c r="M33" s="59" t="str">
        <f t="shared" si="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v>
      </c>
      <c r="N33" s="44" t="str">
        <f t="shared" ref="N33:N38" si="15">IFERROR(LEFT(M33,FIND("],",M33)+S39),M33)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v>
      </c>
      <c r="O33" s="59">
        <f t="shared" si="6"/>
        <v>9</v>
      </c>
      <c r="P33" s="59">
        <f t="shared" si="7"/>
        <v>18</v>
      </c>
      <c r="Q33" s="59">
        <f t="shared" si="8"/>
        <v>27</v>
      </c>
      <c r="R33" s="59">
        <f t="shared" si="9"/>
        <v>33</v>
      </c>
      <c r="S33" s="59" t="str">
        <f>IFERROR(VLOOKUP(MID(N33,Q33,R33-Q33),[6]skilldef!$C:$D,2,FALSE),"-") &amp; " / " &amp; IFERROR(VLOOKUP(MID(N33,O33,P33-O33),[6]skilldef!$A:$B,2,FALSE),"-")</f>
        <v>自分自身に / 状態異常耐性</v>
      </c>
      <c r="T33" s="44" t="str">
        <f t="shared" si="10"/>
        <v>[effect:tolerance, target:myself, turn:-1, tolerance_effect:virus, count:-1],[effect:tolerance, target:myself, turn:-1, tolerance_effect:sleep, count:-1, animation:enemy_tolerance],[effect:hungup, target:unit_blue, turn:5, rate:1, animation:hungup01]</v>
      </c>
      <c r="U33" s="59">
        <f t="shared" si="11"/>
        <v>9</v>
      </c>
      <c r="V33" s="59">
        <f t="shared" si="12"/>
        <v>18</v>
      </c>
      <c r="W33" s="59">
        <f t="shared" si="13"/>
        <v>27</v>
      </c>
      <c r="X33" s="59">
        <f t="shared" si="14"/>
        <v>33</v>
      </c>
      <c r="Y33" s="59" t="str">
        <f>IFERROR(VLOOKUP(MID(T33,W33,X33-W33),[6]skilldef!$C:$D,2,FALSE),"-") &amp; " / " &amp; IFERROR(VLOOKUP(MID(T33,U33,V33-U33),[6]skilldef!$A:$B,2,FALSE),"-")</f>
        <v>自分自身に / 状態異常耐性</v>
      </c>
      <c r="Z33" s="46"/>
      <c r="AA33" s="48"/>
      <c r="AB33" s="46"/>
    </row>
    <row r="34" spans="1:28" ht="21" customHeight="1" x14ac:dyDescent="0.15">
      <c r="A34" s="18">
        <v>51002062</v>
      </c>
      <c r="B34" s="96" t="s">
        <v>305</v>
      </c>
      <c r="C34" s="46">
        <v>3</v>
      </c>
      <c r="D34" s="46" t="s">
        <v>302</v>
      </c>
      <c r="E34" s="47" t="s">
        <v>306</v>
      </c>
      <c r="F34" s="47" t="s">
        <v>307</v>
      </c>
      <c r="G34" s="59" t="str">
        <f t="shared" si="0"/>
        <v>[effect:spread, val:0.3]</v>
      </c>
      <c r="H34" s="59">
        <f t="shared" si="1"/>
        <v>9</v>
      </c>
      <c r="I34" s="59">
        <f t="shared" si="2"/>
        <v>15</v>
      </c>
      <c r="J34" s="59" t="e">
        <f t="shared" si="3"/>
        <v>#VALUE!</v>
      </c>
      <c r="K34" s="59" t="e">
        <f t="shared" si="4"/>
        <v>#VALUE!</v>
      </c>
      <c r="L34" s="59" t="str">
        <f>IFERROR(VLOOKUP(MID(G34,J34,K34-J34),[6]skilldef!$C:$D,2,FALSE),"-") &amp; " / " &amp; IFERROR(VLOOKUP(MID(G34,H34,I34-H34),[6]skilldef!$A:$B,2,FALSE),"-")</f>
        <v>- / 全体攻撃</v>
      </c>
      <c r="M34" s="59" t="str">
        <f t="shared" si="5"/>
        <v>none</v>
      </c>
      <c r="N34" s="44" t="str">
        <f t="shared" si="15"/>
        <v>none</v>
      </c>
      <c r="O34" s="59" t="e">
        <f t="shared" si="6"/>
        <v>#VALUE!</v>
      </c>
      <c r="P34" s="59">
        <f t="shared" si="7"/>
        <v>4</v>
      </c>
      <c r="Q34" s="59" t="e">
        <f t="shared" si="8"/>
        <v>#VALUE!</v>
      </c>
      <c r="R34" s="59" t="e">
        <f t="shared" si="9"/>
        <v>#VALUE!</v>
      </c>
      <c r="S34" s="59" t="str">
        <f>IFERROR(VLOOKUP(MID(N34,Q34,R34-Q34),[6]skilldef!$C:$D,2,FALSE),"-") &amp; " / " &amp; IFERROR(VLOOKUP(MID(N34,O34,P34-O34),[6]skilldef!$A:$B,2,FALSE),"-")</f>
        <v>- / -</v>
      </c>
      <c r="T34" s="44" t="str">
        <f t="shared" si="10"/>
        <v>none</v>
      </c>
      <c r="U34" s="59" t="e">
        <f t="shared" si="11"/>
        <v>#VALUE!</v>
      </c>
      <c r="V34" s="59">
        <f t="shared" si="12"/>
        <v>4</v>
      </c>
      <c r="W34" s="59" t="e">
        <f t="shared" si="13"/>
        <v>#VALUE!</v>
      </c>
      <c r="X34" s="59" t="e">
        <f t="shared" si="14"/>
        <v>#VALUE!</v>
      </c>
      <c r="Y34" s="59" t="str">
        <f>IFERROR(VLOOKUP(MID(T34,W34,X34-W34),[6]skilldef!$C:$D,2,FALSE),"-") &amp; " / " &amp; IFERROR(VLOOKUP(MID(T34,U34,V34-U34),[6]skilldef!$A:$B,2,FALSE),"-")</f>
        <v>- / -</v>
      </c>
      <c r="Z34" s="46"/>
      <c r="AA34" s="48"/>
      <c r="AB34" s="46"/>
    </row>
    <row r="35" spans="1:28" ht="21" customHeight="1" x14ac:dyDescent="0.15">
      <c r="A35" s="18">
        <v>51002063</v>
      </c>
      <c r="B35" s="43" t="s">
        <v>308</v>
      </c>
      <c r="C35" s="46">
        <v>3</v>
      </c>
      <c r="D35" s="46" t="s">
        <v>309</v>
      </c>
      <c r="E35" s="47" t="s">
        <v>310</v>
      </c>
      <c r="F35" s="47" t="s">
        <v>376</v>
      </c>
      <c r="G35" s="59" t="str">
        <f t="shared" si="0"/>
        <v>[effect:damage_anti_tribe, target:unit_all, tribe:unknown, val1:0.85, val2:0.24]</v>
      </c>
      <c r="H35" s="59">
        <f t="shared" si="1"/>
        <v>9</v>
      </c>
      <c r="I35" s="59">
        <f t="shared" si="2"/>
        <v>26</v>
      </c>
      <c r="J35" s="59">
        <f t="shared" si="3"/>
        <v>35</v>
      </c>
      <c r="K35" s="59">
        <f t="shared" si="4"/>
        <v>43</v>
      </c>
      <c r="L35" s="59" t="str">
        <f>IFERROR(VLOOKUP(MID(G35,J35,K35-J35),[6]skilldef!$C:$D,2,FALSE),"-") &amp; " / " &amp; IFERROR(VLOOKUP(MID(G35,H35,I35-H35),[6]skilldef!$A:$B,2,FALSE),"-")</f>
        <v>味方全体に / 種族キラー</v>
      </c>
      <c r="M35" s="59" t="str">
        <f t="shared" si="5"/>
        <v>none</v>
      </c>
      <c r="N35" s="44" t="str">
        <f t="shared" si="15"/>
        <v>none</v>
      </c>
      <c r="O35" s="59" t="e">
        <f t="shared" si="6"/>
        <v>#VALUE!</v>
      </c>
      <c r="P35" s="59">
        <f t="shared" si="7"/>
        <v>4</v>
      </c>
      <c r="Q35" s="59" t="e">
        <f t="shared" si="8"/>
        <v>#VALUE!</v>
      </c>
      <c r="R35" s="59" t="e">
        <f t="shared" si="9"/>
        <v>#VALUE!</v>
      </c>
      <c r="S35" s="59" t="str">
        <f>IFERROR(VLOOKUP(MID(N35,Q35,R35-Q35),[6]skilldef!$C:$D,2,FALSE),"-") &amp; " / " &amp; IFERROR(VLOOKUP(MID(N35,O35,P35-O35),[6]skilldef!$A:$B,2,FALSE),"-")</f>
        <v>- / -</v>
      </c>
      <c r="T35" s="44" t="str">
        <f t="shared" si="10"/>
        <v>none</v>
      </c>
      <c r="U35" s="59" t="e">
        <f t="shared" si="11"/>
        <v>#VALUE!</v>
      </c>
      <c r="V35" s="59">
        <f t="shared" si="12"/>
        <v>4</v>
      </c>
      <c r="W35" s="59" t="e">
        <f t="shared" si="13"/>
        <v>#VALUE!</v>
      </c>
      <c r="X35" s="59" t="e">
        <f t="shared" si="14"/>
        <v>#VALUE!</v>
      </c>
      <c r="Y35" s="59" t="str">
        <f>IFERROR(VLOOKUP(MID(T35,W35,X35-W35),[6]skilldef!$C:$D,2,FALSE),"-") &amp; " / " &amp; IFERROR(VLOOKUP(MID(T35,U35,V35-U35),[6]skilldef!$A:$B,2,FALSE),"-")</f>
        <v>- / -</v>
      </c>
      <c r="Z35" s="46"/>
      <c r="AA35" s="48"/>
      <c r="AB35" s="46"/>
    </row>
    <row r="36" spans="1:28" ht="21" customHeight="1" x14ac:dyDescent="0.15">
      <c r="A36" s="18">
        <v>51002064</v>
      </c>
      <c r="B36" s="43" t="s">
        <v>230</v>
      </c>
      <c r="C36" s="46">
        <v>3</v>
      </c>
      <c r="D36" s="46" t="s">
        <v>123</v>
      </c>
      <c r="E36" s="47" t="s">
        <v>311</v>
      </c>
      <c r="F36" s="47" t="s">
        <v>312</v>
      </c>
      <c r="G36" s="59" t="str">
        <f t="shared" si="0"/>
        <v>[effect:nothing]</v>
      </c>
      <c r="H36" s="59">
        <f t="shared" si="1"/>
        <v>9</v>
      </c>
      <c r="I36" s="59">
        <f t="shared" si="2"/>
        <v>16</v>
      </c>
      <c r="J36" s="59" t="e">
        <f t="shared" si="3"/>
        <v>#VALUE!</v>
      </c>
      <c r="K36" s="59" t="e">
        <f t="shared" si="4"/>
        <v>#VALUE!</v>
      </c>
      <c r="L36" s="59" t="str">
        <f>IFERROR(VLOOKUP(MID(G36,J36,K36-J36),[6]skilldef!$C:$D,2,FALSE),"-") &amp; " / " &amp; IFERROR(VLOOKUP(MID(G36,H36,I36-H36),[6]skilldef!$A:$B,2,FALSE),"-")</f>
        <v>- / 何もしない</v>
      </c>
      <c r="M36" s="59" t="str">
        <f t="shared" si="5"/>
        <v>none</v>
      </c>
      <c r="N36" s="44" t="str">
        <f t="shared" si="15"/>
        <v>none</v>
      </c>
      <c r="O36" s="59" t="e">
        <f t="shared" si="6"/>
        <v>#VALUE!</v>
      </c>
      <c r="P36" s="59">
        <f t="shared" si="7"/>
        <v>4</v>
      </c>
      <c r="Q36" s="59" t="e">
        <f t="shared" si="8"/>
        <v>#VALUE!</v>
      </c>
      <c r="R36" s="59" t="e">
        <f t="shared" si="9"/>
        <v>#VALUE!</v>
      </c>
      <c r="S36" s="59" t="str">
        <f>IFERROR(VLOOKUP(MID(N36,Q36,R36-Q36),[6]skilldef!$C:$D,2,FALSE),"-") &amp; " / " &amp; IFERROR(VLOOKUP(MID(N36,O36,P36-O36),[6]skilldef!$A:$B,2,FALSE),"-")</f>
        <v>- / -</v>
      </c>
      <c r="T36" s="44" t="str">
        <f t="shared" si="10"/>
        <v>none</v>
      </c>
      <c r="U36" s="59" t="e">
        <f t="shared" si="11"/>
        <v>#VALUE!</v>
      </c>
      <c r="V36" s="59">
        <f t="shared" si="12"/>
        <v>4</v>
      </c>
      <c r="W36" s="59" t="e">
        <f t="shared" si="13"/>
        <v>#VALUE!</v>
      </c>
      <c r="X36" s="59" t="e">
        <f t="shared" si="14"/>
        <v>#VALUE!</v>
      </c>
      <c r="Y36" s="59" t="str">
        <f>IFERROR(VLOOKUP(MID(T36,W36,X36-W36),[6]skilldef!$C:$D,2,FALSE),"-") &amp; " / " &amp; IFERROR(VLOOKUP(MID(T36,U36,V36-U36),[6]skilldef!$A:$B,2,FALSE),"-")</f>
        <v>- / -</v>
      </c>
      <c r="Z36" s="46"/>
      <c r="AA36" s="48"/>
      <c r="AB36" s="46"/>
    </row>
    <row r="37" spans="1:28" ht="21" customHeight="1" x14ac:dyDescent="0.15">
      <c r="A37" s="18">
        <v>51002065</v>
      </c>
      <c r="B37" s="43" t="s">
        <v>359</v>
      </c>
      <c r="C37" s="46">
        <v>3</v>
      </c>
      <c r="D37" s="46" t="s">
        <v>313</v>
      </c>
      <c r="E37" s="47" t="s">
        <v>314</v>
      </c>
      <c r="F37" s="47" t="s">
        <v>295</v>
      </c>
      <c r="G37" s="59" t="str">
        <f t="shared" si="0"/>
        <v>[effect:remove_enhancement, target:unit_all, target_effect:enhance, target_type:buff, status:defense, animation:frozen_wave]</v>
      </c>
      <c r="H37" s="59">
        <f t="shared" si="1"/>
        <v>9</v>
      </c>
      <c r="I37" s="59">
        <f t="shared" si="2"/>
        <v>27</v>
      </c>
      <c r="J37" s="59">
        <f t="shared" si="3"/>
        <v>36</v>
      </c>
      <c r="K37" s="59">
        <f t="shared" si="4"/>
        <v>44</v>
      </c>
      <c r="L37" s="59" t="str">
        <f>IFERROR(VLOOKUP(MID(G37,J37,K37-J37),[6]skilldef!$C:$D,2,FALSE),"-") &amp; " / " &amp; IFERROR(VLOOKUP(MID(G37,H37,I37-H37),[6]skilldef!$A:$B,2,FALSE),"-")</f>
        <v>味方全体に / -</v>
      </c>
      <c r="M37" s="59" t="str">
        <f t="shared" si="5"/>
        <v>[effect:remove_enhancement, target:unit_all, target_effect:reduction, target_type:buff],[effect:critical, val:2.61]</v>
      </c>
      <c r="N37" s="44" t="str">
        <f t="shared" si="15"/>
        <v>[effect:remove_enhancement, target:unit_all, target_effect:reduction, target_type:buff],[effect:critical, val:2.61]</v>
      </c>
      <c r="O37" s="59">
        <f t="shared" si="6"/>
        <v>9</v>
      </c>
      <c r="P37" s="59">
        <f t="shared" si="7"/>
        <v>27</v>
      </c>
      <c r="Q37" s="59">
        <f t="shared" si="8"/>
        <v>36</v>
      </c>
      <c r="R37" s="59">
        <f t="shared" si="9"/>
        <v>44</v>
      </c>
      <c r="S37" s="59" t="str">
        <f>IFERROR(VLOOKUP(MID(N37,Q37,R37-Q37),[6]skilldef!$C:$D,2,FALSE),"-") &amp; " / " &amp; IFERROR(VLOOKUP(MID(N37,O37,P37-O37),[6]skilldef!$A:$B,2,FALSE),"-")</f>
        <v>味方全体に / -</v>
      </c>
      <c r="T37" s="44" t="str">
        <f t="shared" si="10"/>
        <v>[effect:critical, val:2.61]</v>
      </c>
      <c r="U37" s="59">
        <f t="shared" si="11"/>
        <v>9</v>
      </c>
      <c r="V37" s="59">
        <f t="shared" si="12"/>
        <v>17</v>
      </c>
      <c r="W37" s="59" t="e">
        <f t="shared" si="13"/>
        <v>#VALUE!</v>
      </c>
      <c r="X37" s="59" t="e">
        <f t="shared" si="14"/>
        <v>#VALUE!</v>
      </c>
      <c r="Y37" s="59" t="str">
        <f>IFERROR(VLOOKUP(MID(T37,W37,X37-W37),[6]skilldef!$C:$D,2,FALSE),"-") &amp; " / " &amp; IFERROR(VLOOKUP(MID(T37,U37,V37-U37),[6]skilldef!$A:$B,2,FALSE),"-")</f>
        <v>- / 大攻撃</v>
      </c>
      <c r="Z37" s="46"/>
      <c r="AA37" s="48"/>
      <c r="AB37" s="46"/>
    </row>
    <row r="38" spans="1:28" ht="21" customHeight="1" x14ac:dyDescent="0.15">
      <c r="A38" s="18">
        <v>51002066</v>
      </c>
      <c r="B38" s="43" t="s">
        <v>315</v>
      </c>
      <c r="C38" s="46">
        <v>3</v>
      </c>
      <c r="D38" s="46" t="s">
        <v>123</v>
      </c>
      <c r="E38" s="47" t="s">
        <v>316</v>
      </c>
      <c r="F38" s="47" t="s">
        <v>317</v>
      </c>
      <c r="G38" s="59" t="str">
        <f t="shared" ref="G38:G51" si="16">IFERROR(LEFT(B38,FIND("],",B38)),B38)</f>
        <v>[effect:change_panel_ratio, turn:-1, block_type:heal, val:0, animation:block_incidence04]</v>
      </c>
      <c r="H38" s="59">
        <f t="shared" ref="H38:H51" si="17">FIND("effect:",G38)+7</f>
        <v>9</v>
      </c>
      <c r="I38" s="59">
        <f t="shared" ref="I38:I51" si="18">IFERROR(FIND(",",G38),LEN(G38))</f>
        <v>27</v>
      </c>
      <c r="J38" s="59" t="e">
        <f t="shared" ref="J38:J51" si="19">FIND("target:",G38)+7</f>
        <v>#VALUE!</v>
      </c>
      <c r="K38" s="59">
        <f t="shared" ref="K38:K51" si="20">FIND(",",G38,I38+1)</f>
        <v>36</v>
      </c>
      <c r="L38" s="59" t="str">
        <f>IFERROR(VLOOKUP(MID(G38,J38,K38-J38),[6]skilldef!$C:$D,2,FALSE),"-") &amp; " / " &amp; IFERROR(VLOOKUP(MID(G38,H38,I38-H38),[6]skilldef!$A:$B,2,FALSE),"-")</f>
        <v>- / -</v>
      </c>
      <c r="M38" s="59" t="str">
        <f t="shared" ref="M38:M51" si="21">IFERROR(RIGHT(B38,LEN(B38)-FIND("],",B38)-1),"none")</f>
        <v>[effect:remove_enhancement, target:unit_all, target_effect:enhance, target_type:buff, animation:frozen_wave]</v>
      </c>
      <c r="N38" s="44" t="str">
        <f t="shared" si="15"/>
        <v>[effect:remove_enhancement, target:unit_all, target_effect:enhance, target_type:buff, animation:frozen_wave]</v>
      </c>
      <c r="O38" s="59">
        <f t="shared" ref="O38:O51" si="22">FIND("effect:",N38)+7</f>
        <v>9</v>
      </c>
      <c r="P38" s="59">
        <f t="shared" ref="P38:P51" si="23">IFERROR(FIND(",",N38),LEN(N38))</f>
        <v>27</v>
      </c>
      <c r="Q38" s="59">
        <f t="shared" ref="Q38:Q51" si="24">FIND("target:",N38)+7</f>
        <v>36</v>
      </c>
      <c r="R38" s="59">
        <f t="shared" ref="R38:R51" si="25">FIND(",",N38,P38+1)</f>
        <v>44</v>
      </c>
      <c r="S38" s="59" t="str">
        <f>IFERROR(VLOOKUP(MID(N38,Q38,R38-Q38),[6]skilldef!$C:$D,2,FALSE),"-") &amp; " / " &amp; IFERROR(VLOOKUP(MID(N38,O38,P38-O38),[6]skilldef!$A:$B,2,FALSE),"-")</f>
        <v>味方全体に / -</v>
      </c>
      <c r="T38" s="44" t="str">
        <f t="shared" ref="T38:T51" si="26">IFERROR(RIGHT(M38,LEN(M38)-FIND("],",M38)-1),"none")</f>
        <v>none</v>
      </c>
      <c r="U38" s="59" t="e">
        <f t="shared" ref="U38:U51" si="27">FIND("effect:",T38)+7</f>
        <v>#VALUE!</v>
      </c>
      <c r="V38" s="59">
        <f t="shared" ref="V38:V51" si="28">IFERROR(FIND(",",T38),LEN(T38))</f>
        <v>4</v>
      </c>
      <c r="W38" s="59" t="e">
        <f t="shared" ref="W38:W51" si="29">FIND("target:",T38)+7</f>
        <v>#VALUE!</v>
      </c>
      <c r="X38" s="59" t="e">
        <f t="shared" ref="X38:X51" si="30">FIND(",",T38,V38+1)</f>
        <v>#VALUE!</v>
      </c>
      <c r="Y38" s="59" t="str">
        <f>IFERROR(VLOOKUP(MID(T38,W38,X38-W38),[6]skilldef!$C:$D,2,FALSE),"-") &amp; " / " &amp; IFERROR(VLOOKUP(MID(T38,U38,V38-U38),[6]skilldef!$A:$B,2,FALSE),"-")</f>
        <v>- / -</v>
      </c>
      <c r="Z38" s="46"/>
      <c r="AA38" s="48"/>
      <c r="AB38" s="46"/>
    </row>
    <row r="39" spans="1:28" ht="21" customHeight="1" x14ac:dyDescent="0.15">
      <c r="A39" s="18">
        <v>51002071</v>
      </c>
      <c r="B39" s="43" t="s">
        <v>318</v>
      </c>
      <c r="C39" s="46">
        <v>3</v>
      </c>
      <c r="D39" s="46" t="s">
        <v>319</v>
      </c>
      <c r="E39" s="47" t="s">
        <v>320</v>
      </c>
      <c r="F39" s="47" t="s">
        <v>321</v>
      </c>
      <c r="G39" s="59" t="str">
        <f t="shared" si="16"/>
        <v>[effect:tolerance, target:myself, turn:-1, tolerance_effect:hungup, count:-1]</v>
      </c>
      <c r="H39" s="59">
        <f t="shared" si="17"/>
        <v>9</v>
      </c>
      <c r="I39" s="59">
        <f t="shared" si="18"/>
        <v>18</v>
      </c>
      <c r="J39" s="59">
        <f t="shared" si="19"/>
        <v>27</v>
      </c>
      <c r="K39" s="59">
        <f t="shared" si="20"/>
        <v>33</v>
      </c>
      <c r="L39" s="59" t="str">
        <f>IFERROR(VLOOKUP(MID(G39,J39,K39-J39),[6]skilldef!$C:$D,2,FALSE),"-") &amp; " / " &amp; IFERROR(VLOOKUP(MID(G39,H39,I39-H39),[6]skilldef!$A:$B,2,FALSE),"-")</f>
        <v>自分自身に / 状態異常耐性</v>
      </c>
      <c r="M39" s="59" t="str">
        <f t="shared" si="21"/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N39" s="44" t="str">
        <f>IFERROR(LEFT(M39,FIND("],",M39)+#REF!),M39)</f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O39" s="59">
        <f t="shared" si="22"/>
        <v>9</v>
      </c>
      <c r="P39" s="59">
        <f t="shared" si="23"/>
        <v>18</v>
      </c>
      <c r="Q39" s="59">
        <f t="shared" si="24"/>
        <v>27</v>
      </c>
      <c r="R39" s="59">
        <f t="shared" si="25"/>
        <v>33</v>
      </c>
      <c r="S39" s="59" t="str">
        <f>IFERROR(VLOOKUP(MID(N39,Q39,R39-Q39),[6]skilldef!$C:$D,2,FALSE),"-") &amp; " / " &amp; IFERROR(VLOOKUP(MID(N39,O39,P39-O39),[6]skilldef!$A:$B,2,FALSE),"-")</f>
        <v>自分自身に / 状態異常耐性</v>
      </c>
      <c r="T39" s="44" t="str">
        <f t="shared" si="26"/>
        <v xml:space="preserve">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U39" s="59">
        <f t="shared" si="27"/>
        <v>9</v>
      </c>
      <c r="V39" s="59">
        <f t="shared" si="28"/>
        <v>18</v>
      </c>
      <c r="W39" s="59">
        <f t="shared" si="29"/>
        <v>27</v>
      </c>
      <c r="X39" s="59">
        <f t="shared" si="30"/>
        <v>33</v>
      </c>
      <c r="Y39" s="59" t="str">
        <f>IFERROR(VLOOKUP(MID(T39,W39,X39-W39),[6]skilldef!$C:$D,2,FALSE),"-") &amp; " / " &amp; IFERROR(VLOOKUP(MID(T39,U39,V39-U39),[6]skilldef!$A:$B,2,FALSE),"-")</f>
        <v>自分自身に / 状態異常耐性</v>
      </c>
      <c r="Z39" s="46"/>
      <c r="AA39" s="48"/>
      <c r="AB39" s="46"/>
    </row>
    <row r="40" spans="1:28" ht="21" customHeight="1" x14ac:dyDescent="0.15">
      <c r="A40" s="18">
        <v>51002072</v>
      </c>
      <c r="B40" s="43" t="s">
        <v>374</v>
      </c>
      <c r="C40" s="46">
        <v>3</v>
      </c>
      <c r="D40" s="46" t="s">
        <v>123</v>
      </c>
      <c r="E40" s="47" t="s">
        <v>322</v>
      </c>
      <c r="F40" s="47" t="s">
        <v>323</v>
      </c>
      <c r="G40" s="59" t="str">
        <f t="shared" si="16"/>
        <v>[effect:degrade_fever, val:1000, animation:fevergauge_down]</v>
      </c>
      <c r="H40" s="59">
        <f t="shared" si="17"/>
        <v>9</v>
      </c>
      <c r="I40" s="59">
        <f t="shared" si="18"/>
        <v>22</v>
      </c>
      <c r="J40" s="59" t="e">
        <f t="shared" si="19"/>
        <v>#VALUE!</v>
      </c>
      <c r="K40" s="59">
        <f t="shared" si="20"/>
        <v>32</v>
      </c>
      <c r="L40" s="59" t="str">
        <f>IFERROR(VLOOKUP(MID(G40,J40,K40-J40),[6]skilldef!$C:$D,2,FALSE),"-") &amp; " / " &amp; IFERROR(VLOOKUP(MID(G40,H40,I40-H40),[6]skilldef!$A:$B,2,FALSE),"-")</f>
        <v>- / フィーバーゲージ減少</v>
      </c>
      <c r="M40" s="59" t="str">
        <f t="shared" si="21"/>
        <v>[effect:spread, val:0.23]</v>
      </c>
      <c r="N40" s="44" t="str">
        <f>IFERROR(LEFT(M40,FIND("],",M40)+#REF!),M40)</f>
        <v>[effect:spread, val:0.23]</v>
      </c>
      <c r="O40" s="59">
        <f t="shared" si="22"/>
        <v>9</v>
      </c>
      <c r="P40" s="59">
        <f t="shared" si="23"/>
        <v>15</v>
      </c>
      <c r="Q40" s="59" t="e">
        <f t="shared" si="24"/>
        <v>#VALUE!</v>
      </c>
      <c r="R40" s="59" t="e">
        <f t="shared" si="25"/>
        <v>#VALUE!</v>
      </c>
      <c r="S40" s="59" t="str">
        <f>IFERROR(VLOOKUP(MID(N40,Q40,R40-Q40),[6]skilldef!$C:$D,2,FALSE),"-") &amp; " / " &amp; IFERROR(VLOOKUP(MID(N40,O40,P40-O40),[6]skilldef!$A:$B,2,FALSE),"-")</f>
        <v>- / 全体攻撃</v>
      </c>
      <c r="T40" s="44" t="str">
        <f t="shared" si="26"/>
        <v>none</v>
      </c>
      <c r="U40" s="59" t="e">
        <f t="shared" si="27"/>
        <v>#VALUE!</v>
      </c>
      <c r="V40" s="59">
        <f t="shared" si="28"/>
        <v>4</v>
      </c>
      <c r="W40" s="59" t="e">
        <f t="shared" si="29"/>
        <v>#VALUE!</v>
      </c>
      <c r="X40" s="59" t="e">
        <f t="shared" si="30"/>
        <v>#VALUE!</v>
      </c>
      <c r="Y40" s="59" t="str">
        <f>IFERROR(VLOOKUP(MID(T40,W40,X40-W40),[6]skilldef!$C:$D,2,FALSE),"-") &amp; " / " &amp; IFERROR(VLOOKUP(MID(T40,U40,V40-U40),[6]skilldef!$A:$B,2,FALSE),"-")</f>
        <v>- / -</v>
      </c>
      <c r="Z40" s="46"/>
      <c r="AA40" s="48"/>
      <c r="AB40" s="46"/>
    </row>
    <row r="41" spans="1:28" ht="21" customHeight="1" x14ac:dyDescent="0.15">
      <c r="A41" s="18">
        <v>51002073</v>
      </c>
      <c r="B41" s="43" t="s">
        <v>324</v>
      </c>
      <c r="C41" s="46">
        <v>3</v>
      </c>
      <c r="D41" s="46" t="s">
        <v>123</v>
      </c>
      <c r="E41" s="47" t="s">
        <v>325</v>
      </c>
      <c r="F41" s="47" t="s">
        <v>262</v>
      </c>
      <c r="G41" s="59" t="str">
        <f t="shared" si="16"/>
        <v>[effect:rush, count:6, val:0.16]</v>
      </c>
      <c r="H41" s="59">
        <f t="shared" si="17"/>
        <v>9</v>
      </c>
      <c r="I41" s="59">
        <f t="shared" si="18"/>
        <v>13</v>
      </c>
      <c r="J41" s="59" t="e">
        <f t="shared" si="19"/>
        <v>#VALUE!</v>
      </c>
      <c r="K41" s="59">
        <f t="shared" si="20"/>
        <v>22</v>
      </c>
      <c r="L41" s="59" t="str">
        <f>IFERROR(VLOOKUP(MID(G41,J41,K41-J41),[6]skilldef!$C:$D,2,FALSE),"-") &amp; " / " &amp; IFERROR(VLOOKUP(MID(G41,H41,I41-H41),[6]skilldef!$A:$B,2,FALSE),"-")</f>
        <v>- / 連続攻撃</v>
      </c>
      <c r="M41" s="59" t="str">
        <f t="shared" si="21"/>
        <v>none</v>
      </c>
      <c r="N41" s="44" t="str">
        <f>IFERROR(LEFT(M41,FIND("],",M41)+#REF!),M41)</f>
        <v>none</v>
      </c>
      <c r="O41" s="59" t="e">
        <f t="shared" si="22"/>
        <v>#VALUE!</v>
      </c>
      <c r="P41" s="59">
        <f t="shared" si="23"/>
        <v>4</v>
      </c>
      <c r="Q41" s="59" t="e">
        <f t="shared" si="24"/>
        <v>#VALUE!</v>
      </c>
      <c r="R41" s="59" t="e">
        <f t="shared" si="25"/>
        <v>#VALUE!</v>
      </c>
      <c r="S41" s="59" t="str">
        <f>IFERROR(VLOOKUP(MID(N41,Q41,R41-Q41),[6]skilldef!$C:$D,2,FALSE),"-") &amp; " / " &amp; IFERROR(VLOOKUP(MID(N41,O41,P41-O41),[6]skilldef!$A:$B,2,FALSE),"-")</f>
        <v>- / -</v>
      </c>
      <c r="T41" s="44" t="str">
        <f t="shared" si="26"/>
        <v>none</v>
      </c>
      <c r="U41" s="59" t="e">
        <f t="shared" si="27"/>
        <v>#VALUE!</v>
      </c>
      <c r="V41" s="59">
        <f t="shared" si="28"/>
        <v>4</v>
      </c>
      <c r="W41" s="59" t="e">
        <f t="shared" si="29"/>
        <v>#VALUE!</v>
      </c>
      <c r="X41" s="59" t="e">
        <f t="shared" si="30"/>
        <v>#VALUE!</v>
      </c>
      <c r="Y41" s="59" t="str">
        <f>IFERROR(VLOOKUP(MID(T41,W41,X41-W41),[6]skilldef!$C:$D,2,FALSE),"-") &amp; " / " &amp; IFERROR(VLOOKUP(MID(T41,U41,V41-U41),[6]skilldef!$A:$B,2,FALSE),"-")</f>
        <v>- / -</v>
      </c>
      <c r="Z41" s="46"/>
      <c r="AA41" s="48"/>
      <c r="AB41" s="46"/>
    </row>
    <row r="42" spans="1:28" ht="21" customHeight="1" x14ac:dyDescent="0.15">
      <c r="A42" s="18">
        <v>51002074</v>
      </c>
      <c r="B42" s="43" t="s">
        <v>326</v>
      </c>
      <c r="C42" s="46">
        <v>3</v>
      </c>
      <c r="D42" s="46" t="s">
        <v>327</v>
      </c>
      <c r="E42" s="47" t="s">
        <v>328</v>
      </c>
      <c r="F42" s="47" t="s">
        <v>329</v>
      </c>
      <c r="G42" s="59" t="str">
        <f t="shared" si="16"/>
        <v>[effect:enhance_enemy, target:myself, turn:-1, status:attack, val:0.23, calc:mul, animation:enemy_enhance_attack]</v>
      </c>
      <c r="H42" s="59">
        <f t="shared" si="17"/>
        <v>9</v>
      </c>
      <c r="I42" s="59">
        <f t="shared" si="18"/>
        <v>22</v>
      </c>
      <c r="J42" s="59">
        <f t="shared" si="19"/>
        <v>31</v>
      </c>
      <c r="K42" s="59">
        <f t="shared" si="20"/>
        <v>37</v>
      </c>
      <c r="L42" s="59" t="str">
        <f>IFERROR(VLOOKUP(MID(G42,J42,K42-J42),[6]skilldef!$C:$D,2,FALSE),"-") &amp; " / " &amp; IFERROR(VLOOKUP(MID(G42,H42,I42-H42),[6]skilldef!$A:$B,2,FALSE),"-")</f>
        <v>自分自身に / ステータス強化</v>
      </c>
      <c r="M42" s="59" t="str">
        <f t="shared" si="21"/>
        <v>[effect:spread, val:0.45]</v>
      </c>
      <c r="N42" s="44" t="str">
        <f>IFERROR(LEFT(M42,FIND("],",M42)+#REF!),M42)</f>
        <v>[effect:spread, val:0.45]</v>
      </c>
      <c r="O42" s="59">
        <f t="shared" si="22"/>
        <v>9</v>
      </c>
      <c r="P42" s="59">
        <f t="shared" si="23"/>
        <v>15</v>
      </c>
      <c r="Q42" s="59" t="e">
        <f t="shared" si="24"/>
        <v>#VALUE!</v>
      </c>
      <c r="R42" s="59" t="e">
        <f t="shared" si="25"/>
        <v>#VALUE!</v>
      </c>
      <c r="S42" s="59" t="str">
        <f>IFERROR(VLOOKUP(MID(N42,Q42,R42-Q42),[6]skilldef!$C:$D,2,FALSE),"-") &amp; " / " &amp; IFERROR(VLOOKUP(MID(N42,O42,P42-O42),[6]skilldef!$A:$B,2,FALSE),"-")</f>
        <v>- / 全体攻撃</v>
      </c>
      <c r="T42" s="44" t="str">
        <f t="shared" si="26"/>
        <v>none</v>
      </c>
      <c r="U42" s="59" t="e">
        <f t="shared" si="27"/>
        <v>#VALUE!</v>
      </c>
      <c r="V42" s="59">
        <f t="shared" si="28"/>
        <v>4</v>
      </c>
      <c r="W42" s="59" t="e">
        <f t="shared" si="29"/>
        <v>#VALUE!</v>
      </c>
      <c r="X42" s="59" t="e">
        <f t="shared" si="30"/>
        <v>#VALUE!</v>
      </c>
      <c r="Y42" s="59" t="str">
        <f>IFERROR(VLOOKUP(MID(T42,W42,X42-W42),[6]skilldef!$C:$D,2,FALSE),"-") &amp; " / " &amp; IFERROR(VLOOKUP(MID(T42,U42,V42-U42),[6]skilldef!$A:$B,2,FALSE),"-")</f>
        <v>- / -</v>
      </c>
      <c r="Z42" s="46"/>
      <c r="AA42" s="48"/>
      <c r="AB42" s="46"/>
    </row>
    <row r="43" spans="1:28" ht="21" customHeight="1" x14ac:dyDescent="0.15">
      <c r="A43" s="18">
        <v>51002075</v>
      </c>
      <c r="B43" s="43" t="s">
        <v>330</v>
      </c>
      <c r="C43" s="46">
        <v>3</v>
      </c>
      <c r="D43" s="46" t="s">
        <v>357</v>
      </c>
      <c r="E43" s="47" t="s">
        <v>331</v>
      </c>
      <c r="F43" s="47" t="s">
        <v>312</v>
      </c>
      <c r="G43" s="59" t="str">
        <f t="shared" si="16"/>
        <v>[effect:nothing]</v>
      </c>
      <c r="H43" s="59">
        <f t="shared" si="17"/>
        <v>9</v>
      </c>
      <c r="I43" s="59">
        <f t="shared" si="18"/>
        <v>16</v>
      </c>
      <c r="J43" s="59" t="e">
        <f t="shared" si="19"/>
        <v>#VALUE!</v>
      </c>
      <c r="K43" s="59" t="e">
        <f t="shared" si="20"/>
        <v>#VALUE!</v>
      </c>
      <c r="L43" s="59" t="str">
        <f>IFERROR(VLOOKUP(MID(G43,J43,K43-J43),[6]skilldef!$C:$D,2,FALSE),"-") &amp; " / " &amp; IFERROR(VLOOKUP(MID(G43,H43,I43-H43),[6]skilldef!$A:$B,2,FALSE),"-")</f>
        <v>- / 何もしない</v>
      </c>
      <c r="M43" s="59" t="str">
        <f t="shared" si="21"/>
        <v>none</v>
      </c>
      <c r="N43" s="44" t="str">
        <f>IFERROR(LEFT(M43,FIND("],",M43)+#REF!),M43)</f>
        <v>none</v>
      </c>
      <c r="O43" s="59" t="e">
        <f t="shared" si="22"/>
        <v>#VALUE!</v>
      </c>
      <c r="P43" s="59">
        <f t="shared" si="23"/>
        <v>4</v>
      </c>
      <c r="Q43" s="59" t="e">
        <f t="shared" si="24"/>
        <v>#VALUE!</v>
      </c>
      <c r="R43" s="59" t="e">
        <f t="shared" si="25"/>
        <v>#VALUE!</v>
      </c>
      <c r="S43" s="59" t="str">
        <f>IFERROR(VLOOKUP(MID(N43,Q43,R43-Q43),[6]skilldef!$C:$D,2,FALSE),"-") &amp; " / " &amp; IFERROR(VLOOKUP(MID(N43,O43,P43-O43),[6]skilldef!$A:$B,2,FALSE),"-")</f>
        <v>- / -</v>
      </c>
      <c r="T43" s="44" t="str">
        <f t="shared" si="26"/>
        <v>none</v>
      </c>
      <c r="U43" s="59" t="e">
        <f t="shared" si="27"/>
        <v>#VALUE!</v>
      </c>
      <c r="V43" s="59">
        <f t="shared" si="28"/>
        <v>4</v>
      </c>
      <c r="W43" s="59" t="e">
        <f t="shared" si="29"/>
        <v>#VALUE!</v>
      </c>
      <c r="X43" s="59" t="e">
        <f t="shared" si="30"/>
        <v>#VALUE!</v>
      </c>
      <c r="Y43" s="59" t="str">
        <f>IFERROR(VLOOKUP(MID(T43,W43,X43-W43),[6]skilldef!$C:$D,2,FALSE),"-") &amp; " / " &amp; IFERROR(VLOOKUP(MID(T43,U43,V43-U43),[6]skilldef!$A:$B,2,FALSE),"-")</f>
        <v>- / -</v>
      </c>
      <c r="Z43" s="46"/>
      <c r="AA43" s="48"/>
      <c r="AB43" s="46"/>
    </row>
    <row r="44" spans="1:28" ht="21" customHeight="1" x14ac:dyDescent="0.15">
      <c r="A44" s="18">
        <v>51002076</v>
      </c>
      <c r="B44" s="43" t="s">
        <v>332</v>
      </c>
      <c r="C44" s="46">
        <v>3</v>
      </c>
      <c r="D44" s="46" t="s">
        <v>333</v>
      </c>
      <c r="E44" s="47" t="s">
        <v>334</v>
      </c>
      <c r="F44" s="97" t="s">
        <v>335</v>
      </c>
      <c r="G44" s="59" t="str">
        <f t="shared" si="16"/>
        <v>[effect:remove_enhancement, target:unit_all, target_effect:enhance, target_type:buff, status:defense, animation:frozen_wave]</v>
      </c>
      <c r="H44" s="59">
        <f t="shared" si="17"/>
        <v>9</v>
      </c>
      <c r="I44" s="59">
        <f t="shared" si="18"/>
        <v>27</v>
      </c>
      <c r="J44" s="59">
        <f t="shared" si="19"/>
        <v>36</v>
      </c>
      <c r="K44" s="59">
        <f t="shared" si="20"/>
        <v>44</v>
      </c>
      <c r="L44" s="59" t="str">
        <f>IFERROR(VLOOKUP(MID(G44,J44,K44-J44),[6]skilldef!$C:$D,2,FALSE),"-") &amp; " / " &amp; IFERROR(VLOOKUP(MID(G44,H44,I44-H44),[6]skilldef!$A:$B,2,FALSE),"-")</f>
        <v>味方全体に / -</v>
      </c>
      <c r="M44" s="59" t="str">
        <f t="shared" si="21"/>
        <v>[effect:remove_enhancement, target:unit_all, target_effect:reduction, target_type:buff],[effect:critical, val:2.1]</v>
      </c>
      <c r="N44" s="44" t="str">
        <f>IFERROR(LEFT(M44,FIND("],",M44)+#REF!),M44)</f>
        <v>[effect:remove_enhancement, target:unit_all, target_effect:reduction, target_type:buff],[effect:critical, val:2.1]</v>
      </c>
      <c r="O44" s="59">
        <f t="shared" si="22"/>
        <v>9</v>
      </c>
      <c r="P44" s="59">
        <f t="shared" si="23"/>
        <v>27</v>
      </c>
      <c r="Q44" s="59">
        <f t="shared" si="24"/>
        <v>36</v>
      </c>
      <c r="R44" s="59">
        <f t="shared" si="25"/>
        <v>44</v>
      </c>
      <c r="S44" s="59" t="str">
        <f>IFERROR(VLOOKUP(MID(N44,Q44,R44-Q44),[6]skilldef!$C:$D,2,FALSE),"-") &amp; " / " &amp; IFERROR(VLOOKUP(MID(N44,O44,P44-O44),[6]skilldef!$A:$B,2,FALSE),"-")</f>
        <v>味方全体に / -</v>
      </c>
      <c r="T44" s="44" t="str">
        <f t="shared" si="26"/>
        <v>[effect:critical, val:2.1]</v>
      </c>
      <c r="U44" s="59">
        <f t="shared" si="27"/>
        <v>9</v>
      </c>
      <c r="V44" s="59">
        <f t="shared" si="28"/>
        <v>17</v>
      </c>
      <c r="W44" s="59" t="e">
        <f t="shared" si="29"/>
        <v>#VALUE!</v>
      </c>
      <c r="X44" s="59" t="e">
        <f t="shared" si="30"/>
        <v>#VALUE!</v>
      </c>
      <c r="Y44" s="59" t="str">
        <f>IFERROR(VLOOKUP(MID(T44,W44,X44-W44),[6]skilldef!$C:$D,2,FALSE),"-") &amp; " / " &amp; IFERROR(VLOOKUP(MID(T44,U44,V44-U44),[6]skilldef!$A:$B,2,FALSE),"-")</f>
        <v>- / 大攻撃</v>
      </c>
      <c r="Z44" s="46"/>
      <c r="AA44" s="48"/>
      <c r="AB44" s="46"/>
    </row>
    <row r="45" spans="1:28" ht="21" customHeight="1" x14ac:dyDescent="0.15">
      <c r="A45" s="18">
        <v>51002077</v>
      </c>
      <c r="B45" s="43" t="s">
        <v>354</v>
      </c>
      <c r="C45" s="46">
        <v>3</v>
      </c>
      <c r="D45" s="46" t="s">
        <v>333</v>
      </c>
      <c r="E45" s="47" t="s">
        <v>336</v>
      </c>
      <c r="F45" s="47" t="s">
        <v>337</v>
      </c>
      <c r="G45" s="59" t="str">
        <f t="shared" si="16"/>
        <v>[effect:fix_speed, target:myself, turn:5]</v>
      </c>
      <c r="H45" s="59">
        <f t="shared" si="17"/>
        <v>9</v>
      </c>
      <c r="I45" s="59">
        <f t="shared" si="18"/>
        <v>18</v>
      </c>
      <c r="J45" s="59">
        <f t="shared" si="19"/>
        <v>27</v>
      </c>
      <c r="K45" s="59">
        <f t="shared" si="20"/>
        <v>33</v>
      </c>
      <c r="L45" s="59" t="str">
        <f>IFERROR(VLOOKUP(MID(G45,J45,K45-J45),[6]skilldef!$C:$D,2,FALSE),"-") &amp; " / " &amp; IFERROR(VLOOKUP(MID(G45,H45,I45-H45),[6]skilldef!$A:$B,2,FALSE),"-")</f>
        <v>自分自身に / 行動値設定</v>
      </c>
      <c r="M45" s="59" t="str">
        <f t="shared" si="21"/>
        <v>[effect:enhance_enemy, target:myself, turn:5, status:defense, val:13000, calc:add, animation:enemy_enhance_defense]</v>
      </c>
      <c r="N45" s="44" t="str">
        <f>IFERROR(LEFT(M45,FIND("],",M45)+#REF!),M45)</f>
        <v>[effect:enhance_enemy, target:myself, turn:5, status:defense, val:13000, calc:add, animation:enemy_enhance_defense]</v>
      </c>
      <c r="O45" s="59">
        <f t="shared" si="22"/>
        <v>9</v>
      </c>
      <c r="P45" s="59">
        <f t="shared" si="23"/>
        <v>22</v>
      </c>
      <c r="Q45" s="59">
        <f t="shared" si="24"/>
        <v>31</v>
      </c>
      <c r="R45" s="59">
        <f t="shared" si="25"/>
        <v>37</v>
      </c>
      <c r="S45" s="59" t="str">
        <f>IFERROR(VLOOKUP(MID(N45,Q45,R45-Q45),[6]skilldef!$C:$D,2,FALSE),"-") &amp; " / " &amp; IFERROR(VLOOKUP(MID(N45,O45,P45-O45),[6]skilldef!$A:$B,2,FALSE),"-")</f>
        <v>自分自身に / ステータス強化</v>
      </c>
      <c r="T45" s="44" t="str">
        <f t="shared" si="26"/>
        <v>none</v>
      </c>
      <c r="U45" s="59" t="e">
        <f t="shared" si="27"/>
        <v>#VALUE!</v>
      </c>
      <c r="V45" s="59">
        <f t="shared" si="28"/>
        <v>4</v>
      </c>
      <c r="W45" s="59" t="e">
        <f t="shared" si="29"/>
        <v>#VALUE!</v>
      </c>
      <c r="X45" s="59" t="e">
        <f t="shared" si="30"/>
        <v>#VALUE!</v>
      </c>
      <c r="Y45" s="59" t="str">
        <f>IFERROR(VLOOKUP(MID(T45,W45,X45-W45),[6]skilldef!$C:$D,2,FALSE),"-") &amp; " / " &amp; IFERROR(VLOOKUP(MID(T45,U45,V45-U45),[6]skilldef!$A:$B,2,FALSE),"-")</f>
        <v>- / -</v>
      </c>
      <c r="Z45" s="46"/>
      <c r="AA45" s="48"/>
      <c r="AB45" s="46"/>
    </row>
    <row r="46" spans="1:28" ht="21" customHeight="1" x14ac:dyDescent="0.15">
      <c r="A46" s="18">
        <v>51002078</v>
      </c>
      <c r="B46" s="43" t="s">
        <v>338</v>
      </c>
      <c r="C46" s="46">
        <v>3</v>
      </c>
      <c r="D46" s="46" t="s">
        <v>333</v>
      </c>
      <c r="E46" s="47" t="s">
        <v>339</v>
      </c>
      <c r="F46" s="47" t="s">
        <v>340</v>
      </c>
      <c r="G46" s="59" t="str">
        <f t="shared" si="16"/>
        <v>[effect:remove_enhancement, target:unit_all, target_effect:enhance, target_type:buff, animation:frozen_wave]</v>
      </c>
      <c r="H46" s="59">
        <f t="shared" si="17"/>
        <v>9</v>
      </c>
      <c r="I46" s="59">
        <f t="shared" si="18"/>
        <v>27</v>
      </c>
      <c r="J46" s="59">
        <f t="shared" si="19"/>
        <v>36</v>
      </c>
      <c r="K46" s="59">
        <f t="shared" si="20"/>
        <v>44</v>
      </c>
      <c r="L46" s="59" t="str">
        <f>IFERROR(VLOOKUP(MID(G46,J46,K46-J46),[6]skilldef!$C:$D,2,FALSE),"-") &amp; " / " &amp; IFERROR(VLOOKUP(MID(G46,H46,I46-H46),[6]skilldef!$A:$B,2,FALSE),"-")</f>
        <v>味方全体に / -</v>
      </c>
      <c r="M46" s="59" t="str">
        <f t="shared" si="21"/>
        <v>[effect:critical, val:50.0]</v>
      </c>
      <c r="N46" s="44" t="str">
        <f>IFERROR(LEFT(M46,FIND("],",M46)+#REF!),M46)</f>
        <v>[effect:critical, val:50.0]</v>
      </c>
      <c r="O46" s="59">
        <f t="shared" si="22"/>
        <v>9</v>
      </c>
      <c r="P46" s="59">
        <f t="shared" si="23"/>
        <v>17</v>
      </c>
      <c r="Q46" s="59" t="e">
        <f t="shared" si="24"/>
        <v>#VALUE!</v>
      </c>
      <c r="R46" s="59" t="e">
        <f t="shared" si="25"/>
        <v>#VALUE!</v>
      </c>
      <c r="S46" s="59" t="str">
        <f>IFERROR(VLOOKUP(MID(N46,Q46,R46-Q46),[6]skilldef!$C:$D,2,FALSE),"-") &amp; " / " &amp; IFERROR(VLOOKUP(MID(N46,O46,P46-O46),[6]skilldef!$A:$B,2,FALSE),"-")</f>
        <v>- / 大攻撃</v>
      </c>
      <c r="T46" s="44" t="str">
        <f t="shared" si="26"/>
        <v>none</v>
      </c>
      <c r="U46" s="59" t="e">
        <f t="shared" si="27"/>
        <v>#VALUE!</v>
      </c>
      <c r="V46" s="59">
        <f t="shared" si="28"/>
        <v>4</v>
      </c>
      <c r="W46" s="59" t="e">
        <f t="shared" si="29"/>
        <v>#VALUE!</v>
      </c>
      <c r="X46" s="59" t="e">
        <f t="shared" si="30"/>
        <v>#VALUE!</v>
      </c>
      <c r="Y46" s="59" t="str">
        <f>IFERROR(VLOOKUP(MID(T46,W46,X46-W46),[6]skilldef!$C:$D,2,FALSE),"-") &amp; " / " &amp; IFERROR(VLOOKUP(MID(T46,U46,V46-U46),[6]skilldef!$A:$B,2,FALSE),"-")</f>
        <v>- / -</v>
      </c>
      <c r="Z46" s="46"/>
      <c r="AA46" s="48"/>
      <c r="AB46" s="46"/>
    </row>
    <row r="47" spans="1:28" ht="21" customHeight="1" x14ac:dyDescent="0.15">
      <c r="A47" s="18">
        <v>51002081</v>
      </c>
      <c r="B47" s="43" t="s">
        <v>341</v>
      </c>
      <c r="C47" s="46">
        <v>3</v>
      </c>
      <c r="D47" s="46" t="s">
        <v>327</v>
      </c>
      <c r="E47" s="47" t="s">
        <v>342</v>
      </c>
      <c r="F47" s="47" t="s">
        <v>251</v>
      </c>
      <c r="G47" s="59" t="str">
        <f t="shared" si="16"/>
        <v>[effect:suicide, val:1, dead_type:escape, target:myself]</v>
      </c>
      <c r="H47" s="59">
        <f t="shared" si="17"/>
        <v>9</v>
      </c>
      <c r="I47" s="59">
        <f t="shared" si="18"/>
        <v>16</v>
      </c>
      <c r="J47" s="59">
        <f t="shared" si="19"/>
        <v>50</v>
      </c>
      <c r="K47" s="59">
        <f t="shared" si="20"/>
        <v>23</v>
      </c>
      <c r="L47" s="59" t="str">
        <f>IFERROR(VLOOKUP(MID(G47,J47,K47-J47),[6]skilldef!$C:$D,2,FALSE),"-") &amp; " / " &amp; IFERROR(VLOOKUP(MID(G47,H47,I47-H47),[6]skilldef!$A:$B,2,FALSE),"-")</f>
        <v>- / -</v>
      </c>
      <c r="M47" s="59" t="str">
        <f t="shared" si="21"/>
        <v>none</v>
      </c>
      <c r="N47" s="44" t="str">
        <f>IFERROR(LEFT(M47,FIND("],",M47)+#REF!),M47)</f>
        <v>none</v>
      </c>
      <c r="O47" s="59" t="e">
        <f t="shared" si="22"/>
        <v>#VALUE!</v>
      </c>
      <c r="P47" s="59">
        <f t="shared" si="23"/>
        <v>4</v>
      </c>
      <c r="Q47" s="59" t="e">
        <f t="shared" si="24"/>
        <v>#VALUE!</v>
      </c>
      <c r="R47" s="59" t="e">
        <f t="shared" si="25"/>
        <v>#VALUE!</v>
      </c>
      <c r="S47" s="59" t="str">
        <f>IFERROR(VLOOKUP(MID(N47,Q47,R47-Q47),[6]skilldef!$C:$D,2,FALSE),"-") &amp; " / " &amp; IFERROR(VLOOKUP(MID(N47,O47,P47-O47),[6]skilldef!$A:$B,2,FALSE),"-")</f>
        <v>- / -</v>
      </c>
      <c r="T47" s="44" t="str">
        <f t="shared" si="26"/>
        <v>none</v>
      </c>
      <c r="U47" s="59" t="e">
        <f t="shared" si="27"/>
        <v>#VALUE!</v>
      </c>
      <c r="V47" s="59">
        <f t="shared" si="28"/>
        <v>4</v>
      </c>
      <c r="W47" s="59" t="e">
        <f t="shared" si="29"/>
        <v>#VALUE!</v>
      </c>
      <c r="X47" s="59" t="e">
        <f t="shared" si="30"/>
        <v>#VALUE!</v>
      </c>
      <c r="Y47" s="59" t="str">
        <f>IFERROR(VLOOKUP(MID(T47,W47,X47-W47),[6]skilldef!$C:$D,2,FALSE),"-") &amp; " / " &amp; IFERROR(VLOOKUP(MID(T47,U47,V47-U47),[6]skilldef!$A:$B,2,FALSE),"-")</f>
        <v>- / -</v>
      </c>
      <c r="Z47" s="46"/>
      <c r="AA47" s="48"/>
      <c r="AB47" s="46"/>
    </row>
    <row r="48" spans="1:28" ht="21" customHeight="1" x14ac:dyDescent="0.15">
      <c r="A48" s="18">
        <v>51002082</v>
      </c>
      <c r="B48" s="43" t="s">
        <v>343</v>
      </c>
      <c r="C48" s="46">
        <v>3</v>
      </c>
      <c r="D48" s="46" t="s">
        <v>344</v>
      </c>
      <c r="E48" s="47" t="s">
        <v>342</v>
      </c>
      <c r="F48" s="47" t="s">
        <v>251</v>
      </c>
      <c r="G48" s="59" t="str">
        <f t="shared" si="16"/>
        <v>[effect:suicide, val:1, dead_type:escape, target:myself]</v>
      </c>
      <c r="H48" s="59">
        <f t="shared" si="17"/>
        <v>9</v>
      </c>
      <c r="I48" s="59">
        <f t="shared" si="18"/>
        <v>16</v>
      </c>
      <c r="J48" s="59">
        <f t="shared" si="19"/>
        <v>50</v>
      </c>
      <c r="K48" s="59">
        <f t="shared" si="20"/>
        <v>23</v>
      </c>
      <c r="L48" s="59" t="str">
        <f>IFERROR(VLOOKUP(MID(G48,J48,K48-J48),[6]skilldef!$C:$D,2,FALSE),"-") &amp; " / " &amp; IFERROR(VLOOKUP(MID(G48,H48,I48-H48),[6]skilldef!$A:$B,2,FALSE),"-")</f>
        <v>- / -</v>
      </c>
      <c r="M48" s="59" t="str">
        <f t="shared" si="21"/>
        <v>none</v>
      </c>
      <c r="N48" s="44" t="str">
        <f>IFERROR(LEFT(M48,FIND("],",M48)+#REF!),M48)</f>
        <v>none</v>
      </c>
      <c r="O48" s="59" t="e">
        <f t="shared" si="22"/>
        <v>#VALUE!</v>
      </c>
      <c r="P48" s="59">
        <f t="shared" si="23"/>
        <v>4</v>
      </c>
      <c r="Q48" s="59" t="e">
        <f t="shared" si="24"/>
        <v>#VALUE!</v>
      </c>
      <c r="R48" s="59" t="e">
        <f t="shared" si="25"/>
        <v>#VALUE!</v>
      </c>
      <c r="S48" s="59" t="str">
        <f>IFERROR(VLOOKUP(MID(N48,Q48,R48-Q48),[6]skilldef!$C:$D,2,FALSE),"-") &amp; " / " &amp; IFERROR(VLOOKUP(MID(N48,O48,P48-O48),[6]skilldef!$A:$B,2,FALSE),"-")</f>
        <v>- / -</v>
      </c>
      <c r="T48" s="44" t="str">
        <f t="shared" si="26"/>
        <v>none</v>
      </c>
      <c r="U48" s="59" t="e">
        <f t="shared" si="27"/>
        <v>#VALUE!</v>
      </c>
      <c r="V48" s="59">
        <f t="shared" si="28"/>
        <v>4</v>
      </c>
      <c r="W48" s="59" t="e">
        <f t="shared" si="29"/>
        <v>#VALUE!</v>
      </c>
      <c r="X48" s="59" t="e">
        <f t="shared" si="30"/>
        <v>#VALUE!</v>
      </c>
      <c r="Y48" s="59" t="str">
        <f>IFERROR(VLOOKUP(MID(T48,W48,X48-W48),[6]skilldef!$C:$D,2,FALSE),"-") &amp; " / " &amp; IFERROR(VLOOKUP(MID(T48,U48,V48-U48),[6]skilldef!$A:$B,2,FALSE),"-")</f>
        <v>- / -</v>
      </c>
      <c r="Z48" s="46"/>
      <c r="AA48" s="48"/>
      <c r="AB48" s="46"/>
    </row>
    <row r="49" spans="1:28" ht="21" customHeight="1" x14ac:dyDescent="0.15">
      <c r="A49" s="18">
        <v>51002083</v>
      </c>
      <c r="B49" s="43" t="s">
        <v>345</v>
      </c>
      <c r="C49" s="46">
        <v>3</v>
      </c>
      <c r="D49" s="46" t="s">
        <v>300</v>
      </c>
      <c r="E49" s="47" t="s">
        <v>346</v>
      </c>
      <c r="F49" s="47" t="s">
        <v>288</v>
      </c>
      <c r="G49" s="59" t="str">
        <f t="shared" si="16"/>
        <v>[effect:tolerance, target:myself, turn:-1, tolerance_effect:hungup, count:-1]</v>
      </c>
      <c r="H49" s="59">
        <f t="shared" si="17"/>
        <v>9</v>
      </c>
      <c r="I49" s="59">
        <f t="shared" si="18"/>
        <v>18</v>
      </c>
      <c r="J49" s="59">
        <f t="shared" si="19"/>
        <v>27</v>
      </c>
      <c r="K49" s="59">
        <f t="shared" si="20"/>
        <v>33</v>
      </c>
      <c r="L49" s="59" t="str">
        <f>IFERROR(VLOOKUP(MID(G49,J49,K49-J49),[6]skilldef!$C:$D,2,FALSE),"-") &amp; " / " &amp; IFERROR(VLOOKUP(MID(G49,H49,I49-H49),[6]skilldef!$A:$B,2,FALSE),"-")</f>
        <v>自分自身に / 状態異常耐性</v>
      </c>
      <c r="M49" s="59" t="str">
        <f t="shared" si="21"/>
        <v>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N49" s="44" t="str">
        <f t="shared" ref="N49:N50" si="31">IFERROR(LEFT(M49,FIND("],",M49)+S59),M49)</f>
        <v>[effect:tolerance, target:myself, turn:-1, tolerance_effect:virus, count:-1]</v>
      </c>
      <c r="O49" s="59">
        <f t="shared" si="22"/>
        <v>9</v>
      </c>
      <c r="P49" s="59">
        <f t="shared" si="23"/>
        <v>18</v>
      </c>
      <c r="Q49" s="59">
        <f t="shared" si="24"/>
        <v>27</v>
      </c>
      <c r="R49" s="59">
        <f t="shared" si="25"/>
        <v>33</v>
      </c>
      <c r="S49" s="59" t="str">
        <f>IFERROR(VLOOKUP(MID(N49,Q49,R49-Q49),[6]skilldef!$C:$D,2,FALSE),"-") &amp; " / " &amp; IFERROR(VLOOKUP(MID(N49,O49,P49-O49),[6]skilldef!$A:$B,2,FALSE),"-")</f>
        <v>自分自身に / 状態異常耐性</v>
      </c>
      <c r="T49" s="44" t="str">
        <f t="shared" si="26"/>
        <v>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U49" s="59">
        <f t="shared" si="27"/>
        <v>9</v>
      </c>
      <c r="V49" s="59">
        <f t="shared" si="28"/>
        <v>18</v>
      </c>
      <c r="W49" s="59">
        <f t="shared" si="29"/>
        <v>27</v>
      </c>
      <c r="X49" s="59">
        <f t="shared" si="30"/>
        <v>33</v>
      </c>
      <c r="Y49" s="59" t="str">
        <f>IFERROR(VLOOKUP(MID(T49,W49,X49-W49),[6]skilldef!$C:$D,2,FALSE),"-") &amp; " / " &amp; IFERROR(VLOOKUP(MID(T49,U49,V49-U49),[6]skilldef!$A:$B,2,FALSE),"-")</f>
        <v>自分自身に / 状態異常耐性</v>
      </c>
      <c r="Z49" s="46"/>
      <c r="AA49" s="48"/>
      <c r="AB49" s="46"/>
    </row>
    <row r="50" spans="1:28" ht="21" customHeight="1" x14ac:dyDescent="0.15">
      <c r="A50" s="18">
        <v>51002084</v>
      </c>
      <c r="B50" s="43" t="s">
        <v>347</v>
      </c>
      <c r="C50" s="46">
        <v>3</v>
      </c>
      <c r="D50" s="46" t="s">
        <v>123</v>
      </c>
      <c r="E50" s="47" t="s">
        <v>348</v>
      </c>
      <c r="F50" s="47" t="s">
        <v>304</v>
      </c>
      <c r="G50" s="59" t="str">
        <f t="shared" si="16"/>
        <v>[effect:fix_speed, target:myself, turn:1]</v>
      </c>
      <c r="H50" s="59">
        <f t="shared" si="17"/>
        <v>9</v>
      </c>
      <c r="I50" s="59">
        <f t="shared" si="18"/>
        <v>18</v>
      </c>
      <c r="J50" s="59">
        <f t="shared" si="19"/>
        <v>27</v>
      </c>
      <c r="K50" s="59">
        <f t="shared" si="20"/>
        <v>33</v>
      </c>
      <c r="L50" s="59" t="str">
        <f>IFERROR(VLOOKUP(MID(G50,J50,K50-J50),[6]skilldef!$C:$D,2,FALSE),"-") &amp; " / " &amp; IFERROR(VLOOKUP(MID(G50,H50,I50-H50),[6]skilldef!$A:$B,2,FALSE),"-")</f>
        <v>自分自身に / 行動値設定</v>
      </c>
      <c r="M50" s="59" t="str">
        <f t="shared" si="2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v>
      </c>
      <c r="N50" s="44" t="str">
        <f t="shared" si="31"/>
        <v>[effect:tolerance, target:myself, turn:-1, tolerance_effect:hungup, count:-1]</v>
      </c>
      <c r="O50" s="59">
        <f t="shared" si="22"/>
        <v>9</v>
      </c>
      <c r="P50" s="59">
        <f t="shared" si="23"/>
        <v>18</v>
      </c>
      <c r="Q50" s="59">
        <f t="shared" si="24"/>
        <v>27</v>
      </c>
      <c r="R50" s="59">
        <f t="shared" si="25"/>
        <v>33</v>
      </c>
      <c r="S50" s="59" t="str">
        <f>IFERROR(VLOOKUP(MID(N50,Q50,R50-Q50),[6]skilldef!$C:$D,2,FALSE),"-") &amp; " / " &amp; IFERROR(VLOOKUP(MID(N50,O50,P50-O50),[6]skilldef!$A:$B,2,FALSE),"-")</f>
        <v>自分自身に / 状態異常耐性</v>
      </c>
      <c r="T50" s="44" t="str">
        <f t="shared" si="26"/>
        <v>[effect:tolerance, target:myself, turn:-1, tolerance_effect:virus, count:-1],[effect:tolerance, target:myself, turn:-1, tolerance_effect:sleep, count:-1, animation:enemy_tolerance],[effect:hungup, target:unit_blue, turn:5, rate:1, animation:hungup01]</v>
      </c>
      <c r="U50" s="59">
        <f t="shared" si="27"/>
        <v>9</v>
      </c>
      <c r="V50" s="59">
        <f t="shared" si="28"/>
        <v>18</v>
      </c>
      <c r="W50" s="59">
        <f t="shared" si="29"/>
        <v>27</v>
      </c>
      <c r="X50" s="59">
        <f t="shared" si="30"/>
        <v>33</v>
      </c>
      <c r="Y50" s="59" t="str">
        <f>IFERROR(VLOOKUP(MID(T50,W50,X50-W50),[6]skilldef!$C:$D,2,FALSE),"-") &amp; " / " &amp; IFERROR(VLOOKUP(MID(T50,U50,V50-U50),[6]skilldef!$A:$B,2,FALSE),"-")</f>
        <v>自分自身に / 状態異常耐性</v>
      </c>
      <c r="Z50" s="46"/>
      <c r="AA50" s="48"/>
      <c r="AB50" s="46"/>
    </row>
    <row r="51" spans="1:28" ht="21" customHeight="1" x14ac:dyDescent="0.15">
      <c r="A51" s="18">
        <v>51002085</v>
      </c>
      <c r="B51" s="43" t="s">
        <v>318</v>
      </c>
      <c r="C51" s="46">
        <v>3</v>
      </c>
      <c r="D51" s="46" t="s">
        <v>123</v>
      </c>
      <c r="E51" s="47" t="s">
        <v>351</v>
      </c>
      <c r="F51" s="47" t="s">
        <v>321</v>
      </c>
      <c r="G51" s="59" t="str">
        <f t="shared" si="16"/>
        <v>[effect:tolerance, target:myself, turn:-1, tolerance_effect:hungup, count:-1]</v>
      </c>
      <c r="H51" s="59">
        <f t="shared" si="17"/>
        <v>9</v>
      </c>
      <c r="I51" s="59">
        <f t="shared" si="18"/>
        <v>18</v>
      </c>
      <c r="J51" s="59">
        <f t="shared" si="19"/>
        <v>27</v>
      </c>
      <c r="K51" s="59">
        <f t="shared" si="20"/>
        <v>33</v>
      </c>
      <c r="L51" s="59" t="str">
        <f>IFERROR(VLOOKUP(MID(G51,J51,K51-J51),[6]skilldef!$C:$D,2,FALSE),"-") &amp; " / " &amp; IFERROR(VLOOKUP(MID(G51,H51,I51-H51),[6]skilldef!$A:$B,2,FALSE),"-")</f>
        <v>自分自身に / 状態異常耐性</v>
      </c>
      <c r="M51" s="59" t="str">
        <f t="shared" si="21"/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N51" s="44" t="str">
        <f>IFERROR(LEFT(M51,FIND("],",M51)+#REF!),M51)</f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O51" s="59">
        <f t="shared" si="22"/>
        <v>9</v>
      </c>
      <c r="P51" s="59">
        <f t="shared" si="23"/>
        <v>18</v>
      </c>
      <c r="Q51" s="59">
        <f t="shared" si="24"/>
        <v>27</v>
      </c>
      <c r="R51" s="59">
        <f t="shared" si="25"/>
        <v>33</v>
      </c>
      <c r="S51" s="59" t="str">
        <f>IFERROR(VLOOKUP(MID(N51,Q51,R51-Q51),[6]skilldef!$C:$D,2,FALSE),"-") &amp; " / " &amp; IFERROR(VLOOKUP(MID(N51,O51,P51-O51),[6]skilldef!$A:$B,2,FALSE),"-")</f>
        <v>自分自身に / 状態異常耐性</v>
      </c>
      <c r="T51" s="44" t="str">
        <f t="shared" si="26"/>
        <v xml:space="preserve">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U51" s="59">
        <f t="shared" si="27"/>
        <v>9</v>
      </c>
      <c r="V51" s="59">
        <f t="shared" si="28"/>
        <v>18</v>
      </c>
      <c r="W51" s="59">
        <f t="shared" si="29"/>
        <v>27</v>
      </c>
      <c r="X51" s="59">
        <f t="shared" si="30"/>
        <v>33</v>
      </c>
      <c r="Y51" s="59" t="str">
        <f>IFERROR(VLOOKUP(MID(T51,W51,X51-W51),[6]skilldef!$C:$D,2,FALSE),"-") &amp; " / " &amp; IFERROR(VLOOKUP(MID(T51,U51,V51-U51),[6]skilldef!$A:$B,2,FALSE),"-")</f>
        <v>自分自身に / 状態異常耐性</v>
      </c>
      <c r="Z51" s="46"/>
      <c r="AA51" s="48"/>
      <c r="AB51" s="46"/>
    </row>
    <row r="52" spans="1:28" ht="21" customHeight="1" x14ac:dyDescent="0.15">
      <c r="A52" s="99">
        <v>51002086</v>
      </c>
      <c r="B52" s="100" t="s">
        <v>345</v>
      </c>
      <c r="C52" s="101">
        <v>3</v>
      </c>
      <c r="D52" s="101" t="s">
        <v>123</v>
      </c>
      <c r="E52" s="102" t="s">
        <v>346</v>
      </c>
      <c r="F52" s="102" t="s">
        <v>288</v>
      </c>
      <c r="G52" s="59" t="str">
        <f t="shared" ref="G52:G57" si="32">IFERROR(LEFT(B52,FIND("],",B52)),B52)</f>
        <v>[effect:tolerance, target:myself, turn:-1, tolerance_effect:hungup, count:-1]</v>
      </c>
      <c r="H52" s="59">
        <f t="shared" ref="H52:H57" si="33">FIND("effect:",G52)+7</f>
        <v>9</v>
      </c>
      <c r="I52" s="59">
        <f t="shared" ref="I52:I57" si="34">IFERROR(FIND(",",G52),LEN(G52))</f>
        <v>18</v>
      </c>
      <c r="J52" s="59">
        <f t="shared" ref="J52:J57" si="35">FIND("target:",G52)+7</f>
        <v>27</v>
      </c>
      <c r="K52" s="59">
        <f t="shared" ref="K52:K57" si="36">FIND(",",G52,I52+1)</f>
        <v>33</v>
      </c>
      <c r="L52" s="59" t="str">
        <f>IFERROR(VLOOKUP(MID(G52,J52,K52-J52),[6]skilldef!$C:$D,2,FALSE),"-") &amp; " / " &amp; IFERROR(VLOOKUP(MID(G52,H52,I52-H52),[6]skilldef!$A:$B,2,FALSE),"-")</f>
        <v>自分自身に / 状態異常耐性</v>
      </c>
      <c r="M52" s="59" t="str">
        <f t="shared" ref="M52:M57" si="37">IFERROR(RIGHT(B52,LEN(B52)-FIND("],",B52)-1),"none")</f>
        <v>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N52" s="44" t="str">
        <f t="shared" ref="N52:N53" si="38">IFERROR(LEFT(M52,FIND("],",M52)+S62),M52)</f>
        <v>[effect:tolerance, target:myself, turn:-1, tolerance_effect:virus, count:-1]</v>
      </c>
      <c r="O52" s="59">
        <f t="shared" ref="O52:O57" si="39">FIND("effect:",N52)+7</f>
        <v>9</v>
      </c>
      <c r="P52" s="59">
        <f t="shared" ref="P52:P57" si="40">IFERROR(FIND(",",N52),LEN(N52))</f>
        <v>18</v>
      </c>
      <c r="Q52" s="59">
        <f t="shared" ref="Q52:Q57" si="41">FIND("target:",N52)+7</f>
        <v>27</v>
      </c>
      <c r="R52" s="59">
        <f t="shared" ref="R52:R57" si="42">FIND(",",N52,P52+1)</f>
        <v>33</v>
      </c>
      <c r="S52" s="59" t="str">
        <f>IFERROR(VLOOKUP(MID(N52,Q52,R52-Q52),[6]skilldef!$C:$D,2,FALSE),"-") &amp; " / " &amp; IFERROR(VLOOKUP(MID(N52,O52,P52-O52),[6]skilldef!$A:$B,2,FALSE),"-")</f>
        <v>自分自身に / 状態異常耐性</v>
      </c>
      <c r="T52" s="44" t="str">
        <f t="shared" ref="T52:T57" si="43">IFERROR(RIGHT(M52,LEN(M52)-FIND("],",M52)-1),"none")</f>
        <v>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U52" s="59">
        <f t="shared" ref="U52:U57" si="44">FIND("effect:",T52)+7</f>
        <v>9</v>
      </c>
      <c r="V52" s="59">
        <f t="shared" ref="V52:V57" si="45">IFERROR(FIND(",",T52),LEN(T52))</f>
        <v>18</v>
      </c>
      <c r="W52" s="59">
        <f t="shared" ref="W52:W57" si="46">FIND("target:",T52)+7</f>
        <v>27</v>
      </c>
      <c r="X52" s="59">
        <f t="shared" ref="X52:X57" si="47">FIND(",",T52,V52+1)</f>
        <v>33</v>
      </c>
      <c r="Y52" s="59" t="str">
        <f>IFERROR(VLOOKUP(MID(T52,W52,X52-W52),[6]skilldef!$C:$D,2,FALSE),"-") &amp; " / " &amp; IFERROR(VLOOKUP(MID(T52,U52,V52-U52),[6]skilldef!$A:$B,2,FALSE),"-")</f>
        <v>自分自身に / 状態異常耐性</v>
      </c>
      <c r="Z52" s="46"/>
      <c r="AA52" s="48"/>
      <c r="AB52" s="46"/>
    </row>
    <row r="53" spans="1:28" ht="21" customHeight="1" x14ac:dyDescent="0.15">
      <c r="A53" s="99">
        <v>51002087</v>
      </c>
      <c r="B53" s="100" t="s">
        <v>347</v>
      </c>
      <c r="C53" s="101">
        <v>3</v>
      </c>
      <c r="D53" s="101" t="s">
        <v>123</v>
      </c>
      <c r="E53" s="102" t="s">
        <v>348</v>
      </c>
      <c r="F53" s="102" t="s">
        <v>304</v>
      </c>
      <c r="G53" s="59" t="str">
        <f t="shared" si="32"/>
        <v>[effect:fix_speed, target:myself, turn:1]</v>
      </c>
      <c r="H53" s="59">
        <f t="shared" si="33"/>
        <v>9</v>
      </c>
      <c r="I53" s="59">
        <f t="shared" si="34"/>
        <v>18</v>
      </c>
      <c r="J53" s="59">
        <f t="shared" si="35"/>
        <v>27</v>
      </c>
      <c r="K53" s="59">
        <f t="shared" si="36"/>
        <v>33</v>
      </c>
      <c r="L53" s="59" t="str">
        <f>IFERROR(VLOOKUP(MID(G53,J53,K53-J53),[6]skilldef!$C:$D,2,FALSE),"-") &amp; " / " &amp; IFERROR(VLOOKUP(MID(G53,H53,I53-H53),[6]skilldef!$A:$B,2,FALSE),"-")</f>
        <v>自分自身に / 行動値設定</v>
      </c>
      <c r="M53" s="59" t="str">
        <f t="shared" si="37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v>
      </c>
      <c r="N53" s="44" t="str">
        <f t="shared" si="38"/>
        <v>[effect:tolerance, target:myself, turn:-1, tolerance_effect:hungup, count:-1]</v>
      </c>
      <c r="O53" s="59">
        <f t="shared" si="39"/>
        <v>9</v>
      </c>
      <c r="P53" s="59">
        <f t="shared" si="40"/>
        <v>18</v>
      </c>
      <c r="Q53" s="59">
        <f t="shared" si="41"/>
        <v>27</v>
      </c>
      <c r="R53" s="59">
        <f t="shared" si="42"/>
        <v>33</v>
      </c>
      <c r="S53" s="59" t="str">
        <f>IFERROR(VLOOKUP(MID(N53,Q53,R53-Q53),[6]skilldef!$C:$D,2,FALSE),"-") &amp; " / " &amp; IFERROR(VLOOKUP(MID(N53,O53,P53-O53),[6]skilldef!$A:$B,2,FALSE),"-")</f>
        <v>自分自身に / 状態異常耐性</v>
      </c>
      <c r="T53" s="44" t="str">
        <f t="shared" si="43"/>
        <v>[effect:tolerance, target:myself, turn:-1, tolerance_effect:virus, count:-1],[effect:tolerance, target:myself, turn:-1, tolerance_effect:sleep, count:-1, animation:enemy_tolerance],[effect:hungup, target:unit_blue, turn:5, rate:1, animation:hungup01]</v>
      </c>
      <c r="U53" s="59">
        <f t="shared" si="44"/>
        <v>9</v>
      </c>
      <c r="V53" s="59">
        <f t="shared" si="45"/>
        <v>18</v>
      </c>
      <c r="W53" s="59">
        <f t="shared" si="46"/>
        <v>27</v>
      </c>
      <c r="X53" s="59">
        <f t="shared" si="47"/>
        <v>33</v>
      </c>
      <c r="Y53" s="59" t="str">
        <f>IFERROR(VLOOKUP(MID(T53,W53,X53-W53),[6]skilldef!$C:$D,2,FALSE),"-") &amp; " / " &amp; IFERROR(VLOOKUP(MID(T53,U53,V53-U53),[6]skilldef!$A:$B,2,FALSE),"-")</f>
        <v>自分自身に / 状態異常耐性</v>
      </c>
      <c r="Z53" s="46"/>
      <c r="AA53" s="48"/>
      <c r="AB53" s="46"/>
    </row>
    <row r="54" spans="1:28" ht="21" customHeight="1" x14ac:dyDescent="0.15">
      <c r="A54" s="99">
        <v>51002088</v>
      </c>
      <c r="B54" s="100" t="s">
        <v>318</v>
      </c>
      <c r="C54" s="101">
        <v>3</v>
      </c>
      <c r="D54" s="101" t="s">
        <v>123</v>
      </c>
      <c r="E54" s="102" t="s">
        <v>351</v>
      </c>
      <c r="F54" s="102" t="s">
        <v>321</v>
      </c>
      <c r="G54" s="59" t="str">
        <f t="shared" si="32"/>
        <v>[effect:tolerance, target:myself, turn:-1, tolerance_effect:hungup, count:-1]</v>
      </c>
      <c r="H54" s="59">
        <f t="shared" si="33"/>
        <v>9</v>
      </c>
      <c r="I54" s="59">
        <f t="shared" si="34"/>
        <v>18</v>
      </c>
      <c r="J54" s="59">
        <f t="shared" si="35"/>
        <v>27</v>
      </c>
      <c r="K54" s="59">
        <f t="shared" si="36"/>
        <v>33</v>
      </c>
      <c r="L54" s="59" t="str">
        <f>IFERROR(VLOOKUP(MID(G54,J54,K54-J54),[6]skilldef!$C:$D,2,FALSE),"-") &amp; " / " &amp; IFERROR(VLOOKUP(MID(G54,H54,I54-H54),[6]skilldef!$A:$B,2,FALSE),"-")</f>
        <v>自分自身に / 状態異常耐性</v>
      </c>
      <c r="M54" s="59" t="str">
        <f t="shared" si="37"/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N54" s="44" t="str">
        <f>IFERROR(LEFT(M54,FIND("],",M54)+#REF!),M54)</f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O54" s="59">
        <f t="shared" si="39"/>
        <v>9</v>
      </c>
      <c r="P54" s="59">
        <f t="shared" si="40"/>
        <v>18</v>
      </c>
      <c r="Q54" s="59">
        <f t="shared" si="41"/>
        <v>27</v>
      </c>
      <c r="R54" s="59">
        <f t="shared" si="42"/>
        <v>33</v>
      </c>
      <c r="S54" s="59" t="str">
        <f>IFERROR(VLOOKUP(MID(N54,Q54,R54-Q54),[6]skilldef!$C:$D,2,FALSE),"-") &amp; " / " &amp; IFERROR(VLOOKUP(MID(N54,O54,P54-O54),[6]skilldef!$A:$B,2,FALSE),"-")</f>
        <v>自分自身に / 状態異常耐性</v>
      </c>
      <c r="T54" s="44" t="str">
        <f t="shared" si="43"/>
        <v xml:space="preserve">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U54" s="59">
        <f t="shared" si="44"/>
        <v>9</v>
      </c>
      <c r="V54" s="59">
        <f t="shared" si="45"/>
        <v>18</v>
      </c>
      <c r="W54" s="59">
        <f t="shared" si="46"/>
        <v>27</v>
      </c>
      <c r="X54" s="59">
        <f t="shared" si="47"/>
        <v>33</v>
      </c>
      <c r="Y54" s="59" t="str">
        <f>IFERROR(VLOOKUP(MID(T54,W54,X54-W54),[6]skilldef!$C:$D,2,FALSE),"-") &amp; " / " &amp; IFERROR(VLOOKUP(MID(T54,U54,V54-U54),[6]skilldef!$A:$B,2,FALSE),"-")</f>
        <v>自分自身に / 状態異常耐性</v>
      </c>
      <c r="Z54" s="46"/>
      <c r="AA54" s="48"/>
      <c r="AB54" s="46"/>
    </row>
    <row r="55" spans="1:28" ht="21" customHeight="1" x14ac:dyDescent="0.15">
      <c r="A55" s="99">
        <v>51002089</v>
      </c>
      <c r="B55" s="100" t="s">
        <v>345</v>
      </c>
      <c r="C55" s="101">
        <v>3</v>
      </c>
      <c r="D55" s="101" t="s">
        <v>123</v>
      </c>
      <c r="E55" s="102" t="s">
        <v>346</v>
      </c>
      <c r="F55" s="102" t="s">
        <v>288</v>
      </c>
      <c r="G55" s="59" t="str">
        <f t="shared" si="32"/>
        <v>[effect:tolerance, target:myself, turn:-1, tolerance_effect:hungup, count:-1]</v>
      </c>
      <c r="H55" s="59">
        <f t="shared" si="33"/>
        <v>9</v>
      </c>
      <c r="I55" s="59">
        <f t="shared" si="34"/>
        <v>18</v>
      </c>
      <c r="J55" s="59">
        <f t="shared" si="35"/>
        <v>27</v>
      </c>
      <c r="K55" s="59">
        <f t="shared" si="36"/>
        <v>33</v>
      </c>
      <c r="L55" s="59" t="str">
        <f>IFERROR(VLOOKUP(MID(G55,J55,K55-J55),[6]skilldef!$C:$D,2,FALSE),"-") &amp; " / " &amp; IFERROR(VLOOKUP(MID(G55,H55,I55-H55),[6]skilldef!$A:$B,2,FALSE),"-")</f>
        <v>自分自身に / 状態異常耐性</v>
      </c>
      <c r="M55" s="59" t="str">
        <f t="shared" si="37"/>
        <v>[effect:tolerance, target:myself, turn:-1, tolerance_effect:virus, count:-1],[effect:tolerance,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N55" s="44" t="str">
        <f t="shared" ref="N55:N56" si="48">IFERROR(LEFT(M55,FIND("],",M55)+S65),M55)</f>
        <v>[effect:tolerance, target:myself, turn:-1, tolerance_effect:virus, count:-1]</v>
      </c>
      <c r="O55" s="59">
        <f t="shared" si="39"/>
        <v>9</v>
      </c>
      <c r="P55" s="59">
        <f t="shared" si="40"/>
        <v>18</v>
      </c>
      <c r="Q55" s="59">
        <f t="shared" si="41"/>
        <v>27</v>
      </c>
      <c r="R55" s="59">
        <f t="shared" si="42"/>
        <v>33</v>
      </c>
      <c r="S55" s="59" t="str">
        <f>IFERROR(VLOOKUP(MID(N55,Q55,R55-Q55),[6]skilldef!$C:$D,2,FALSE),"-") &amp; " / " &amp; IFERROR(VLOOKUP(MID(N55,O55,P55-O55),[6]skilldef!$A:$B,2,FALSE),"-")</f>
        <v>自分自身に / 状態異常耐性</v>
      </c>
      <c r="T55" s="44" t="str">
        <f t="shared" si="43"/>
        <v>[effect:tolerance, target:myself, turn:-1, tolerance_effect:sleep, count:-1, animation:enemy_tolerance],[effect:enemy_counter, target:myself, invoke_condition:unit_all, counter_target:attacker, turn:5, val:0.5, animation:enemy_counter][effect:fix_speed, target:myself, turn:3]</v>
      </c>
      <c r="U55" s="59">
        <f t="shared" si="44"/>
        <v>9</v>
      </c>
      <c r="V55" s="59">
        <f t="shared" si="45"/>
        <v>18</v>
      </c>
      <c r="W55" s="59">
        <f t="shared" si="46"/>
        <v>27</v>
      </c>
      <c r="X55" s="59">
        <f t="shared" si="47"/>
        <v>33</v>
      </c>
      <c r="Y55" s="59" t="str">
        <f>IFERROR(VLOOKUP(MID(T55,W55,X55-W55),[6]skilldef!$C:$D,2,FALSE),"-") &amp; " / " &amp; IFERROR(VLOOKUP(MID(T55,U55,V55-U55),[6]skilldef!$A:$B,2,FALSE),"-")</f>
        <v>自分自身に / 状態異常耐性</v>
      </c>
      <c r="Z55" s="46"/>
      <c r="AA55" s="48"/>
      <c r="AB55" s="46"/>
    </row>
    <row r="56" spans="1:28" ht="21" customHeight="1" x14ac:dyDescent="0.15">
      <c r="A56" s="99">
        <v>51002090</v>
      </c>
      <c r="B56" s="100" t="s">
        <v>347</v>
      </c>
      <c r="C56" s="101">
        <v>3</v>
      </c>
      <c r="D56" s="101" t="s">
        <v>123</v>
      </c>
      <c r="E56" s="102" t="s">
        <v>348</v>
      </c>
      <c r="F56" s="102" t="s">
        <v>304</v>
      </c>
      <c r="G56" s="59" t="str">
        <f t="shared" si="32"/>
        <v>[effect:fix_speed, target:myself, turn:1]</v>
      </c>
      <c r="H56" s="59">
        <f t="shared" si="33"/>
        <v>9</v>
      </c>
      <c r="I56" s="59">
        <f t="shared" si="34"/>
        <v>18</v>
      </c>
      <c r="J56" s="59">
        <f t="shared" si="35"/>
        <v>27</v>
      </c>
      <c r="K56" s="59">
        <f t="shared" si="36"/>
        <v>33</v>
      </c>
      <c r="L56" s="59" t="str">
        <f>IFERROR(VLOOKUP(MID(G56,J56,K56-J56),[6]skilldef!$C:$D,2,FALSE),"-") &amp; " / " &amp; IFERROR(VLOOKUP(MID(G56,H56,I56-H56),[6]skilldef!$A:$B,2,FALSE),"-")</f>
        <v>自分自身に / 行動値設定</v>
      </c>
      <c r="M56" s="59" t="str">
        <f t="shared" si="37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target:unit_blue, turn:5, rate:1, animation:hungup01]</v>
      </c>
      <c r="N56" s="44" t="str">
        <f t="shared" si="48"/>
        <v>[effect:tolerance, target:myself, turn:-1, tolerance_effect:hungup, count:-1]</v>
      </c>
      <c r="O56" s="59">
        <f t="shared" si="39"/>
        <v>9</v>
      </c>
      <c r="P56" s="59">
        <f t="shared" si="40"/>
        <v>18</v>
      </c>
      <c r="Q56" s="59">
        <f t="shared" si="41"/>
        <v>27</v>
      </c>
      <c r="R56" s="59">
        <f t="shared" si="42"/>
        <v>33</v>
      </c>
      <c r="S56" s="59" t="str">
        <f>IFERROR(VLOOKUP(MID(N56,Q56,R56-Q56),[6]skilldef!$C:$D,2,FALSE),"-") &amp; " / " &amp; IFERROR(VLOOKUP(MID(N56,O56,P56-O56),[6]skilldef!$A:$B,2,FALSE),"-")</f>
        <v>自分自身に / 状態異常耐性</v>
      </c>
      <c r="T56" s="44" t="str">
        <f t="shared" si="43"/>
        <v>[effect:tolerance, target:myself, turn:-1, tolerance_effect:virus, count:-1],[effect:tolerance, target:myself, turn:-1, tolerance_effect:sleep, count:-1, animation:enemy_tolerance],[effect:hungup, target:unit_blue, turn:5, rate:1, animation:hungup01]</v>
      </c>
      <c r="U56" s="59">
        <f t="shared" si="44"/>
        <v>9</v>
      </c>
      <c r="V56" s="59">
        <f t="shared" si="45"/>
        <v>18</v>
      </c>
      <c r="W56" s="59">
        <f t="shared" si="46"/>
        <v>27</v>
      </c>
      <c r="X56" s="59">
        <f t="shared" si="47"/>
        <v>33</v>
      </c>
      <c r="Y56" s="59" t="str">
        <f>IFERROR(VLOOKUP(MID(T56,W56,X56-W56),[6]skilldef!$C:$D,2,FALSE),"-") &amp; " / " &amp; IFERROR(VLOOKUP(MID(T56,U56,V56-U56),[6]skilldef!$A:$B,2,FALSE),"-")</f>
        <v>自分自身に / 状態異常耐性</v>
      </c>
      <c r="Z56" s="46"/>
      <c r="AA56" s="48"/>
      <c r="AB56" s="46"/>
    </row>
    <row r="57" spans="1:28" ht="21" customHeight="1" x14ac:dyDescent="0.15">
      <c r="A57" s="99">
        <v>51002091</v>
      </c>
      <c r="B57" s="100" t="s">
        <v>318</v>
      </c>
      <c r="C57" s="101">
        <v>3</v>
      </c>
      <c r="D57" s="101" t="s">
        <v>123</v>
      </c>
      <c r="E57" s="102" t="s">
        <v>351</v>
      </c>
      <c r="F57" s="102" t="s">
        <v>321</v>
      </c>
      <c r="G57" s="59" t="str">
        <f t="shared" si="32"/>
        <v>[effect:tolerance, target:myself, turn:-1, tolerance_effect:hungup, count:-1]</v>
      </c>
      <c r="H57" s="59">
        <f t="shared" si="33"/>
        <v>9</v>
      </c>
      <c r="I57" s="59">
        <f t="shared" si="34"/>
        <v>18</v>
      </c>
      <c r="J57" s="59">
        <f t="shared" si="35"/>
        <v>27</v>
      </c>
      <c r="K57" s="59">
        <f t="shared" si="36"/>
        <v>33</v>
      </c>
      <c r="L57" s="59" t="str">
        <f>IFERROR(VLOOKUP(MID(G57,J57,K57-J57),[6]skilldef!$C:$D,2,FALSE),"-") &amp; " / " &amp; IFERROR(VLOOKUP(MID(G57,H57,I57-H57),[6]skilldef!$A:$B,2,FALSE),"-")</f>
        <v>自分自身に / 状態異常耐性</v>
      </c>
      <c r="M57" s="59" t="str">
        <f t="shared" si="37"/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N57" s="44" t="str">
        <f>IFERROR(LEFT(M57,FIND("],",M57)+#REF!),M57)</f>
        <v xml:space="preserve">[effect:tolerance, target:myself, turn:-1, tolerance_effect:virus, count:-1],[effect:tolerance,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O57" s="59">
        <f t="shared" si="39"/>
        <v>9</v>
      </c>
      <c r="P57" s="59">
        <f t="shared" si="40"/>
        <v>18</v>
      </c>
      <c r="Q57" s="59">
        <f t="shared" si="41"/>
        <v>27</v>
      </c>
      <c r="R57" s="59">
        <f t="shared" si="42"/>
        <v>33</v>
      </c>
      <c r="S57" s="59" t="str">
        <f>IFERROR(VLOOKUP(MID(N57,Q57,R57-Q57),[6]skilldef!$C:$D,2,FALSE),"-") &amp; " / " &amp; IFERROR(VLOOKUP(MID(N57,O57,P57-O57),[6]skilldef!$A:$B,2,FALSE),"-")</f>
        <v>自分自身に / 状態異常耐性</v>
      </c>
      <c r="T57" s="44" t="str">
        <f t="shared" si="43"/>
        <v xml:space="preserve">[effect:tolerance, target:myself, turn:-1, tolerance_effect:sleep, count:-1, animation:enemy_tolerance],[effect:change_panel_ratio, turn:-1, block_type:heal, val:0],[effect:break_enchance_enemy, val:0.001, lowest_val:0, count :-1, status:attack, turn:-1, block:block_heart, target:myself, calc:mul, animation:enemy_enhance_attack]    </v>
      </c>
      <c r="U57" s="59">
        <f t="shared" si="44"/>
        <v>9</v>
      </c>
      <c r="V57" s="59">
        <f t="shared" si="45"/>
        <v>18</v>
      </c>
      <c r="W57" s="59">
        <f t="shared" si="46"/>
        <v>27</v>
      </c>
      <c r="X57" s="59">
        <f t="shared" si="47"/>
        <v>33</v>
      </c>
      <c r="Y57" s="59" t="str">
        <f>IFERROR(VLOOKUP(MID(T57,W57,X57-W57),[6]skilldef!$C:$D,2,FALSE),"-") &amp; " / " &amp; IFERROR(VLOOKUP(MID(T57,U57,V57-U57),[6]skilldef!$A:$B,2,FALSE),"-")</f>
        <v>自分自身に / 状態異常耐性</v>
      </c>
      <c r="Z57" s="46"/>
      <c r="AA57" s="48"/>
      <c r="AB57" s="46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0"/>
  <sheetViews>
    <sheetView showGridLines="0" zoomScale="75" zoomScaleNormal="75" zoomScalePageLayoutView="75" workbookViewId="0">
      <pane ySplit="1" topLeftCell="A69" activePane="bottomLeft" state="frozenSplit"/>
      <selection pane="bottomLeft" activeCell="A84" sqref="A84:A89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5" bestFit="1" customWidth="1"/>
    <col min="12" max="16384" width="12.83203125" style="41"/>
  </cols>
  <sheetData>
    <row r="1" spans="1:11" ht="21" customHeight="1" x14ac:dyDescent="0.15">
      <c r="A1" s="38" t="s">
        <v>81</v>
      </c>
      <c r="B1" s="38" t="s">
        <v>82</v>
      </c>
      <c r="C1" s="38" t="s">
        <v>83</v>
      </c>
      <c r="D1" s="38" t="s">
        <v>84</v>
      </c>
      <c r="E1" s="38" t="s">
        <v>69</v>
      </c>
      <c r="F1" s="49" t="s">
        <v>70</v>
      </c>
      <c r="G1" s="49" t="s">
        <v>71</v>
      </c>
      <c r="H1" s="38" t="s">
        <v>72</v>
      </c>
      <c r="I1" s="38" t="s">
        <v>73</v>
      </c>
      <c r="J1" s="38" t="s">
        <v>74</v>
      </c>
      <c r="K1" s="50" t="s">
        <v>85</v>
      </c>
    </row>
    <row r="2" spans="1:11" ht="21" customHeight="1" x14ac:dyDescent="0.15">
      <c r="A2" s="18">
        <v>51002001</v>
      </c>
      <c r="B2" s="43">
        <v>0</v>
      </c>
      <c r="C2" s="43" t="s">
        <v>53</v>
      </c>
      <c r="D2" s="43">
        <v>100</v>
      </c>
      <c r="E2" s="43" t="s">
        <v>53</v>
      </c>
      <c r="F2" s="43" t="s">
        <v>53</v>
      </c>
      <c r="G2" s="43" t="s">
        <v>53</v>
      </c>
      <c r="H2" s="43" t="s">
        <v>53</v>
      </c>
      <c r="I2" s="43" t="s">
        <v>53</v>
      </c>
      <c r="J2" s="44">
        <f t="shared" ref="J2:J65" si="0">D2</f>
        <v>100</v>
      </c>
    </row>
    <row r="3" spans="1:11" ht="21" customHeight="1" x14ac:dyDescent="0.15">
      <c r="A3" s="18">
        <v>51002002</v>
      </c>
      <c r="B3" s="43">
        <v>0</v>
      </c>
      <c r="C3" s="43" t="s">
        <v>53</v>
      </c>
      <c r="D3" s="43">
        <v>100</v>
      </c>
      <c r="E3" s="43" t="s">
        <v>53</v>
      </c>
      <c r="F3" s="43" t="s">
        <v>53</v>
      </c>
      <c r="G3" s="43" t="s">
        <v>53</v>
      </c>
      <c r="H3" s="43" t="s">
        <v>53</v>
      </c>
      <c r="I3" s="43" t="s">
        <v>53</v>
      </c>
      <c r="J3" s="44">
        <f t="shared" si="0"/>
        <v>100</v>
      </c>
    </row>
    <row r="4" spans="1:11" ht="21" customHeight="1" x14ac:dyDescent="0.15">
      <c r="A4" s="18">
        <v>51002003</v>
      </c>
      <c r="B4" s="43">
        <v>0</v>
      </c>
      <c r="C4" s="43" t="s">
        <v>53</v>
      </c>
      <c r="D4" s="43">
        <v>100</v>
      </c>
      <c r="E4" s="43" t="s">
        <v>53</v>
      </c>
      <c r="F4" s="43" t="s">
        <v>53</v>
      </c>
      <c r="G4" s="43" t="s">
        <v>53</v>
      </c>
      <c r="H4" s="43" t="s">
        <v>53</v>
      </c>
      <c r="I4" s="43" t="s">
        <v>53</v>
      </c>
      <c r="J4" s="44">
        <f t="shared" si="0"/>
        <v>100</v>
      </c>
    </row>
    <row r="5" spans="1:11" ht="21" customHeight="1" x14ac:dyDescent="0.15">
      <c r="A5" s="18">
        <v>51002004</v>
      </c>
      <c r="B5" s="43">
        <v>0</v>
      </c>
      <c r="C5" s="43" t="s">
        <v>53</v>
      </c>
      <c r="D5" s="43">
        <v>100</v>
      </c>
      <c r="E5" s="43" t="s">
        <v>53</v>
      </c>
      <c r="F5" s="43" t="s">
        <v>53</v>
      </c>
      <c r="G5" s="43" t="s">
        <v>53</v>
      </c>
      <c r="H5" s="43" t="s">
        <v>53</v>
      </c>
      <c r="I5" s="43" t="s">
        <v>53</v>
      </c>
      <c r="J5" s="44">
        <f t="shared" si="0"/>
        <v>100</v>
      </c>
    </row>
    <row r="6" spans="1:11" ht="21" customHeight="1" x14ac:dyDescent="0.15">
      <c r="A6" s="18">
        <v>51002005</v>
      </c>
      <c r="B6" s="43">
        <v>0</v>
      </c>
      <c r="C6" s="43" t="s">
        <v>53</v>
      </c>
      <c r="D6" s="43">
        <v>100</v>
      </c>
      <c r="E6" s="43" t="s">
        <v>53</v>
      </c>
      <c r="F6" s="43" t="s">
        <v>53</v>
      </c>
      <c r="G6" s="43" t="s">
        <v>53</v>
      </c>
      <c r="H6" s="43" t="s">
        <v>53</v>
      </c>
      <c r="I6" s="43" t="s">
        <v>53</v>
      </c>
      <c r="J6" s="44">
        <f t="shared" si="0"/>
        <v>100</v>
      </c>
    </row>
    <row r="7" spans="1:11" ht="21" customHeight="1" x14ac:dyDescent="0.15">
      <c r="A7" s="18">
        <v>51002006</v>
      </c>
      <c r="B7" s="43">
        <v>1</v>
      </c>
      <c r="C7" s="43" t="s">
        <v>53</v>
      </c>
      <c r="D7" s="43">
        <v>100</v>
      </c>
      <c r="E7" s="43" t="s">
        <v>53</v>
      </c>
      <c r="F7" s="43" t="s">
        <v>53</v>
      </c>
      <c r="G7" s="43">
        <v>1</v>
      </c>
      <c r="H7" s="43" t="s">
        <v>53</v>
      </c>
      <c r="I7" s="43" t="s">
        <v>53</v>
      </c>
      <c r="J7" s="44">
        <f t="shared" si="0"/>
        <v>100</v>
      </c>
    </row>
    <row r="8" spans="1:11" ht="21" customHeight="1" x14ac:dyDescent="0.15">
      <c r="A8" s="18">
        <v>51002007</v>
      </c>
      <c r="B8" s="43">
        <v>0</v>
      </c>
      <c r="C8" s="43" t="s">
        <v>53</v>
      </c>
      <c r="D8" s="43">
        <v>80</v>
      </c>
      <c r="E8" s="43" t="s">
        <v>53</v>
      </c>
      <c r="F8" s="43" t="s">
        <v>53</v>
      </c>
      <c r="G8" s="43" t="s">
        <v>53</v>
      </c>
      <c r="H8" s="43" t="s">
        <v>53</v>
      </c>
      <c r="I8" s="43" t="s">
        <v>53</v>
      </c>
      <c r="J8" s="44">
        <f t="shared" si="0"/>
        <v>80</v>
      </c>
    </row>
    <row r="9" spans="1:11" ht="21" customHeight="1" x14ac:dyDescent="0.15">
      <c r="A9" s="18">
        <v>51002008</v>
      </c>
      <c r="B9" s="43">
        <v>0</v>
      </c>
      <c r="C9" s="43" t="s">
        <v>53</v>
      </c>
      <c r="D9" s="43">
        <v>100</v>
      </c>
      <c r="E9" s="43" t="s">
        <v>53</v>
      </c>
      <c r="F9" s="43" t="s">
        <v>53</v>
      </c>
      <c r="G9" s="43">
        <v>1</v>
      </c>
      <c r="H9" s="43">
        <v>5</v>
      </c>
      <c r="I9" s="43" t="s">
        <v>53</v>
      </c>
      <c r="J9" s="44">
        <f t="shared" si="0"/>
        <v>100</v>
      </c>
    </row>
    <row r="10" spans="1:11" ht="21" customHeight="1" x14ac:dyDescent="0.15">
      <c r="A10" s="18">
        <v>51002009</v>
      </c>
      <c r="B10" s="43">
        <v>0</v>
      </c>
      <c r="C10" s="43" t="s">
        <v>53</v>
      </c>
      <c r="D10" s="43">
        <v>100</v>
      </c>
      <c r="E10" s="43">
        <v>50</v>
      </c>
      <c r="F10" s="43" t="s">
        <v>53</v>
      </c>
      <c r="G10" s="43">
        <v>1</v>
      </c>
      <c r="H10" s="43" t="s">
        <v>53</v>
      </c>
      <c r="I10" s="43" t="s">
        <v>53</v>
      </c>
      <c r="J10" s="44">
        <f t="shared" si="0"/>
        <v>100</v>
      </c>
    </row>
    <row r="11" spans="1:11" ht="21" customHeight="1" x14ac:dyDescent="0.15">
      <c r="A11" s="18">
        <v>51002010</v>
      </c>
      <c r="B11" s="43">
        <v>0</v>
      </c>
      <c r="C11" s="43" t="s">
        <v>53</v>
      </c>
      <c r="D11" s="43">
        <v>100</v>
      </c>
      <c r="E11" s="43" t="s">
        <v>53</v>
      </c>
      <c r="F11" s="43" t="s">
        <v>53</v>
      </c>
      <c r="G11" s="43">
        <v>1</v>
      </c>
      <c r="H11" s="43" t="s">
        <v>53</v>
      </c>
      <c r="I11" s="43">
        <v>7</v>
      </c>
      <c r="J11" s="44">
        <f t="shared" si="0"/>
        <v>100</v>
      </c>
    </row>
    <row r="12" spans="1:11" ht="21" customHeight="1" x14ac:dyDescent="0.15">
      <c r="A12" s="18">
        <v>51002011</v>
      </c>
      <c r="B12" s="43">
        <v>0</v>
      </c>
      <c r="C12" s="43" t="s">
        <v>53</v>
      </c>
      <c r="D12" s="43">
        <v>100</v>
      </c>
      <c r="E12" s="43" t="s">
        <v>53</v>
      </c>
      <c r="F12" s="43" t="s">
        <v>53</v>
      </c>
      <c r="G12" s="43">
        <v>1</v>
      </c>
      <c r="H12" s="43" t="s">
        <v>53</v>
      </c>
      <c r="I12" s="43">
        <v>5</v>
      </c>
      <c r="J12" s="44">
        <f t="shared" si="0"/>
        <v>100</v>
      </c>
    </row>
    <row r="13" spans="1:11" ht="21" customHeight="1" x14ac:dyDescent="0.15">
      <c r="A13" s="18">
        <v>51002012</v>
      </c>
      <c r="B13" s="43">
        <v>0</v>
      </c>
      <c r="C13" s="43" t="s">
        <v>53</v>
      </c>
      <c r="D13" s="43">
        <v>100</v>
      </c>
      <c r="E13" s="43" t="s">
        <v>53</v>
      </c>
      <c r="F13" s="43" t="s">
        <v>53</v>
      </c>
      <c r="G13" s="43" t="s">
        <v>53</v>
      </c>
      <c r="H13" s="43" t="s">
        <v>53</v>
      </c>
      <c r="I13" s="43" t="s">
        <v>53</v>
      </c>
      <c r="J13" s="44">
        <f t="shared" si="0"/>
        <v>100</v>
      </c>
    </row>
    <row r="14" spans="1:11" ht="21" customHeight="1" x14ac:dyDescent="0.15">
      <c r="A14" s="18">
        <v>51002013</v>
      </c>
      <c r="B14" s="43">
        <v>0</v>
      </c>
      <c r="C14" s="43" t="s">
        <v>53</v>
      </c>
      <c r="D14" s="43">
        <v>100</v>
      </c>
      <c r="E14" s="43" t="s">
        <v>53</v>
      </c>
      <c r="F14" s="43" t="s">
        <v>53</v>
      </c>
      <c r="G14" s="43" t="s">
        <v>53</v>
      </c>
      <c r="H14" s="43" t="s">
        <v>53</v>
      </c>
      <c r="I14" s="43" t="s">
        <v>53</v>
      </c>
      <c r="J14" s="44">
        <f t="shared" si="0"/>
        <v>100</v>
      </c>
    </row>
    <row r="15" spans="1:11" ht="21" customHeight="1" x14ac:dyDescent="0.15">
      <c r="A15" s="18">
        <v>51002014</v>
      </c>
      <c r="B15" s="43">
        <v>0</v>
      </c>
      <c r="C15" s="43" t="s">
        <v>53</v>
      </c>
      <c r="D15" s="43">
        <v>100</v>
      </c>
      <c r="E15" s="43" t="s">
        <v>53</v>
      </c>
      <c r="F15" s="43" t="s">
        <v>53</v>
      </c>
      <c r="G15" s="43" t="s">
        <v>53</v>
      </c>
      <c r="H15" s="43" t="s">
        <v>53</v>
      </c>
      <c r="I15" s="43" t="s">
        <v>53</v>
      </c>
      <c r="J15" s="44">
        <f t="shared" si="0"/>
        <v>100</v>
      </c>
    </row>
    <row r="16" spans="1:11" ht="21" customHeight="1" x14ac:dyDescent="0.15">
      <c r="A16" s="18">
        <v>51002015</v>
      </c>
      <c r="B16" s="43">
        <v>0</v>
      </c>
      <c r="C16" s="43" t="s">
        <v>53</v>
      </c>
      <c r="D16" s="43">
        <v>100</v>
      </c>
      <c r="E16" s="43" t="s">
        <v>53</v>
      </c>
      <c r="F16" s="43" t="s">
        <v>53</v>
      </c>
      <c r="G16" s="43" t="s">
        <v>53</v>
      </c>
      <c r="H16" s="43" t="s">
        <v>53</v>
      </c>
      <c r="I16" s="43" t="s">
        <v>53</v>
      </c>
      <c r="J16" s="44">
        <f t="shared" si="0"/>
        <v>100</v>
      </c>
    </row>
    <row r="17" spans="1:10" ht="21" customHeight="1" x14ac:dyDescent="0.15">
      <c r="A17" s="18">
        <v>51002016</v>
      </c>
      <c r="B17" s="43">
        <v>0</v>
      </c>
      <c r="C17" s="43">
        <v>10</v>
      </c>
      <c r="D17" s="43">
        <v>100</v>
      </c>
      <c r="E17" s="43" t="s">
        <v>53</v>
      </c>
      <c r="F17" s="43" t="s">
        <v>53</v>
      </c>
      <c r="G17" s="43" t="s">
        <v>53</v>
      </c>
      <c r="H17" s="43" t="s">
        <v>53</v>
      </c>
      <c r="I17" s="43" t="s">
        <v>53</v>
      </c>
      <c r="J17" s="44">
        <f t="shared" si="0"/>
        <v>100</v>
      </c>
    </row>
    <row r="18" spans="1:10" ht="21" customHeight="1" x14ac:dyDescent="0.15">
      <c r="A18" s="18">
        <v>51002017</v>
      </c>
      <c r="B18" s="43">
        <v>1</v>
      </c>
      <c r="C18" s="43" t="s">
        <v>53</v>
      </c>
      <c r="D18" s="43">
        <v>100</v>
      </c>
      <c r="E18" s="43" t="s">
        <v>53</v>
      </c>
      <c r="F18" s="43" t="s">
        <v>53</v>
      </c>
      <c r="G18" s="43">
        <v>1</v>
      </c>
      <c r="H18" s="43" t="s">
        <v>53</v>
      </c>
      <c r="I18" s="43" t="s">
        <v>53</v>
      </c>
      <c r="J18" s="44">
        <f t="shared" si="0"/>
        <v>100</v>
      </c>
    </row>
    <row r="19" spans="1:10" ht="21" customHeight="1" x14ac:dyDescent="0.15">
      <c r="A19" s="18">
        <v>51002018</v>
      </c>
      <c r="B19" s="43">
        <v>0</v>
      </c>
      <c r="C19" s="43" t="s">
        <v>53</v>
      </c>
      <c r="D19" s="43">
        <v>100</v>
      </c>
      <c r="E19" s="43" t="s">
        <v>53</v>
      </c>
      <c r="F19" s="43" t="s">
        <v>53</v>
      </c>
      <c r="G19" s="43">
        <v>1</v>
      </c>
      <c r="H19" s="43" t="s">
        <v>53</v>
      </c>
      <c r="I19" s="43">
        <v>245</v>
      </c>
      <c r="J19" s="44">
        <f t="shared" si="0"/>
        <v>100</v>
      </c>
    </row>
    <row r="20" spans="1:10" ht="21" customHeight="1" x14ac:dyDescent="0.15">
      <c r="A20" s="18">
        <v>51002019</v>
      </c>
      <c r="B20" s="43">
        <v>0</v>
      </c>
      <c r="C20" s="43" t="s">
        <v>53</v>
      </c>
      <c r="D20" s="43">
        <v>100</v>
      </c>
      <c r="E20" s="43" t="s">
        <v>53</v>
      </c>
      <c r="F20" s="43" t="s">
        <v>53</v>
      </c>
      <c r="G20" s="43" t="s">
        <v>53</v>
      </c>
      <c r="H20" s="43" t="s">
        <v>53</v>
      </c>
      <c r="I20" s="43" t="s">
        <v>53</v>
      </c>
      <c r="J20" s="44">
        <f t="shared" si="0"/>
        <v>100</v>
      </c>
    </row>
    <row r="21" spans="1:10" ht="21" customHeight="1" x14ac:dyDescent="0.15">
      <c r="A21" s="18">
        <v>51002020</v>
      </c>
      <c r="B21" s="43">
        <v>0</v>
      </c>
      <c r="C21" s="43" t="s">
        <v>53</v>
      </c>
      <c r="D21" s="43">
        <v>100</v>
      </c>
      <c r="E21" s="43" t="s">
        <v>53</v>
      </c>
      <c r="F21" s="43" t="s">
        <v>53</v>
      </c>
      <c r="G21" s="43" t="s">
        <v>53</v>
      </c>
      <c r="H21" s="43" t="s">
        <v>53</v>
      </c>
      <c r="I21" s="43" t="s">
        <v>53</v>
      </c>
      <c r="J21" s="44">
        <f t="shared" si="0"/>
        <v>100</v>
      </c>
    </row>
    <row r="22" spans="1:10" ht="21" customHeight="1" x14ac:dyDescent="0.15">
      <c r="A22" s="18">
        <v>51002021</v>
      </c>
      <c r="B22" s="43">
        <v>0</v>
      </c>
      <c r="C22" s="43">
        <v>10</v>
      </c>
      <c r="D22" s="43">
        <v>100</v>
      </c>
      <c r="E22" s="43" t="s">
        <v>53</v>
      </c>
      <c r="F22" s="43" t="s">
        <v>53</v>
      </c>
      <c r="G22" s="43" t="s">
        <v>53</v>
      </c>
      <c r="H22" s="43" t="s">
        <v>53</v>
      </c>
      <c r="I22" s="43" t="s">
        <v>53</v>
      </c>
      <c r="J22" s="44">
        <f t="shared" si="0"/>
        <v>100</v>
      </c>
    </row>
    <row r="23" spans="1:10" ht="21" customHeight="1" x14ac:dyDescent="0.15">
      <c r="A23" s="18">
        <v>51002022</v>
      </c>
      <c r="B23" s="43">
        <v>1</v>
      </c>
      <c r="C23" s="43" t="s">
        <v>53</v>
      </c>
      <c r="D23" s="43">
        <v>100</v>
      </c>
      <c r="E23" s="43" t="s">
        <v>53</v>
      </c>
      <c r="F23" s="43" t="s">
        <v>53</v>
      </c>
      <c r="G23" s="43">
        <v>1</v>
      </c>
      <c r="H23" s="43" t="s">
        <v>53</v>
      </c>
      <c r="I23" s="43" t="s">
        <v>53</v>
      </c>
      <c r="J23" s="44">
        <f t="shared" si="0"/>
        <v>100</v>
      </c>
    </row>
    <row r="24" spans="1:10" ht="21" customHeight="1" x14ac:dyDescent="0.15">
      <c r="A24" s="18">
        <v>51002023</v>
      </c>
      <c r="B24" s="43">
        <v>0</v>
      </c>
      <c r="C24" s="43" t="s">
        <v>53</v>
      </c>
      <c r="D24" s="43">
        <v>100</v>
      </c>
      <c r="E24" s="43" t="s">
        <v>53</v>
      </c>
      <c r="F24" s="43" t="s">
        <v>53</v>
      </c>
      <c r="G24" s="43">
        <v>1</v>
      </c>
      <c r="H24" s="43" t="s">
        <v>53</v>
      </c>
      <c r="I24" s="43">
        <v>245</v>
      </c>
      <c r="J24" s="44">
        <f t="shared" si="0"/>
        <v>100</v>
      </c>
    </row>
    <row r="25" spans="1:10" ht="21" customHeight="1" x14ac:dyDescent="0.15">
      <c r="A25" s="18">
        <v>51002024</v>
      </c>
      <c r="B25" s="43">
        <v>0</v>
      </c>
      <c r="C25" s="43" t="s">
        <v>53</v>
      </c>
      <c r="D25" s="43">
        <v>100</v>
      </c>
      <c r="E25" s="43" t="s">
        <v>53</v>
      </c>
      <c r="F25" s="43" t="s">
        <v>53</v>
      </c>
      <c r="G25" s="43" t="s">
        <v>53</v>
      </c>
      <c r="H25" s="43" t="s">
        <v>53</v>
      </c>
      <c r="I25" s="43" t="s">
        <v>53</v>
      </c>
      <c r="J25" s="44">
        <f t="shared" si="0"/>
        <v>100</v>
      </c>
    </row>
    <row r="26" spans="1:10" ht="21" customHeight="1" x14ac:dyDescent="0.15">
      <c r="A26" s="18">
        <v>51002025</v>
      </c>
      <c r="B26" s="43">
        <v>0</v>
      </c>
      <c r="C26" s="43" t="s">
        <v>53</v>
      </c>
      <c r="D26" s="43">
        <v>100</v>
      </c>
      <c r="E26" s="43" t="s">
        <v>53</v>
      </c>
      <c r="F26" s="43" t="s">
        <v>53</v>
      </c>
      <c r="G26" s="43" t="s">
        <v>53</v>
      </c>
      <c r="H26" s="43" t="s">
        <v>53</v>
      </c>
      <c r="I26" s="43" t="s">
        <v>53</v>
      </c>
      <c r="J26" s="44">
        <f t="shared" si="0"/>
        <v>100</v>
      </c>
    </row>
    <row r="27" spans="1:10" ht="21" customHeight="1" x14ac:dyDescent="0.15">
      <c r="A27" s="18">
        <v>51002026</v>
      </c>
      <c r="B27" s="43">
        <v>1</v>
      </c>
      <c r="C27" s="43" t="s">
        <v>53</v>
      </c>
      <c r="D27" s="43">
        <v>100</v>
      </c>
      <c r="E27" s="43" t="s">
        <v>53</v>
      </c>
      <c r="F27" s="43" t="s">
        <v>53</v>
      </c>
      <c r="G27" s="43">
        <v>1</v>
      </c>
      <c r="H27" s="43" t="s">
        <v>53</v>
      </c>
      <c r="I27" s="43" t="s">
        <v>53</v>
      </c>
      <c r="J27" s="44">
        <f t="shared" si="0"/>
        <v>100</v>
      </c>
    </row>
    <row r="28" spans="1:10" ht="21" customHeight="1" x14ac:dyDescent="0.15">
      <c r="A28" s="18">
        <v>51002027</v>
      </c>
      <c r="B28" s="43">
        <v>0</v>
      </c>
      <c r="C28" s="43" t="s">
        <v>53</v>
      </c>
      <c r="D28" s="43">
        <v>30</v>
      </c>
      <c r="E28" s="43" t="s">
        <v>53</v>
      </c>
      <c r="F28" s="43" t="s">
        <v>53</v>
      </c>
      <c r="G28" s="43" t="s">
        <v>53</v>
      </c>
      <c r="H28" s="43" t="s">
        <v>53</v>
      </c>
      <c r="I28" s="43" t="s">
        <v>53</v>
      </c>
      <c r="J28" s="44">
        <f t="shared" si="0"/>
        <v>30</v>
      </c>
    </row>
    <row r="29" spans="1:10" ht="21" customHeight="1" x14ac:dyDescent="0.15">
      <c r="A29" s="18">
        <v>51002028</v>
      </c>
      <c r="B29" s="43">
        <v>0</v>
      </c>
      <c r="C29" s="43" t="s">
        <v>53</v>
      </c>
      <c r="D29" s="43">
        <v>100</v>
      </c>
      <c r="E29" s="43" t="s">
        <v>53</v>
      </c>
      <c r="F29" s="43" t="s">
        <v>53</v>
      </c>
      <c r="G29" s="43" t="s">
        <v>53</v>
      </c>
      <c r="H29" s="43" t="s">
        <v>53</v>
      </c>
      <c r="I29" s="43" t="s">
        <v>53</v>
      </c>
      <c r="J29" s="44">
        <f t="shared" si="0"/>
        <v>100</v>
      </c>
    </row>
    <row r="30" spans="1:10" ht="21" customHeight="1" x14ac:dyDescent="0.15">
      <c r="A30" s="18">
        <v>51002029</v>
      </c>
      <c r="B30" s="43">
        <v>0</v>
      </c>
      <c r="C30" s="43" t="s">
        <v>53</v>
      </c>
      <c r="D30" s="43">
        <v>100</v>
      </c>
      <c r="E30" s="43" t="s">
        <v>53</v>
      </c>
      <c r="F30" s="43" t="s">
        <v>53</v>
      </c>
      <c r="G30" s="43" t="s">
        <v>53</v>
      </c>
      <c r="H30" s="43" t="s">
        <v>53</v>
      </c>
      <c r="I30" s="43" t="s">
        <v>53</v>
      </c>
      <c r="J30" s="44">
        <f t="shared" si="0"/>
        <v>100</v>
      </c>
    </row>
    <row r="31" spans="1:10" ht="21" customHeight="1" x14ac:dyDescent="0.15">
      <c r="A31" s="18">
        <v>51002030</v>
      </c>
      <c r="B31" s="43">
        <v>0</v>
      </c>
      <c r="C31" s="43" t="s">
        <v>53</v>
      </c>
      <c r="D31" s="43">
        <v>100</v>
      </c>
      <c r="E31" s="43" t="s">
        <v>53</v>
      </c>
      <c r="F31" s="43" t="s">
        <v>53</v>
      </c>
      <c r="G31" s="43" t="s">
        <v>53</v>
      </c>
      <c r="H31" s="43" t="s">
        <v>53</v>
      </c>
      <c r="I31" s="43" t="s">
        <v>53</v>
      </c>
      <c r="J31" s="44">
        <f t="shared" si="0"/>
        <v>100</v>
      </c>
    </row>
    <row r="32" spans="1:10" ht="21" customHeight="1" x14ac:dyDescent="0.15">
      <c r="A32" s="18">
        <v>51002031</v>
      </c>
      <c r="B32" s="43">
        <v>1</v>
      </c>
      <c r="C32" s="43" t="s">
        <v>53</v>
      </c>
      <c r="D32" s="43">
        <v>100</v>
      </c>
      <c r="E32" s="43" t="s">
        <v>53</v>
      </c>
      <c r="F32" s="43" t="s">
        <v>53</v>
      </c>
      <c r="G32" s="43">
        <v>1</v>
      </c>
      <c r="H32" s="43" t="s">
        <v>53</v>
      </c>
      <c r="I32" s="43" t="s">
        <v>53</v>
      </c>
      <c r="J32" s="44">
        <f t="shared" si="0"/>
        <v>100</v>
      </c>
    </row>
    <row r="33" spans="1:10" ht="21" customHeight="1" x14ac:dyDescent="0.15">
      <c r="A33" s="18">
        <v>51002032</v>
      </c>
      <c r="B33" s="43">
        <v>0</v>
      </c>
      <c r="C33" s="43" t="s">
        <v>53</v>
      </c>
      <c r="D33" s="43">
        <v>50</v>
      </c>
      <c r="E33" s="43" t="s">
        <v>53</v>
      </c>
      <c r="F33" s="43" t="s">
        <v>53</v>
      </c>
      <c r="G33" s="43" t="s">
        <v>53</v>
      </c>
      <c r="H33" s="43" t="s">
        <v>53</v>
      </c>
      <c r="I33" s="43" t="s">
        <v>53</v>
      </c>
      <c r="J33" s="44">
        <f t="shared" si="0"/>
        <v>50</v>
      </c>
    </row>
    <row r="34" spans="1:10" ht="21" customHeight="1" x14ac:dyDescent="0.15">
      <c r="A34" s="18">
        <v>51002033</v>
      </c>
      <c r="B34" s="43">
        <v>0</v>
      </c>
      <c r="C34" s="43" t="s">
        <v>53</v>
      </c>
      <c r="D34" s="43">
        <v>50</v>
      </c>
      <c r="E34" s="43" t="s">
        <v>53</v>
      </c>
      <c r="F34" s="43" t="s">
        <v>53</v>
      </c>
      <c r="G34" s="43" t="s">
        <v>53</v>
      </c>
      <c r="H34" s="43" t="s">
        <v>53</v>
      </c>
      <c r="I34" s="43" t="s">
        <v>53</v>
      </c>
      <c r="J34" s="44">
        <f t="shared" si="0"/>
        <v>50</v>
      </c>
    </row>
    <row r="35" spans="1:10" ht="21" customHeight="1" x14ac:dyDescent="0.15">
      <c r="A35" s="18">
        <v>51002034</v>
      </c>
      <c r="B35" s="43">
        <v>0</v>
      </c>
      <c r="C35" s="43" t="s">
        <v>53</v>
      </c>
      <c r="D35" s="43">
        <v>100</v>
      </c>
      <c r="E35" s="43">
        <v>60</v>
      </c>
      <c r="F35" s="43" t="s">
        <v>53</v>
      </c>
      <c r="G35" s="43">
        <v>1</v>
      </c>
      <c r="H35" s="43" t="s">
        <v>53</v>
      </c>
      <c r="I35" s="43" t="s">
        <v>53</v>
      </c>
      <c r="J35" s="44">
        <f t="shared" si="0"/>
        <v>100</v>
      </c>
    </row>
    <row r="36" spans="1:10" ht="21" customHeight="1" x14ac:dyDescent="0.15">
      <c r="A36" s="18">
        <v>51002035</v>
      </c>
      <c r="B36" s="43">
        <v>0</v>
      </c>
      <c r="C36" s="43" t="s">
        <v>53</v>
      </c>
      <c r="D36" s="43">
        <v>100</v>
      </c>
      <c r="E36" s="43">
        <v>40</v>
      </c>
      <c r="F36" s="43" t="s">
        <v>53</v>
      </c>
      <c r="G36" s="43">
        <v>1</v>
      </c>
      <c r="H36" s="43" t="s">
        <v>53</v>
      </c>
      <c r="I36" s="43" t="s">
        <v>53</v>
      </c>
      <c r="J36" s="44">
        <f t="shared" si="0"/>
        <v>100</v>
      </c>
    </row>
    <row r="37" spans="1:10" ht="21" customHeight="1" x14ac:dyDescent="0.15">
      <c r="A37" s="18">
        <v>51002036</v>
      </c>
      <c r="B37" s="43">
        <v>0</v>
      </c>
      <c r="C37" s="43" t="s">
        <v>53</v>
      </c>
      <c r="D37" s="43">
        <v>100</v>
      </c>
      <c r="E37" s="43" t="s">
        <v>53</v>
      </c>
      <c r="F37" s="43" t="s">
        <v>53</v>
      </c>
      <c r="G37" s="43" t="s">
        <v>53</v>
      </c>
      <c r="H37" s="43" t="s">
        <v>53</v>
      </c>
      <c r="I37" s="43" t="s">
        <v>53</v>
      </c>
      <c r="J37" s="44">
        <f t="shared" si="0"/>
        <v>100</v>
      </c>
    </row>
    <row r="38" spans="1:10" ht="21" customHeight="1" x14ac:dyDescent="0.15">
      <c r="A38" s="18">
        <v>51002037</v>
      </c>
      <c r="B38" s="43">
        <v>0</v>
      </c>
      <c r="C38" s="43" t="s">
        <v>53</v>
      </c>
      <c r="D38" s="43">
        <v>100</v>
      </c>
      <c r="E38" s="43" t="s">
        <v>53</v>
      </c>
      <c r="F38" s="43" t="s">
        <v>53</v>
      </c>
      <c r="G38" s="43" t="s">
        <v>53</v>
      </c>
      <c r="H38" s="43" t="s">
        <v>53</v>
      </c>
      <c r="I38" s="43" t="s">
        <v>53</v>
      </c>
      <c r="J38" s="44">
        <f t="shared" si="0"/>
        <v>100</v>
      </c>
    </row>
    <row r="39" spans="1:10" ht="21" customHeight="1" x14ac:dyDescent="0.15">
      <c r="A39" s="18">
        <v>51002038</v>
      </c>
      <c r="B39" s="43">
        <v>0</v>
      </c>
      <c r="C39" s="43" t="s">
        <v>53</v>
      </c>
      <c r="D39" s="43">
        <v>100</v>
      </c>
      <c r="E39" s="43" t="s">
        <v>53</v>
      </c>
      <c r="F39" s="43" t="s">
        <v>53</v>
      </c>
      <c r="G39" s="43" t="s">
        <v>53</v>
      </c>
      <c r="H39" s="43" t="s">
        <v>53</v>
      </c>
      <c r="I39" s="43" t="s">
        <v>53</v>
      </c>
      <c r="J39" s="44">
        <f t="shared" si="0"/>
        <v>100</v>
      </c>
    </row>
    <row r="40" spans="1:10" ht="21" customHeight="1" x14ac:dyDescent="0.15">
      <c r="A40" s="18">
        <v>51002039</v>
      </c>
      <c r="B40" s="43">
        <v>0</v>
      </c>
      <c r="C40" s="43" t="s">
        <v>53</v>
      </c>
      <c r="D40" s="43">
        <v>100</v>
      </c>
      <c r="E40" s="43" t="s">
        <v>53</v>
      </c>
      <c r="F40" s="43" t="s">
        <v>53</v>
      </c>
      <c r="G40" s="43" t="s">
        <v>53</v>
      </c>
      <c r="H40" s="43" t="s">
        <v>53</v>
      </c>
      <c r="I40" s="43" t="s">
        <v>53</v>
      </c>
      <c r="J40" s="44">
        <f t="shared" si="0"/>
        <v>100</v>
      </c>
    </row>
    <row r="41" spans="1:10" ht="21" customHeight="1" x14ac:dyDescent="0.15">
      <c r="A41" s="18">
        <v>51002040</v>
      </c>
      <c r="B41" s="43">
        <v>0</v>
      </c>
      <c r="C41" s="43" t="s">
        <v>53</v>
      </c>
      <c r="D41" s="43">
        <v>100</v>
      </c>
      <c r="E41" s="43" t="s">
        <v>53</v>
      </c>
      <c r="F41" s="43" t="s">
        <v>53</v>
      </c>
      <c r="G41" s="43" t="s">
        <v>53</v>
      </c>
      <c r="H41" s="43" t="s">
        <v>53</v>
      </c>
      <c r="I41" s="43" t="s">
        <v>53</v>
      </c>
      <c r="J41" s="44">
        <f t="shared" si="0"/>
        <v>100</v>
      </c>
    </row>
    <row r="42" spans="1:10" ht="21" customHeight="1" x14ac:dyDescent="0.15">
      <c r="A42" s="18">
        <v>51002041</v>
      </c>
      <c r="B42" s="43">
        <v>1</v>
      </c>
      <c r="C42" s="43" t="s">
        <v>53</v>
      </c>
      <c r="D42" s="43">
        <v>100</v>
      </c>
      <c r="E42" s="43" t="s">
        <v>53</v>
      </c>
      <c r="F42" s="43" t="s">
        <v>53</v>
      </c>
      <c r="G42" s="43">
        <v>1</v>
      </c>
      <c r="H42" s="43" t="s">
        <v>53</v>
      </c>
      <c r="I42" s="43" t="s">
        <v>53</v>
      </c>
      <c r="J42" s="44">
        <f t="shared" si="0"/>
        <v>100</v>
      </c>
    </row>
    <row r="43" spans="1:10" ht="21" customHeight="1" x14ac:dyDescent="0.15">
      <c r="A43" s="18">
        <v>51002042</v>
      </c>
      <c r="B43" s="43">
        <v>0</v>
      </c>
      <c r="C43" s="43" t="s">
        <v>53</v>
      </c>
      <c r="D43" s="43">
        <v>50</v>
      </c>
      <c r="E43" s="43" t="s">
        <v>53</v>
      </c>
      <c r="F43" s="43" t="s">
        <v>53</v>
      </c>
      <c r="G43" s="43" t="s">
        <v>53</v>
      </c>
      <c r="H43" s="43" t="s">
        <v>53</v>
      </c>
      <c r="I43" s="43" t="s">
        <v>53</v>
      </c>
      <c r="J43" s="44">
        <f t="shared" si="0"/>
        <v>50</v>
      </c>
    </row>
    <row r="44" spans="1:10" ht="21" customHeight="1" x14ac:dyDescent="0.15">
      <c r="A44" s="18">
        <v>51002043</v>
      </c>
      <c r="B44" s="43">
        <v>0</v>
      </c>
      <c r="C44" s="43" t="s">
        <v>53</v>
      </c>
      <c r="D44" s="43">
        <v>50</v>
      </c>
      <c r="E44" s="43" t="s">
        <v>53</v>
      </c>
      <c r="F44" s="43" t="s">
        <v>53</v>
      </c>
      <c r="G44" s="43" t="s">
        <v>53</v>
      </c>
      <c r="H44" s="43" t="s">
        <v>53</v>
      </c>
      <c r="I44" s="43" t="s">
        <v>53</v>
      </c>
      <c r="J44" s="44">
        <f t="shared" si="0"/>
        <v>50</v>
      </c>
    </row>
    <row r="45" spans="1:10" ht="21" customHeight="1" x14ac:dyDescent="0.15">
      <c r="A45" s="18">
        <v>51002044</v>
      </c>
      <c r="B45" s="43">
        <v>0</v>
      </c>
      <c r="C45" s="43">
        <v>10</v>
      </c>
      <c r="D45" s="43">
        <v>100</v>
      </c>
      <c r="E45" s="43">
        <v>40</v>
      </c>
      <c r="F45" s="43" t="s">
        <v>53</v>
      </c>
      <c r="G45" s="43">
        <v>1</v>
      </c>
      <c r="H45" s="43" t="s">
        <v>53</v>
      </c>
      <c r="I45" s="43" t="s">
        <v>53</v>
      </c>
      <c r="J45" s="44">
        <f t="shared" si="0"/>
        <v>100</v>
      </c>
    </row>
    <row r="46" spans="1:10" ht="21" customHeight="1" x14ac:dyDescent="0.15">
      <c r="A46" s="18">
        <v>51002045</v>
      </c>
      <c r="B46" s="43">
        <v>0</v>
      </c>
      <c r="C46" s="43">
        <v>5</v>
      </c>
      <c r="D46" s="43">
        <v>100</v>
      </c>
      <c r="E46" s="43">
        <v>40</v>
      </c>
      <c r="F46" s="43" t="s">
        <v>53</v>
      </c>
      <c r="G46" s="43" t="s">
        <v>53</v>
      </c>
      <c r="H46" s="43" t="s">
        <v>53</v>
      </c>
      <c r="I46" s="43" t="s">
        <v>53</v>
      </c>
      <c r="J46" s="44">
        <f t="shared" si="0"/>
        <v>100</v>
      </c>
    </row>
    <row r="47" spans="1:10" ht="21" customHeight="1" x14ac:dyDescent="0.15">
      <c r="A47" s="18">
        <v>51002046</v>
      </c>
      <c r="B47" s="43">
        <v>0</v>
      </c>
      <c r="C47" s="43">
        <v>5</v>
      </c>
      <c r="D47" s="43">
        <v>100</v>
      </c>
      <c r="E47" s="43">
        <v>40</v>
      </c>
      <c r="F47" s="43" t="s">
        <v>53</v>
      </c>
      <c r="G47" s="43" t="s">
        <v>53</v>
      </c>
      <c r="H47" s="43" t="s">
        <v>53</v>
      </c>
      <c r="I47" s="43" t="s">
        <v>53</v>
      </c>
      <c r="J47" s="44">
        <f t="shared" si="0"/>
        <v>100</v>
      </c>
    </row>
    <row r="48" spans="1:10" ht="21" customHeight="1" x14ac:dyDescent="0.15">
      <c r="A48" s="18">
        <v>51002047</v>
      </c>
      <c r="B48" s="43">
        <v>0</v>
      </c>
      <c r="C48" s="43">
        <v>5</v>
      </c>
      <c r="D48" s="43">
        <v>100</v>
      </c>
      <c r="E48" s="43">
        <v>40</v>
      </c>
      <c r="F48" s="43" t="s">
        <v>53</v>
      </c>
      <c r="G48" s="43" t="s">
        <v>53</v>
      </c>
      <c r="H48" s="43" t="s">
        <v>53</v>
      </c>
      <c r="I48" s="43" t="s">
        <v>53</v>
      </c>
      <c r="J48" s="44">
        <f t="shared" si="0"/>
        <v>100</v>
      </c>
    </row>
    <row r="49" spans="1:10" ht="21" customHeight="1" x14ac:dyDescent="0.15">
      <c r="A49" s="18">
        <v>51002048</v>
      </c>
      <c r="B49" s="43">
        <v>0</v>
      </c>
      <c r="C49" s="43">
        <v>5</v>
      </c>
      <c r="D49" s="43">
        <v>100</v>
      </c>
      <c r="E49" s="43">
        <v>40</v>
      </c>
      <c r="F49" s="43" t="s">
        <v>53</v>
      </c>
      <c r="G49" s="43" t="s">
        <v>53</v>
      </c>
      <c r="H49" s="43" t="s">
        <v>53</v>
      </c>
      <c r="I49" s="43" t="s">
        <v>53</v>
      </c>
      <c r="J49" s="44">
        <f t="shared" si="0"/>
        <v>100</v>
      </c>
    </row>
    <row r="50" spans="1:10" ht="21" customHeight="1" x14ac:dyDescent="0.15">
      <c r="A50" s="18">
        <v>51002049</v>
      </c>
      <c r="B50" s="43">
        <v>0</v>
      </c>
      <c r="C50" s="43" t="s">
        <v>53</v>
      </c>
      <c r="D50" s="43">
        <v>100</v>
      </c>
      <c r="E50" s="43" t="s">
        <v>53</v>
      </c>
      <c r="F50" s="43" t="s">
        <v>53</v>
      </c>
      <c r="G50" s="43" t="s">
        <v>53</v>
      </c>
      <c r="H50" s="43" t="s">
        <v>53</v>
      </c>
      <c r="I50" s="43" t="s">
        <v>53</v>
      </c>
      <c r="J50" s="44">
        <f t="shared" si="0"/>
        <v>100</v>
      </c>
    </row>
    <row r="51" spans="1:10" ht="21" customHeight="1" x14ac:dyDescent="0.15">
      <c r="A51" s="18">
        <v>51002050</v>
      </c>
      <c r="B51" s="43">
        <v>0</v>
      </c>
      <c r="C51" s="43" t="s">
        <v>53</v>
      </c>
      <c r="D51" s="43">
        <v>100</v>
      </c>
      <c r="E51" s="43" t="s">
        <v>53</v>
      </c>
      <c r="F51" s="43" t="s">
        <v>53</v>
      </c>
      <c r="G51" s="43" t="s">
        <v>53</v>
      </c>
      <c r="H51" s="43" t="s">
        <v>53</v>
      </c>
      <c r="I51" s="43" t="s">
        <v>53</v>
      </c>
      <c r="J51" s="44">
        <f t="shared" si="0"/>
        <v>100</v>
      </c>
    </row>
    <row r="52" spans="1:10" ht="21" customHeight="1" x14ac:dyDescent="0.15">
      <c r="A52" s="18">
        <v>51002051</v>
      </c>
      <c r="B52" s="43">
        <v>1</v>
      </c>
      <c r="C52" s="43" t="s">
        <v>53</v>
      </c>
      <c r="D52" s="43">
        <v>100</v>
      </c>
      <c r="E52" s="43" t="s">
        <v>53</v>
      </c>
      <c r="F52" s="43" t="s">
        <v>53</v>
      </c>
      <c r="G52" s="43">
        <v>1</v>
      </c>
      <c r="H52" s="43" t="s">
        <v>53</v>
      </c>
      <c r="I52" s="43" t="s">
        <v>53</v>
      </c>
      <c r="J52" s="44">
        <f t="shared" si="0"/>
        <v>100</v>
      </c>
    </row>
    <row r="53" spans="1:10" ht="21" customHeight="1" x14ac:dyDescent="0.15">
      <c r="A53" s="18">
        <v>51002052</v>
      </c>
      <c r="B53" s="43">
        <v>0</v>
      </c>
      <c r="C53" s="43" t="s">
        <v>53</v>
      </c>
      <c r="D53" s="43">
        <v>50</v>
      </c>
      <c r="E53" s="43" t="s">
        <v>53</v>
      </c>
      <c r="F53" s="43" t="s">
        <v>53</v>
      </c>
      <c r="G53" s="43" t="s">
        <v>53</v>
      </c>
      <c r="H53" s="43" t="s">
        <v>53</v>
      </c>
      <c r="I53" s="43" t="s">
        <v>53</v>
      </c>
      <c r="J53" s="44">
        <f t="shared" si="0"/>
        <v>50</v>
      </c>
    </row>
    <row r="54" spans="1:10" ht="21" customHeight="1" x14ac:dyDescent="0.15">
      <c r="A54" s="18">
        <v>51002053</v>
      </c>
      <c r="B54" s="43">
        <v>0</v>
      </c>
      <c r="C54" s="43">
        <v>10</v>
      </c>
      <c r="D54" s="43">
        <v>100</v>
      </c>
      <c r="E54" s="43" t="s">
        <v>53</v>
      </c>
      <c r="F54" s="43" t="s">
        <v>53</v>
      </c>
      <c r="G54" s="43">
        <v>1</v>
      </c>
      <c r="H54" s="43">
        <v>4</v>
      </c>
      <c r="I54" s="43" t="s">
        <v>53</v>
      </c>
      <c r="J54" s="44">
        <f t="shared" si="0"/>
        <v>100</v>
      </c>
    </row>
    <row r="55" spans="1:10" ht="21" customHeight="1" x14ac:dyDescent="0.15">
      <c r="A55" s="18">
        <v>51002054</v>
      </c>
      <c r="B55" s="43">
        <v>0</v>
      </c>
      <c r="C55" s="43">
        <v>5</v>
      </c>
      <c r="D55" s="43">
        <v>100</v>
      </c>
      <c r="E55" s="43" t="s">
        <v>53</v>
      </c>
      <c r="F55" s="43" t="s">
        <v>53</v>
      </c>
      <c r="G55" s="43">
        <v>1</v>
      </c>
      <c r="H55" s="43">
        <v>5</v>
      </c>
      <c r="I55" s="43" t="s">
        <v>53</v>
      </c>
      <c r="J55" s="44">
        <f t="shared" si="0"/>
        <v>100</v>
      </c>
    </row>
    <row r="56" spans="1:10" ht="21" customHeight="1" x14ac:dyDescent="0.15">
      <c r="A56" s="18">
        <v>51002055</v>
      </c>
      <c r="B56" s="43">
        <v>0</v>
      </c>
      <c r="C56" s="43">
        <v>20</v>
      </c>
      <c r="D56" s="43">
        <v>100</v>
      </c>
      <c r="E56" s="43">
        <v>10</v>
      </c>
      <c r="F56" s="43" t="s">
        <v>53</v>
      </c>
      <c r="G56" s="43">
        <v>1</v>
      </c>
      <c r="H56" s="43" t="s">
        <v>53</v>
      </c>
      <c r="I56" s="43" t="s">
        <v>53</v>
      </c>
      <c r="J56" s="44">
        <f t="shared" si="0"/>
        <v>100</v>
      </c>
    </row>
    <row r="57" spans="1:10" ht="21" customHeight="1" x14ac:dyDescent="0.15">
      <c r="A57" s="18">
        <v>51002056</v>
      </c>
      <c r="B57" s="43">
        <v>0</v>
      </c>
      <c r="C57" s="43" t="s">
        <v>53</v>
      </c>
      <c r="D57" s="43">
        <v>100</v>
      </c>
      <c r="E57" s="43" t="s">
        <v>53</v>
      </c>
      <c r="F57" s="43" t="s">
        <v>53</v>
      </c>
      <c r="G57" s="43" t="s">
        <v>53</v>
      </c>
      <c r="H57" s="43" t="s">
        <v>53</v>
      </c>
      <c r="I57" s="43" t="s">
        <v>53</v>
      </c>
      <c r="J57" s="44">
        <f t="shared" si="0"/>
        <v>100</v>
      </c>
    </row>
    <row r="58" spans="1:10" ht="21" customHeight="1" x14ac:dyDescent="0.15">
      <c r="A58" s="18">
        <v>51002057</v>
      </c>
      <c r="B58" s="43">
        <v>0</v>
      </c>
      <c r="C58" s="43" t="s">
        <v>53</v>
      </c>
      <c r="D58" s="43">
        <v>100</v>
      </c>
      <c r="E58" s="43" t="s">
        <v>53</v>
      </c>
      <c r="F58" s="43" t="s">
        <v>53</v>
      </c>
      <c r="G58" s="43" t="s">
        <v>53</v>
      </c>
      <c r="H58" s="43" t="s">
        <v>53</v>
      </c>
      <c r="I58" s="43" t="s">
        <v>53</v>
      </c>
      <c r="J58" s="44">
        <f t="shared" si="0"/>
        <v>100</v>
      </c>
    </row>
    <row r="59" spans="1:10" ht="21" customHeight="1" x14ac:dyDescent="0.15">
      <c r="A59" s="18">
        <v>51002058</v>
      </c>
      <c r="B59" s="43">
        <v>0</v>
      </c>
      <c r="C59" s="43" t="s">
        <v>53</v>
      </c>
      <c r="D59" s="43">
        <v>100</v>
      </c>
      <c r="E59" s="43" t="s">
        <v>53</v>
      </c>
      <c r="F59" s="43" t="s">
        <v>53</v>
      </c>
      <c r="G59" s="43" t="s">
        <v>53</v>
      </c>
      <c r="H59" s="43" t="s">
        <v>53</v>
      </c>
      <c r="I59" s="43" t="s">
        <v>53</v>
      </c>
      <c r="J59" s="44">
        <f t="shared" si="0"/>
        <v>100</v>
      </c>
    </row>
    <row r="60" spans="1:10" ht="21" customHeight="1" x14ac:dyDescent="0.15">
      <c r="A60" s="18">
        <v>51002059</v>
      </c>
      <c r="B60" s="43">
        <v>0</v>
      </c>
      <c r="C60" s="43" t="s">
        <v>53</v>
      </c>
      <c r="D60" s="43">
        <v>100</v>
      </c>
      <c r="E60" s="43" t="s">
        <v>53</v>
      </c>
      <c r="F60" s="43" t="s">
        <v>53</v>
      </c>
      <c r="G60" s="43" t="s">
        <v>53</v>
      </c>
      <c r="H60" s="43" t="s">
        <v>53</v>
      </c>
      <c r="I60" s="43" t="s">
        <v>53</v>
      </c>
      <c r="J60" s="44">
        <f t="shared" si="0"/>
        <v>100</v>
      </c>
    </row>
    <row r="61" spans="1:10" ht="21" customHeight="1" x14ac:dyDescent="0.15">
      <c r="A61" s="18">
        <v>51002060</v>
      </c>
      <c r="B61" s="43">
        <v>0</v>
      </c>
      <c r="C61" s="43" t="s">
        <v>53</v>
      </c>
      <c r="D61" s="43">
        <v>100</v>
      </c>
      <c r="E61" s="43" t="s">
        <v>53</v>
      </c>
      <c r="F61" s="43" t="s">
        <v>53</v>
      </c>
      <c r="G61" s="43" t="s">
        <v>53</v>
      </c>
      <c r="H61" s="43" t="s">
        <v>53</v>
      </c>
      <c r="I61" s="43" t="s">
        <v>53</v>
      </c>
      <c r="J61" s="44">
        <f t="shared" si="0"/>
        <v>100</v>
      </c>
    </row>
    <row r="62" spans="1:10" ht="21" customHeight="1" x14ac:dyDescent="0.15">
      <c r="A62" s="18">
        <v>51002061</v>
      </c>
      <c r="B62" s="43">
        <v>1</v>
      </c>
      <c r="C62" s="43" t="s">
        <v>53</v>
      </c>
      <c r="D62" s="43">
        <v>100</v>
      </c>
      <c r="E62" s="43" t="s">
        <v>53</v>
      </c>
      <c r="F62" s="43" t="s">
        <v>53</v>
      </c>
      <c r="G62" s="43">
        <v>1</v>
      </c>
      <c r="H62" s="43" t="s">
        <v>53</v>
      </c>
      <c r="I62" s="43" t="s">
        <v>53</v>
      </c>
      <c r="J62" s="44">
        <f t="shared" si="0"/>
        <v>100</v>
      </c>
    </row>
    <row r="63" spans="1:10" ht="21" customHeight="1" x14ac:dyDescent="0.15">
      <c r="A63" s="18">
        <v>51002062</v>
      </c>
      <c r="B63" s="43">
        <v>0</v>
      </c>
      <c r="C63" s="43" t="s">
        <v>53</v>
      </c>
      <c r="D63" s="43">
        <v>30</v>
      </c>
      <c r="E63" s="43" t="s">
        <v>53</v>
      </c>
      <c r="F63" s="43" t="s">
        <v>53</v>
      </c>
      <c r="G63" s="43" t="s">
        <v>53</v>
      </c>
      <c r="H63" s="43" t="s">
        <v>53</v>
      </c>
      <c r="I63" s="43" t="s">
        <v>53</v>
      </c>
      <c r="J63" s="44">
        <f t="shared" si="0"/>
        <v>30</v>
      </c>
    </row>
    <row r="64" spans="1:10" ht="21" customHeight="1" x14ac:dyDescent="0.15">
      <c r="A64" s="18">
        <v>51002063</v>
      </c>
      <c r="B64" s="43">
        <v>0</v>
      </c>
      <c r="C64" s="43" t="s">
        <v>53</v>
      </c>
      <c r="D64" s="43">
        <v>30</v>
      </c>
      <c r="E64" s="43" t="s">
        <v>53</v>
      </c>
      <c r="F64" s="43" t="s">
        <v>53</v>
      </c>
      <c r="G64" s="43" t="s">
        <v>53</v>
      </c>
      <c r="H64" s="43" t="s">
        <v>53</v>
      </c>
      <c r="I64" s="43" t="s">
        <v>53</v>
      </c>
      <c r="J64" s="44">
        <f t="shared" si="0"/>
        <v>30</v>
      </c>
    </row>
    <row r="65" spans="1:10" ht="21" customHeight="1" x14ac:dyDescent="0.15">
      <c r="A65" s="18">
        <v>51002064</v>
      </c>
      <c r="B65" s="43">
        <v>0</v>
      </c>
      <c r="C65" s="43">
        <v>10</v>
      </c>
      <c r="D65" s="43">
        <v>100</v>
      </c>
      <c r="E65" s="43" t="s">
        <v>53</v>
      </c>
      <c r="F65" s="43" t="s">
        <v>53</v>
      </c>
      <c r="G65" s="43">
        <v>1</v>
      </c>
      <c r="H65" s="43">
        <v>8</v>
      </c>
      <c r="I65" s="43" t="s">
        <v>53</v>
      </c>
      <c r="J65" s="44">
        <f t="shared" si="0"/>
        <v>100</v>
      </c>
    </row>
    <row r="66" spans="1:10" ht="21" customHeight="1" x14ac:dyDescent="0.15">
      <c r="A66" s="18">
        <v>51002065</v>
      </c>
      <c r="B66" s="43">
        <v>0</v>
      </c>
      <c r="C66" s="43">
        <v>5</v>
      </c>
      <c r="D66" s="43">
        <v>100</v>
      </c>
      <c r="E66" s="43" t="s">
        <v>53</v>
      </c>
      <c r="F66" s="43" t="s">
        <v>53</v>
      </c>
      <c r="G66" s="43">
        <v>1</v>
      </c>
      <c r="H66" s="43">
        <v>9</v>
      </c>
      <c r="I66" s="43" t="s">
        <v>53</v>
      </c>
      <c r="J66" s="44">
        <f t="shared" ref="J66:J89" si="1">D66</f>
        <v>100</v>
      </c>
    </row>
    <row r="67" spans="1:10" ht="21" customHeight="1" x14ac:dyDescent="0.15">
      <c r="A67" s="18">
        <v>51002066</v>
      </c>
      <c r="B67" s="43">
        <v>0</v>
      </c>
      <c r="C67" s="43">
        <v>20</v>
      </c>
      <c r="D67" s="43">
        <v>100</v>
      </c>
      <c r="E67" s="43">
        <v>30</v>
      </c>
      <c r="F67" s="43" t="s">
        <v>53</v>
      </c>
      <c r="G67" s="43">
        <v>1</v>
      </c>
      <c r="H67" s="43" t="s">
        <v>53</v>
      </c>
      <c r="I67" s="43" t="s">
        <v>53</v>
      </c>
      <c r="J67" s="44">
        <f t="shared" si="1"/>
        <v>100</v>
      </c>
    </row>
    <row r="68" spans="1:10" ht="21" customHeight="1" x14ac:dyDescent="0.15">
      <c r="A68" s="18">
        <v>51002067</v>
      </c>
      <c r="B68" s="43">
        <v>0</v>
      </c>
      <c r="C68" s="43" t="s">
        <v>53</v>
      </c>
      <c r="D68" s="43">
        <v>100</v>
      </c>
      <c r="E68" s="43" t="s">
        <v>53</v>
      </c>
      <c r="F68" s="43" t="s">
        <v>53</v>
      </c>
      <c r="G68" s="43" t="s">
        <v>53</v>
      </c>
      <c r="H68" s="43" t="s">
        <v>53</v>
      </c>
      <c r="I68" s="43" t="s">
        <v>53</v>
      </c>
      <c r="J68" s="44">
        <f t="shared" si="1"/>
        <v>100</v>
      </c>
    </row>
    <row r="69" spans="1:10" ht="21" customHeight="1" x14ac:dyDescent="0.15">
      <c r="A69" s="18">
        <v>51002068</v>
      </c>
      <c r="B69" s="43">
        <v>0</v>
      </c>
      <c r="C69" s="43" t="s">
        <v>53</v>
      </c>
      <c r="D69" s="43">
        <v>100</v>
      </c>
      <c r="E69" s="43" t="s">
        <v>53</v>
      </c>
      <c r="F69" s="43" t="s">
        <v>53</v>
      </c>
      <c r="G69" s="43" t="s">
        <v>53</v>
      </c>
      <c r="H69" s="43" t="s">
        <v>53</v>
      </c>
      <c r="I69" s="43" t="s">
        <v>53</v>
      </c>
      <c r="J69" s="44">
        <f t="shared" si="1"/>
        <v>100</v>
      </c>
    </row>
    <row r="70" spans="1:10" ht="21" customHeight="1" x14ac:dyDescent="0.15">
      <c r="A70" s="18">
        <v>51002069</v>
      </c>
      <c r="B70" s="43">
        <v>0</v>
      </c>
      <c r="C70" s="43" t="s">
        <v>53</v>
      </c>
      <c r="D70" s="43">
        <v>100</v>
      </c>
      <c r="E70" s="43" t="s">
        <v>53</v>
      </c>
      <c r="F70" s="43" t="s">
        <v>53</v>
      </c>
      <c r="G70" s="43" t="s">
        <v>53</v>
      </c>
      <c r="H70" s="43" t="s">
        <v>53</v>
      </c>
      <c r="I70" s="43" t="s">
        <v>53</v>
      </c>
      <c r="J70" s="44">
        <f t="shared" si="1"/>
        <v>100</v>
      </c>
    </row>
    <row r="71" spans="1:10" ht="21" customHeight="1" x14ac:dyDescent="0.15">
      <c r="A71" s="18">
        <v>51002070</v>
      </c>
      <c r="B71" s="43">
        <v>0</v>
      </c>
      <c r="C71" s="43" t="s">
        <v>53</v>
      </c>
      <c r="D71" s="43">
        <v>100</v>
      </c>
      <c r="E71" s="43" t="s">
        <v>53</v>
      </c>
      <c r="F71" s="43" t="s">
        <v>53</v>
      </c>
      <c r="G71" s="43" t="s">
        <v>53</v>
      </c>
      <c r="H71" s="43" t="s">
        <v>53</v>
      </c>
      <c r="I71" s="43" t="s">
        <v>53</v>
      </c>
      <c r="J71" s="44">
        <f t="shared" si="1"/>
        <v>100</v>
      </c>
    </row>
    <row r="72" spans="1:10" ht="21" customHeight="1" x14ac:dyDescent="0.15">
      <c r="A72" s="18">
        <v>51002071</v>
      </c>
      <c r="B72" s="43">
        <v>1</v>
      </c>
      <c r="C72" s="43" t="s">
        <v>53</v>
      </c>
      <c r="D72" s="43">
        <v>100</v>
      </c>
      <c r="E72" s="43" t="s">
        <v>53</v>
      </c>
      <c r="F72" s="43" t="s">
        <v>53</v>
      </c>
      <c r="G72" s="43">
        <v>1</v>
      </c>
      <c r="H72" s="43" t="s">
        <v>53</v>
      </c>
      <c r="I72" s="43" t="s">
        <v>53</v>
      </c>
      <c r="J72" s="44">
        <f t="shared" si="1"/>
        <v>100</v>
      </c>
    </row>
    <row r="73" spans="1:10" ht="21" customHeight="1" x14ac:dyDescent="0.15">
      <c r="A73" s="18">
        <v>51002072</v>
      </c>
      <c r="B73" s="43">
        <v>0</v>
      </c>
      <c r="C73" s="43" t="s">
        <v>53</v>
      </c>
      <c r="D73" s="43">
        <v>30</v>
      </c>
      <c r="E73" s="43" t="s">
        <v>53</v>
      </c>
      <c r="F73" s="43" t="s">
        <v>53</v>
      </c>
      <c r="G73" s="43" t="s">
        <v>53</v>
      </c>
      <c r="H73" s="43" t="s">
        <v>53</v>
      </c>
      <c r="I73" s="43" t="s">
        <v>53</v>
      </c>
      <c r="J73" s="44">
        <f t="shared" si="1"/>
        <v>30</v>
      </c>
    </row>
    <row r="74" spans="1:10" ht="21" customHeight="1" x14ac:dyDescent="0.15">
      <c r="A74" s="18">
        <v>51002073</v>
      </c>
      <c r="B74" s="43">
        <v>0</v>
      </c>
      <c r="C74" s="43" t="s">
        <v>53</v>
      </c>
      <c r="D74" s="43">
        <v>30</v>
      </c>
      <c r="E74" s="43" t="s">
        <v>53</v>
      </c>
      <c r="F74" s="43" t="s">
        <v>53</v>
      </c>
      <c r="G74" s="43" t="s">
        <v>53</v>
      </c>
      <c r="H74" s="43" t="s">
        <v>53</v>
      </c>
      <c r="I74" s="43" t="s">
        <v>53</v>
      </c>
      <c r="J74" s="44">
        <f t="shared" si="1"/>
        <v>30</v>
      </c>
    </row>
    <row r="75" spans="1:10" ht="21" customHeight="1" x14ac:dyDescent="0.15">
      <c r="A75" s="18">
        <v>51002074</v>
      </c>
      <c r="B75" s="43">
        <v>0</v>
      </c>
      <c r="C75" s="43" t="s">
        <v>53</v>
      </c>
      <c r="D75" s="43">
        <v>100</v>
      </c>
      <c r="E75" s="43">
        <v>80</v>
      </c>
      <c r="F75" s="43" t="s">
        <v>53</v>
      </c>
      <c r="G75" s="43">
        <v>1</v>
      </c>
      <c r="H75" s="43" t="s">
        <v>53</v>
      </c>
      <c r="I75" s="43" t="s">
        <v>53</v>
      </c>
      <c r="J75" s="44">
        <f t="shared" si="1"/>
        <v>100</v>
      </c>
    </row>
    <row r="76" spans="1:10" ht="21" customHeight="1" x14ac:dyDescent="0.15">
      <c r="A76" s="18">
        <v>51002075</v>
      </c>
      <c r="B76" s="43">
        <v>0</v>
      </c>
      <c r="C76" s="43">
        <v>10</v>
      </c>
      <c r="D76" s="43">
        <v>100</v>
      </c>
      <c r="E76" s="43" t="s">
        <v>53</v>
      </c>
      <c r="F76" s="43">
        <v>30</v>
      </c>
      <c r="G76" s="43">
        <v>1</v>
      </c>
      <c r="H76" s="96">
        <v>8</v>
      </c>
      <c r="I76" s="43" t="s">
        <v>53</v>
      </c>
      <c r="J76" s="44">
        <f t="shared" si="1"/>
        <v>100</v>
      </c>
    </row>
    <row r="77" spans="1:10" ht="21" customHeight="1" x14ac:dyDescent="0.15">
      <c r="A77" s="18">
        <v>51002076</v>
      </c>
      <c r="B77" s="43">
        <v>0</v>
      </c>
      <c r="C77" s="43">
        <v>5</v>
      </c>
      <c r="D77" s="43">
        <v>100</v>
      </c>
      <c r="E77" s="43" t="s">
        <v>53</v>
      </c>
      <c r="F77" s="43">
        <v>30</v>
      </c>
      <c r="G77" s="43">
        <v>1</v>
      </c>
      <c r="H77" s="43">
        <v>9</v>
      </c>
      <c r="I77" s="43" t="s">
        <v>53</v>
      </c>
      <c r="J77" s="44">
        <f t="shared" si="1"/>
        <v>100</v>
      </c>
    </row>
    <row r="78" spans="1:10" ht="21" customHeight="1" x14ac:dyDescent="0.15">
      <c r="A78" s="18">
        <v>51002077</v>
      </c>
      <c r="B78" s="43">
        <v>0</v>
      </c>
      <c r="C78" s="43">
        <v>20</v>
      </c>
      <c r="D78" s="43">
        <v>100</v>
      </c>
      <c r="E78" s="43">
        <v>30</v>
      </c>
      <c r="F78" s="43" t="s">
        <v>53</v>
      </c>
      <c r="G78" s="43">
        <v>1</v>
      </c>
      <c r="H78" s="43" t="s">
        <v>53</v>
      </c>
      <c r="I78" s="43" t="s">
        <v>53</v>
      </c>
      <c r="J78" s="44">
        <f t="shared" si="1"/>
        <v>100</v>
      </c>
    </row>
    <row r="79" spans="1:10" ht="21" customHeight="1" x14ac:dyDescent="0.15">
      <c r="A79" s="18">
        <v>51002078</v>
      </c>
      <c r="B79" s="43">
        <v>0</v>
      </c>
      <c r="C79" s="43">
        <v>15</v>
      </c>
      <c r="D79" s="43">
        <v>100</v>
      </c>
      <c r="E79" s="43">
        <v>30</v>
      </c>
      <c r="F79" s="43" t="s">
        <v>53</v>
      </c>
      <c r="G79" s="43">
        <v>1</v>
      </c>
      <c r="H79" s="43" t="s">
        <v>53</v>
      </c>
      <c r="I79" s="43" t="s">
        <v>53</v>
      </c>
      <c r="J79" s="44">
        <f t="shared" si="1"/>
        <v>100</v>
      </c>
    </row>
    <row r="80" spans="1:10" ht="21" customHeight="1" x14ac:dyDescent="0.15">
      <c r="A80" s="18">
        <v>51002079</v>
      </c>
      <c r="B80" s="43">
        <v>0</v>
      </c>
      <c r="C80" s="43" t="s">
        <v>53</v>
      </c>
      <c r="D80" s="43">
        <v>100</v>
      </c>
      <c r="E80" s="43" t="s">
        <v>53</v>
      </c>
      <c r="F80" s="43" t="s">
        <v>53</v>
      </c>
      <c r="G80" s="43" t="s">
        <v>53</v>
      </c>
      <c r="H80" s="43" t="s">
        <v>53</v>
      </c>
      <c r="I80" s="43" t="s">
        <v>53</v>
      </c>
      <c r="J80" s="44">
        <f t="shared" si="1"/>
        <v>100</v>
      </c>
    </row>
    <row r="81" spans="1:10" ht="21" customHeight="1" x14ac:dyDescent="0.15">
      <c r="A81" s="18">
        <v>51002080</v>
      </c>
      <c r="B81" s="43">
        <v>0</v>
      </c>
      <c r="C81" s="43" t="s">
        <v>53</v>
      </c>
      <c r="D81" s="43">
        <v>100</v>
      </c>
      <c r="E81" s="43" t="s">
        <v>53</v>
      </c>
      <c r="F81" s="43" t="s">
        <v>53</v>
      </c>
      <c r="G81" s="43" t="s">
        <v>53</v>
      </c>
      <c r="H81" s="43" t="s">
        <v>53</v>
      </c>
      <c r="I81" s="43" t="s">
        <v>53</v>
      </c>
      <c r="J81" s="44">
        <f t="shared" si="1"/>
        <v>100</v>
      </c>
    </row>
    <row r="82" spans="1:10" ht="21" customHeight="1" x14ac:dyDescent="0.15">
      <c r="A82" s="18">
        <v>51002081</v>
      </c>
      <c r="B82" s="43">
        <v>0</v>
      </c>
      <c r="C82" s="43" t="s">
        <v>53</v>
      </c>
      <c r="D82" s="43">
        <v>100</v>
      </c>
      <c r="E82" s="43" t="s">
        <v>53</v>
      </c>
      <c r="F82" s="43" t="s">
        <v>53</v>
      </c>
      <c r="G82" s="43">
        <v>1</v>
      </c>
      <c r="H82" s="43" t="s">
        <v>53</v>
      </c>
      <c r="I82" s="43">
        <v>600</v>
      </c>
      <c r="J82" s="44">
        <f t="shared" si="1"/>
        <v>100</v>
      </c>
    </row>
    <row r="83" spans="1:10" ht="21" customHeight="1" x14ac:dyDescent="0.15">
      <c r="A83" s="18">
        <v>51002082</v>
      </c>
      <c r="B83" s="43">
        <v>0</v>
      </c>
      <c r="C83" s="43" t="s">
        <v>53</v>
      </c>
      <c r="D83" s="43">
        <v>100</v>
      </c>
      <c r="E83" s="43" t="s">
        <v>53</v>
      </c>
      <c r="F83" s="43" t="s">
        <v>53</v>
      </c>
      <c r="G83" s="43">
        <v>1</v>
      </c>
      <c r="H83" s="43" t="s">
        <v>53</v>
      </c>
      <c r="I83" s="43">
        <v>600</v>
      </c>
      <c r="J83" s="44">
        <f t="shared" si="1"/>
        <v>100</v>
      </c>
    </row>
    <row r="84" spans="1:10" ht="21" customHeight="1" x14ac:dyDescent="0.15">
      <c r="A84" s="18">
        <v>51002083</v>
      </c>
      <c r="B84" s="43">
        <v>1</v>
      </c>
      <c r="C84" s="43">
        <v>2</v>
      </c>
      <c r="D84" s="43">
        <v>100</v>
      </c>
      <c r="E84" s="43" t="s">
        <v>53</v>
      </c>
      <c r="F84" s="43" t="s">
        <v>53</v>
      </c>
      <c r="G84" s="43">
        <v>1</v>
      </c>
      <c r="H84" s="43" t="s">
        <v>53</v>
      </c>
      <c r="I84" s="43">
        <v>433</v>
      </c>
      <c r="J84" s="44">
        <f t="shared" si="1"/>
        <v>100</v>
      </c>
    </row>
    <row r="85" spans="1:10" ht="21" customHeight="1" x14ac:dyDescent="0.15">
      <c r="A85" s="18">
        <v>51002084</v>
      </c>
      <c r="B85" s="43">
        <v>1</v>
      </c>
      <c r="C85" s="43">
        <v>2</v>
      </c>
      <c r="D85" s="43">
        <v>100</v>
      </c>
      <c r="E85" s="43" t="s">
        <v>53</v>
      </c>
      <c r="F85" s="43" t="s">
        <v>53</v>
      </c>
      <c r="G85" s="43">
        <v>1</v>
      </c>
      <c r="H85" s="43" t="s">
        <v>53</v>
      </c>
      <c r="I85" s="43">
        <v>432</v>
      </c>
      <c r="J85" s="44">
        <f t="shared" si="1"/>
        <v>100</v>
      </c>
    </row>
    <row r="86" spans="1:10" ht="21" customHeight="1" x14ac:dyDescent="0.15">
      <c r="A86" s="18">
        <v>51002085</v>
      </c>
      <c r="B86" s="43">
        <v>1</v>
      </c>
      <c r="C86" s="43">
        <v>2</v>
      </c>
      <c r="D86" s="43">
        <v>100</v>
      </c>
      <c r="E86" s="43" t="s">
        <v>53</v>
      </c>
      <c r="F86" s="43" t="s">
        <v>53</v>
      </c>
      <c r="G86" s="43">
        <v>1</v>
      </c>
      <c r="H86" s="43" t="s">
        <v>53</v>
      </c>
      <c r="I86" s="43">
        <v>433</v>
      </c>
      <c r="J86" s="44">
        <f t="shared" si="1"/>
        <v>100</v>
      </c>
    </row>
    <row r="87" spans="1:10" ht="21" customHeight="1" x14ac:dyDescent="0.15">
      <c r="A87" s="18">
        <v>51002086</v>
      </c>
      <c r="B87" s="43">
        <v>1</v>
      </c>
      <c r="C87" s="43">
        <v>2</v>
      </c>
      <c r="D87" s="43">
        <v>100</v>
      </c>
      <c r="E87" s="43" t="s">
        <v>53</v>
      </c>
      <c r="F87" s="43" t="s">
        <v>53</v>
      </c>
      <c r="G87" s="43">
        <v>1</v>
      </c>
      <c r="H87" s="43" t="s">
        <v>53</v>
      </c>
      <c r="I87" s="43">
        <v>432</v>
      </c>
      <c r="J87" s="44">
        <f t="shared" si="1"/>
        <v>100</v>
      </c>
    </row>
    <row r="88" spans="1:10" ht="21" customHeight="1" x14ac:dyDescent="0.15">
      <c r="A88" s="18">
        <v>51002087</v>
      </c>
      <c r="B88" s="43">
        <v>1</v>
      </c>
      <c r="C88" s="43">
        <v>2</v>
      </c>
      <c r="D88" s="43">
        <v>100</v>
      </c>
      <c r="E88" s="43" t="s">
        <v>53</v>
      </c>
      <c r="F88" s="43" t="s">
        <v>53</v>
      </c>
      <c r="G88" s="43">
        <v>1</v>
      </c>
      <c r="H88" s="43" t="s">
        <v>53</v>
      </c>
      <c r="I88" s="43">
        <v>433</v>
      </c>
      <c r="J88" s="44">
        <f t="shared" si="1"/>
        <v>100</v>
      </c>
    </row>
    <row r="89" spans="1:10" ht="21" customHeight="1" x14ac:dyDescent="0.15">
      <c r="A89" s="18">
        <v>51002088</v>
      </c>
      <c r="B89" s="43">
        <v>1</v>
      </c>
      <c r="C89" s="43">
        <v>2</v>
      </c>
      <c r="D89" s="43">
        <v>100</v>
      </c>
      <c r="E89" s="43" t="s">
        <v>53</v>
      </c>
      <c r="F89" s="43" t="s">
        <v>53</v>
      </c>
      <c r="G89" s="43">
        <v>1</v>
      </c>
      <c r="H89" s="43" t="s">
        <v>53</v>
      </c>
      <c r="I89" s="43">
        <v>432</v>
      </c>
      <c r="J89" s="44">
        <f t="shared" si="1"/>
        <v>100</v>
      </c>
    </row>
    <row r="90" spans="1:10" ht="21" customHeight="1" x14ac:dyDescent="0.15">
      <c r="A90" s="18">
        <v>51002089</v>
      </c>
      <c r="B90" s="43">
        <v>1</v>
      </c>
      <c r="C90" s="43">
        <v>2</v>
      </c>
      <c r="D90" s="43">
        <v>100</v>
      </c>
      <c r="E90" s="43" t="s">
        <v>53</v>
      </c>
      <c r="F90" s="43" t="s">
        <v>53</v>
      </c>
      <c r="G90" s="43">
        <v>1</v>
      </c>
      <c r="H90" s="43" t="s">
        <v>53</v>
      </c>
      <c r="I90" s="43">
        <v>802</v>
      </c>
      <c r="J90" s="44">
        <f t="shared" ref="J90" si="2">D90</f>
        <v>100</v>
      </c>
    </row>
  </sheetData>
  <autoFilter ref="A1:G1"/>
  <phoneticPr fontId="5"/>
  <conditionalFormatting sqref="K1:K89 K91:K1048576">
    <cfRule type="duplicateValues" dxfId="1" priority="2"/>
  </conditionalFormatting>
  <conditionalFormatting sqref="K9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G16" sqref="G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146</v>
      </c>
      <c r="B1" s="60" t="s">
        <v>147</v>
      </c>
      <c r="C1" s="61" t="s">
        <v>148</v>
      </c>
      <c r="D1" s="67" t="s">
        <v>149</v>
      </c>
      <c r="E1" s="62" t="s">
        <v>150</v>
      </c>
      <c r="F1" s="60" t="s">
        <v>151</v>
      </c>
      <c r="G1" s="60" t="s">
        <v>152</v>
      </c>
      <c r="H1" s="60" t="s">
        <v>153</v>
      </c>
      <c r="I1" s="60" t="s">
        <v>154</v>
      </c>
      <c r="J1" s="60" t="s">
        <v>155</v>
      </c>
      <c r="K1" s="60" t="s">
        <v>156</v>
      </c>
      <c r="L1" s="60" t="s">
        <v>157</v>
      </c>
      <c r="M1" s="60" t="s">
        <v>158</v>
      </c>
      <c r="N1" s="60" t="s">
        <v>159</v>
      </c>
      <c r="O1" s="60" t="s">
        <v>160</v>
      </c>
      <c r="P1" s="60" t="s">
        <v>161</v>
      </c>
      <c r="Q1" s="60" t="s">
        <v>162</v>
      </c>
      <c r="R1" s="60" t="s">
        <v>163</v>
      </c>
    </row>
    <row r="2" spans="1:18" x14ac:dyDescent="0.15">
      <c r="A2" s="91">
        <v>51002</v>
      </c>
      <c r="B2" s="77">
        <v>1</v>
      </c>
      <c r="C2" s="77" t="str">
        <f t="shared" ref="C2:C10" si="0">A2&amp; "_"&amp;B2</f>
        <v>51002_1</v>
      </c>
      <c r="D2" s="77" t="str">
        <f>VLOOKUP(C2,[2]stages!$A:$AE,31,FALSE)</f>
        <v>everyone</v>
      </c>
      <c r="E2" s="77">
        <v>1</v>
      </c>
      <c r="F2" s="77" t="s">
        <v>164</v>
      </c>
      <c r="G2" s="77">
        <v>65000</v>
      </c>
      <c r="H2" s="77" t="s">
        <v>375</v>
      </c>
      <c r="I2" s="77">
        <v>1</v>
      </c>
      <c r="J2" s="77">
        <v>1</v>
      </c>
      <c r="K2" s="77">
        <v>0</v>
      </c>
      <c r="L2" s="77">
        <v>0</v>
      </c>
      <c r="M2" s="77">
        <v>0</v>
      </c>
      <c r="N2" s="77">
        <v>0</v>
      </c>
      <c r="O2" s="77">
        <v>1</v>
      </c>
      <c r="P2" s="77">
        <v>50</v>
      </c>
      <c r="Q2" s="77" t="s">
        <v>165</v>
      </c>
      <c r="R2" s="77" t="s">
        <v>166</v>
      </c>
    </row>
    <row r="3" spans="1:18" x14ac:dyDescent="0.15">
      <c r="A3" s="91">
        <v>51002</v>
      </c>
      <c r="B3" s="77">
        <v>1</v>
      </c>
      <c r="C3" s="77" t="str">
        <f t="shared" si="0"/>
        <v>51002_1</v>
      </c>
      <c r="D3" s="77" t="str">
        <f>VLOOKUP(C3,[2]stages!$A:$AE,31,FALSE)</f>
        <v>everyone</v>
      </c>
      <c r="E3" s="77">
        <v>2</v>
      </c>
      <c r="F3" s="77" t="s">
        <v>364</v>
      </c>
      <c r="G3" s="77">
        <v>343</v>
      </c>
      <c r="H3" s="77">
        <v>1</v>
      </c>
      <c r="I3" s="77">
        <v>1</v>
      </c>
      <c r="J3" s="77">
        <v>1</v>
      </c>
      <c r="K3" s="77">
        <v>0</v>
      </c>
      <c r="L3" s="77">
        <v>0</v>
      </c>
      <c r="M3" s="77">
        <v>0</v>
      </c>
      <c r="N3" s="77">
        <v>0</v>
      </c>
      <c r="O3" s="77">
        <v>1</v>
      </c>
      <c r="P3" s="77">
        <v>250</v>
      </c>
      <c r="Q3" s="77" t="s">
        <v>165</v>
      </c>
      <c r="R3" s="77" t="s">
        <v>166</v>
      </c>
    </row>
    <row r="4" spans="1:18" x14ac:dyDescent="0.15">
      <c r="A4" s="91">
        <v>51002</v>
      </c>
      <c r="B4" s="77">
        <v>1</v>
      </c>
      <c r="C4" s="77" t="str">
        <f t="shared" si="0"/>
        <v>51002_1</v>
      </c>
      <c r="D4" s="77" t="str">
        <f>VLOOKUP(C4,[2]stages!$A:$AE,31,FALSE)</f>
        <v>everyone</v>
      </c>
      <c r="E4" s="77">
        <v>3</v>
      </c>
      <c r="F4" s="77" t="s">
        <v>364</v>
      </c>
      <c r="G4" s="77">
        <v>353</v>
      </c>
      <c r="H4" s="77">
        <v>1</v>
      </c>
      <c r="I4" s="77">
        <v>1</v>
      </c>
      <c r="J4" s="77">
        <v>1</v>
      </c>
      <c r="K4" s="77">
        <v>0</v>
      </c>
      <c r="L4" s="77">
        <v>0</v>
      </c>
      <c r="M4" s="77">
        <v>0</v>
      </c>
      <c r="N4" s="77">
        <v>0</v>
      </c>
      <c r="O4" s="77">
        <v>1</v>
      </c>
      <c r="P4" s="77">
        <v>50</v>
      </c>
      <c r="Q4" s="77" t="s">
        <v>165</v>
      </c>
      <c r="R4" s="77" t="s">
        <v>166</v>
      </c>
    </row>
    <row r="5" spans="1:18" x14ac:dyDescent="0.15">
      <c r="A5" s="91">
        <v>51002</v>
      </c>
      <c r="B5" s="77">
        <v>1</v>
      </c>
      <c r="C5" s="77" t="str">
        <f t="shared" si="0"/>
        <v>51002_1</v>
      </c>
      <c r="D5" s="77" t="str">
        <f>VLOOKUP(C5,[2]stages!$A:$AE,31,FALSE)</f>
        <v>everyone</v>
      </c>
      <c r="E5" s="77">
        <v>4</v>
      </c>
      <c r="F5" s="77" t="s">
        <v>364</v>
      </c>
      <c r="G5" s="77">
        <v>125</v>
      </c>
      <c r="H5" s="77">
        <v>1</v>
      </c>
      <c r="I5" s="77">
        <v>1</v>
      </c>
      <c r="J5" s="77">
        <v>1</v>
      </c>
      <c r="K5" s="77">
        <v>0</v>
      </c>
      <c r="L5" s="77">
        <v>0</v>
      </c>
      <c r="M5" s="77">
        <v>0</v>
      </c>
      <c r="N5" s="77">
        <v>0</v>
      </c>
      <c r="O5" s="77">
        <v>1</v>
      </c>
      <c r="P5" s="77">
        <v>30</v>
      </c>
      <c r="Q5" s="77" t="s">
        <v>165</v>
      </c>
      <c r="R5" s="77" t="s">
        <v>166</v>
      </c>
    </row>
    <row r="6" spans="1:18" x14ac:dyDescent="0.15">
      <c r="A6" s="91">
        <v>51002</v>
      </c>
      <c r="B6" s="77">
        <v>1</v>
      </c>
      <c r="C6" s="77" t="str">
        <f t="shared" si="0"/>
        <v>51002_1</v>
      </c>
      <c r="D6" s="77" t="str">
        <f>VLOOKUP(C6,[2]stages!$A:$AE,31,FALSE)</f>
        <v>everyone</v>
      </c>
      <c r="E6" s="77">
        <v>5</v>
      </c>
      <c r="F6" s="77" t="s">
        <v>364</v>
      </c>
      <c r="G6" s="77">
        <v>607</v>
      </c>
      <c r="H6" s="77">
        <v>1</v>
      </c>
      <c r="I6" s="77">
        <v>1</v>
      </c>
      <c r="J6" s="77">
        <v>1</v>
      </c>
      <c r="K6" s="77">
        <v>0</v>
      </c>
      <c r="L6" s="77">
        <v>0</v>
      </c>
      <c r="M6" s="77">
        <v>0</v>
      </c>
      <c r="N6" s="77">
        <v>0</v>
      </c>
      <c r="O6" s="77">
        <v>1</v>
      </c>
      <c r="P6" s="77">
        <v>80</v>
      </c>
      <c r="Q6" s="77" t="s">
        <v>165</v>
      </c>
      <c r="R6" s="77" t="s">
        <v>166</v>
      </c>
    </row>
    <row r="7" spans="1:18" x14ac:dyDescent="0.15">
      <c r="A7" s="91">
        <v>51002</v>
      </c>
      <c r="B7" s="77">
        <v>1</v>
      </c>
      <c r="C7" s="77" t="str">
        <f t="shared" si="0"/>
        <v>51002_1</v>
      </c>
      <c r="D7" s="77" t="str">
        <f>VLOOKUP(C7,[2]stages!$A:$AE,31,FALSE)</f>
        <v>everyone</v>
      </c>
      <c r="E7" s="77">
        <v>6</v>
      </c>
      <c r="F7" s="77" t="s">
        <v>364</v>
      </c>
      <c r="G7" s="77">
        <v>608</v>
      </c>
      <c r="H7" s="77">
        <v>1</v>
      </c>
      <c r="I7" s="77">
        <v>1</v>
      </c>
      <c r="J7" s="77">
        <v>1</v>
      </c>
      <c r="K7" s="77">
        <v>0</v>
      </c>
      <c r="L7" s="77">
        <v>0</v>
      </c>
      <c r="M7" s="77">
        <v>0</v>
      </c>
      <c r="N7" s="77">
        <v>0</v>
      </c>
      <c r="O7" s="77">
        <v>1</v>
      </c>
      <c r="P7" s="77">
        <v>80</v>
      </c>
      <c r="Q7" s="77" t="s">
        <v>165</v>
      </c>
      <c r="R7" s="77" t="s">
        <v>166</v>
      </c>
    </row>
    <row r="8" spans="1:18" x14ac:dyDescent="0.15">
      <c r="A8" s="91">
        <v>51002</v>
      </c>
      <c r="B8" s="77">
        <v>1</v>
      </c>
      <c r="C8" s="77" t="str">
        <f t="shared" si="0"/>
        <v>51002_1</v>
      </c>
      <c r="D8" s="77" t="str">
        <f>VLOOKUP(C8,[2]stages!$A:$AE,31,FALSE)</f>
        <v>everyone</v>
      </c>
      <c r="E8" s="77">
        <v>7</v>
      </c>
      <c r="F8" s="77" t="s">
        <v>364</v>
      </c>
      <c r="G8" s="77">
        <v>609</v>
      </c>
      <c r="H8" s="77">
        <v>1</v>
      </c>
      <c r="I8" s="77">
        <v>1</v>
      </c>
      <c r="J8" s="77">
        <v>1</v>
      </c>
      <c r="K8" s="77">
        <v>0</v>
      </c>
      <c r="L8" s="77">
        <v>0</v>
      </c>
      <c r="M8" s="77">
        <v>0</v>
      </c>
      <c r="N8" s="77">
        <v>0</v>
      </c>
      <c r="O8" s="77">
        <v>1</v>
      </c>
      <c r="P8" s="77">
        <v>80</v>
      </c>
      <c r="Q8" s="77" t="s">
        <v>165</v>
      </c>
      <c r="R8" s="77" t="s">
        <v>166</v>
      </c>
    </row>
    <row r="9" spans="1:18" x14ac:dyDescent="0.15">
      <c r="A9" s="91">
        <v>51002</v>
      </c>
      <c r="B9" s="77">
        <v>1</v>
      </c>
      <c r="C9" s="77" t="str">
        <f t="shared" si="0"/>
        <v>51002_1</v>
      </c>
      <c r="D9" s="77" t="str">
        <f>VLOOKUP(C9,[2]stages!$A:$AE,31,FALSE)</f>
        <v>everyone</v>
      </c>
      <c r="E9" s="77">
        <v>8</v>
      </c>
      <c r="F9" s="77" t="s">
        <v>364</v>
      </c>
      <c r="G9" s="77">
        <v>610</v>
      </c>
      <c r="H9" s="77">
        <v>1</v>
      </c>
      <c r="I9" s="77">
        <v>1</v>
      </c>
      <c r="J9" s="77">
        <v>1</v>
      </c>
      <c r="K9" s="77">
        <v>0</v>
      </c>
      <c r="L9" s="77">
        <v>0</v>
      </c>
      <c r="M9" s="77">
        <v>0</v>
      </c>
      <c r="N9" s="77">
        <v>0</v>
      </c>
      <c r="O9" s="77">
        <v>1</v>
      </c>
      <c r="P9" s="77">
        <v>20</v>
      </c>
      <c r="Q9" s="77" t="s">
        <v>165</v>
      </c>
      <c r="R9" s="77" t="s">
        <v>166</v>
      </c>
    </row>
    <row r="10" spans="1:18" x14ac:dyDescent="0.15">
      <c r="A10" s="91">
        <v>51002</v>
      </c>
      <c r="B10" s="77">
        <v>1</v>
      </c>
      <c r="C10" s="77" t="str">
        <f t="shared" si="0"/>
        <v>51002_1</v>
      </c>
      <c r="D10" s="77" t="str">
        <f>VLOOKUP(C10,[2]stages!$A:$AE,31,FALSE)</f>
        <v>everyone</v>
      </c>
      <c r="E10" s="77">
        <v>9</v>
      </c>
      <c r="F10" s="77" t="s">
        <v>364</v>
      </c>
      <c r="G10" s="77">
        <v>611</v>
      </c>
      <c r="H10" s="77">
        <v>1</v>
      </c>
      <c r="I10" s="77">
        <v>1</v>
      </c>
      <c r="J10" s="77">
        <v>1</v>
      </c>
      <c r="K10" s="77">
        <v>0</v>
      </c>
      <c r="L10" s="77">
        <v>0</v>
      </c>
      <c r="M10" s="77">
        <v>0</v>
      </c>
      <c r="N10" s="77">
        <v>0</v>
      </c>
      <c r="O10" s="77">
        <v>1</v>
      </c>
      <c r="P10" s="77">
        <v>30</v>
      </c>
      <c r="Q10" s="77" t="s">
        <v>165</v>
      </c>
      <c r="R10" s="77" t="s">
        <v>166</v>
      </c>
    </row>
    <row r="11" spans="1:18" x14ac:dyDescent="0.15">
      <c r="A11" s="91">
        <v>51002</v>
      </c>
      <c r="B11" s="77">
        <v>1</v>
      </c>
      <c r="C11" s="77" t="str">
        <f t="shared" ref="C11:C12" si="1">A11&amp; "_"&amp;B11</f>
        <v>51002_1</v>
      </c>
      <c r="D11" s="77" t="str">
        <f>VLOOKUP(C11,[2]stages!$A:$AE,31,FALSE)</f>
        <v>everyone</v>
      </c>
      <c r="E11" s="77">
        <v>10</v>
      </c>
      <c r="F11" s="77" t="s">
        <v>364</v>
      </c>
      <c r="G11" s="77">
        <v>612</v>
      </c>
      <c r="H11" s="77">
        <v>1</v>
      </c>
      <c r="I11" s="77">
        <v>1</v>
      </c>
      <c r="J11" s="77">
        <v>1</v>
      </c>
      <c r="K11" s="77">
        <v>0</v>
      </c>
      <c r="L11" s="77">
        <v>0</v>
      </c>
      <c r="M11" s="77">
        <v>0</v>
      </c>
      <c r="N11" s="77">
        <v>0</v>
      </c>
      <c r="O11" s="77">
        <v>1</v>
      </c>
      <c r="P11" s="77">
        <v>30</v>
      </c>
      <c r="Q11" s="77" t="s">
        <v>165</v>
      </c>
      <c r="R11" s="77" t="s">
        <v>166</v>
      </c>
    </row>
    <row r="12" spans="1:18" x14ac:dyDescent="0.15">
      <c r="A12" s="91">
        <v>51002</v>
      </c>
      <c r="B12" s="77">
        <v>1</v>
      </c>
      <c r="C12" s="77" t="str">
        <f t="shared" si="1"/>
        <v>51002_1</v>
      </c>
      <c r="D12" s="77" t="str">
        <f>VLOOKUP(C12,[2]stages!$A:$AE,31,FALSE)</f>
        <v>everyone</v>
      </c>
      <c r="E12" s="77">
        <v>11</v>
      </c>
      <c r="F12" s="77" t="s">
        <v>364</v>
      </c>
      <c r="G12" s="77">
        <v>613</v>
      </c>
      <c r="H12" s="77">
        <v>1</v>
      </c>
      <c r="I12" s="77">
        <v>1</v>
      </c>
      <c r="J12" s="77">
        <v>1</v>
      </c>
      <c r="K12" s="77">
        <v>0</v>
      </c>
      <c r="L12" s="77">
        <v>0</v>
      </c>
      <c r="M12" s="77">
        <v>0</v>
      </c>
      <c r="N12" s="77">
        <v>0</v>
      </c>
      <c r="O12" s="77">
        <v>1</v>
      </c>
      <c r="P12" s="77">
        <v>30</v>
      </c>
      <c r="Q12" s="77" t="s">
        <v>165</v>
      </c>
      <c r="R12" s="77" t="s">
        <v>166</v>
      </c>
    </row>
    <row r="13" spans="1:18" x14ac:dyDescent="0.15">
      <c r="A13" s="91">
        <v>51002</v>
      </c>
      <c r="B13" s="77">
        <v>1</v>
      </c>
      <c r="C13" s="77" t="str">
        <f t="shared" ref="C13:C15" si="2">A13&amp; "_"&amp;B13</f>
        <v>51002_1</v>
      </c>
      <c r="D13" s="77" t="str">
        <f>VLOOKUP(C13,[2]stages!$A:$AE,31,FALSE)</f>
        <v>everyone</v>
      </c>
      <c r="E13" s="77">
        <v>12</v>
      </c>
      <c r="F13" s="77" t="s">
        <v>364</v>
      </c>
      <c r="G13" s="77">
        <v>614</v>
      </c>
      <c r="H13" s="77">
        <v>1</v>
      </c>
      <c r="I13" s="77">
        <v>1</v>
      </c>
      <c r="J13" s="77">
        <v>1</v>
      </c>
      <c r="K13" s="77">
        <v>0</v>
      </c>
      <c r="L13" s="77">
        <v>0</v>
      </c>
      <c r="M13" s="77">
        <v>0</v>
      </c>
      <c r="N13" s="77">
        <v>0</v>
      </c>
      <c r="O13" s="77">
        <v>1</v>
      </c>
      <c r="P13" s="77">
        <v>10</v>
      </c>
      <c r="Q13" s="77" t="s">
        <v>165</v>
      </c>
      <c r="R13" s="77" t="s">
        <v>166</v>
      </c>
    </row>
    <row r="14" spans="1:18" x14ac:dyDescent="0.15">
      <c r="A14" s="91">
        <v>51002</v>
      </c>
      <c r="B14" s="77">
        <v>1</v>
      </c>
      <c r="C14" s="77" t="str">
        <f t="shared" si="2"/>
        <v>51002_1</v>
      </c>
      <c r="D14" s="77" t="str">
        <f>VLOOKUP(C14,[2]stages!$A:$AE,31,FALSE)</f>
        <v>everyone</v>
      </c>
      <c r="E14" s="77">
        <v>13</v>
      </c>
      <c r="F14" s="77" t="s">
        <v>364</v>
      </c>
      <c r="G14" s="77">
        <v>837</v>
      </c>
      <c r="H14" s="77">
        <v>1</v>
      </c>
      <c r="I14" s="77">
        <v>1</v>
      </c>
      <c r="J14" s="77">
        <v>1</v>
      </c>
      <c r="K14" s="77">
        <v>0</v>
      </c>
      <c r="L14" s="77">
        <v>0</v>
      </c>
      <c r="M14" s="77">
        <v>0</v>
      </c>
      <c r="N14" s="77">
        <v>0</v>
      </c>
      <c r="O14" s="77">
        <v>1</v>
      </c>
      <c r="P14" s="77">
        <v>10</v>
      </c>
      <c r="Q14" s="77" t="s">
        <v>165</v>
      </c>
      <c r="R14" s="77" t="s">
        <v>166</v>
      </c>
    </row>
    <row r="15" spans="1:18" x14ac:dyDescent="0.15">
      <c r="A15" s="91">
        <v>51002</v>
      </c>
      <c r="B15" s="77">
        <v>1</v>
      </c>
      <c r="C15" s="77" t="str">
        <f t="shared" si="2"/>
        <v>51002_1</v>
      </c>
      <c r="D15" s="77" t="str">
        <f>VLOOKUP(C15,[2]stages!$A:$AE,31,FALSE)</f>
        <v>everyone</v>
      </c>
      <c r="E15" s="77">
        <v>14</v>
      </c>
      <c r="F15" s="77" t="s">
        <v>364</v>
      </c>
      <c r="G15" s="77">
        <v>573</v>
      </c>
      <c r="H15" s="77">
        <v>1</v>
      </c>
      <c r="I15" s="77">
        <v>1</v>
      </c>
      <c r="J15" s="77">
        <v>1</v>
      </c>
      <c r="K15" s="77">
        <v>0</v>
      </c>
      <c r="L15" s="77">
        <v>0</v>
      </c>
      <c r="M15" s="77">
        <v>0</v>
      </c>
      <c r="N15" s="77">
        <v>0</v>
      </c>
      <c r="O15" s="77">
        <v>1</v>
      </c>
      <c r="P15" s="77">
        <v>250</v>
      </c>
      <c r="Q15" s="77" t="s">
        <v>165</v>
      </c>
      <c r="R15" s="77" t="s">
        <v>166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183</v>
      </c>
      <c r="B1" s="68" t="s">
        <v>184</v>
      </c>
      <c r="C1" s="73" t="s">
        <v>185</v>
      </c>
      <c r="D1" s="73" t="s">
        <v>33</v>
      </c>
      <c r="E1" s="68" t="s">
        <v>186</v>
      </c>
      <c r="F1" s="73" t="s">
        <v>187</v>
      </c>
      <c r="G1" s="73" t="s">
        <v>33</v>
      </c>
      <c r="H1" s="68" t="s">
        <v>188</v>
      </c>
      <c r="I1" s="87" t="s">
        <v>190</v>
      </c>
      <c r="J1" s="75" t="s">
        <v>122</v>
      </c>
      <c r="K1" s="74" t="s">
        <v>182</v>
      </c>
      <c r="L1" s="88" t="s">
        <v>181</v>
      </c>
      <c r="M1" s="76" t="s">
        <v>191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  <row r="7" spans="1:13" x14ac:dyDescent="0.15">
      <c r="A7"/>
    </row>
    <row r="8" spans="1:13" x14ac:dyDescent="0.15">
      <c r="A8"/>
    </row>
    <row r="9" spans="1:13" x14ac:dyDescent="0.15">
      <c r="A9"/>
    </row>
    <row r="10" spans="1:13" x14ac:dyDescent="0.15">
      <c r="A10"/>
    </row>
    <row r="11" spans="1:13" x14ac:dyDescent="0.15">
      <c r="A11"/>
    </row>
    <row r="12" spans="1:13" x14ac:dyDescent="0.15">
      <c r="A12"/>
    </row>
    <row r="13" spans="1:13" x14ac:dyDescent="0.15">
      <c r="A13"/>
    </row>
    <row r="14" spans="1:13" x14ac:dyDescent="0.15">
      <c r="A14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9"/>
  <sheetViews>
    <sheetView showGridLines="0" workbookViewId="0">
      <pane ySplit="1" topLeftCell="A2" activePane="bottomLeft" state="frozen"/>
      <selection pane="bottomLeft" activeCell="A6" sqref="A6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2" t="s">
        <v>183</v>
      </c>
      <c r="B1" s="68" t="s">
        <v>146</v>
      </c>
      <c r="C1" s="73" t="s">
        <v>185</v>
      </c>
      <c r="D1" s="73" t="s">
        <v>33</v>
      </c>
      <c r="E1" s="68" t="s">
        <v>186</v>
      </c>
      <c r="F1" s="73" t="s">
        <v>18</v>
      </c>
      <c r="G1" s="73" t="s">
        <v>33</v>
      </c>
      <c r="H1" s="68" t="s">
        <v>188</v>
      </c>
      <c r="I1" s="85" t="s">
        <v>189</v>
      </c>
      <c r="J1" s="87" t="s">
        <v>190</v>
      </c>
      <c r="K1" s="75" t="s">
        <v>122</v>
      </c>
      <c r="L1" s="74" t="s">
        <v>182</v>
      </c>
      <c r="M1" s="88" t="s">
        <v>181</v>
      </c>
      <c r="N1" s="76" t="s">
        <v>191</v>
      </c>
    </row>
    <row r="2" spans="1:14" ht="42" x14ac:dyDescent="0.15">
      <c r="A2" s="77" t="s">
        <v>192</v>
      </c>
      <c r="B2" s="78">
        <f>floors!$C$2</f>
        <v>51002</v>
      </c>
      <c r="C2" s="79" t="str">
        <f ca="1">VLOOKUP($B2,OFFSET([2]quests!$A$1,0,0,COUNTA([2]quests!$A:$A),MATCH(C$1,[2]quests!$1:$1,0)-MATCH($B$1,[2]quests!$1:$1,0)+1),MATCH(C$1,[2]quests!$1:$1,0)-MATCH($B$1,[2]quests!$1:$1,0)+1,FALSE)</f>
        <v>オーディン襲来！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超降臨2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【超ウィザード級】オーディン襲来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超降臨2</v>
      </c>
      <c r="H2" s="81">
        <v>1</v>
      </c>
      <c r="I2" s="86">
        <f>ROW()-1</f>
        <v>1</v>
      </c>
      <c r="J2" s="82" t="str">
        <f>B2&amp;TEXT(I2,"00")</f>
        <v>5100201</v>
      </c>
      <c r="K2" s="80" t="s">
        <v>193</v>
      </c>
      <c r="L2" s="83" t="s">
        <v>194</v>
      </c>
      <c r="M2" s="98" t="s">
        <v>360</v>
      </c>
      <c r="N2" s="53" t="s">
        <v>195</v>
      </c>
    </row>
    <row r="3" spans="1:14" ht="28" x14ac:dyDescent="0.15">
      <c r="A3" s="77" t="s">
        <v>192</v>
      </c>
      <c r="B3" s="78">
        <f>floors!$C$2</f>
        <v>51002</v>
      </c>
      <c r="C3" s="79" t="str">
        <f ca="1">VLOOKUP($B3,OFFSET([2]quests!$A$1,0,0,COUNTA([2]quests!$A:$A),MATCH(C$1,[2]quests!$1:$1,0)-MATCH($B$1,[2]quests!$1:$1,0)+1),MATCH(C$1,[2]quests!$1:$1,0)-MATCH($B$1,[2]quests!$1:$1,0)+1,FALSE)</f>
        <v>オーディン襲来！</v>
      </c>
      <c r="D3" s="79" t="str">
        <f ca="1">VLOOKUP($B3,OFFSET([2]quests!$A$1,0,0,COUNTA([2]quests!$A:$A),MATCH(D$1,[2]quests!$1:$1,0)-MATCH($B$1,[2]quests!$1:$1,0)+1),MATCH(D$1,[2]quests!$1:$1,0)-MATCH($B$1,[2]quests!$1:$1,0)+1,FALSE)</f>
        <v>超降臨2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【超ウィザード級】オーディン襲来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超降臨2</v>
      </c>
      <c r="H3" s="81">
        <v>2</v>
      </c>
      <c r="I3" s="86">
        <f t="shared" ref="I3:I9" si="0">ROW()-1</f>
        <v>2</v>
      </c>
      <c r="J3" s="82" t="str">
        <f t="shared" ref="J3:J5" si="1">B3&amp;TEXT(I3,"00")</f>
        <v>5100202</v>
      </c>
      <c r="K3" s="80" t="s">
        <v>123</v>
      </c>
      <c r="L3" s="83" t="s">
        <v>194</v>
      </c>
      <c r="M3" s="98" t="s">
        <v>361</v>
      </c>
      <c r="N3" s="53" t="s">
        <v>195</v>
      </c>
    </row>
    <row r="4" spans="1:14" ht="42" x14ac:dyDescent="0.15">
      <c r="A4" s="77" t="s">
        <v>192</v>
      </c>
      <c r="B4" s="78">
        <f>floors!$C$2</f>
        <v>51002</v>
      </c>
      <c r="C4" s="79" t="str">
        <f ca="1">VLOOKUP($B4,OFFSET([2]quests!$A$1,0,0,COUNTA([2]quests!$A:$A),MATCH(C$1,[2]quests!$1:$1,0)-MATCH($B$1,[2]quests!$1:$1,0)+1),MATCH(C$1,[2]quests!$1:$1,0)-MATCH($B$1,[2]quests!$1:$1,0)+1,FALSE)</f>
        <v>オーディン襲来！</v>
      </c>
      <c r="D4" s="79" t="str">
        <f ca="1">VLOOKUP($B4,OFFSET([2]quests!$A$1,0,0,COUNTA([2]quests!$A:$A),MATCH(D$1,[2]quests!$1:$1,0)-MATCH($B$1,[2]quests!$1:$1,0)+1),MATCH(D$1,[2]quests!$1:$1,0)-MATCH($B$1,[2]quests!$1:$1,0)+1,FALSE)</f>
        <v>超降臨2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【超ウィザード級】オーディン襲来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超降臨2</v>
      </c>
      <c r="H4" s="81">
        <v>3</v>
      </c>
      <c r="I4" s="86">
        <f t="shared" si="0"/>
        <v>3</v>
      </c>
      <c r="J4" s="82" t="str">
        <f t="shared" si="1"/>
        <v>5100203</v>
      </c>
      <c r="K4" s="80" t="s">
        <v>123</v>
      </c>
      <c r="L4" s="83" t="s">
        <v>194</v>
      </c>
      <c r="M4" s="98" t="s">
        <v>362</v>
      </c>
      <c r="N4" s="53" t="s">
        <v>195</v>
      </c>
    </row>
    <row r="5" spans="1:14" ht="42" x14ac:dyDescent="0.15">
      <c r="A5" s="77" t="s">
        <v>192</v>
      </c>
      <c r="B5" s="78">
        <f>floors!$C$2</f>
        <v>51002</v>
      </c>
      <c r="C5" s="79" t="str">
        <f ca="1">VLOOKUP($B5,OFFSET([2]quests!$A$1,0,0,COUNTA([2]quests!$A:$A),MATCH(C$1,[2]quests!$1:$1,0)-MATCH($B$1,[2]quests!$1:$1,0)+1),MATCH(C$1,[2]quests!$1:$1,0)-MATCH($B$1,[2]quests!$1:$1,0)+1,FALSE)</f>
        <v>オーディン襲来！</v>
      </c>
      <c r="D5" s="79" t="str">
        <f ca="1">VLOOKUP($B5,OFFSET([2]quests!$A$1,0,0,COUNTA([2]quests!$A:$A),MATCH(D$1,[2]quests!$1:$1,0)-MATCH($B$1,[2]quests!$1:$1,0)+1),MATCH(D$1,[2]quests!$1:$1,0)-MATCH($B$1,[2]quests!$1:$1,0)+1,FALSE)</f>
        <v>超降臨2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【超ウィザード級】オーディン襲来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超降臨2</v>
      </c>
      <c r="H5" s="81">
        <v>4</v>
      </c>
      <c r="I5" s="86">
        <f t="shared" si="0"/>
        <v>4</v>
      </c>
      <c r="J5" s="82" t="str">
        <f t="shared" si="1"/>
        <v>5100204</v>
      </c>
      <c r="K5" s="80" t="s">
        <v>123</v>
      </c>
      <c r="L5" s="83" t="s">
        <v>194</v>
      </c>
      <c r="M5" s="98" t="s">
        <v>363</v>
      </c>
      <c r="N5" s="53" t="s">
        <v>195</v>
      </c>
    </row>
    <row r="6" spans="1:14" ht="70" x14ac:dyDescent="0.15">
      <c r="A6" s="77" t="s">
        <v>365</v>
      </c>
      <c r="B6" s="78">
        <f>floors!$C$2</f>
        <v>51002</v>
      </c>
      <c r="C6" s="79" t="str">
        <f ca="1">VLOOKUP($B6,OFFSET([2]quests!$A$1,0,0,COUNTA([2]quests!$A:$A),MATCH(C$1,[2]quests!$1:$1,0)-MATCH($B$1,[2]quests!$1:$1,0)+1),MATCH(C$1,[2]quests!$1:$1,0)-MATCH($B$1,[2]quests!$1:$1,0)+1,FALSE)</f>
        <v>オーディン襲来！</v>
      </c>
      <c r="D6" s="79" t="str">
        <f ca="1">VLOOKUP($B6,OFFSET([2]quests!$A$1,0,0,COUNTA([2]quests!$A:$A),MATCH(D$1,[2]quests!$1:$1,0)-MATCH($B$1,[2]quests!$1:$1,0)+1),MATCH(D$1,[2]quests!$1:$1,0)-MATCH($B$1,[2]quests!$1:$1,0)+1,FALSE)</f>
        <v>超降臨2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【超ウィザード級】オーディン襲来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超降臨2</v>
      </c>
      <c r="H6" s="81">
        <v>0</v>
      </c>
      <c r="I6" s="86">
        <f>ROW()-1</f>
        <v>5</v>
      </c>
      <c r="J6" s="82" t="str">
        <f>B6&amp;TEXT(I6,"00")</f>
        <v>5100205</v>
      </c>
      <c r="K6" s="80" t="s">
        <v>193</v>
      </c>
      <c r="L6" s="83" t="s">
        <v>370</v>
      </c>
      <c r="M6" s="98" t="s">
        <v>366</v>
      </c>
      <c r="N6" s="53" t="s">
        <v>195</v>
      </c>
    </row>
    <row r="7" spans="1:14" ht="56" x14ac:dyDescent="0.15">
      <c r="A7" s="77" t="s">
        <v>365</v>
      </c>
      <c r="B7" s="78">
        <f>floors!$C$2</f>
        <v>51002</v>
      </c>
      <c r="C7" s="79" t="str">
        <f ca="1">VLOOKUP($B7,OFFSET([2]quests!$A$1,0,0,COUNTA([2]quests!$A:$A),MATCH(C$1,[2]quests!$1:$1,0)-MATCH($B$1,[2]quests!$1:$1,0)+1),MATCH(C$1,[2]quests!$1:$1,0)-MATCH($B$1,[2]quests!$1:$1,0)+1,FALSE)</f>
        <v>オーディン襲来！</v>
      </c>
      <c r="D7" s="79" t="str">
        <f ca="1">VLOOKUP($B7,OFFSET([2]quests!$A$1,0,0,COUNTA([2]quests!$A:$A),MATCH(D$1,[2]quests!$1:$1,0)-MATCH($B$1,[2]quests!$1:$1,0)+1),MATCH(D$1,[2]quests!$1:$1,0)-MATCH($B$1,[2]quests!$1:$1,0)+1,FALSE)</f>
        <v>超降臨2</v>
      </c>
      <c r="E7" s="80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【超ウィザード級】オーディン襲来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超降臨2</v>
      </c>
      <c r="H7" s="81">
        <v>0</v>
      </c>
      <c r="I7" s="86">
        <f t="shared" si="0"/>
        <v>6</v>
      </c>
      <c r="J7" s="82" t="str">
        <f t="shared" ref="J7:J9" si="2">B7&amp;TEXT(I7,"00")</f>
        <v>5100206</v>
      </c>
      <c r="K7" s="80" t="s">
        <v>123</v>
      </c>
      <c r="L7" s="83" t="s">
        <v>371</v>
      </c>
      <c r="M7" s="98" t="s">
        <v>367</v>
      </c>
      <c r="N7" s="53" t="s">
        <v>195</v>
      </c>
    </row>
    <row r="8" spans="1:14" ht="70" x14ac:dyDescent="0.15">
      <c r="A8" s="77" t="s">
        <v>365</v>
      </c>
      <c r="B8" s="78">
        <f>floors!$C$2</f>
        <v>51002</v>
      </c>
      <c r="C8" s="79" t="str">
        <f ca="1">VLOOKUP($B8,OFFSET([2]quests!$A$1,0,0,COUNTA([2]quests!$A:$A),MATCH(C$1,[2]quests!$1:$1,0)-MATCH($B$1,[2]quests!$1:$1,0)+1),MATCH(C$1,[2]quests!$1:$1,0)-MATCH($B$1,[2]quests!$1:$1,0)+1,FALSE)</f>
        <v>オーディン襲来！</v>
      </c>
      <c r="D8" s="79" t="str">
        <f ca="1">VLOOKUP($B8,OFFSET([2]quests!$A$1,0,0,COUNTA([2]quests!$A:$A),MATCH(D$1,[2]quests!$1:$1,0)-MATCH($B$1,[2]quests!$1:$1,0)+1),MATCH(D$1,[2]quests!$1:$1,0)-MATCH($B$1,[2]quests!$1:$1,0)+1,FALSE)</f>
        <v>超降臨2</v>
      </c>
      <c r="E8" s="80">
        <v>1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【超ウィザード級】オーディン襲来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超降臨2</v>
      </c>
      <c r="H8" s="81">
        <v>0</v>
      </c>
      <c r="I8" s="86">
        <f t="shared" si="0"/>
        <v>7</v>
      </c>
      <c r="J8" s="82" t="str">
        <f t="shared" si="2"/>
        <v>5100207</v>
      </c>
      <c r="K8" s="80" t="s">
        <v>123</v>
      </c>
      <c r="L8" s="83" t="s">
        <v>372</v>
      </c>
      <c r="M8" s="98" t="s">
        <v>368</v>
      </c>
      <c r="N8" s="53" t="s">
        <v>195</v>
      </c>
    </row>
    <row r="9" spans="1:14" ht="70" x14ac:dyDescent="0.15">
      <c r="A9" s="77" t="s">
        <v>365</v>
      </c>
      <c r="B9" s="78">
        <f>floors!$C$2</f>
        <v>51002</v>
      </c>
      <c r="C9" s="79" t="str">
        <f ca="1">VLOOKUP($B9,OFFSET([2]quests!$A$1,0,0,COUNTA([2]quests!$A:$A),MATCH(C$1,[2]quests!$1:$1,0)-MATCH($B$1,[2]quests!$1:$1,0)+1),MATCH(C$1,[2]quests!$1:$1,0)-MATCH($B$1,[2]quests!$1:$1,0)+1,FALSE)</f>
        <v>オーディン襲来！</v>
      </c>
      <c r="D9" s="79" t="str">
        <f ca="1">VLOOKUP($B9,OFFSET([2]quests!$A$1,0,0,COUNTA([2]quests!$A:$A),MATCH(D$1,[2]quests!$1:$1,0)-MATCH($B$1,[2]quests!$1:$1,0)+1),MATCH(D$1,[2]quests!$1:$1,0)-MATCH($B$1,[2]quests!$1:$1,0)+1,FALSE)</f>
        <v>超降臨2</v>
      </c>
      <c r="E9" s="80">
        <v>1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【超ウィザード級】オーディン襲来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超降臨2</v>
      </c>
      <c r="H9" s="81">
        <v>0</v>
      </c>
      <c r="I9" s="86">
        <f t="shared" si="0"/>
        <v>8</v>
      </c>
      <c r="J9" s="82" t="str">
        <f t="shared" si="2"/>
        <v>5100208</v>
      </c>
      <c r="K9" s="80" t="s">
        <v>123</v>
      </c>
      <c r="L9" s="83" t="s">
        <v>373</v>
      </c>
      <c r="M9" s="98" t="s">
        <v>369</v>
      </c>
      <c r="N9" s="53" t="s">
        <v>195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2017-05-12T04:14:49Z</dcterms:modified>
</cp:coreProperties>
</file>