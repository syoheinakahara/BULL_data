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2"/>
  </bookViews>
  <sheets>
    <sheet name="確率の考え方" sheetId="110" r:id="rId1"/>
    <sheet name="Sheet1" sheetId="107" r:id="rId2"/>
    <sheet name="output" sheetId="103" r:id="rId3"/>
    <sheet name="input_settle_7115100" sheetId="130" r:id="rId4"/>
    <sheet name="tables_settle_7115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tables_settle_7115100!$A$1:$V$273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44" i="131" l="1"/>
  <c r="D44" i="131"/>
  <c r="J44" i="131"/>
  <c r="E44" i="131"/>
  <c r="F44" i="131"/>
  <c r="C44" i="131"/>
  <c r="H44" i="131"/>
  <c r="K44" i="131"/>
  <c r="L44" i="131"/>
  <c r="M44" i="131"/>
  <c r="N44" i="131"/>
  <c r="P44" i="131"/>
  <c r="A2" i="130"/>
  <c r="A44" i="131"/>
  <c r="B23" i="130"/>
  <c r="E3" i="131"/>
  <c r="E4" i="131"/>
  <c r="E5" i="131"/>
  <c r="I6" i="131"/>
  <c r="E6" i="131"/>
  <c r="I7" i="131"/>
  <c r="E7" i="131"/>
  <c r="E8" i="131"/>
  <c r="E9" i="131"/>
  <c r="I10" i="131"/>
  <c r="E10" i="131"/>
  <c r="I11" i="131"/>
  <c r="E11" i="131"/>
  <c r="E12" i="131"/>
  <c r="E13" i="131"/>
  <c r="I14" i="131"/>
  <c r="E14" i="131"/>
  <c r="I15" i="131"/>
  <c r="E15" i="131"/>
  <c r="E16" i="131"/>
  <c r="E17" i="131"/>
  <c r="E18" i="131"/>
  <c r="E19" i="131"/>
  <c r="E20" i="131"/>
  <c r="E21" i="131"/>
  <c r="E22" i="131"/>
  <c r="E23" i="131"/>
  <c r="I24" i="131"/>
  <c r="E24" i="131"/>
  <c r="I25" i="131"/>
  <c r="E25" i="131"/>
  <c r="I26" i="131"/>
  <c r="E26" i="131"/>
  <c r="I27" i="131"/>
  <c r="E27" i="131"/>
  <c r="I28" i="131"/>
  <c r="E28" i="131"/>
  <c r="E29" i="131"/>
  <c r="E30" i="131"/>
  <c r="I31" i="131"/>
  <c r="E31" i="131"/>
  <c r="I32" i="131"/>
  <c r="E32" i="131"/>
  <c r="I33" i="131"/>
  <c r="E33" i="131"/>
  <c r="E34" i="131"/>
  <c r="E35" i="131"/>
  <c r="E36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E2" i="131"/>
  <c r="I3" i="131"/>
  <c r="D3" i="131"/>
  <c r="I4" i="131"/>
  <c r="D4" i="131"/>
  <c r="I5" i="131"/>
  <c r="D5" i="131"/>
  <c r="D6" i="131"/>
  <c r="D7" i="131"/>
  <c r="I8" i="131"/>
  <c r="D8" i="131"/>
  <c r="I9" i="131"/>
  <c r="D9" i="131"/>
  <c r="D10" i="131"/>
  <c r="D11" i="131"/>
  <c r="I12" i="131"/>
  <c r="D12" i="131"/>
  <c r="I13" i="131"/>
  <c r="D13" i="131"/>
  <c r="D14" i="131"/>
  <c r="D15" i="131"/>
  <c r="I16" i="131"/>
  <c r="D16" i="131"/>
  <c r="I17" i="131"/>
  <c r="D17" i="131"/>
  <c r="I18" i="131"/>
  <c r="D18" i="131"/>
  <c r="I19" i="131"/>
  <c r="D19" i="131"/>
  <c r="I20" i="131"/>
  <c r="D20" i="131"/>
  <c r="I21" i="131"/>
  <c r="D21" i="131"/>
  <c r="I22" i="131"/>
  <c r="D22" i="131"/>
  <c r="I23" i="131"/>
  <c r="D23" i="131"/>
  <c r="D24" i="131"/>
  <c r="D25" i="131"/>
  <c r="D26" i="131"/>
  <c r="D27" i="131"/>
  <c r="D28" i="131"/>
  <c r="I29" i="131"/>
  <c r="D29" i="131"/>
  <c r="I30" i="131"/>
  <c r="D30" i="131"/>
  <c r="D31" i="131"/>
  <c r="D32" i="131"/>
  <c r="D33" i="131"/>
  <c r="I34" i="131"/>
  <c r="D34" i="131"/>
  <c r="I35" i="131"/>
  <c r="D35" i="131"/>
  <c r="I36" i="131"/>
  <c r="D36" i="131"/>
  <c r="I37" i="131"/>
  <c r="D37" i="131"/>
  <c r="D38" i="131"/>
  <c r="D39" i="131"/>
  <c r="D40" i="131"/>
  <c r="D41" i="131"/>
  <c r="D42" i="131"/>
  <c r="D43" i="131"/>
  <c r="I2" i="131"/>
  <c r="D2" i="131"/>
  <c r="A41" i="131"/>
  <c r="J41" i="131"/>
  <c r="F41" i="131"/>
  <c r="C41" i="131"/>
  <c r="H41" i="131"/>
  <c r="K41" i="131"/>
  <c r="L41" i="131"/>
  <c r="M41" i="131"/>
  <c r="N41" i="131"/>
  <c r="P41" i="131"/>
  <c r="A42" i="131"/>
  <c r="J42" i="131"/>
  <c r="F42" i="131"/>
  <c r="C42" i="131"/>
  <c r="H42" i="131"/>
  <c r="K42" i="131"/>
  <c r="L42" i="131"/>
  <c r="M42" i="131"/>
  <c r="N42" i="131"/>
  <c r="P42" i="131"/>
  <c r="A43" i="131"/>
  <c r="J43" i="131"/>
  <c r="F43" i="131"/>
  <c r="C43" i="131"/>
  <c r="H43" i="131"/>
  <c r="K43" i="131"/>
  <c r="L43" i="131"/>
  <c r="M43" i="131"/>
  <c r="N43" i="131"/>
  <c r="P43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J40" i="131"/>
  <c r="F40" i="131"/>
  <c r="C40" i="131"/>
  <c r="H40" i="131"/>
  <c r="K40" i="131"/>
  <c r="L40" i="131"/>
  <c r="M40" i="131"/>
  <c r="N40" i="131"/>
  <c r="P40" i="131"/>
  <c r="A38" i="131"/>
  <c r="A39" i="131"/>
  <c r="A40" i="131"/>
  <c r="A36" i="131"/>
  <c r="J36" i="131"/>
  <c r="F36" i="131"/>
  <c r="C36" i="131"/>
  <c r="H36" i="131"/>
  <c r="K36" i="131"/>
  <c r="L36" i="131"/>
  <c r="M36" i="131"/>
  <c r="N36" i="131"/>
  <c r="P36" i="131"/>
  <c r="A37" i="131"/>
  <c r="J37" i="131"/>
  <c r="F37" i="131"/>
  <c r="C37" i="131"/>
  <c r="H37" i="131"/>
  <c r="K37" i="131"/>
  <c r="L37" i="131"/>
  <c r="M37" i="131"/>
  <c r="N37" i="131"/>
  <c r="P37" i="131"/>
  <c r="C3" i="103"/>
  <c r="P35" i="131"/>
  <c r="N35" i="131"/>
  <c r="M35" i="131"/>
  <c r="L35" i="131"/>
  <c r="K35" i="131"/>
  <c r="J35" i="131"/>
  <c r="H35" i="131"/>
  <c r="F35" i="131"/>
  <c r="C35" i="131"/>
  <c r="A35" i="131"/>
  <c r="P34" i="131"/>
  <c r="N34" i="131"/>
  <c r="M34" i="131"/>
  <c r="L34" i="131"/>
  <c r="K34" i="131"/>
  <c r="J34" i="131"/>
  <c r="H34" i="131"/>
  <c r="F34" i="131"/>
  <c r="C34" i="131"/>
  <c r="A34" i="131"/>
  <c r="A31" i="131"/>
  <c r="J31" i="131"/>
  <c r="F31" i="131"/>
  <c r="C31" i="131"/>
  <c r="H31" i="131"/>
  <c r="K31" i="131"/>
  <c r="L31" i="131"/>
  <c r="M31" i="131"/>
  <c r="N31" i="131"/>
  <c r="P31" i="131"/>
  <c r="A32" i="131"/>
  <c r="J32" i="131"/>
  <c r="F32" i="131"/>
  <c r="C32" i="131"/>
  <c r="H32" i="131"/>
  <c r="K32" i="131"/>
  <c r="L32" i="131"/>
  <c r="M32" i="131"/>
  <c r="N32" i="131"/>
  <c r="P32" i="131"/>
  <c r="A33" i="131"/>
  <c r="J33" i="131"/>
  <c r="F33" i="131"/>
  <c r="C33" i="131"/>
  <c r="H33" i="131"/>
  <c r="K33" i="131"/>
  <c r="L33" i="131"/>
  <c r="M33" i="131"/>
  <c r="N33" i="131"/>
  <c r="P33" i="131"/>
  <c r="A29" i="131"/>
  <c r="J29" i="131"/>
  <c r="F29" i="131"/>
  <c r="C29" i="131"/>
  <c r="H29" i="131"/>
  <c r="K29" i="131"/>
  <c r="L29" i="131"/>
  <c r="M29" i="131"/>
  <c r="N29" i="131"/>
  <c r="P29" i="131"/>
  <c r="A30" i="131"/>
  <c r="J30" i="131"/>
  <c r="F30" i="131"/>
  <c r="C30" i="131"/>
  <c r="H30" i="131"/>
  <c r="K30" i="131"/>
  <c r="L30" i="131"/>
  <c r="M30" i="131"/>
  <c r="N30" i="131"/>
  <c r="P30" i="131"/>
  <c r="A2" i="131"/>
  <c r="A20" i="131"/>
  <c r="J20" i="131"/>
  <c r="F20" i="131"/>
  <c r="C20" i="131"/>
  <c r="H20" i="131"/>
  <c r="K20" i="131"/>
  <c r="L20" i="131"/>
  <c r="M20" i="131"/>
  <c r="N20" i="131"/>
  <c r="P20" i="131"/>
  <c r="A21" i="131"/>
  <c r="J21" i="131"/>
  <c r="F21" i="131"/>
  <c r="C21" i="131"/>
  <c r="H21" i="131"/>
  <c r="K21" i="131"/>
  <c r="L21" i="131"/>
  <c r="M21" i="131"/>
  <c r="N21" i="131"/>
  <c r="P21" i="131"/>
  <c r="A22" i="131"/>
  <c r="J22" i="131"/>
  <c r="F22" i="131"/>
  <c r="C22" i="131"/>
  <c r="H22" i="131"/>
  <c r="K22" i="131"/>
  <c r="L22" i="131"/>
  <c r="M22" i="131"/>
  <c r="N22" i="131"/>
  <c r="P22" i="131"/>
  <c r="A23" i="131"/>
  <c r="J23" i="131"/>
  <c r="F23" i="131"/>
  <c r="C23" i="131"/>
  <c r="H23" i="131"/>
  <c r="K23" i="131"/>
  <c r="L23" i="131"/>
  <c r="M23" i="131"/>
  <c r="N23" i="131"/>
  <c r="P23" i="131"/>
  <c r="B10" i="130"/>
  <c r="J2" i="131"/>
  <c r="F2" i="131"/>
  <c r="C2" i="131"/>
  <c r="J3" i="131"/>
  <c r="F3" i="131"/>
  <c r="C3" i="131"/>
  <c r="J4" i="131"/>
  <c r="F4" i="131"/>
  <c r="C4" i="131"/>
  <c r="J5" i="131"/>
  <c r="F5" i="131"/>
  <c r="C5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1" i="131"/>
  <c r="F11" i="131"/>
  <c r="C11" i="131"/>
  <c r="J12" i="131"/>
  <c r="F12" i="131"/>
  <c r="C12" i="131"/>
  <c r="J13" i="131"/>
  <c r="F13" i="131"/>
  <c r="C13" i="131"/>
  <c r="J14" i="131"/>
  <c r="F14" i="131"/>
  <c r="C14" i="131"/>
  <c r="J15" i="131"/>
  <c r="F15" i="131"/>
  <c r="C15" i="131"/>
  <c r="J16" i="131"/>
  <c r="F16" i="131"/>
  <c r="C16" i="131"/>
  <c r="J17" i="131"/>
  <c r="F17" i="131"/>
  <c r="C17" i="131"/>
  <c r="J18" i="131"/>
  <c r="F18" i="131"/>
  <c r="C18" i="131"/>
  <c r="J19" i="131"/>
  <c r="F19" i="131"/>
  <c r="C19" i="131"/>
  <c r="J24" i="131"/>
  <c r="F24" i="131"/>
  <c r="C24" i="131"/>
  <c r="J25" i="131"/>
  <c r="F25" i="131"/>
  <c r="C25" i="131"/>
  <c r="J26" i="131"/>
  <c r="F26" i="131"/>
  <c r="C26" i="131"/>
  <c r="J27" i="131"/>
  <c r="F27" i="131"/>
  <c r="C27" i="131"/>
  <c r="J28" i="131"/>
  <c r="F28" i="131"/>
  <c r="C28" i="131"/>
  <c r="F6" i="130"/>
  <c r="E6" i="130"/>
  <c r="A28" i="131"/>
  <c r="H28" i="131"/>
  <c r="K28" i="131"/>
  <c r="L28" i="131"/>
  <c r="M28" i="131"/>
  <c r="N28" i="131"/>
  <c r="P28" i="131"/>
  <c r="A26" i="131"/>
  <c r="H26" i="131"/>
  <c r="K26" i="131"/>
  <c r="L26" i="131"/>
  <c r="M26" i="131"/>
  <c r="N26" i="131"/>
  <c r="P26" i="131"/>
  <c r="A27" i="131"/>
  <c r="H27" i="131"/>
  <c r="K27" i="131"/>
  <c r="L27" i="131"/>
  <c r="M27" i="131"/>
  <c r="N27" i="131"/>
  <c r="P27" i="131"/>
  <c r="A24" i="131"/>
  <c r="H24" i="131"/>
  <c r="K24" i="131"/>
  <c r="L24" i="131"/>
  <c r="M24" i="131"/>
  <c r="N24" i="131"/>
  <c r="P24" i="131"/>
  <c r="A25" i="131"/>
  <c r="H25" i="131"/>
  <c r="K25" i="131"/>
  <c r="L25" i="131"/>
  <c r="M25" i="131"/>
  <c r="N25" i="131"/>
  <c r="P25" i="131"/>
  <c r="A18" i="131"/>
  <c r="H18" i="131"/>
  <c r="K18" i="131"/>
  <c r="L18" i="131"/>
  <c r="M18" i="131"/>
  <c r="N18" i="131"/>
  <c r="P18" i="131"/>
  <c r="A19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G23" i="130"/>
  <c r="E23" i="130"/>
  <c r="H23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<sst xmlns="http://schemas.openxmlformats.org/spreadsheetml/2006/main" count="304" uniqueCount="211">
  <si>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</si>
  <si>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</si>
  <si>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</si>
  <si>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</si>
  <si>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</si>
  <si>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</si>
  <si>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</si>
  <si>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</si>
  <si>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</si>
  <si>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</si>
  <si>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</si>
  <si>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</si>
  <si>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</si>
  <si>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</si>
  <si>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</si>
  <si>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</si>
  <si>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</si>
  <si>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</si>
  <si>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</si>
  <si>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</si>
  <si>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</si>
  <si>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</si>
  <si>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</si>
  <si>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</si>
  <si>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</si>
  <si>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</si>
  <si>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</si>
  <si>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</si>
  <si>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</si>
  <si>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</si>
  <si>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</si>
  <si>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</si>
  <si>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</si>
  <si>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</si>
  <si>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</si>
  <si>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</si>
  <si>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</si>
  <si>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</si>
  <si>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</si>
  <si>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</si>
  <si>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</si>
  <si>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</si>
  <si>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</si>
  <si>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</si>
  <si>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</si>
  <si>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</si>
  <si>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</si>
  <si>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</si>
  <si>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</si>
  <si>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</si>
  <si>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</si>
  <si>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</si>
  <si>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</si>
  <si>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</si>
  <si>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</si>
  <si>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</si>
  <si>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</si>
  <si>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</si>
  <si>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</si>
  <si>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</si>
  <si>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</si>
  <si>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</si>
  <si>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</si>
  <si>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</si>
  <si>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</si>
  <si>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</si>
  <si>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</si>
  <si>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</si>
  <si>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</si>
  <si>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</si>
  <si>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</si>
  <si>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</si>
  <si>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</si>
  <si>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</si>
  <si>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</si>
  <si>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</si>
  <si>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</si>
  <si>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</si>
  <si>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</si>
  <si>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</si>
  <si>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</si>
  <si>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</si>
  <si>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</si>
  <si>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</si>
  <si>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</si>
  <si>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</si>
  <si>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</si>
  <si>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</si>
  <si>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</si>
  <si>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</si>
  <si>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</si>
  <si>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</si>
  <si>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</si>
  <si>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</si>
  <si>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</si>
  <si>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</si>
  <si>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</si>
  <si>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</si>
  <si>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</si>
  <si>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</si>
  <si>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</si>
  <si>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</si>
  <si>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</si>
  <si>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</si>
  <si>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</si>
  <si>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</si>
  <si>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</si>
  <si>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</si>
  <si>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</si>
  <si>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</si>
  <si>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</si>
  <si>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</si>
  <si>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</si>
  <si>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</si>
  <si>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</si>
  <si>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</si>
  <si>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</si>
  <si>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</si>
  <si>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</si>
  <si>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</si>
  <si>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</si>
  <si>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</si>
  <si>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</si>
  <si>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</si>
  <si>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</si>
  <si>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</si>
  <si>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</si>
  <si>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</si>
  <si>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</si>
  <si>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</si>
  <si>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</si>
  <si>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</si>
  <si>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</si>
  <si>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</si>
  <si>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</si>
  <si>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</si>
  <si>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</si>
  <si>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</si>
  <si>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</si>
  <si>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</si>
  <si>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</si>
  <si>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</si>
  <si>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</si>
  <si>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</si>
  <si>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</si>
  <si>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</si>
  <si>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</si>
  <si>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</si>
  <si>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</si>
  <si>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</si>
  <si>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</si>
  <si>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</si>
  <si>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</si>
  <si>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</si>
  <si>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</si>
  <si>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</si>
  <si>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</si>
  <si>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</si>
  <si>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</si>
  <si>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</si>
  <si>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</si>
  <si>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</si>
  <si>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</si>
  <si>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</si>
  <si>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</si>
  <si>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</si>
  <si>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</si>
  <si>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</si>
  <si>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</si>
  <si>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</si>
  <si>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</si>
  <si>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</si>
  <si>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</si>
  <si>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</si>
  <si>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</si>
  <si>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</si>
  <si>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</si>
  <si>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</si>
  <si>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</si>
  <si>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</si>
  <si>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</si>
  <si>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</si>
  <si>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</si>
  <si>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</si>
  <si>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</si>
  <si>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</si>
  <si>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</si>
  <si>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</si>
  <si>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</si>
  <si>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</si>
  <si>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</si>
  <si>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</si>
  <si>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</si>
  <si>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</si>
  <si>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</si>
  <si>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</si>
  <si>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</si>
  <si>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</si>
  <si>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</si>
  <si>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</si>
  <si>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</si>
  <si>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</si>
  <si>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</si>
  <si>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</si>
  <si>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</si>
  <si>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</si>
  <si>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</si>
  <si>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</si>
  <si>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</si>
  <si>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</si>
  <si>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tables_settle_7115100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</si>
</sst>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</cellStyleXfs>
  <cellXfs count="85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5" fillId="30" borderId="1" xfId="0" applyNumberFormat="1" applyFont="1" applyFill="1" applyBorder="1"/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0" fontId="23" fillId="24" borderId="1" xfId="2" applyFont="1" applyFill="1" applyBorder="1" applyAlignment="1">
      <alignment vertical="center"/>
    </xf>
    <xf numFmtId="0" fontId="2" fillId="0" borderId="1" xfId="3036" applyFont="1" applyBorder="1"/>
    <xf numFmtId="0" fontId="0" fillId="0" borderId="1" xfId="0" applyNumberFormat="1" applyFont="1" applyFill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E3" sqref="E3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2" t="s">
        <v>209</v>
      </c>
      <c r="B3" s="78" t="s">
        <v>197</v>
      </c>
      <c r="C3" s="47" t="str">
        <f>RIGHT(F3,7)</f>
        <v>7115100</v>
      </c>
      <c r="D3" s="16" t="s">
        <v>32</v>
      </c>
      <c r="E3" s="14" t="str">
        <f t="shared" ref="E3" si="1">B3&amp;C3&amp;D3</f>
        <v>gacha_settle_tables_7115100.tmp</v>
      </c>
      <c r="F3" s="84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B29" sqref="B2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7115100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VLOOKUP(L3,tables_settle_7115100!B:C,2,FALSE)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VLOOKUP(L4,tables_settle_7115100!B:C,2,FALSE)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6.9767441860465117E-4</v>
      </c>
      <c r="F5">
        <f>(COUNTIF(tables_settle_7115100!C:C,input_settle_7115100!A26)+COUNTIF(tables_settle_7115100!C:C,input_settle_7115100!A28)+COUNTIF(tables_settle_7115100!C:C,input_settle_7115100!A29))</f>
        <v>43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VLOOKUP(L5,tables_settle_7115100!B:C,2,FALSE)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(COUNTIF(tables_settle_7115100!C:C,input_settle_7115100!A18)+COUNTIF(tables_settle_7115100!C:C,input_settle_7115100!A20)+COUNTIF(tables_settle_7115100!C:C,input_settle_7115100!A22))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VLOOKUP(L6,tables_settle_7115100!B:C,2,FALSE)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VLOOKUP(L7,tables_settle_7115100!B:C,2,FALSE)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VLOOKUP(L8,tables_settle_7115100!B:C,2,FALSE)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VLOOKUP(L9,tables_settle_7115100!B:C,2,FALSE)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0.97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VLOOKUP(L10,tables_settle_7115100!B:C,2,FALSE)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0.03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VLOOKUP(L11,tables_settle_7115100!B:C,2,FALSE)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VLOOKUP(L12,tables_settle_7115100!B:C,2,FALSE)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VLOOKUP(L13,tables_settle_7115100!B:C,2,FALSE)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VLOOKUP(L14,tables_settle_7115100!B:C,2,FALSE)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VLOOKUP(L15,tables_settle_7115100!B:C,2,FALSE)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VLOOKUP(L16,tables_settle_7115100!B:C,2,FALSE)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COUNTIF(tables_settle_7115100!C:C,input_settle_7115100!A17)-COUNTIF(Q:Q,A17)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VLOOKUP(L17,tables_settle_7115100!B:C,2,FALSE)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COUNTIF(tables_settle_7115100!C:C,input_settle_7115100!A18)-COUNTIF(Q:Q,A18)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VLOOKUP(L18,tables_settle_7115100!B:C,2,FALSE)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COUNTIF(tables_settle_7115100!C:C,input_settle_7115100!A19)-COUNTIF(Q:Q,A19)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VLOOKUP(L19,tables_settle_7115100!B:C,2,FALSE)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COUNTIF(tables_settle_7115100!C:C,input_settle_7115100!A20)-COUNTIF(Q:Q,A20)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VLOOKUP(L20,tables_settle_7115100!B:C,2,FALSE)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COUNTIF(tables_settle_7115100!C:C,input_settle_7115100!A21)-COUNTIF(Q:Q,A21)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COUNTIF(tables_settle_7115100!C:C,input_settle_7115100!A22)-COUNTIF(Q:Q,A22)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3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COUNTIF(tables_settle_7115100!C:C,input_settle_7115100!A23)-COUNTIF(Q:Q,A23)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COUNTIF(tables_settle_7115100!C:C,input_settle_7115100!A24)-COUNTIF(Q:Q,A24)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COUNTIF(tables_settle_7115100!C:C,input_settle_7115100!A25)-COUNTIF(Q:Q,A25)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COUNTIF(tables_settle_7115100!C:C,input_settle_7115100!A26)-COUNTIF(Q:Q,A26)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COUNTIF(tables_settle_7115100!C:C,input_settle_7115100!A27)-COUNTIF(Q:Q,A27)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COUNTIF(tables_settle_7115100!C:C,input_settle_7115100!A28)-COUNTIF(Q:Q,A28)</f>
        <v>19</v>
      </c>
      <c r="F28" s="40">
        <f t="shared" si="7"/>
        <v>2.7631578947368419E-3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COUNTIF(tables_settle_7115100!C:C,input_settle_7115100!A29)-COUNTIF(Q:Q,A29)</f>
        <v>20</v>
      </c>
      <c r="F29" s="40">
        <f>IFERROR(B29/E29,0)</f>
        <v>1.875E-4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COUNTIF(tables_settle_7115100!C:C,input_settle_7115100!A30)-COUNTIF(Q:Q,A30)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COUNTIF(tables_settle_7115100!C:C,input_settle_7115100!A31)-COUNTIF(Q:Q,A31)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SUMIF(tables_settle_7115100!C:C,input_settle_7115100!A40,tables_settle_7115100!O:O)</f>
        <v>0</v>
      </c>
      <c r="C40" s="49">
        <f t="shared" ref="C40:C46" si="9">B40/B$47</f>
        <v>0</v>
      </c>
      <c r="E40">
        <v>3</v>
      </c>
      <c r="F40">
        <f>SUMIF(tables_settle_7115100!J:J,input_settle_7115100!E40,tables_settle_7115100!O:O)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SUMIF(tables_settle_7115100!C:C,input_settle_7115100!A41,tables_settle_7115100!O:O)</f>
        <v>0</v>
      </c>
      <c r="C41" s="49">
        <f t="shared" si="9"/>
        <v>0</v>
      </c>
      <c r="E41">
        <v>4</v>
      </c>
      <c r="F41">
        <f>SUMIF(tables_settle_7115100!J:J,input_settle_7115100!E41,tables_settle_7115100!O:O)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SUMIF(tables_settle_7115100!C:C,input_settle_7115100!A42,tables_settle_7115100!O:O)</f>
        <v>0</v>
      </c>
      <c r="C42" s="49">
        <f t="shared" si="9"/>
        <v>0</v>
      </c>
      <c r="E42">
        <v>5</v>
      </c>
      <c r="F42">
        <f>SUMIF(tables_settle_7115100!J:J,input_settle_7115100!E42,tables_settle_7115100!O:O)</f>
        <v>430</v>
      </c>
      <c r="G42" t="e">
        <f>F42/A36</f>
        <v>#DIV/0!</v>
      </c>
    </row>
    <row r="43" spans="1:7" x14ac:dyDescent="0.15">
      <c r="A43" s="29" t="s">
        <v>86</v>
      </c>
      <c r="B43">
        <f>SUMIF(tables_settle_7115100!C:C,input_settle_7115100!A43,tables_settle_7115100!O:O)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SUMIF(tables_settle_7115100!C:C,input_settle_7115100!A44,tables_settle_7115100!O:O)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SUMIF(tables_settle_7115100!C:C,input_settle_7115100!A45,tables_settle_7115100!O:O)</f>
        <v>190</v>
      </c>
      <c r="C45" s="49">
        <f t="shared" si="9"/>
        <v>1</v>
      </c>
      <c r="E45" t="s">
        <v>183</v>
      </c>
      <c r="F45" s="50">
        <f>SUMIF(tables_settle_7115100!I:I,input_settle_7115100!E45,tables_settle_7115100!P:P)</f>
        <v>0</v>
      </c>
    </row>
    <row r="46" spans="1:7" x14ac:dyDescent="0.15">
      <c r="A46" s="29" t="s">
        <v>88</v>
      </c>
      <c r="B46">
        <f>SUMIF(tables_settle_7115100!C:C,input_settle_7115100!A46,tables_settle_7115100!O:O)</f>
        <v>0</v>
      </c>
      <c r="C46" s="49">
        <f t="shared" si="9"/>
        <v>0</v>
      </c>
      <c r="E46" t="s">
        <v>184</v>
      </c>
      <c r="F46" s="50">
        <f>SUMIF(tables_settle_7115100!I:I,input_settle_7115100!E46,tables_settle_7115100!P:P)</f>
        <v>6.9767441860465115E-2</v>
      </c>
    </row>
    <row r="47" spans="1:7" x14ac:dyDescent="0.15">
      <c r="A47" s="36" t="s">
        <v>45</v>
      </c>
      <c r="B47">
        <f>SUM(B40:B46)</f>
        <v>190</v>
      </c>
      <c r="C47" s="50">
        <f>SUM(C40:C46)</f>
        <v>1</v>
      </c>
      <c r="E47" t="s">
        <v>185</v>
      </c>
      <c r="F47" s="50">
        <f>SUMIF(tables_settle_7115100!I:I,input_settle_7115100!E47,tables_settle_7115100!P:P)</f>
        <v>2.3255813953488372E-2</v>
      </c>
    </row>
    <row r="48" spans="1:7" x14ac:dyDescent="0.15">
      <c r="E48" t="s">
        <v>186</v>
      </c>
      <c r="F48" s="50">
        <f>SUMIF(tables_settle_7115100!I:I,input_settle_7115100!E48,tables_settle_7115100!P:P)</f>
        <v>0.8837209302325586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9"/>
  <sheetViews>
    <sheetView showGridLines="0" zoomScale="75" zoomScaleNormal="75" zoomScalePageLayoutView="75" workbookViewId="0">
      <pane ySplit="1" topLeftCell="A19" activePane="bottomLeft" state="frozen"/>
      <selection activeCell="E6" sqref="E6"/>
      <selection pane="bottomLeft" activeCell="S44" sqref="S4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input_settle_7115100!A$2</f>
        <v>7115100</v>
      </c>
      <c r="B2" s="6">
        <v>168</v>
      </c>
      <c r="C2" s="7" t="str">
        <f t="shared" ref="C2:C9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 t="shared" ref="P2:P43" si="1">O2/SUM(O:O)</f>
        <v>2.3255813953488372E-2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input_settle_7115100!A$2</f>
        <v>7115100</v>
      </c>
      <c r="B3" s="6">
        <v>171</v>
      </c>
      <c r="C3" s="7" t="str">
        <f t="shared" si="0"/>
        <v>Premium5R6release</v>
      </c>
      <c r="D3" s="7" t="str">
        <f t="shared" ref="D3:D43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 t="shared" si="1"/>
        <v>2.3255813953488372E-2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input_settle_7115100!A$2</f>
        <v>7115100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 t="shared" si="1"/>
        <v>2.3255813953488372E-2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input_settle_7115100!A$2</f>
        <v>7115100</v>
      </c>
      <c r="B5" s="5">
        <v>237</v>
      </c>
      <c r="C5" s="7" t="str">
        <f t="shared" si="0"/>
        <v>Premium5R6release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 t="shared" si="1"/>
        <v>2.3255813953488372E-2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input_settle_7115100!A$2</f>
        <v>7115100</v>
      </c>
      <c r="B6" s="55">
        <v>732</v>
      </c>
      <c r="C6" s="7" t="str">
        <f t="shared" si="0"/>
        <v>PremiumSS5R5only</v>
      </c>
      <c r="D6" s="7" t="str">
        <f t="shared" si="2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 t="shared" si="1"/>
        <v>2.3255813953488372E-2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input_settle_7115100!A$2</f>
        <v>7115100</v>
      </c>
      <c r="B7" s="55">
        <v>734</v>
      </c>
      <c r="C7" s="7" t="str">
        <f t="shared" si="0"/>
        <v>PremiumSS5R5only</v>
      </c>
      <c r="D7" s="7" t="str">
        <f t="shared" si="2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 t="shared" si="1"/>
        <v>2.3255813953488372E-2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input_settle_7115100!A$2</f>
        <v>7115100</v>
      </c>
      <c r="B8" s="55">
        <v>325</v>
      </c>
      <c r="C8" s="7" t="str">
        <f t="shared" si="0"/>
        <v>PremiumSS5</v>
      </c>
      <c r="D8" s="7" t="str">
        <f t="shared" si="2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 t="shared" si="1"/>
        <v>2.3255813953488372E-2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input_settle_7115100!A$2</f>
        <v>7115100</v>
      </c>
      <c r="B9" s="55">
        <v>391</v>
      </c>
      <c r="C9" s="7" t="str">
        <f t="shared" si="0"/>
        <v>PremiumSS5</v>
      </c>
      <c r="D9" s="7" t="str">
        <f t="shared" si="2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 t="shared" si="1"/>
        <v>2.3255813953488372E-2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input_settle_7115100!A$2</f>
        <v>7115100</v>
      </c>
      <c r="B10" s="55">
        <v>848</v>
      </c>
      <c r="C10" s="7" t="str">
        <f t="shared" ref="C10:C11" si="3">D10&amp;J10&amp;E10&amp;F10&amp;G10</f>
        <v>PremiumSS5R5only</v>
      </c>
      <c r="D10" s="7" t="str">
        <f t="shared" si="2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 t="shared" si="1"/>
        <v>2.3255813953488372E-2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input_settle_7115100!A$2</f>
        <v>7115100</v>
      </c>
      <c r="B11" s="55">
        <v>850</v>
      </c>
      <c r="C11" s="7" t="str">
        <f t="shared" si="3"/>
        <v>PremiumSS5R5only</v>
      </c>
      <c r="D11" s="7" t="str">
        <f t="shared" si="2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 t="shared" si="1"/>
        <v>2.3255813953488372E-2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input_settle_7115100!A$2</f>
        <v>7115100</v>
      </c>
      <c r="B12" s="55">
        <v>404</v>
      </c>
      <c r="C12" s="7" t="str">
        <f t="shared" ref="C12:C13" si="4">D12&amp;J12&amp;E12&amp;F12&amp;G12</f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 t="shared" si="1"/>
        <v>2.3255813953488372E-2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input_settle_7115100!A$2</f>
        <v>7115100</v>
      </c>
      <c r="B13" s="55">
        <v>399</v>
      </c>
      <c r="C13" s="7" t="str">
        <f t="shared" si="4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 t="shared" si="1"/>
        <v>2.3255813953488372E-2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input_settle_7115100!A$2</f>
        <v>7115100</v>
      </c>
      <c r="B14" s="55">
        <v>866</v>
      </c>
      <c r="C14" s="7" t="str">
        <f t="shared" ref="C14:C15" si="5">D14&amp;J14&amp;E14&amp;F14&amp;G14</f>
        <v>PremiumSS5R5only</v>
      </c>
      <c r="D14" s="7" t="str">
        <f t="shared" si="2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 t="shared" si="1"/>
        <v>2.3255813953488372E-2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input_settle_7115100!A$2</f>
        <v>7115100</v>
      </c>
      <c r="B15" s="55">
        <v>868</v>
      </c>
      <c r="C15" s="7" t="str">
        <f t="shared" si="5"/>
        <v>PremiumSS5R5only</v>
      </c>
      <c r="D15" s="7" t="str">
        <f t="shared" si="2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 t="shared" si="1"/>
        <v>2.3255813953488372E-2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input_settle_7115100!A$2</f>
        <v>7115100</v>
      </c>
      <c r="B16" s="81">
        <v>435</v>
      </c>
      <c r="C16" s="7" t="str">
        <f t="shared" ref="C16:C17" si="6">D16&amp;J16&amp;E16&amp;F16&amp;G16</f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 t="shared" si="1"/>
        <v>2.3255813953488372E-2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input_settle_7115100!A$2</f>
        <v>7115100</v>
      </c>
      <c r="B17" s="81">
        <v>468</v>
      </c>
      <c r="C17" s="7" t="str">
        <f t="shared" si="6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 t="shared" si="1"/>
        <v>2.3255813953488372E-2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input_settle_7115100!A$2</f>
        <v>7115100</v>
      </c>
      <c r="B18" s="81">
        <v>493</v>
      </c>
      <c r="C18" s="7" t="str">
        <f t="shared" ref="C18:C19" si="7">D18&amp;J18&amp;E18&amp;F18&amp;G18</f>
        <v>PremiumSS5</v>
      </c>
      <c r="D18" s="7" t="str">
        <f t="shared" si="2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 t="shared" si="1"/>
        <v>2.3255813953488372E-2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input_settle_7115100!A$2</f>
        <v>7115100</v>
      </c>
      <c r="B19" s="81">
        <v>495</v>
      </c>
      <c r="C19" s="7" t="str">
        <f t="shared" si="7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 t="shared" si="1"/>
        <v>2.3255813953488372E-2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input_settle_7115100!A$2</f>
        <v>7115100</v>
      </c>
      <c r="B20" s="81">
        <v>659</v>
      </c>
      <c r="C20" s="7" t="str">
        <f t="shared" ref="C20:C23" si="8">D20&amp;J20&amp;E20&amp;F20&amp;G20</f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2">
        <v>10</v>
      </c>
      <c r="P20" s="43">
        <f t="shared" si="1"/>
        <v>2.3255813953488372E-2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input_settle_7115100!A$2</f>
        <v>7115100</v>
      </c>
      <c r="B21" s="81">
        <v>661</v>
      </c>
      <c r="C21" s="7" t="str">
        <f t="shared" si="8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2">
        <v>10</v>
      </c>
      <c r="P21" s="43">
        <f t="shared" si="1"/>
        <v>2.3255813953488372E-2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input_settle_7115100!A$2</f>
        <v>7115100</v>
      </c>
      <c r="B22" s="81">
        <v>500</v>
      </c>
      <c r="C22" s="7" t="str">
        <f t="shared" si="8"/>
        <v>PremiumSS5</v>
      </c>
      <c r="D22" s="7" t="str">
        <f t="shared" si="2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脈動の禁髪 ラプンツェル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v>10</v>
      </c>
      <c r="P22" s="43">
        <f t="shared" si="1"/>
        <v>2.3255813953488372E-2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input_settle_7115100!A$2</f>
        <v>7115100</v>
      </c>
      <c r="B23" s="81">
        <v>603</v>
      </c>
      <c r="C23" s="7" t="str">
        <f t="shared" si="8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2">
        <v>10</v>
      </c>
      <c r="P23" s="43">
        <f t="shared" si="1"/>
        <v>2.3255813953488372E-2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input_settle_7115100!A$2</f>
        <v>7115100</v>
      </c>
      <c r="B24" s="81">
        <v>742</v>
      </c>
      <c r="C24" s="7" t="str">
        <f t="shared" ref="C24:C25" si="9">D24&amp;J24&amp;E24&amp;F24&amp;G24</f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2">
        <v>10</v>
      </c>
      <c r="P24" s="43">
        <f t="shared" si="1"/>
        <v>2.3255813953488372E-2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 t="str">
        <f ca="1">input_settle_7115100!A$2</f>
        <v>7115100</v>
      </c>
      <c r="B25" s="81">
        <v>744</v>
      </c>
      <c r="C25" s="7" t="str">
        <f t="shared" si="9"/>
        <v>PremiumSS5R5only</v>
      </c>
      <c r="D25" s="7" t="str">
        <f t="shared" si="2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ヘルメス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god</v>
      </c>
      <c r="N25" s="7" t="str">
        <f>VLOOKUP(B25,[1]characters!$A:$G,7,FALSE)</f>
        <v>男性</v>
      </c>
      <c r="O25" s="42">
        <v>10</v>
      </c>
      <c r="P25" s="43">
        <f t="shared" si="1"/>
        <v>2.3255813953488372E-2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 t="str">
        <f ca="1">input_settle_7115100!A$2</f>
        <v>7115100</v>
      </c>
      <c r="B26" s="81">
        <v>937</v>
      </c>
      <c r="C26" s="7" t="str">
        <f t="shared" ref="C26:C27" si="10">D26&amp;J26&amp;E26&amp;F26&amp;G26</f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ナポレオン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男性</v>
      </c>
      <c r="O26" s="42">
        <v>10</v>
      </c>
      <c r="P26" s="43">
        <f t="shared" si="1"/>
        <v>2.3255813953488372E-2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 t="str">
        <f ca="1">input_settle_7115100!A$2</f>
        <v>7115100</v>
      </c>
      <c r="B27" s="81">
        <v>941</v>
      </c>
      <c r="C27" s="7" t="str">
        <f t="shared" si="10"/>
        <v>PremiumSS5R5only</v>
      </c>
      <c r="D27" s="7" t="str">
        <f t="shared" si="2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2">
        <v>10</v>
      </c>
      <c r="P27" s="43">
        <f t="shared" si="1"/>
        <v>2.3255813953488372E-2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 t="str">
        <f ca="1">input_settle_7115100!A$2</f>
        <v>7115100</v>
      </c>
      <c r="B28" s="81">
        <v>943</v>
      </c>
      <c r="C28" s="7" t="str">
        <f t="shared" ref="C28" si="11">D28&amp;J28&amp;E28&amp;F28&amp;G28</f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サンソン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</v>
      </c>
      <c r="P28" s="43">
        <f t="shared" si="1"/>
        <v>2.3255813953488372E-2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 t="str">
        <f ca="1">input_settle_7115100!A$2</f>
        <v>7115100</v>
      </c>
      <c r="B29" s="81">
        <v>321</v>
      </c>
      <c r="C29" s="7" t="str">
        <f t="shared" ref="C29:C30" si="12">D29&amp;J29&amp;E29&amp;F29&amp;G29</f>
        <v>PremiumSS5</v>
      </c>
      <c r="D29" s="7" t="str">
        <f t="shared" si="2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巌鉄の烈志士 近藤勇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human</v>
      </c>
      <c r="N29" s="7" t="str">
        <f>VLOOKUP(B29,[1]characters!$A:$G,7,FALSE)</f>
        <v>男性</v>
      </c>
      <c r="O29" s="42">
        <v>10</v>
      </c>
      <c r="P29" s="43">
        <f t="shared" si="1"/>
        <v>2.3255813953488372E-2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 t="str">
        <f ca="1">input_settle_7115100!A$2</f>
        <v>7115100</v>
      </c>
      <c r="B30" s="81">
        <v>466</v>
      </c>
      <c r="C30" s="7" t="str">
        <f t="shared" si="12"/>
        <v>PremiumSS5</v>
      </c>
      <c r="D30" s="7" t="str">
        <f t="shared" si="2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真断の勇覇 ランスロット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2">
        <v>10</v>
      </c>
      <c r="P30" s="43">
        <f t="shared" si="1"/>
        <v>2.3255813953488372E-2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 t="str">
        <f ca="1">input_settle_7115100!A$2</f>
        <v>7115100</v>
      </c>
      <c r="B31" s="81">
        <v>1012</v>
      </c>
      <c r="C31" s="7" t="str">
        <f t="shared" ref="C31:C33" si="13">D31&amp;J31&amp;E31&amp;F31&amp;G31</f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ラー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god</v>
      </c>
      <c r="N31" s="7" t="str">
        <f>VLOOKUP(B31,[1]characters!$A:$G,7,FALSE)</f>
        <v>男性</v>
      </c>
      <c r="O31" s="42">
        <v>10</v>
      </c>
      <c r="P31" s="43">
        <f t="shared" si="1"/>
        <v>2.3255813953488372E-2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 t="str">
        <f ca="1">input_settle_7115100!A$2</f>
        <v>7115100</v>
      </c>
      <c r="B32" s="81">
        <v>1014</v>
      </c>
      <c r="C32" s="7" t="str">
        <f t="shared" si="13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イシス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hp</v>
      </c>
      <c r="M32" s="7" t="str">
        <f>VLOOKUP(B32,[1]characters!$A:$M,13,FALSE)</f>
        <v>god</v>
      </c>
      <c r="N32" s="7" t="str">
        <f>VLOOKUP(B32,[1]characters!$A:$G,7,FALSE)</f>
        <v>男性</v>
      </c>
      <c r="O32" s="42">
        <v>10</v>
      </c>
      <c r="P32" s="43">
        <f t="shared" si="1"/>
        <v>2.3255813953488372E-2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 t="str">
        <f ca="1">input_settle_7115100!A$2</f>
        <v>7115100</v>
      </c>
      <c r="B33" s="81">
        <v>1018</v>
      </c>
      <c r="C33" s="7" t="str">
        <f t="shared" si="13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バステト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god</v>
      </c>
      <c r="N33" s="7" t="str">
        <f>VLOOKUP(B33,[1]characters!$A:$G,7,FALSE)</f>
        <v>男性</v>
      </c>
      <c r="O33" s="42">
        <v>10</v>
      </c>
      <c r="P33" s="43">
        <f t="shared" si="1"/>
        <v>2.3255813953488372E-2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 t="str">
        <f ca="1">input_settle_7115100!A$2</f>
        <v>7115100</v>
      </c>
      <c r="B34" s="81">
        <v>677</v>
      </c>
      <c r="C34" s="7" t="str">
        <f t="shared" ref="C34:C35" si="14">D34&amp;J34&amp;E34&amp;F34&amp;G34</f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武遊闊歩 ヴィシュヌ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god</v>
      </c>
      <c r="N34" s="7" t="str">
        <f>VLOOKUP(B34,[1]characters!$A:$G,7,FALSE)</f>
        <v>女性</v>
      </c>
      <c r="O34" s="42">
        <v>10</v>
      </c>
      <c r="P34" s="43">
        <f t="shared" si="1"/>
        <v>2.3255813953488372E-2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 t="str">
        <f ca="1">input_settle_7115100!A$2</f>
        <v>7115100</v>
      </c>
      <c r="B35" s="81">
        <v>675</v>
      </c>
      <c r="C35" s="7" t="str">
        <f t="shared" si="14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芸楽の奔流 サラスヴァティ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女性</v>
      </c>
      <c r="O35" s="42">
        <v>10</v>
      </c>
      <c r="P35" s="43">
        <f t="shared" si="1"/>
        <v>2.3255813953488372E-2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 t="str">
        <f ca="1">input_settle_7115100!A$2</f>
        <v>7115100</v>
      </c>
      <c r="B36" s="81">
        <v>771</v>
      </c>
      <c r="C36" s="7" t="str">
        <f t="shared" ref="C36:C37" si="15">D36&amp;J36&amp;E36&amp;F36&amp;G36</f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天織羽鶴 ハヅル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女性</v>
      </c>
      <c r="O36" s="42">
        <v>10</v>
      </c>
      <c r="P36" s="43">
        <f t="shared" si="1"/>
        <v>2.3255813953488372E-2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 t="str">
        <f ca="1">input_settle_7115100!A$2</f>
        <v>7115100</v>
      </c>
      <c r="B37" s="81">
        <v>773</v>
      </c>
      <c r="C37" s="7" t="str">
        <f t="shared" si="15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浮跳天兎 イナバ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女性</v>
      </c>
      <c r="O37" s="42">
        <v>10</v>
      </c>
      <c r="P37" s="43">
        <f t="shared" si="1"/>
        <v>2.3255813953488372E-2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 t="str">
        <f ca="1">input_settle_7115100!A$2</f>
        <v>7115100</v>
      </c>
      <c r="B38" s="5">
        <v>1028</v>
      </c>
      <c r="C38" s="7" t="str">
        <f t="shared" ref="C38:C40" si="16">D38&amp;J38&amp;E38&amp;F38&amp;G38</f>
        <v>PremiumSS5R5only</v>
      </c>
      <c r="D38" s="7" t="str">
        <f t="shared" si="2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牛若丸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2">
        <v>10</v>
      </c>
      <c r="P38" s="43">
        <f t="shared" si="1"/>
        <v>2.3255813953488372E-2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 t="str">
        <f ca="1">input_settle_7115100!A$2</f>
        <v>7115100</v>
      </c>
      <c r="B39" s="5">
        <v>1031</v>
      </c>
      <c r="C39" s="7" t="str">
        <f t="shared" si="16"/>
        <v>PremiumSS5R5only</v>
      </c>
      <c r="D39" s="7" t="str">
        <f t="shared" si="2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紫式部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2">
        <v>10</v>
      </c>
      <c r="P39" s="43">
        <f t="shared" si="1"/>
        <v>2.3255813953488372E-2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 t="str">
        <f ca="1">input_settle_7115100!A$2</f>
        <v>7115100</v>
      </c>
      <c r="B40" s="5">
        <v>1033</v>
      </c>
      <c r="C40" s="7" t="str">
        <f t="shared" si="16"/>
        <v>PremiumSS5R5only</v>
      </c>
      <c r="D40" s="7" t="str">
        <f t="shared" si="2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清少納言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heal</v>
      </c>
      <c r="M40" s="7" t="str">
        <f>VLOOKUP(B40,[1]characters!$A:$M,13,FALSE)</f>
        <v>human</v>
      </c>
      <c r="N40" s="7" t="str">
        <f>VLOOKUP(B40,[1]characters!$A:$G,7,FALSE)</f>
        <v>男性</v>
      </c>
      <c r="O40" s="42">
        <v>10</v>
      </c>
      <c r="P40" s="43">
        <f t="shared" si="1"/>
        <v>2.3255813953488372E-2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 t="str">
        <f ca="1">input_settle_7115100!A$2</f>
        <v>7115100</v>
      </c>
      <c r="B41" s="5">
        <v>1069</v>
      </c>
      <c r="C41" s="7" t="str">
        <f t="shared" ref="C41:C43" si="17">D41&amp;J41&amp;E41&amp;F41&amp;G41</f>
        <v>PremiumSS5R5only</v>
      </c>
      <c r="D41" s="7" t="str">
        <f t="shared" si="2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イシュタル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technical</v>
      </c>
      <c r="M41" s="7" t="str">
        <f>VLOOKUP(B41,[1]characters!$A:$M,13,FALSE)</f>
        <v>god</v>
      </c>
      <c r="N41" s="7" t="str">
        <f>VLOOKUP(B41,[1]characters!$A:$G,7,FALSE)</f>
        <v>男性</v>
      </c>
      <c r="O41" s="42">
        <v>10</v>
      </c>
      <c r="P41" s="43">
        <f t="shared" si="1"/>
        <v>2.3255813953488372E-2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 t="str">
        <f ca="1">input_settle_7115100!A$2</f>
        <v>7115100</v>
      </c>
      <c r="B42" s="5">
        <v>1072</v>
      </c>
      <c r="C42" s="7" t="str">
        <f t="shared" si="17"/>
        <v>PremiumSS5R5only</v>
      </c>
      <c r="D42" s="7" t="str">
        <f t="shared" si="2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エンキドゥ</v>
      </c>
      <c r="I42" s="7" t="str">
        <f>VLOOKUP(B42,[1]characters!$A:$J,10,FALSE)</f>
        <v>PremiumSSw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男性</v>
      </c>
      <c r="O42" s="42">
        <v>10</v>
      </c>
      <c r="P42" s="43">
        <f t="shared" si="1"/>
        <v>2.3255813953488372E-2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 t="str">
        <f ca="1">input_settle_7115100!A$2</f>
        <v>7115100</v>
      </c>
      <c r="B43" s="5">
        <v>1074</v>
      </c>
      <c r="C43" s="7" t="str">
        <f t="shared" si="17"/>
        <v>PremiumSS5R5only</v>
      </c>
      <c r="D43" s="7" t="str">
        <f t="shared" si="2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マルドゥク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technical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v>10</v>
      </c>
      <c r="P43" s="43">
        <f t="shared" si="1"/>
        <v>2.3255813953488372E-2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 t="str">
        <f ca="1">input_settle_7115100!A$2</f>
        <v>7115100</v>
      </c>
      <c r="B44" s="2">
        <v>595</v>
      </c>
      <c r="C44" s="7" t="str">
        <f t="shared" ref="C44" si="18">D44&amp;J44&amp;E44&amp;F44&amp;G44</f>
        <v>PremiumSS5</v>
      </c>
      <c r="D44" s="7" t="str">
        <f t="shared" ref="D44" si="19">IF(OR(I44="PremiumSS",I44="PremiumSSw"),"PremiumSS",IF(I44="PremiumSSS",I44,IF(I44="PremiumW",I44,"Premium")))</f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光華なる神域 アルフヘイム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yellow</v>
      </c>
      <c r="L44" s="7" t="str">
        <f>VLOOKUP(B44,[1]characters!$A:$K,11,FALSE)</f>
        <v>attack</v>
      </c>
      <c r="M44" s="7" t="str">
        <f>VLOOKUP(B44,[1]characters!$A:$M,13,FALSE)</f>
        <v>dragon</v>
      </c>
      <c r="N44" s="7" t="str">
        <f>VLOOKUP(B44,[1]characters!$A:$G,7,FALSE)</f>
        <v>不明</v>
      </c>
      <c r="O44" s="42">
        <v>10</v>
      </c>
      <c r="P44" s="43">
        <f t="shared" ref="P44" si="20">O44/SUM(O:O)</f>
        <v>2.3255813953488372E-2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K45" s="1"/>
    </row>
    <row r="46" spans="1:22" ht="21" customHeight="1" x14ac:dyDescent="0.15">
      <c r="K46" s="1"/>
    </row>
    <row r="47" spans="1:22" ht="21" customHeight="1" x14ac:dyDescent="0.15">
      <c r="K47" s="1"/>
    </row>
    <row r="48" spans="1:22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input_settle_7115100</vt:lpstr>
      <vt:lpstr>tables_settle_7115100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2016-09-05T05:49:36Z</dcterms:modified>
</cp:coreProperties>
</file>