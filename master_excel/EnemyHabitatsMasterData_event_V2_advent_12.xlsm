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80" windowWidth="28800" windowHeight="174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21" l="1"/>
  <c r="J23" i="21"/>
  <c r="G23" i="21"/>
  <c r="F23" i="21"/>
  <c r="D23" i="21"/>
  <c r="C23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Y5" i="7"/>
  <c r="W5" i="7"/>
  <c r="U5" i="7"/>
  <c r="R5" i="7"/>
  <c r="Q5" i="7"/>
  <c r="P5" i="7"/>
  <c r="O5" i="7"/>
  <c r="N5" i="7"/>
  <c r="H5" i="7"/>
  <c r="G7" i="2"/>
  <c r="A7" i="2"/>
  <c r="G8" i="2"/>
  <c r="A8" i="2"/>
  <c r="G9" i="2"/>
  <c r="A9" i="2"/>
  <c r="G10" i="2"/>
  <c r="A10" i="2"/>
  <c r="G11" i="2"/>
  <c r="A11" i="2"/>
  <c r="G2" i="2"/>
  <c r="A2" i="2"/>
  <c r="G3" i="2"/>
  <c r="A3" i="2"/>
  <c r="G4" i="2"/>
  <c r="A4" i="2"/>
  <c r="G5" i="2"/>
  <c r="A5" i="2"/>
  <c r="G6" i="2"/>
  <c r="A6" i="2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F19" i="1"/>
  <c r="AI19" i="1"/>
  <c r="AG19" i="1"/>
  <c r="AE19" i="1"/>
  <c r="E38" i="9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E30" i="9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E21" i="9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E14" i="9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E4" i="9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H11" i="2"/>
  <c r="E11" i="2"/>
  <c r="D11" i="2"/>
  <c r="H10" i="2"/>
  <c r="E10" i="2"/>
  <c r="D10" i="2"/>
  <c r="H9" i="2"/>
  <c r="E9" i="2"/>
  <c r="D9" i="2"/>
  <c r="H8" i="2"/>
  <c r="E8" i="2"/>
  <c r="D8" i="2"/>
  <c r="H7" i="2"/>
  <c r="E7" i="2"/>
  <c r="D7" i="2"/>
  <c r="J54" i="11"/>
  <c r="O41" i="9"/>
  <c r="N41" i="9"/>
  <c r="M41" i="9"/>
  <c r="L41" i="9"/>
  <c r="K41" i="9"/>
  <c r="J41" i="9"/>
  <c r="I41" i="9"/>
  <c r="H41" i="9"/>
  <c r="G41" i="9"/>
  <c r="E41" i="9"/>
  <c r="D41" i="9"/>
  <c r="A41" i="9"/>
  <c r="J53" i="11"/>
  <c r="O8" i="9"/>
  <c r="N8" i="9"/>
  <c r="M8" i="9"/>
  <c r="L8" i="9"/>
  <c r="K8" i="9"/>
  <c r="J8" i="9"/>
  <c r="I8" i="9"/>
  <c r="H8" i="9"/>
  <c r="G8" i="9"/>
  <c r="E8" i="9"/>
  <c r="D8" i="9"/>
  <c r="A8" i="9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2" i="1"/>
  <c r="D2" i="1"/>
  <c r="E2" i="1"/>
  <c r="F2" i="1"/>
  <c r="H2" i="1"/>
  <c r="I2" i="1"/>
  <c r="J2" i="1"/>
  <c r="M2" i="1"/>
  <c r="N2" i="1"/>
  <c r="O2" i="1"/>
  <c r="P2" i="1"/>
  <c r="Q2" i="1"/>
  <c r="T2" i="1"/>
  <c r="V2" i="1"/>
  <c r="X2" i="1"/>
  <c r="AD2" i="1"/>
  <c r="AE2" i="1"/>
  <c r="AF2" i="1"/>
  <c r="AG2" i="1"/>
  <c r="AI2" i="1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W2" i="7"/>
  <c r="U2" i="7"/>
  <c r="N2" i="22"/>
  <c r="G2" i="22"/>
  <c r="F2" i="22"/>
  <c r="D2" i="22"/>
  <c r="C2" i="22"/>
  <c r="A2" i="22"/>
  <c r="E13" i="16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E2" i="9"/>
  <c r="D2" i="9"/>
  <c r="E9" i="16"/>
  <c r="Y2" i="7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A2" i="7"/>
  <c r="I2" i="7"/>
  <c r="D2" i="7"/>
  <c r="F2" i="7"/>
  <c r="E2" i="7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<sst xmlns="http://schemas.openxmlformats.org/spreadsheetml/2006/main" count="1050" uniqueCount="421">
  <si>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</si>
  <si>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</si>
  <si>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</si>
  <si>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</si>
  <si>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</si>
  <si>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</si>
  <si>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</si>
  <si>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</si>
  <si>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</si>
  <si>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</si>
  <si>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</si>
  <si>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</si>
  <si>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</si>
  <si>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</si>
  <si>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</si>
  <si>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</si>
  <si>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</si>
  <si>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</si>
  <si>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</si>
  <si>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</si>
  <si>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</si>
  <si>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</si>
  <si>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</si>
  <si>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</si>
  <si>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</si>
  <si>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</si>
  <si>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</si>
  <si>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</si>
  <si>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</si>
  <si>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</si>
  <si>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</si>
  <si>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</si>
  <si>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</si>
  <si>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</si>
  <si>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</si>
  <si>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</si>
  <si>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</si>
  <si>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</si>
  <si>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</si>
  <si>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</si>
  <si>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</si>
  <si>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</si>
  <si>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</si>
  <si>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</si>
  <si>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</si>
  <si>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</si>
  <si>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</si>
  <si>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</si>
  <si>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</si>
  <si>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</si>
  <si>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</si>
  <si>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</si>
  <si>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</si>
  <si>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</si>
  <si>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</si>
  <si>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</si>
  <si>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</si>
  <si>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</si>
  <si>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</si>
  <si>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</si>
  <si>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</si>
  <si>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</si>
  <si>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</si>
  <si>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</si>
  <si>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</si>
  <si>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</si>
  <si>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</si>
  <si>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</si>
  <si>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</si>
  <si>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</si>
  <si>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</si>
  <si>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</si>
  <si>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</si>
  <si>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</si>
  <si>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</si>
  <si>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</si>
  <si>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</si>
  <si>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</si>
  <si>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</si>
  <si>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</si>
  <si>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</si>
  <si>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</si>
  <si>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</si>
  <si>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</si>
  <si>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</si>
  <si>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</si>
  <si>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</si>
  <si>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</si>
  <si>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</si>
  <si>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</si>
  <si>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</si>
  <si>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</si>
  <si>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</si>
  <si>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</si>
  <si>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</si>
  <si>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</si>
  <si>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</si>
  <si>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</si>
  <si>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</si>
  <si>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</si>
  <si>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</si>
  <si>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</si>
  <si>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</si>
  <si>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</si>
  <si>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</si>
  <si>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</si>
  <si>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</si>
  <si>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</si>
  <si>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</si>
  <si>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</si>
  <si>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</si>
  <si>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</si>
  <si>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</si>
  <si>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</si>
  <si>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</si>
  <si>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</si>
  <si>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</si>
  <si>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</si>
  <si>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</si>
  <si>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</si>
  <si>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</si>
  <si>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</si>
  <si>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</si>
  <si>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</si>
  <si>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</si>
  <si>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</si>
  <si>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</si>
  <si>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</si>
  <si>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</si>
  <si>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</si>
  <si>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</si>
  <si>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</si>
  <si>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</si>
  <si>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</si>
  <si>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</si>
  <si>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</si>
  <si>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</si>
  <si>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</si>
  <si>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</si>
  <si>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</si>
  <si>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</si>
  <si>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</si>
  <si>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</si>
  <si>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</si>
  <si>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</si>
  <si>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</si>
  <si>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</si>
  <si>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</si>
  <si>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</si>
  <si>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</si>
  <si>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</si>
  <si>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</si>
  <si>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</si>
  <si>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</si>
  <si>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</si>
  <si>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</si>
  <si>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</si>
  <si>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</si>
  <si>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</si>
  <si>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</si>
  <si>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</si>
  <si>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</si>
  <si>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</si>
  <si>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</si>
  <si>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</si>
  <si>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</si>
  <si>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</si>
  <si>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</si>
  <si>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</si>
  <si>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</si>
  <si>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</si>
  <si>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</si>
  <si>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</si>
  <si>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</si>
  <si>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</si>
  <si>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</si>
  <si>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</si>
  <si>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</si>
  <si>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</si>
  <si>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</si>
  <si>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</si>
  <si>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</si>
  <si>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</si>
  <si>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</si>
  <si>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</si>
  <si>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</si>
  <si>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</si>
  <si>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</si>
  <si>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</si>
  <si>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</si>
  <si>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</si>
  <si>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</si>
  <si>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</si>
  <si>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</si>
  <si>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</si>
  <si>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</si>
  <si>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</si>
  <si>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</si>
  <si>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</si>
  <si>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</si>
  <si>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</si>
  <si>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</si>
  <si>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</si>
  <si>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</si>
  <si>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</si>
  <si>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</si>
  <si>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</si>
  <si>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</si>
  <si>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</si>
  <si>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</si>
  <si>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</si>
  <si>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</si>
  <si>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</si>
  <si>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</si>
  <si>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</si>
  <si>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</si>
  <si>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</si>
  <si>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</si>
  <si>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</si>
  <si>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</si>
  <si>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</si>
  <si>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</si>
  <si>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</si>
  <si>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</si>
  <si>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</si>
  <si>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</si>
  <si>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</si>
  <si>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</si>
  <si>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</si>
  <si>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</si>
  <si>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</si>
  <si>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</si>
  <si>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</si>
  <si>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</si>
  <si>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</si>
  <si>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</si>
  <si>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</si>
  <si>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</si>
  <si>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</si>
  <si>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</si>
  <si>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</si>
  <si>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</si>
  <si>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</si>
  <si>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</si>
  <si>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</si>
  <si>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</si>
  <si>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</si>
  <si>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</si>
  <si>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</si>
  <si>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</si>
  <si>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</si>
  <si>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</si>
  <si>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</si>
  <si>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</si>
  <si>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[effect:fix_speed, target:enemy_all, turn:1],[effect:suicide, val:0.03, dead_type:suicide, target:enemy_human, animation:enemy_suicide]</t>
    <phoneticPr fontId="5"/>
  </si>
  <si>
    <t>[effect:sleep, target:unit_all, turn:1, rate:1],[effect:suicide, val:0.9, dead_type:suicide, target:enemy_heal, animation:enemy_suicide]</t>
    <phoneticPr fontId="5"/>
  </si>
  <si>
    <t>[effect:tolerance, target:unit_all, turn:40, tolerance_effect:sleep, count:-1, animation:prevent_abnormal_Unit04],[effect:suicide, val:1.0, dead_type:escape, target:myself]</t>
    <phoneticPr fontId="5"/>
  </si>
  <si>
    <t>[effect:suicide, val:1.0, dead_type:escape, target:myself]</t>
    <phoneticPr fontId="5"/>
  </si>
  <si>
    <t>[effect:nothing]</t>
    <phoneticPr fontId="5"/>
  </si>
  <si>
    <t>[effect:critical, val:1.2]</t>
    <phoneticPr fontId="5"/>
  </si>
  <si>
    <t>[effect:degrade_unit, target:unit_all, turn:3, status:attack, val:0.5]</t>
    <phoneticPr fontId="5"/>
  </si>
  <si>
    <t>[effect:dis_panel, target:block_yellow, turn:3, animation:enemy_dis_yellow]</t>
    <phoneticPr fontId="5"/>
  </si>
  <si>
    <t>[effect:virus, turn:5, rate:1, val:0.02, animation:enemy_virus]</t>
    <phoneticPr fontId="5"/>
  </si>
  <si>
    <t>[effect:damage_anti_abnormal, target:unit_all, target_effect01:virus, val1:0.35, val2:0.2]</t>
    <phoneticPr fontId="5"/>
  </si>
  <si>
    <t>[effect:spread, val:0.3],[effect:heal, target:myself, val:0.1, animation:enemy_heal]</t>
    <phoneticPr fontId="5"/>
  </si>
  <si>
    <t>[effect:tolerance, target:myself, turn:-1, tolerance_effect:hungup, count:-1, animation:enemy_tolerance],[effect:tolerance, target:myself, turn:-1, tolerance_effect:sleep, count:-1, animation:enemy_tolerance],[effect:fix_speed, target:myself, turn:1]</t>
    <phoneticPr fontId="5"/>
  </si>
  <si>
    <t>[effect:sleep, target:unit_all, turn:-1, rate:1, animation:sleep01],[effect:fix_speed, target:myself, turn:2]</t>
    <phoneticPr fontId="5"/>
  </si>
  <si>
    <t>[effect:rush, count:3, val:0.45]</t>
    <phoneticPr fontId="5"/>
  </si>
  <si>
    <t>[effect:damage_anti_tribe, target:unit_all, tribe:god, val1:0.6, val2:0.3]</t>
    <phoneticPr fontId="5"/>
  </si>
  <si>
    <t>[effect:panel_freeze, target:block_blue, count:-1, break_count:1],[effect:rush, count:1, val:1.0]</t>
    <phoneticPr fontId="5"/>
  </si>
  <si>
    <t>[effect:panel_freeze, target:block_green, count:-1, break_count:1],[effect:rush, count:1, val:1.0]</t>
    <phoneticPr fontId="5"/>
  </si>
  <si>
    <t>[effect:panel_freeze, target:block_yellow, count:-1, break_count:1],[effect:rush, count:1, val:1.0]</t>
    <phoneticPr fontId="5"/>
  </si>
  <si>
    <t>[effect:enemy_counter, target:myself, invoke_condition:unit_all, counter_target:attacker, turn:3, val:1, animation:enemy_counter],[effect:freq_turn, target:myself, turn:3, val:1, animation:enemy_freq_turn]</t>
    <phoneticPr fontId="5"/>
  </si>
  <si>
    <t>[effect:tolerance, target:myself, turn:-1, tolerance_effect:hungup, count:-1, animation:enemy_tolerance],[effect:tolerance, target:myself, turn:-1, tolerance_effect:sleep, count:-1, animation:enemy_tolerance],[effect:invalidate_change_block, target:unit_all, block_type01:crash, turn:-1, animation:panel_conversion_off],[effect:crash_condition, target:unit_all, val:4, turn:3, animation:crash_panel_reduce03]</t>
    <phoneticPr fontId="5"/>
  </si>
  <si>
    <t>[effect:panel_freeze, target:block_heart, count:10, break_count:1],[effect:rush, count:1, val:1.0]</t>
    <phoneticPr fontId="5"/>
  </si>
  <si>
    <t>[effect:panel_freeze, target:block_all, count:12, break_count:1],[effect:rush, count:1, val:1.0]</t>
    <phoneticPr fontId="5"/>
  </si>
  <si>
    <t>[effect:panel_freeze, target:time_bomb, count:-1, break_count:1],[effect:rush, count:1, val:1.0]</t>
    <phoneticPr fontId="5"/>
  </si>
  <si>
    <t>[effect:sleep, target:unit_all, turn:1, rate:1],[effect:suicide, val:0.8, dead_type:suicide, target:enemy_heal, animation:enemy_suicide]</t>
    <phoneticPr fontId="5"/>
  </si>
  <si>
    <t>[effect:fix_speed, target:myself, turn:2]</t>
    <phoneticPr fontId="5"/>
  </si>
  <si>
    <t>[effect:enhance_enemy, target:enemy_all, turn:2, status:defense, val:2000, calc:add, animation:enemy_enhance_defense]</t>
    <phoneticPr fontId="5"/>
  </si>
  <si>
    <t>[effect:enemy_counter, target:enemy_all, invoke_condition:unit_all, counter_target:attacker, turn:3, val:0.5, animation:enemy_counter]</t>
    <phoneticPr fontId="5"/>
  </si>
  <si>
    <t>[effect:fix_speed, target:myself, turn:1]</t>
    <phoneticPr fontId="5"/>
  </si>
  <si>
    <t>[effect:critical, val:1.2]</t>
    <phoneticPr fontId="5"/>
  </si>
  <si>
    <t>[effect:rush, count:5, val:0.3]</t>
    <phoneticPr fontId="5"/>
  </si>
  <si>
    <t>[effect:hungup, target:unit_all, turn:3, rate:1, animation:hungup01]</t>
    <phoneticPr fontId="5"/>
  </si>
  <si>
    <t>[effect:rush, count:4, val:0.35]</t>
    <phoneticPr fontId="5"/>
  </si>
  <si>
    <t>[effect:enhance_enemy, target:myself, turn:3, status:attack, val:0.5, animation:enemy_enhance_attack]</t>
    <phoneticPr fontId="5"/>
  </si>
  <si>
    <t>[effect:nothing]</t>
    <phoneticPr fontId="5"/>
  </si>
  <si>
    <t>[effect:break_attack, val:0.4, lowest_val:1000, count:10, block:block_green, target:unit_one]</t>
    <phoneticPr fontId="5"/>
  </si>
  <si>
    <t>[effect:degrade_unit, target:unit_all, turn:5, status:attack, val:0.44],[effect:rush, count:1, val:1.0]</t>
    <phoneticPr fontId="5"/>
  </si>
  <si>
    <t>[effect:degrade_unit, target:unit_all, turn:5, status:heal, val:0.44, animation:degrade_unit_all_heal],[effect:rush, count:1, val:1.0]</t>
    <phoneticPr fontId="5"/>
  </si>
  <si>
    <t>[effect:degrade_unit, target:unit_all, turn:4, status:attack, val:0.55],[effect:rush, count:1, val:1.0]</t>
    <phoneticPr fontId="5"/>
  </si>
  <si>
    <t>[effect:degrade_unit, target:unit_all, turn:4, status:heal, val:0.55, animation:degrade_unit_all_heal],[effect:rush, count:1, val:1.0]</t>
    <phoneticPr fontId="5"/>
  </si>
  <si>
    <t>[effect:degrade_unit, target:unit_all, turn:3, status:attack, val:0.66],[effect:rush, count:1, val:1.5]</t>
    <phoneticPr fontId="5"/>
  </si>
  <si>
    <t>[effect:degrade_unit, target:unit_all, turn:3, status:heal, val:0.66, animation:degrade_unit_all_heal],[effect:rush, count:1, val:1.5]</t>
    <phoneticPr fontId="5"/>
  </si>
  <si>
    <t>[effect:freq_turn, target:myself, turn:3, val:1, animation:enemy_freq_turn]</t>
    <phoneticPr fontId="5"/>
  </si>
  <si>
    <t>…自然発生のウィルスか</t>
    <rPh sb="1" eb="5">
      <t>シゼンハッセイ</t>
    </rPh>
    <phoneticPr fontId="5"/>
  </si>
  <si>
    <t>待たせて悪かった</t>
    <rPh sb="0" eb="1">
      <t>マ</t>
    </rPh>
    <rPh sb="4" eb="5">
      <t>ワル</t>
    </rPh>
    <phoneticPr fontId="5"/>
  </si>
  <si>
    <t>フフ…全部凍らせてあげる！</t>
    <rPh sb="3" eb="5">
      <t>ゼンブ</t>
    </rPh>
    <rPh sb="5" eb="6">
      <t>コオ</t>
    </rPh>
    <phoneticPr fontId="5"/>
  </si>
  <si>
    <t>雪花の舞・雹</t>
    <rPh sb="0" eb="2">
      <t>セッカ</t>
    </rPh>
    <rPh sb="3" eb="4">
      <t>マイ</t>
    </rPh>
    <rPh sb="5" eb="6">
      <t>ヒョウ</t>
    </rPh>
    <phoneticPr fontId="5"/>
  </si>
  <si>
    <t>泡雪の抱擁</t>
    <rPh sb="0" eb="1">
      <t>アワ</t>
    </rPh>
    <rPh sb="1" eb="2">
      <t>ユキ</t>
    </rPh>
    <rPh sb="3" eb="5">
      <t>ホウヨウ</t>
    </rPh>
    <phoneticPr fontId="5"/>
  </si>
  <si>
    <t>凍らせてあげる！</t>
    <rPh sb="0" eb="1">
      <t>コオ</t>
    </rPh>
    <phoneticPr fontId="5"/>
  </si>
  <si>
    <t>あァ？誰に言ってやがる！？</t>
    <rPh sb="3" eb="4">
      <t>ダレ</t>
    </rPh>
    <rPh sb="5" eb="6">
      <t>イ</t>
    </rPh>
    <phoneticPr fontId="5"/>
  </si>
  <si>
    <t>ヒャハハ！これでも喰らいな！</t>
    <rPh sb="9" eb="10">
      <t>ク</t>
    </rPh>
    <phoneticPr fontId="5"/>
  </si>
  <si>
    <t>次は何して遊ぶんだなー？</t>
    <rPh sb="0" eb="1">
      <t>ツギ</t>
    </rPh>
    <rPh sb="2" eb="3">
      <t>ナニ</t>
    </rPh>
    <rPh sb="5" eb="6">
      <t>アソ</t>
    </rPh>
    <phoneticPr fontId="5"/>
  </si>
  <si>
    <t>足踏み</t>
    <rPh sb="0" eb="2">
      <t>アシブ</t>
    </rPh>
    <phoneticPr fontId="5"/>
  </si>
  <si>
    <t>土盛り</t>
    <rPh sb="0" eb="2">
      <t>ツチモ</t>
    </rPh>
    <phoneticPr fontId="5"/>
  </si>
  <si>
    <t>フゥ…少し疲れたんだなー</t>
    <rPh sb="3" eb="4">
      <t>スコ</t>
    </rPh>
    <rPh sb="5" eb="6">
      <t>ツカ</t>
    </rPh>
    <phoneticPr fontId="5"/>
  </si>
  <si>
    <t>あ　いいこと考えた！</t>
    <rPh sb="6" eb="7">
      <t>カンガ</t>
    </rPh>
    <phoneticPr fontId="5"/>
  </si>
  <si>
    <t>投擲遊戯・風羽</t>
    <rPh sb="0" eb="2">
      <t>トウテキ</t>
    </rPh>
    <rPh sb="2" eb="4">
      <t>ユウギ</t>
    </rPh>
    <rPh sb="5" eb="6">
      <t>カゼ</t>
    </rPh>
    <rPh sb="6" eb="7">
      <t>ハネ</t>
    </rPh>
    <phoneticPr fontId="5"/>
  </si>
  <si>
    <t>舞踏遊戯・風車</t>
    <rPh sb="0" eb="2">
      <t>ブトウ</t>
    </rPh>
    <rPh sb="2" eb="4">
      <t>ユウギ</t>
    </rPh>
    <rPh sb="5" eb="6">
      <t>カゼ</t>
    </rPh>
    <rPh sb="6" eb="7">
      <t>グルマ</t>
    </rPh>
    <phoneticPr fontId="5"/>
  </si>
  <si>
    <t>まだまだ帰らせないよっ！</t>
    <rPh sb="4" eb="5">
      <t>カエ</t>
    </rPh>
    <phoneticPr fontId="5"/>
  </si>
  <si>
    <t>見つけたわよ　あんた達！</t>
    <rPh sb="0" eb="1">
      <t>ミ</t>
    </rPh>
    <rPh sb="10" eb="11">
      <t>タチ</t>
    </rPh>
    <phoneticPr fontId="5"/>
  </si>
  <si>
    <t>無双連撃</t>
    <rPh sb="0" eb="2">
      <t>ムソウ</t>
    </rPh>
    <rPh sb="2" eb="4">
      <t>レンゲキ</t>
    </rPh>
    <phoneticPr fontId="5"/>
  </si>
  <si>
    <t>闘気爆発</t>
    <rPh sb="0" eb="2">
      <t>トウキ</t>
    </rPh>
    <rPh sb="2" eb="4">
      <t>バクハツ</t>
    </rPh>
    <phoneticPr fontId="5"/>
  </si>
  <si>
    <t>これで仕留めてみせる…！</t>
    <rPh sb="3" eb="5">
      <t>シト</t>
    </rPh>
    <phoneticPr fontId="5"/>
  </si>
  <si>
    <t>黄泉送りの太刀</t>
    <rPh sb="0" eb="2">
      <t>ヨミ</t>
    </rPh>
    <rPh sb="2" eb="3">
      <t>オク</t>
    </rPh>
    <rPh sb="5" eb="7">
      <t>タチ</t>
    </rPh>
    <phoneticPr fontId="5"/>
  </si>
  <si>
    <t>目標を捕捉した</t>
    <rPh sb="0" eb="2">
      <t>モクヒョウ</t>
    </rPh>
    <rPh sb="3" eb="5">
      <t>ホソク</t>
    </rPh>
    <phoneticPr fontId="5"/>
  </si>
  <si>
    <t>天眼逆流・一式</t>
    <rPh sb="0" eb="2">
      <t>テンガンツウ</t>
    </rPh>
    <rPh sb="2" eb="4">
      <t>ギャクリュウ</t>
    </rPh>
    <rPh sb="5" eb="7">
      <t>イチシキ</t>
    </rPh>
    <phoneticPr fontId="5"/>
  </si>
  <si>
    <t>宿命劣化・一式</t>
    <rPh sb="0" eb="2">
      <t>シュクメイ</t>
    </rPh>
    <rPh sb="2" eb="4">
      <t>レッカ</t>
    </rPh>
    <rPh sb="5" eb="7">
      <t>イチシキ</t>
    </rPh>
    <phoneticPr fontId="5"/>
  </si>
  <si>
    <t>天眼逆流・二式</t>
    <rPh sb="0" eb="2">
      <t>テンガンツウ</t>
    </rPh>
    <rPh sb="2" eb="4">
      <t>ギャクリュウ</t>
    </rPh>
    <rPh sb="5" eb="6">
      <t>ニ</t>
    </rPh>
    <rPh sb="6" eb="7">
      <t>イチシキ</t>
    </rPh>
    <phoneticPr fontId="5"/>
  </si>
  <si>
    <t>宿命劣化・二式</t>
    <rPh sb="0" eb="2">
      <t>シュクメイ</t>
    </rPh>
    <rPh sb="2" eb="4">
      <t>レッカ</t>
    </rPh>
    <rPh sb="5" eb="6">
      <t>ニ</t>
    </rPh>
    <rPh sb="6" eb="7">
      <t>イチシキ</t>
    </rPh>
    <phoneticPr fontId="5"/>
  </si>
  <si>
    <t>天眼逆流・三式</t>
    <rPh sb="5" eb="6">
      <t>サン</t>
    </rPh>
    <rPh sb="6" eb="7">
      <t>シキ</t>
    </rPh>
    <phoneticPr fontId="5"/>
  </si>
  <si>
    <t>宿命劣化・三式</t>
    <rPh sb="5" eb="6">
      <t>サン</t>
    </rPh>
    <phoneticPr fontId="5"/>
  </si>
  <si>
    <t>データ受領…動作を最適化する</t>
    <rPh sb="3" eb="5">
      <t>ジュリョウ</t>
    </rPh>
    <rPh sb="6" eb="8">
      <t>ドウサ</t>
    </rPh>
    <rPh sb="9" eb="12">
      <t>サイテキカ</t>
    </rPh>
    <phoneticPr fontId="5"/>
  </si>
  <si>
    <t>…想像以上の強さだな</t>
    <rPh sb="1" eb="5">
      <t>ソウゾウイジョウ</t>
    </rPh>
    <rPh sb="6" eb="7">
      <t>ツヨ</t>
    </rPh>
    <phoneticPr fontId="5"/>
  </si>
  <si>
    <t>万物催眠『ナイトメア』</t>
    <rPh sb="0" eb="2">
      <t>バンブツ</t>
    </rPh>
    <rPh sb="2" eb="4">
      <t>サイミン</t>
    </rPh>
    <phoneticPr fontId="5"/>
  </si>
  <si>
    <t>ハハッなぶり殺しだ！</t>
    <rPh sb="6" eb="7">
      <t>ゴロ</t>
    </rPh>
    <phoneticPr fontId="5"/>
  </si>
  <si>
    <t>エラソーなヤツは嫌いでね！</t>
    <rPh sb="8" eb="9">
      <t>キラ</t>
    </rPh>
    <phoneticPr fontId="5"/>
  </si>
  <si>
    <t>なら次のカードを切るだけだ</t>
    <rPh sb="2" eb="3">
      <t>ツギ</t>
    </rPh>
    <rPh sb="8" eb="9">
      <t>キ</t>
    </rPh>
    <phoneticPr fontId="5"/>
  </si>
  <si>
    <t>さぁ　詰めていくぞ</t>
    <rPh sb="3" eb="4">
      <t>ツ</t>
    </rPh>
    <phoneticPr fontId="5"/>
  </si>
  <si>
    <t>次はこの一手だ</t>
    <rPh sb="0" eb="1">
      <t>ツギ</t>
    </rPh>
    <rPh sb="4" eb="6">
      <t>イッテ</t>
    </rPh>
    <phoneticPr fontId="5"/>
  </si>
  <si>
    <t>対処しきれるか？</t>
    <rPh sb="0" eb="2">
      <t>タイショ</t>
    </rPh>
    <phoneticPr fontId="5"/>
  </si>
  <si>
    <t>手も足も出ないって感じだな！</t>
    <rPh sb="0" eb="1">
      <t>テ</t>
    </rPh>
    <rPh sb="2" eb="3">
      <t>アシ</t>
    </rPh>
    <rPh sb="4" eb="5">
      <t>デ</t>
    </rPh>
    <rPh sb="9" eb="10">
      <t>カン</t>
    </rPh>
    <phoneticPr fontId="5"/>
  </si>
  <si>
    <t>そろそろ終わらせようか</t>
    <rPh sb="4" eb="5">
      <t>オ</t>
    </rPh>
    <phoneticPr fontId="5"/>
  </si>
  <si>
    <t>悪あがきは止めとけよ！</t>
    <rPh sb="0" eb="1">
      <t>ワル</t>
    </rPh>
    <rPh sb="5" eb="6">
      <t>ト</t>
    </rPh>
    <phoneticPr fontId="5"/>
  </si>
  <si>
    <t>いつまで保つかな！？</t>
    <rPh sb="4" eb="5">
      <t>モ</t>
    </rPh>
    <phoneticPr fontId="5"/>
  </si>
  <si>
    <t>ここで変化の一手だ！</t>
    <rPh sb="3" eb="5">
      <t>ヘンカ</t>
    </rPh>
    <rPh sb="6" eb="8">
      <t>イッテ</t>
    </rPh>
    <phoneticPr fontId="5"/>
  </si>
  <si>
    <t>勝ちの目は全て潰す…！</t>
    <rPh sb="0" eb="1">
      <t>カ</t>
    </rPh>
    <rPh sb="3" eb="4">
      <t>メ</t>
    </rPh>
    <rPh sb="5" eb="6">
      <t>スベ</t>
    </rPh>
    <rPh sb="7" eb="8">
      <t>ツブ</t>
    </rPh>
    <phoneticPr fontId="5"/>
  </si>
  <si>
    <t>その力…やはりクルミか！</t>
    <rPh sb="2" eb="3">
      <t>チカラ</t>
    </rPh>
    <phoneticPr fontId="5"/>
  </si>
  <si>
    <t>ハッピー！！</t>
    <phoneticPr fontId="5"/>
  </si>
  <si>
    <t>ハッピー…</t>
    <phoneticPr fontId="5"/>
  </si>
  <si>
    <t>追い打ちだァ！！</t>
    <phoneticPr fontId="5"/>
  </si>
  <si>
    <t>お前を喰ってやるぜ！</t>
    <phoneticPr fontId="5"/>
  </si>
  <si>
    <t>………</t>
    <phoneticPr fontId="5"/>
  </si>
  <si>
    <t>ハッピーがショウキを止めようとしている！</t>
    <rPh sb="10" eb="11">
      <t>ト</t>
    </rPh>
    <phoneticPr fontId="5"/>
  </si>
  <si>
    <t>この俺を倒せるとでも思ったのか？</t>
    <rPh sb="2" eb="3">
      <t>オレ</t>
    </rPh>
    <rPh sb="4" eb="5">
      <t>タオ</t>
    </rPh>
    <rPh sb="10" eb="11">
      <t>オモ</t>
    </rPh>
    <phoneticPr fontId="5"/>
  </si>
  <si>
    <t>ハッピーはアナタに力を託して消え去った</t>
    <rPh sb="9" eb="10">
      <t>チカラ</t>
    </rPh>
    <rPh sb="11" eb="12">
      <t>タク</t>
    </rPh>
    <rPh sb="14" eb="15">
      <t>キ</t>
    </rPh>
    <rPh sb="16" eb="17">
      <t>サ</t>
    </rPh>
    <phoneticPr fontId="5"/>
  </si>
  <si>
    <t>俺の百鬼夜行で歓迎してやろう！</t>
    <rPh sb="0" eb="1">
      <t>オレ</t>
    </rPh>
    <rPh sb="2" eb="6">
      <t>ヒャッキヤコウ</t>
    </rPh>
    <rPh sb="7" eb="9">
      <t>カンゲイ</t>
    </rPh>
    <phoneticPr fontId="5"/>
  </si>
  <si>
    <t>邪魔だけはしないでね　蜘蛛さん♪</t>
    <rPh sb="0" eb="2">
      <t>ジャマ</t>
    </rPh>
    <rPh sb="11" eb="13">
      <t>クモ</t>
    </rPh>
    <phoneticPr fontId="5"/>
  </si>
  <si>
    <t>クリティカル！</t>
    <phoneticPr fontId="5"/>
  </si>
  <si>
    <t>3ターン攻撃力50%DOWN</t>
    <rPh sb="4" eb="7">
      <t>コウゲキリョク</t>
    </rPh>
    <phoneticPr fontId="5"/>
  </si>
  <si>
    <t>テメェこそ足引っ張ンじゃねェぞ！</t>
    <rPh sb="5" eb="6">
      <t>アシ</t>
    </rPh>
    <rPh sb="6" eb="7">
      <t>ヒ</t>
    </rPh>
    <rPh sb="8" eb="9">
      <t>パ</t>
    </rPh>
    <phoneticPr fontId="5"/>
  </si>
  <si>
    <t>ウィルス状態のユニットに大ダメージ</t>
    <rPh sb="4" eb="6">
      <t>ジョウタイ</t>
    </rPh>
    <rPh sb="12" eb="13">
      <t>ダイ</t>
    </rPh>
    <phoneticPr fontId="5"/>
  </si>
  <si>
    <t>全体攻撃＋HP回復</t>
    <rPh sb="0" eb="4">
      <t>ゼンタイコウゲキ</t>
    </rPh>
    <rPh sb="7" eb="9">
      <t>カイフク</t>
    </rPh>
    <phoneticPr fontId="5"/>
  </si>
  <si>
    <t>ダイダラとテマリが相談している</t>
    <rPh sb="9" eb="11">
      <t>ソウダン</t>
    </rPh>
    <phoneticPr fontId="5"/>
  </si>
  <si>
    <t>2ターン防御力UP</t>
    <rPh sb="4" eb="7">
      <t>ボウギョリョク</t>
    </rPh>
    <phoneticPr fontId="5"/>
  </si>
  <si>
    <t>3ターン全属性カウンター</t>
    <rPh sb="4" eb="5">
      <t>ゼンゾクセイ</t>
    </rPh>
    <rPh sb="5" eb="7">
      <t>ゾクセイ</t>
    </rPh>
    <phoneticPr fontId="5"/>
  </si>
  <si>
    <t>そこにいる人をやっつけて遊ぼうよ！</t>
    <rPh sb="5" eb="6">
      <t>ヒト</t>
    </rPh>
    <rPh sb="12" eb="13">
      <t>アソ</t>
    </rPh>
    <phoneticPr fontId="5"/>
  </si>
  <si>
    <t>5回連続攻撃</t>
    <rPh sb="1" eb="2">
      <t>カイ</t>
    </rPh>
    <rPh sb="2" eb="6">
      <t>レンゾクコウゲキ</t>
    </rPh>
    <phoneticPr fontId="5"/>
  </si>
  <si>
    <t>ヨミとフウガが立ちはだかる！</t>
    <rPh sb="7" eb="8">
      <t>タ</t>
    </rPh>
    <phoneticPr fontId="5"/>
  </si>
  <si>
    <t>4回連続攻撃</t>
    <rPh sb="1" eb="2">
      <t>カイ</t>
    </rPh>
    <rPh sb="2" eb="4">
      <t>レンゾク</t>
    </rPh>
    <rPh sb="4" eb="6">
      <t>コウゲキ</t>
    </rPh>
    <phoneticPr fontId="5"/>
  </si>
  <si>
    <t>3ターン攻撃力UP</t>
    <rPh sb="4" eb="7">
      <t>コウゲキリョク</t>
    </rPh>
    <phoneticPr fontId="5"/>
  </si>
  <si>
    <t>これより掃討を開始する――</t>
    <rPh sb="4" eb="6">
      <t>ソウトウセン</t>
    </rPh>
    <rPh sb="7" eb="9">
      <t>カイシ</t>
    </rPh>
    <phoneticPr fontId="5"/>
  </si>
  <si>
    <t>5ターン攻撃力44%DOWN＋攻撃</t>
    <rPh sb="4" eb="7">
      <t>コウゲキリョク</t>
    </rPh>
    <rPh sb="15" eb="17">
      <t>コウゲキ</t>
    </rPh>
    <phoneticPr fontId="5"/>
  </si>
  <si>
    <t>5ターン回復力44%DOWN＋攻撃</t>
    <rPh sb="4" eb="6">
      <t>カイフク</t>
    </rPh>
    <rPh sb="6" eb="7">
      <t>コウゲキリョク</t>
    </rPh>
    <rPh sb="15" eb="17">
      <t>コウゲキ</t>
    </rPh>
    <phoneticPr fontId="5"/>
  </si>
  <si>
    <t>4ターン攻撃力55%DOWN＋攻撃</t>
    <rPh sb="4" eb="7">
      <t>コウゲキリョク</t>
    </rPh>
    <rPh sb="15" eb="17">
      <t>コウゲキ</t>
    </rPh>
    <phoneticPr fontId="5"/>
  </si>
  <si>
    <t>4ターン回復力55%DOWN＋攻撃</t>
    <rPh sb="4" eb="6">
      <t>カイフク</t>
    </rPh>
    <rPh sb="6" eb="7">
      <t>コウゲキリョク</t>
    </rPh>
    <rPh sb="15" eb="17">
      <t>コウゲキ</t>
    </rPh>
    <phoneticPr fontId="5"/>
  </si>
  <si>
    <t>3ターン攻撃力66%DOWN＋攻撃</t>
    <rPh sb="4" eb="7">
      <t>コウゲキリョク</t>
    </rPh>
    <rPh sb="15" eb="17">
      <t>コウゲキ</t>
    </rPh>
    <phoneticPr fontId="5"/>
  </si>
  <si>
    <t>3ターン回復力66%DOWN＋攻撃</t>
    <rPh sb="4" eb="6">
      <t>カイフク</t>
    </rPh>
    <rPh sb="6" eb="7">
      <t>コウゲキリョク</t>
    </rPh>
    <rPh sb="15" eb="17">
      <t>コウゲキ</t>
    </rPh>
    <phoneticPr fontId="5"/>
  </si>
  <si>
    <t>出し惜しみはナシでいくぜ？
【！】次のターン永続スリープ発動【！】</t>
    <rPh sb="0" eb="1">
      <t>ダ</t>
    </rPh>
    <rPh sb="2" eb="3">
      <t>オ</t>
    </rPh>
    <rPh sb="17" eb="18">
      <t>ツギ</t>
    </rPh>
    <rPh sb="22" eb="24">
      <t>エイゾク</t>
    </rPh>
    <rPh sb="28" eb="30">
      <t>ハツドウ</t>
    </rPh>
    <phoneticPr fontId="5"/>
  </si>
  <si>
    <t>こいつで一生お寝んねしてな！</t>
    <rPh sb="4" eb="6">
      <t>イッショウ</t>
    </rPh>
    <rPh sb="7" eb="8">
      <t>ネ</t>
    </rPh>
    <phoneticPr fontId="5"/>
  </si>
  <si>
    <t>3回連続攻撃</t>
    <rPh sb="1" eb="2">
      <t>カイ</t>
    </rPh>
    <rPh sb="2" eb="4">
      <t>レンゾク</t>
    </rPh>
    <rPh sb="4" eb="6">
      <t>コウゲキ</t>
    </rPh>
    <phoneticPr fontId="5"/>
  </si>
  <si>
    <t>種族ゴッドのユニットに大ダメージ</t>
    <phoneticPr fontId="5"/>
  </si>
  <si>
    <t>青パネルプロテクト＋攻撃</t>
    <rPh sb="0" eb="1">
      <t>アオ</t>
    </rPh>
    <rPh sb="10" eb="12">
      <t>コウゲキ</t>
    </rPh>
    <phoneticPr fontId="5"/>
  </si>
  <si>
    <t>緑パネルプロテクト＋攻撃</t>
    <rPh sb="0" eb="1">
      <t>ミドリ</t>
    </rPh>
    <rPh sb="10" eb="12">
      <t>コウゲキ</t>
    </rPh>
    <phoneticPr fontId="5"/>
  </si>
  <si>
    <t>黄パネルプロテクト＋攻撃</t>
    <rPh sb="0" eb="1">
      <t>キイロ</t>
    </rPh>
    <rPh sb="10" eb="12">
      <t>コウゲキ</t>
    </rPh>
    <phoneticPr fontId="5"/>
  </si>
  <si>
    <t>3ターン全属性カウンター&amp;攻撃頻度UP</t>
    <rPh sb="4" eb="5">
      <t>スベ</t>
    </rPh>
    <rPh sb="5" eb="7">
      <t>ゾクセイ</t>
    </rPh>
    <phoneticPr fontId="5"/>
  </si>
  <si>
    <t>Cパネル変換禁止
＋3ターンCパネル生成延長（特大）</t>
    <rPh sb="4" eb="6">
      <t>ヘンカン</t>
    </rPh>
    <rPh sb="6" eb="8">
      <t>キンシ</t>
    </rPh>
    <rPh sb="18" eb="20">
      <t>セイセイ</t>
    </rPh>
    <rPh sb="20" eb="22">
      <t>エンチョウ</t>
    </rPh>
    <rPh sb="23" eb="25">
      <t>トクダイ</t>
    </rPh>
    <phoneticPr fontId="5"/>
  </si>
  <si>
    <t>………いや、まさかな…</t>
    <phoneticPr fontId="5"/>
  </si>
  <si>
    <t>今度こそ確実に処分する…！
【！】次のターン永続スリープ発動【！】</t>
    <rPh sb="0" eb="2">
      <t>コンド</t>
    </rPh>
    <rPh sb="4" eb="6">
      <t>カクジツ</t>
    </rPh>
    <rPh sb="7" eb="9">
      <t>ショブン</t>
    </rPh>
    <phoneticPr fontId="5"/>
  </si>
  <si>
    <t>クリティカル！</t>
    <phoneticPr fontId="5"/>
  </si>
  <si>
    <t>null</t>
    <phoneticPr fontId="5"/>
  </si>
  <si>
    <t>null</t>
    <phoneticPr fontId="5"/>
  </si>
  <si>
    <t>ja</t>
    <phoneticPr fontId="5"/>
  </si>
  <si>
    <t>ユキのクリティカル攻撃と
ユウヤのウィルスキラーは強烈です
片方を集中攻撃して倒すと楽になります</t>
    <rPh sb="9" eb="11">
      <t>コウゲキ</t>
    </rPh>
    <rPh sb="25" eb="27">
      <t>キョウレツ</t>
    </rPh>
    <rPh sb="31" eb="33">
      <t>カタホウ</t>
    </rPh>
    <rPh sb="34" eb="38">
      <t>シュウチュウコウゲキ</t>
    </rPh>
    <rPh sb="40" eb="41">
      <t>タオ</t>
    </rPh>
    <rPh sb="43" eb="44">
      <t>ラク</t>
    </rPh>
    <phoneticPr fontId="5"/>
  </si>
  <si>
    <t>NULL</t>
    <phoneticPr fontId="5"/>
  </si>
  <si>
    <t>テマリは攻撃的な行動が多く
ダイダラは守備的な行動が多いです
先に攻撃役のテマリを封じて
じっくり態勢を整えるのがオススメです</t>
    <rPh sb="4" eb="7">
      <t>コウゲキテキ</t>
    </rPh>
    <rPh sb="8" eb="10">
      <t>コウドウ</t>
    </rPh>
    <rPh sb="11" eb="12">
      <t>オオ</t>
    </rPh>
    <rPh sb="19" eb="22">
      <t>シュビテキ</t>
    </rPh>
    <rPh sb="23" eb="25">
      <t>コウドウ</t>
    </rPh>
    <rPh sb="26" eb="27">
      <t>オオ</t>
    </rPh>
    <rPh sb="32" eb="33">
      <t>サキ</t>
    </rPh>
    <rPh sb="34" eb="37">
      <t>コウゲキヤク</t>
    </rPh>
    <rPh sb="42" eb="43">
      <t>フウ</t>
    </rPh>
    <rPh sb="50" eb="52">
      <t>タイセイ</t>
    </rPh>
    <rPh sb="53" eb="54">
      <t>トトノ</t>
    </rPh>
    <phoneticPr fontId="5"/>
  </si>
  <si>
    <t>ダイダラはテマリが倒されると
一度だけ全属性カウンターを発動します
すぐに手を出さないように注意しましょう</t>
    <rPh sb="9" eb="10">
      <t>タオ</t>
    </rPh>
    <rPh sb="15" eb="17">
      <t>イチド</t>
    </rPh>
    <rPh sb="19" eb="22">
      <t>ゼンゾクセイ</t>
    </rPh>
    <rPh sb="28" eb="30">
      <t>ハツドウ</t>
    </rPh>
    <rPh sb="38" eb="39">
      <t>テ</t>
    </rPh>
    <rPh sb="40" eb="41">
      <t>ダ</t>
    </rPh>
    <rPh sb="47" eb="49">
      <t>チュウイ</t>
    </rPh>
    <phoneticPr fontId="5"/>
  </si>
  <si>
    <t>ヨミは攻撃的な行動が多く
フウガは妨害的な行動が多いです
先に倒すべき敵を見極めましょう</t>
    <rPh sb="3" eb="6">
      <t>コウゲキテキ</t>
    </rPh>
    <rPh sb="7" eb="9">
      <t>コウドウ</t>
    </rPh>
    <rPh sb="10" eb="11">
      <t>オオ</t>
    </rPh>
    <rPh sb="17" eb="20">
      <t>ボウガイテキ</t>
    </rPh>
    <rPh sb="21" eb="23">
      <t>コウドウ</t>
    </rPh>
    <rPh sb="24" eb="25">
      <t>オオ</t>
    </rPh>
    <rPh sb="30" eb="31">
      <t>サキ</t>
    </rPh>
    <rPh sb="32" eb="33">
      <t>タオ</t>
    </rPh>
    <rPh sb="36" eb="37">
      <t>テキ</t>
    </rPh>
    <rPh sb="38" eb="40">
      <t>ミキワ</t>
    </rPh>
    <phoneticPr fontId="5"/>
  </si>
  <si>
    <t>ヨミが自身の攻撃力をアップしたら
回復を徹底して大ダメージに備えましょう</t>
    <rPh sb="3" eb="5">
      <t>ジシン</t>
    </rPh>
    <rPh sb="6" eb="9">
      <t>コウゲキリョク</t>
    </rPh>
    <rPh sb="17" eb="19">
      <t>カイフク</t>
    </rPh>
    <rPh sb="20" eb="22">
      <t>テッテイ</t>
    </rPh>
    <rPh sb="24" eb="25">
      <t>ダイ</t>
    </rPh>
    <rPh sb="30" eb="31">
      <t>ソナ</t>
    </rPh>
    <phoneticPr fontId="5"/>
  </si>
  <si>
    <t>フウガが使用する妨害スキルは
HPが減るたび性能が強化されていきます</t>
    <rPh sb="4" eb="6">
      <t>シヨウ</t>
    </rPh>
    <rPh sb="8" eb="10">
      <t>ボウガイ</t>
    </rPh>
    <rPh sb="18" eb="19">
      <t>ヘ</t>
    </rPh>
    <rPh sb="22" eb="24">
      <t>セイノウ</t>
    </rPh>
    <rPh sb="25" eb="27">
      <t>キョウカ</t>
    </rPh>
    <phoneticPr fontId="5"/>
  </si>
  <si>
    <t>ショウキの万物催眠『ナイトメア』は
全体に永続スリープの超極悪スキルです
ハッピーに託された力がアナタを導くでしょう</t>
    <rPh sb="5" eb="7">
      <t>バンブツ</t>
    </rPh>
    <rPh sb="7" eb="9">
      <t>サイミン</t>
    </rPh>
    <rPh sb="18" eb="20">
      <t>ゼンタイ</t>
    </rPh>
    <rPh sb="21" eb="23">
      <t>エイゾク</t>
    </rPh>
    <rPh sb="28" eb="29">
      <t>チョウ</t>
    </rPh>
    <rPh sb="29" eb="31">
      <t>ゴクアク</t>
    </rPh>
    <rPh sb="43" eb="44">
      <t>タク</t>
    </rPh>
    <rPh sb="47" eb="48">
      <t>チカラ</t>
    </rPh>
    <rPh sb="53" eb="54">
      <t>ミチビ</t>
    </rPh>
    <phoneticPr fontId="5"/>
  </si>
  <si>
    <t>ショウキの時限式パネルを解除するには
赤属性の起点をうまく作る必要があります
フィーバーやスキルでの対処も有効です</t>
    <rPh sb="5" eb="8">
      <t>ジゲンシキ</t>
    </rPh>
    <rPh sb="12" eb="14">
      <t>カイジョ</t>
    </rPh>
    <rPh sb="19" eb="22">
      <t>アカゾクセイ</t>
    </rPh>
    <rPh sb="23" eb="25">
      <t>キテン</t>
    </rPh>
    <rPh sb="29" eb="30">
      <t>ツク</t>
    </rPh>
    <rPh sb="31" eb="33">
      <t>ヒツヨウ</t>
    </rPh>
    <rPh sb="51" eb="53">
      <t>タイショ</t>
    </rPh>
    <rPh sb="54" eb="56">
      <t>ユウコウ</t>
    </rPh>
    <phoneticPr fontId="5"/>
  </si>
  <si>
    <t>ショウキは特定のタイミングで
Cパネル変換系のスキルを封じてきます
盤面の連鎖を使ってCパネルを作りましょう</t>
    <rPh sb="5" eb="7">
      <t>トクテイ</t>
    </rPh>
    <rPh sb="19" eb="21">
      <t>ヘンカン</t>
    </rPh>
    <rPh sb="21" eb="22">
      <t>ケイ</t>
    </rPh>
    <rPh sb="27" eb="28">
      <t>フウ</t>
    </rPh>
    <rPh sb="35" eb="37">
      <t>バンメン</t>
    </rPh>
    <rPh sb="38" eb="40">
      <t>レンサ</t>
    </rPh>
    <rPh sb="41" eb="42">
      <t>ツカ</t>
    </rPh>
    <rPh sb="49" eb="50">
      <t>ツク</t>
    </rPh>
    <phoneticPr fontId="5"/>
  </si>
  <si>
    <t>ショウキは特定のタイミングで
カウンターと攻撃頻度UPを同時発動します
何らかの対策が必要になります</t>
    <rPh sb="5" eb="7">
      <t>トクテイ</t>
    </rPh>
    <rPh sb="21" eb="25">
      <t>コウゲキヒンド</t>
    </rPh>
    <rPh sb="28" eb="32">
      <t>ドウジハツドウ</t>
    </rPh>
    <rPh sb="37" eb="38">
      <t>ナン</t>
    </rPh>
    <rPh sb="41" eb="43">
      <t>タイサク</t>
    </rPh>
    <rPh sb="44" eb="46">
      <t>ヒツヨウ</t>
    </rPh>
    <phoneticPr fontId="5"/>
  </si>
  <si>
    <t>ショウキのプロテクトを受けたパネルは
1タップでは破壊できなくなってしまいます
パネル吸収や破壊のスキルが有効です</t>
    <rPh sb="11" eb="12">
      <t>ウ</t>
    </rPh>
    <rPh sb="25" eb="27">
      <t>ハカイ</t>
    </rPh>
    <rPh sb="44" eb="46">
      <t>キュウシュウ</t>
    </rPh>
    <rPh sb="47" eb="49">
      <t>ハカイ</t>
    </rPh>
    <rPh sb="54" eb="56">
      <t>ユウコウ</t>
    </rPh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</si>
  <si>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</si>
  <si>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</si>
  <si>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</si>
  <si>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</si>
  <si>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NG</t>
  </si>
  <si>
    <t>old</t>
    <phoneticPr fontId="5"/>
  </si>
  <si>
    <t>[effect:tolerance, target:unit_all, turn:30, tolerance_effect:sleep, count:-1, animation:prevent_abnormal_Unit04],[effect:suicide, val:1.0, dead_type:escape, target:myself]</t>
    <phoneticPr fontId="5"/>
  </si>
  <si>
    <t>3ターンスキルバインド</t>
    <phoneticPr fontId="5"/>
  </si>
  <si>
    <t>5ターンウィルス</t>
    <phoneticPr fontId="5"/>
  </si>
  <si>
    <t>3ターン攻撃頻度UP</t>
    <rPh sb="4" eb="8">
      <t>コウゲキヒンド</t>
    </rPh>
    <phoneticPr fontId="5"/>
  </si>
  <si>
    <t>link</t>
  </si>
  <si>
    <t>unit</t>
  </si>
  <si>
    <t>null</t>
  </si>
  <si>
    <t>old</t>
    <phoneticPr fontId="5"/>
  </si>
  <si>
    <t>ランダムで12個パネルプロテクト＋攻撃</t>
    <rPh sb="7" eb="8">
      <t>コ</t>
    </rPh>
    <rPh sb="17" eb="19">
      <t>コウゲキ</t>
    </rPh>
    <phoneticPr fontId="5"/>
  </si>
  <si>
    <t>超高確率で時限式赤パネルをドロップ</t>
    <rPh sb="0" eb="1">
      <t>チョウ</t>
    </rPh>
    <rPh sb="8" eb="9">
      <t>アカ</t>
    </rPh>
    <phoneticPr fontId="5"/>
  </si>
  <si>
    <t>【！】次のターン強力な緑パネル吸収攻撃【！】</t>
    <rPh sb="3" eb="4">
      <t>ツギ</t>
    </rPh>
    <rPh sb="8" eb="10">
      <t>キョウリョク</t>
    </rPh>
    <rPh sb="11" eb="12">
      <t>ミドリ</t>
    </rPh>
    <rPh sb="15" eb="17">
      <t>キュウシュウ</t>
    </rPh>
    <rPh sb="17" eb="19">
      <t>コウゲキ</t>
    </rPh>
    <phoneticPr fontId="5"/>
  </si>
  <si>
    <t>強力な緑パネル吸収攻撃</t>
    <rPh sb="0" eb="2">
      <t>キョウリョク</t>
    </rPh>
    <rPh sb="3" eb="4">
      <t>ミドリ</t>
    </rPh>
    <rPh sb="7" eb="9">
      <t>キュウシュウ</t>
    </rPh>
    <rPh sb="9" eb="11">
      <t>コウゲキ</t>
    </rPh>
    <phoneticPr fontId="5"/>
  </si>
  <si>
    <t>3ターン黄パネル無効</t>
    <rPh sb="4" eb="5">
      <t>キイロ</t>
    </rPh>
    <rPh sb="8" eb="10">
      <t>ムコウ</t>
    </rPh>
    <phoneticPr fontId="5"/>
  </si>
  <si>
    <t>お邪魔パネルを4個生成＋攻撃</t>
    <rPh sb="1" eb="3">
      <t>ジャマ</t>
    </rPh>
    <rPh sb="8" eb="9">
      <t>コ</t>
    </rPh>
    <rPh sb="9" eb="11">
      <t>セイセイ</t>
    </rPh>
    <rPh sb="12" eb="14">
      <t>コウゲキ</t>
    </rPh>
    <phoneticPr fontId="5"/>
  </si>
  <si>
    <t>ハートパネルを10個パネルプロテクト＋攻撃</t>
    <rPh sb="9" eb="10">
      <t>コ</t>
    </rPh>
    <rPh sb="19" eb="21">
      <t>コウゲキ</t>
    </rPh>
    <phoneticPr fontId="5"/>
  </si>
  <si>
    <t>時限式ダメージパネルプロテクト＋攻撃</t>
    <rPh sb="0" eb="3">
      <t>ジゲンシキ</t>
    </rPh>
    <rPh sb="16" eb="18">
      <t>コウゲキ</t>
    </rPh>
    <phoneticPr fontId="5"/>
  </si>
  <si>
    <t>[effect:tolerance, target:myself, turn:-1, tolerance_effect:hungup, count:-1, animation:enemy_tolerance],[effect:tolerance, target:myself, turn:-1, tolerance_effect:sleep, count:-1, animation:enemy_tolerance],[effect:drop_block, block_type:time_bomb, color:block_red, val:33, rate:0.9, turn:-1, min_time_count:3, max_time_count:3, animation:time_bomb_influence04]</t>
    <phoneticPr fontId="5"/>
  </si>
  <si>
    <t>[effect:force_change_block, new_block:jammer, target:block_all, ignore01:block_positive, ignore02:block_negative, count:4, val:0],[effect:rush, count:1, val:0.5]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</si>
</sst>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2CC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32" borderId="3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52" fillId="34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horizontal="left" vertical="center" wrapText="1"/>
    </xf>
    <xf numFmtId="0" fontId="11" fillId="38" borderId="7" xfId="0" applyFont="1" applyFill="1" applyBorder="1" applyAlignment="1">
      <alignment horizontal="left" vertical="center" wrapText="1"/>
    </xf>
    <xf numFmtId="0" fontId="11" fillId="38" borderId="12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0" fillId="0" borderId="0" xfId="0" applyBorder="1"/>
    <xf numFmtId="0" fontId="24" fillId="0" borderId="7" xfId="615" applyFont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  <row r="1610">
          <cell r="A1610">
            <v>10009</v>
          </cell>
        </row>
        <row r="1611">
          <cell r="A1611">
            <v>10010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opLeftCell="G1" workbookViewId="0">
      <selection activeCell="A9" sqref="A9: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98</v>
      </c>
      <c r="C1" s="53" t="s">
        <v>99</v>
      </c>
      <c r="D1" s="53" t="s">
        <v>100</v>
      </c>
      <c r="E1" s="53" t="s">
        <v>101</v>
      </c>
      <c r="F1" s="53" t="s">
        <v>102</v>
      </c>
      <c r="G1" s="53" t="s">
        <v>103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402</v>
      </c>
      <c r="B2" s="55" t="s">
        <v>104</v>
      </c>
      <c r="C2" s="60">
        <v>41012</v>
      </c>
      <c r="D2" s="55" t="s">
        <v>105</v>
      </c>
      <c r="E2" s="54" t="str">
        <f>B2&amp;C2&amp;D2</f>
        <v>floors_41012.tmp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402</v>
      </c>
      <c r="B3" s="55" t="s">
        <v>107</v>
      </c>
      <c r="C3" s="60">
        <v>41012</v>
      </c>
      <c r="D3" s="55" t="s">
        <v>105</v>
      </c>
      <c r="E3" s="54" t="str">
        <f>B3&amp;C3&amp;D3</f>
        <v>enemy_habitats_41012.tmp</v>
      </c>
      <c r="F3" s="55" t="s">
        <v>108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177</v>
      </c>
    </row>
    <row r="4" spans="1:30" x14ac:dyDescent="0.15">
      <c r="A4" s="59" t="s">
        <v>402</v>
      </c>
      <c r="B4" s="55" t="s">
        <v>109</v>
      </c>
      <c r="C4" s="60">
        <v>41012</v>
      </c>
      <c r="D4" s="55" t="s">
        <v>105</v>
      </c>
      <c r="E4" s="54" t="str">
        <f>B4&amp;C4&amp;D4</f>
        <v>enemy_habitat_S_41012.tmp</v>
      </c>
      <c r="F4" s="55" t="s">
        <v>110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402</v>
      </c>
      <c r="B5" s="55" t="s">
        <v>111</v>
      </c>
      <c r="C5" s="60">
        <v>41012</v>
      </c>
      <c r="D5" s="55" t="s">
        <v>105</v>
      </c>
      <c r="E5" s="54" t="str">
        <f>B5&amp;C5&amp;D5</f>
        <v>enemy_skill_sets_41012.tmp</v>
      </c>
      <c r="F5" s="55" t="s">
        <v>112</v>
      </c>
      <c r="G5" s="57" t="s">
        <v>22</v>
      </c>
      <c r="H5" s="57" t="s">
        <v>97</v>
      </c>
      <c r="I5" s="57" t="s">
        <v>92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402</v>
      </c>
      <c r="B6" s="55" t="s">
        <v>113</v>
      </c>
      <c r="C6" s="60">
        <v>41012</v>
      </c>
      <c r="D6" s="55" t="s">
        <v>114</v>
      </c>
      <c r="E6" s="54" t="str">
        <f t="shared" ref="E6:E10" si="0">B6&amp;C6&amp;D6</f>
        <v>enemy_skills_tmp_41012.tmp</v>
      </c>
      <c r="F6" s="55" t="s">
        <v>88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402</v>
      </c>
      <c r="B7" s="55" t="s">
        <v>115</v>
      </c>
      <c r="C7" s="60">
        <v>41012</v>
      </c>
      <c r="D7" s="55" t="s">
        <v>105</v>
      </c>
      <c r="E7" s="54" t="str">
        <f>B7&amp;C7&amp;D7</f>
        <v>enemy_skills_i18n_41012.tmp</v>
      </c>
      <c r="F7" s="55" t="s">
        <v>116</v>
      </c>
      <c r="G7" s="56" t="s">
        <v>78</v>
      </c>
      <c r="H7" s="56" t="s">
        <v>89</v>
      </c>
      <c r="I7" s="56" t="s">
        <v>90</v>
      </c>
      <c r="J7" s="56" t="s">
        <v>91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402</v>
      </c>
      <c r="B8" s="55" t="s">
        <v>117</v>
      </c>
      <c r="C8" s="60">
        <v>41012</v>
      </c>
      <c r="D8" s="55" t="s">
        <v>118</v>
      </c>
      <c r="E8" s="54" t="str">
        <f t="shared" si="0"/>
        <v>enemy_skill_triggers_41012.tmp</v>
      </c>
      <c r="F8" s="55" t="s">
        <v>119</v>
      </c>
      <c r="G8" s="56" t="s">
        <v>92</v>
      </c>
      <c r="H8" s="56" t="s">
        <v>93</v>
      </c>
      <c r="I8" s="56" t="s">
        <v>94</v>
      </c>
      <c r="J8" s="56" t="s">
        <v>95</v>
      </c>
      <c r="K8" s="56" t="s">
        <v>120</v>
      </c>
      <c r="L8" s="56" t="s">
        <v>96</v>
      </c>
      <c r="M8" s="56" t="s">
        <v>121</v>
      </c>
      <c r="N8" s="56" t="s">
        <v>122</v>
      </c>
      <c r="O8" s="56" t="s">
        <v>123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410</v>
      </c>
      <c r="B9" s="65" t="s">
        <v>176</v>
      </c>
      <c r="C9" s="60">
        <v>41012</v>
      </c>
      <c r="D9" s="65" t="s">
        <v>170</v>
      </c>
      <c r="E9" s="66" t="str">
        <f t="shared" si="0"/>
        <v>stage_bug_bonuses_41012.tmp</v>
      </c>
      <c r="F9" s="65" t="s">
        <v>171</v>
      </c>
      <c r="G9" s="62" t="s">
        <v>148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410</v>
      </c>
      <c r="B10" s="65" t="s">
        <v>199</v>
      </c>
      <c r="C10" s="60">
        <v>41012</v>
      </c>
      <c r="D10" s="65" t="s">
        <v>179</v>
      </c>
      <c r="E10" s="66" t="str">
        <f t="shared" si="0"/>
        <v>stage_hints_data_c_41012.tmp</v>
      </c>
      <c r="F10" s="65" t="s">
        <v>207</v>
      </c>
      <c r="G10" s="70" t="s">
        <v>180</v>
      </c>
      <c r="H10" s="70" t="s">
        <v>172</v>
      </c>
      <c r="I10" s="71" t="s">
        <v>181</v>
      </c>
      <c r="J10" s="64" t="s">
        <v>182</v>
      </c>
      <c r="K10" s="64" t="s">
        <v>183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2" customFormat="1" x14ac:dyDescent="0.15">
      <c r="A11" s="59" t="s">
        <v>410</v>
      </c>
      <c r="B11" s="65" t="s">
        <v>200</v>
      </c>
      <c r="C11" s="60">
        <v>41012</v>
      </c>
      <c r="D11" s="65" t="s">
        <v>170</v>
      </c>
      <c r="E11" s="66" t="str">
        <f t="shared" ref="E11:E13" si="1">B11&amp;C11&amp;D11</f>
        <v>stage_hints_data_f_41012.tmp</v>
      </c>
      <c r="F11" s="65" t="s">
        <v>209</v>
      </c>
      <c r="G11" s="70" t="s">
        <v>180</v>
      </c>
      <c r="H11" s="70" t="s">
        <v>172</v>
      </c>
      <c r="I11" s="71" t="s">
        <v>181</v>
      </c>
      <c r="J11" s="64" t="s">
        <v>182</v>
      </c>
      <c r="K11" s="64" t="s">
        <v>183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2" customFormat="1" x14ac:dyDescent="0.15">
      <c r="A12" s="125" t="s">
        <v>410</v>
      </c>
      <c r="B12" s="65" t="s">
        <v>201</v>
      </c>
      <c r="C12" s="60">
        <v>41012</v>
      </c>
      <c r="D12" s="65" t="s">
        <v>170</v>
      </c>
      <c r="E12" s="66" t="str">
        <f t="shared" si="1"/>
        <v>stage_hints_i18n_41012.tmp</v>
      </c>
      <c r="F12" s="65" t="s">
        <v>210</v>
      </c>
      <c r="G12" s="71" t="s">
        <v>202</v>
      </c>
      <c r="H12" s="92" t="s">
        <v>203</v>
      </c>
      <c r="I12" s="70" t="s">
        <v>204</v>
      </c>
      <c r="J12" s="100" t="s">
        <v>205</v>
      </c>
      <c r="K12" s="64" t="s">
        <v>206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2" customFormat="1" x14ac:dyDescent="0.15">
      <c r="A13" s="125" t="s">
        <v>410</v>
      </c>
      <c r="B13" s="65" t="s">
        <v>250</v>
      </c>
      <c r="C13" s="60">
        <v>41012</v>
      </c>
      <c r="D13" s="65" t="s">
        <v>231</v>
      </c>
      <c r="E13" s="66" t="str">
        <f t="shared" si="1"/>
        <v>stage_bonuses_41012.tmp</v>
      </c>
      <c r="F13" s="65" t="s">
        <v>230</v>
      </c>
      <c r="G13" s="70" t="s">
        <v>232</v>
      </c>
      <c r="H13" s="70" t="s">
        <v>233</v>
      </c>
      <c r="I13" s="70" t="s">
        <v>234</v>
      </c>
      <c r="J13" s="70" t="s">
        <v>235</v>
      </c>
      <c r="K13" s="70" t="s">
        <v>236</v>
      </c>
      <c r="L13" s="70" t="s">
        <v>237</v>
      </c>
      <c r="M13" s="70" t="s">
        <v>238</v>
      </c>
      <c r="N13" s="70" t="s">
        <v>239</v>
      </c>
      <c r="O13" s="70" t="s">
        <v>240</v>
      </c>
      <c r="P13" s="70" t="s">
        <v>241</v>
      </c>
      <c r="Q13" s="70" t="s">
        <v>242</v>
      </c>
      <c r="R13" s="70" t="s">
        <v>243</v>
      </c>
      <c r="S13" s="70" t="s">
        <v>244</v>
      </c>
      <c r="T13" s="70" t="s">
        <v>245</v>
      </c>
      <c r="U13" s="70" t="s">
        <v>246</v>
      </c>
      <c r="V13" s="70" t="s">
        <v>247</v>
      </c>
      <c r="W13" s="70" t="s">
        <v>248</v>
      </c>
      <c r="X13" s="70" t="s">
        <v>249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F7" sqref="F7:F11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 t="shared" ref="A2:A11" si="0">G2&amp;"-"&amp;I2</f>
        <v>41012_1-1</v>
      </c>
      <c r="B2" s="15" t="s">
        <v>401</v>
      </c>
      <c r="C2" s="104">
        <v>41012</v>
      </c>
      <c r="D2" s="17" t="str">
        <f ca="1">VLOOKUP($C2,OFFSET([2]quests!$A$1,0,0,COUNTA([2]quests!$A:$A),MATCH(D$1,[2]quests!$1:$1,0)-MATCH($C$1,[2]quests!$1:$1,0)+1),MATCH(D$1,[2]quests!$1:$1,0)-MATCH($C$1,[2]quests!$1:$1,0)+1,FALSE)</f>
        <v>ショウキ襲来！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降臨1</v>
      </c>
      <c r="F2" s="105">
        <v>1</v>
      </c>
      <c r="G2" s="22" t="str">
        <f t="shared" ref="G2:G11" si="1">C2&amp;"_"&amp;F2</f>
        <v>41012_1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【超絶級】ショウキ襲来</v>
      </c>
      <c r="I2" s="105">
        <v>1</v>
      </c>
      <c r="J2" s="37">
        <v>50</v>
      </c>
      <c r="K2" s="37">
        <v>50</v>
      </c>
    </row>
    <row r="3" spans="1:11" ht="21" customHeight="1" x14ac:dyDescent="0.15">
      <c r="A3" s="15" t="str">
        <f t="shared" si="0"/>
        <v>41012_1-2</v>
      </c>
      <c r="B3" s="15" t="s">
        <v>401</v>
      </c>
      <c r="C3" s="104">
        <v>41012</v>
      </c>
      <c r="D3" s="17" t="str">
        <f ca="1">VLOOKUP($C3,OFFSET([2]quests!$A$1,0,0,COUNTA([2]quests!$A:$A),MATCH(D$1,[2]quests!$1:$1,0)-MATCH($C$1,[2]quests!$1:$1,0)+1),MATCH(D$1,[2]quests!$1:$1,0)-MATCH($C$1,[2]quests!$1:$1,0)+1,FALSE)</f>
        <v>ショウキ襲来！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降臨1</v>
      </c>
      <c r="F3" s="105">
        <v>1</v>
      </c>
      <c r="G3" s="22" t="str">
        <f t="shared" si="1"/>
        <v>41012_1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【超絶級】ショウキ襲来</v>
      </c>
      <c r="I3" s="105">
        <v>2</v>
      </c>
      <c r="J3" s="37">
        <v>60</v>
      </c>
      <c r="K3" s="37">
        <v>60</v>
      </c>
    </row>
    <row r="4" spans="1:11" ht="21" customHeight="1" x14ac:dyDescent="0.15">
      <c r="A4" s="15" t="str">
        <f t="shared" si="0"/>
        <v>41012_1-3</v>
      </c>
      <c r="B4" s="15" t="s">
        <v>401</v>
      </c>
      <c r="C4" s="104">
        <v>41012</v>
      </c>
      <c r="D4" s="17" t="str">
        <f ca="1">VLOOKUP($C4,OFFSET([2]quests!$A$1,0,0,COUNTA([2]quests!$A:$A),MATCH(D$1,[2]quests!$1:$1,0)-MATCH($C$1,[2]quests!$1:$1,0)+1),MATCH(D$1,[2]quests!$1:$1,0)-MATCH($C$1,[2]quests!$1:$1,0)+1,FALSE)</f>
        <v>ショウキ襲来！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降臨1</v>
      </c>
      <c r="F4" s="105">
        <v>1</v>
      </c>
      <c r="G4" s="22" t="str">
        <f t="shared" si="1"/>
        <v>41012_1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【超絶級】ショウキ襲来</v>
      </c>
      <c r="I4" s="105">
        <v>3</v>
      </c>
      <c r="J4" s="37">
        <v>60</v>
      </c>
      <c r="K4" s="37">
        <v>60</v>
      </c>
    </row>
    <row r="5" spans="1:11" ht="21" customHeight="1" x14ac:dyDescent="0.15">
      <c r="A5" s="15" t="str">
        <f t="shared" si="0"/>
        <v>41012_1-4</v>
      </c>
      <c r="B5" s="15" t="s">
        <v>401</v>
      </c>
      <c r="C5" s="104">
        <v>41012</v>
      </c>
      <c r="D5" s="17" t="str">
        <f ca="1">VLOOKUP($C5,OFFSET([2]quests!$A$1,0,0,COUNTA([2]quests!$A:$A),MATCH(D$1,[2]quests!$1:$1,0)-MATCH($C$1,[2]quests!$1:$1,0)+1),MATCH(D$1,[2]quests!$1:$1,0)-MATCH($C$1,[2]quests!$1:$1,0)+1,FALSE)</f>
        <v>ショウキ襲来！</v>
      </c>
      <c r="E5" s="17" t="str">
        <f ca="1">VLOOKUP($C5,OFFSET([2]quests!$A$1,0,0,COUNTA([2]quests!$A:$A),MATCH(E$1,[2]quests!$1:$1,0)-MATCH($C$1,[2]quests!$1:$1,0)+1),MATCH(E$1,[2]quests!$1:$1,0)-MATCH($C$1,[2]quests!$1:$1,0)+1,FALSE)</f>
        <v>降臨1</v>
      </c>
      <c r="F5" s="105">
        <v>1</v>
      </c>
      <c r="G5" s="22" t="str">
        <f t="shared" si="1"/>
        <v>41012_1</v>
      </c>
      <c r="H5" s="14" t="str">
        <f ca="1">VLOOKUP($G5,OFFSET([2]stages!$A$1,0,0,COUNTA([2]stages!$A:$A),MATCH(H$1,[2]stages!$2:$2,0)-MATCH($G$1,[2]stages!$2:$2,0)+1),MATCH(H$1,[2]stages!$2:$2,0)-MATCH($G$1,[2]stages!$2:$2,0)+1,FALSE)</f>
        <v>【超絶級】ショウキ襲来</v>
      </c>
      <c r="I5" s="105">
        <v>4</v>
      </c>
      <c r="J5" s="37">
        <v>60</v>
      </c>
      <c r="K5" s="37">
        <v>60</v>
      </c>
    </row>
    <row r="6" spans="1:11" ht="21" customHeight="1" x14ac:dyDescent="0.15">
      <c r="A6" s="15" t="str">
        <f t="shared" si="0"/>
        <v>41012_1-5</v>
      </c>
      <c r="B6" s="15" t="s">
        <v>401</v>
      </c>
      <c r="C6" s="104">
        <v>41012</v>
      </c>
      <c r="D6" s="17" t="str">
        <f ca="1">VLOOKUP($C6,OFFSET([2]quests!$A$1,0,0,COUNTA([2]quests!$A:$A),MATCH(D$1,[2]quests!$1:$1,0)-MATCH($C$1,[2]quests!$1:$1,0)+1),MATCH(D$1,[2]quests!$1:$1,0)-MATCH($C$1,[2]quests!$1:$1,0)+1,FALSE)</f>
        <v>ショウキ襲来！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降臨1</v>
      </c>
      <c r="F6" s="105">
        <v>1</v>
      </c>
      <c r="G6" s="22" t="str">
        <f t="shared" si="1"/>
        <v>41012_1</v>
      </c>
      <c r="H6" s="14" t="str">
        <f ca="1">VLOOKUP($G6,OFFSET([2]stages!$A$1,0,0,COUNTA([2]stages!$A:$A),MATCH(H$1,[2]stages!$2:$2,0)-MATCH($G$1,[2]stages!$2:$2,0)+1),MATCH(H$1,[2]stages!$2:$2,0)-MATCH($G$1,[2]stages!$2:$2,0)+1,FALSE)</f>
        <v>【超絶級】ショウキ襲来</v>
      </c>
      <c r="I6" s="105">
        <v>5</v>
      </c>
      <c r="J6" s="37">
        <v>60</v>
      </c>
      <c r="K6" s="37">
        <v>60</v>
      </c>
    </row>
    <row r="7" spans="1:11" ht="21" customHeight="1" x14ac:dyDescent="0.15">
      <c r="A7" s="15" t="str">
        <f t="shared" si="0"/>
        <v>41012_2-1</v>
      </c>
      <c r="B7" s="15" t="s">
        <v>401</v>
      </c>
      <c r="C7" s="104">
        <v>41012</v>
      </c>
      <c r="D7" s="17" t="str">
        <f ca="1">VLOOKUP($C7,OFFSET([2]quests!$A$1,0,0,COUNTA([2]quests!$A:$A),MATCH(D$1,[2]quests!$1:$1,0)-MATCH($C$1,[2]quests!$1:$1,0)+1),MATCH(D$1,[2]quests!$1:$1,0)-MATCH($C$1,[2]quests!$1:$1,0)+1,FALSE)</f>
        <v>ショウキ襲来！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降臨1</v>
      </c>
      <c r="F7" s="105">
        <v>2</v>
      </c>
      <c r="G7" s="22" t="str">
        <f t="shared" si="1"/>
        <v>41012_2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【ウィザード級】ショウキ襲来</v>
      </c>
      <c r="I7" s="105">
        <v>1</v>
      </c>
      <c r="J7" s="37">
        <v>50</v>
      </c>
      <c r="K7" s="37">
        <v>50</v>
      </c>
    </row>
    <row r="8" spans="1:11" ht="21" customHeight="1" x14ac:dyDescent="0.15">
      <c r="A8" s="15" t="str">
        <f t="shared" si="0"/>
        <v>41012_2-2</v>
      </c>
      <c r="B8" s="15" t="s">
        <v>401</v>
      </c>
      <c r="C8" s="104">
        <v>41012</v>
      </c>
      <c r="D8" s="17" t="str">
        <f ca="1">VLOOKUP($C8,OFFSET([2]quests!$A$1,0,0,COUNTA([2]quests!$A:$A),MATCH(D$1,[2]quests!$1:$1,0)-MATCH($C$1,[2]quests!$1:$1,0)+1),MATCH(D$1,[2]quests!$1:$1,0)-MATCH($C$1,[2]quests!$1:$1,0)+1,FALSE)</f>
        <v>ショウキ襲来！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降臨1</v>
      </c>
      <c r="F8" s="105">
        <v>2</v>
      </c>
      <c r="G8" s="22" t="str">
        <f t="shared" si="1"/>
        <v>41012_2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【ウィザード級】ショウキ襲来</v>
      </c>
      <c r="I8" s="105">
        <v>2</v>
      </c>
      <c r="J8" s="37">
        <v>60</v>
      </c>
      <c r="K8" s="37">
        <v>60</v>
      </c>
    </row>
    <row r="9" spans="1:11" ht="21" customHeight="1" x14ac:dyDescent="0.15">
      <c r="A9" s="15" t="str">
        <f t="shared" si="0"/>
        <v>41012_2-3</v>
      </c>
      <c r="B9" s="15" t="s">
        <v>401</v>
      </c>
      <c r="C9" s="104">
        <v>41012</v>
      </c>
      <c r="D9" s="17" t="str">
        <f ca="1">VLOOKUP($C9,OFFSET([2]quests!$A$1,0,0,COUNTA([2]quests!$A:$A),MATCH(D$1,[2]quests!$1:$1,0)-MATCH($C$1,[2]quests!$1:$1,0)+1),MATCH(D$1,[2]quests!$1:$1,0)-MATCH($C$1,[2]quests!$1:$1,0)+1,FALSE)</f>
        <v>ショウキ襲来！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降臨1</v>
      </c>
      <c r="F9" s="105">
        <v>2</v>
      </c>
      <c r="G9" s="22" t="str">
        <f t="shared" si="1"/>
        <v>41012_2</v>
      </c>
      <c r="H9" s="14" t="str">
        <f ca="1">VLOOKUP($G9,OFFSET([2]stages!$A$1,0,0,COUNTA([2]stages!$A:$A),MATCH(H$1,[2]stages!$2:$2,0)-MATCH($G$1,[2]stages!$2:$2,0)+1),MATCH(H$1,[2]stages!$2:$2,0)-MATCH($G$1,[2]stages!$2:$2,0)+1,FALSE)</f>
        <v>【ウィザード級】ショウキ襲来</v>
      </c>
      <c r="I9" s="105">
        <v>3</v>
      </c>
      <c r="J9" s="37">
        <v>60</v>
      </c>
      <c r="K9" s="37">
        <v>60</v>
      </c>
    </row>
    <row r="10" spans="1:11" ht="21" customHeight="1" x14ac:dyDescent="0.15">
      <c r="A10" s="15" t="str">
        <f t="shared" si="0"/>
        <v>41012_2-4</v>
      </c>
      <c r="B10" s="15" t="s">
        <v>401</v>
      </c>
      <c r="C10" s="104">
        <v>41012</v>
      </c>
      <c r="D10" s="17" t="str">
        <f ca="1">VLOOKUP($C10,OFFSET([2]quests!$A$1,0,0,COUNTA([2]quests!$A:$A),MATCH(D$1,[2]quests!$1:$1,0)-MATCH($C$1,[2]quests!$1:$1,0)+1),MATCH(D$1,[2]quests!$1:$1,0)-MATCH($C$1,[2]quests!$1:$1,0)+1,FALSE)</f>
        <v>ショウキ襲来！</v>
      </c>
      <c r="E10" s="17" t="str">
        <f ca="1">VLOOKUP($C10,OFFSET([2]quests!$A$1,0,0,COUNTA([2]quests!$A:$A),MATCH(E$1,[2]quests!$1:$1,0)-MATCH($C$1,[2]quests!$1:$1,0)+1),MATCH(E$1,[2]quests!$1:$1,0)-MATCH($C$1,[2]quests!$1:$1,0)+1,FALSE)</f>
        <v>降臨1</v>
      </c>
      <c r="F10" s="105">
        <v>2</v>
      </c>
      <c r="G10" s="22" t="str">
        <f t="shared" si="1"/>
        <v>41012_2</v>
      </c>
      <c r="H10" s="14" t="str">
        <f ca="1">VLOOKUP($G10,OFFSET([2]stages!$A$1,0,0,COUNTA([2]stages!$A:$A),MATCH(H$1,[2]stages!$2:$2,0)-MATCH($G$1,[2]stages!$2:$2,0)+1),MATCH(H$1,[2]stages!$2:$2,0)-MATCH($G$1,[2]stages!$2:$2,0)+1,FALSE)</f>
        <v>【ウィザード級】ショウキ襲来</v>
      </c>
      <c r="I10" s="105">
        <v>4</v>
      </c>
      <c r="J10" s="37">
        <v>60</v>
      </c>
      <c r="K10" s="37">
        <v>60</v>
      </c>
    </row>
    <row r="11" spans="1:11" ht="21" customHeight="1" x14ac:dyDescent="0.15">
      <c r="A11" s="15" t="str">
        <f t="shared" si="0"/>
        <v>41012_2-5</v>
      </c>
      <c r="B11" s="15" t="s">
        <v>401</v>
      </c>
      <c r="C11" s="104">
        <v>41012</v>
      </c>
      <c r="D11" s="17" t="str">
        <f ca="1">VLOOKUP($C11,OFFSET([2]quests!$A$1,0,0,COUNTA([2]quests!$A:$A),MATCH(D$1,[2]quests!$1:$1,0)-MATCH($C$1,[2]quests!$1:$1,0)+1),MATCH(D$1,[2]quests!$1:$1,0)-MATCH($C$1,[2]quests!$1:$1,0)+1,FALSE)</f>
        <v>ショウキ襲来！</v>
      </c>
      <c r="E11" s="17" t="str">
        <f ca="1">VLOOKUP($C11,OFFSET([2]quests!$A$1,0,0,COUNTA([2]quests!$A:$A),MATCH(E$1,[2]quests!$1:$1,0)-MATCH($C$1,[2]quests!$1:$1,0)+1),MATCH(E$1,[2]quests!$1:$1,0)-MATCH($C$1,[2]quests!$1:$1,0)+1,FALSE)</f>
        <v>降臨1</v>
      </c>
      <c r="F11" s="105">
        <v>2</v>
      </c>
      <c r="G11" s="22" t="str">
        <f t="shared" si="1"/>
        <v>41012_2</v>
      </c>
      <c r="H11" s="14" t="str">
        <f ca="1">VLOOKUP($G11,OFFSET([2]stages!$A$1,0,0,COUNTA([2]stages!$A:$A),MATCH(H$1,[2]stages!$2:$2,0)-MATCH($G$1,[2]stages!$2:$2,0)+1),MATCH(H$1,[2]stages!$2:$2,0)-MATCH($G$1,[2]stages!$2:$2,0)+1,FALSE)</f>
        <v>【ウィザード級】ショウキ襲来</v>
      </c>
      <c r="I11" s="105">
        <v>5</v>
      </c>
      <c r="J11" s="37">
        <v>60</v>
      </c>
      <c r="K11" s="37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zoomScale="75" zoomScaleNormal="75" zoomScalePageLayoutView="75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AA39" sqref="Y38:AA39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53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1" t="s">
        <v>251</v>
      </c>
      <c r="U1" s="25" t="s">
        <v>50</v>
      </c>
      <c r="V1" s="101" t="s">
        <v>252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178</v>
      </c>
    </row>
    <row r="2" spans="1:42" ht="21" customHeight="1" x14ac:dyDescent="0.15">
      <c r="A2" s="15" t="str">
        <f t="shared" ref="A2:A10" si="0">B2&amp;"_"&amp;C2&amp;"-"&amp;G2&amp;"/"&amp;L2&amp;"&lt;lv"&amp;R2&amp;"&gt;s"&amp;AC2</f>
        <v>41012_1-1/79&lt;lv50&gt;s1</v>
      </c>
      <c r="B2" s="21">
        <v>41012</v>
      </c>
      <c r="C2" s="20">
        <v>1</v>
      </c>
      <c r="D2" s="2" t="str">
        <f t="shared" ref="D2:D10" si="1">B2&amp;"_"&amp;C2</f>
        <v>41012_1</v>
      </c>
      <c r="E2" s="4" t="str">
        <f ca="1">VLOOKUP($B2,OFFSET([2]quests!$A$1,0,0,COUNTA([2]quests!$A:$A),MATCH(E$1,[2]quests!$1:$1,0)-MATCH($B$1,[2]quests!$1:$1,0)+1),MATCH(E$1,[2]quests!$1:$1,0)-MATCH($B$1,[2]quests!$1:$1,0)+1,FALSE)</f>
        <v>ショウキ襲来！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【超絶級】ショウキ襲来</v>
      </c>
      <c r="G2" s="105">
        <v>1</v>
      </c>
      <c r="H2" s="14" t="str">
        <f t="shared" ref="H2:H10" si="2">B2&amp;"_"&amp;C2&amp;"-"&amp;G2</f>
        <v>41012_1-1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7" t="s">
        <v>253</v>
      </c>
      <c r="L2" s="106">
        <v>79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ハッピー100</v>
      </c>
      <c r="N2" s="16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50</v>
      </c>
      <c r="S2" s="24">
        <v>1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46226</v>
      </c>
      <c r="U2" s="24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3685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107">
        <v>41012000</v>
      </c>
      <c r="Z2" s="6">
        <v>0</v>
      </c>
      <c r="AA2" s="6">
        <v>100</v>
      </c>
      <c r="AB2" s="6">
        <v>0</v>
      </c>
      <c r="AC2" s="108">
        <v>1</v>
      </c>
      <c r="AD2" s="23">
        <f t="shared" ref="AD2:AD9" si="3">L2</f>
        <v>79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ハッピー100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" s="7">
        <v>1</v>
      </c>
      <c r="AI2" s="23">
        <f t="shared" ref="AI2:AI10" ca="1" si="4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si="0"/>
        <v>41012_1-1/644&lt;lv50&gt;s1</v>
      </c>
      <c r="B3" s="21">
        <v>41012</v>
      </c>
      <c r="C3" s="20">
        <v>1</v>
      </c>
      <c r="D3" s="2" t="str">
        <f t="shared" si="1"/>
        <v>41012_1</v>
      </c>
      <c r="E3" s="4" t="str">
        <f ca="1">VLOOKUP($B3,OFFSET([2]quests!$A$1,0,0,COUNTA([2]quests!$A:$A),MATCH(E$1,[2]quests!$1:$1,0)-MATCH($B$1,[2]quests!$1:$1,0)+1),MATCH(E$1,[2]quests!$1:$1,0)-MATCH($B$1,[2]quests!$1:$1,0)+1,FALSE)</f>
        <v>ショウキ襲来！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【超絶級】ショウキ襲来</v>
      </c>
      <c r="G3" s="105">
        <v>1</v>
      </c>
      <c r="H3" s="14" t="str">
        <f t="shared" si="2"/>
        <v>41012_1-1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7" t="s">
        <v>253</v>
      </c>
      <c r="L3" s="106">
        <v>644</v>
      </c>
      <c r="M3" s="16" t="str">
        <f ca="1">VLOOKUP($L3,OFFSET([3]enemies!$A$1,0,0,COUNTA([3]enemies!$A:$A),MATCH(M$1,[3]enemies!$1:$1,0)-MATCH($L$1,[3]enemies!$1:$1,0)+1),MATCH(M$1,[3]enemies!$1:$1,0)-MATCH($L$1,[3]enemies!$1:$1,0)+1,FALSE)</f>
        <v>滑瓢 ショウキ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50</v>
      </c>
      <c r="S3" s="24">
        <v>4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231088</v>
      </c>
      <c r="U3" s="24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4560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この俺を倒せるとでも思ったのか？</v>
      </c>
      <c r="Y3" s="107">
        <v>41012001</v>
      </c>
      <c r="Z3" s="6">
        <v>0</v>
      </c>
      <c r="AA3" s="6">
        <v>100</v>
      </c>
      <c r="AB3" s="6">
        <v>1</v>
      </c>
      <c r="AC3" s="108">
        <v>1</v>
      </c>
      <c r="AD3" s="23">
        <f t="shared" si="3"/>
        <v>644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滑瓢 ショウキ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7">
        <v>1</v>
      </c>
      <c r="AI3" s="23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0"/>
        <v>41012_1-2/646&lt;lv40&gt;s2</v>
      </c>
      <c r="B4" s="21">
        <v>41012</v>
      </c>
      <c r="C4" s="20">
        <v>1</v>
      </c>
      <c r="D4" s="2" t="str">
        <f t="shared" si="1"/>
        <v>41012_1</v>
      </c>
      <c r="E4" s="4" t="str">
        <f ca="1">VLOOKUP($B4,OFFSET([2]quests!$A$1,0,0,COUNTA([2]quests!$A:$A),MATCH(E$1,[2]quests!$1:$1,0)-MATCH($B$1,[2]quests!$1:$1,0)+1),MATCH(E$1,[2]quests!$1:$1,0)-MATCH($B$1,[2]quests!$1:$1,0)+1,FALSE)</f>
        <v>ショウキ襲来！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【超絶級】ショウキ襲来</v>
      </c>
      <c r="G4" s="105">
        <v>2</v>
      </c>
      <c r="H4" s="14" t="str">
        <f t="shared" si="2"/>
        <v>41012_1-2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253</v>
      </c>
      <c r="L4" s="106">
        <v>646</v>
      </c>
      <c r="M4" s="16" t="str">
        <f ca="1">VLOOKUP($L4,OFFSET([3]enemies!$A$1,0,0,COUNTA([3]enemies!$A:$A),MATCH(M$1,[3]enemies!$1:$1,0)-MATCH($L$1,[3]enemies!$1:$1,0)+1),MATCH(M$1,[3]enemies!$1:$1,0)-MATCH($L$1,[3]enemies!$1:$1,0)+1,FALSE)</f>
        <v>雪女 ユキ</v>
      </c>
      <c r="N4" s="16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40</v>
      </c>
      <c r="S4" s="24">
        <v>1.4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75530</v>
      </c>
      <c r="U4" s="24">
        <v>1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4124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107">
        <v>41012002</v>
      </c>
      <c r="Z4" s="6">
        <v>0</v>
      </c>
      <c r="AA4" s="6">
        <v>100</v>
      </c>
      <c r="AB4" s="6">
        <v>0</v>
      </c>
      <c r="AC4" s="108">
        <v>2</v>
      </c>
      <c r="AD4" s="23">
        <f t="shared" si="3"/>
        <v>646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雪女 ユキ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3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0"/>
        <v>41012_1-2/650&lt;lv40&gt;s2</v>
      </c>
      <c r="B5" s="21">
        <v>41012</v>
      </c>
      <c r="C5" s="20">
        <v>1</v>
      </c>
      <c r="D5" s="2" t="str">
        <f t="shared" si="1"/>
        <v>41012_1</v>
      </c>
      <c r="E5" s="4" t="str">
        <f ca="1">VLOOKUP($B5,OFFSET([2]quests!$A$1,0,0,COUNTA([2]quests!$A:$A),MATCH(E$1,[2]quests!$1:$1,0)-MATCH($B$1,[2]quests!$1:$1,0)+1),MATCH(E$1,[2]quests!$1:$1,0)-MATCH($B$1,[2]quests!$1:$1,0)+1,FALSE)</f>
        <v>ショウキ襲来！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【超絶級】ショウキ襲来</v>
      </c>
      <c r="G5" s="105">
        <v>2</v>
      </c>
      <c r="H5" s="14" t="str">
        <f t="shared" si="2"/>
        <v>41012_1-2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253</v>
      </c>
      <c r="L5" s="106">
        <v>650</v>
      </c>
      <c r="M5" s="16" t="str">
        <f ca="1">VLOOKUP($L5,OFFSET([3]enemies!$A$1,0,0,COUNTA([3]enemies!$A:$A),MATCH(M$1,[3]enemies!$1:$1,0)-MATCH($L$1,[3]enemies!$1:$1,0)+1),MATCH(M$1,[3]enemies!$1:$1,0)-MATCH($L$1,[3]enemies!$1:$1,0)+1,FALSE)</f>
        <v>土蜘蛛 ユウヤ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40</v>
      </c>
      <c r="S5" s="24">
        <v>2.1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99926.400000000009</v>
      </c>
      <c r="U5" s="24">
        <v>1.4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5891.2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5" s="107">
        <v>41012003</v>
      </c>
      <c r="Z5" s="6">
        <v>0</v>
      </c>
      <c r="AA5" s="6">
        <v>100</v>
      </c>
      <c r="AB5" s="6">
        <v>1</v>
      </c>
      <c r="AC5" s="108">
        <v>2</v>
      </c>
      <c r="AD5" s="23">
        <f t="shared" si="3"/>
        <v>650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土蜘蛛 ユウヤ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3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si="0"/>
        <v>41012_1-3/663&lt;lv40&gt;s2</v>
      </c>
      <c r="B6" s="21">
        <v>41012</v>
      </c>
      <c r="C6" s="20">
        <v>1</v>
      </c>
      <c r="D6" s="2" t="str">
        <f t="shared" si="1"/>
        <v>41012_1</v>
      </c>
      <c r="E6" s="4" t="str">
        <f ca="1">VLOOKUP($B6,OFFSET([2]quests!$A$1,0,0,COUNTA([2]quests!$A:$A),MATCH(E$1,[2]quests!$1:$1,0)-MATCH($B$1,[2]quests!$1:$1,0)+1),MATCH(E$1,[2]quests!$1:$1,0)-MATCH($B$1,[2]quests!$1:$1,0)+1,FALSE)</f>
        <v>ショウキ襲来！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【超絶級】ショウキ襲来</v>
      </c>
      <c r="G6" s="105">
        <v>3</v>
      </c>
      <c r="H6" s="14" t="str">
        <f t="shared" si="2"/>
        <v>41012_1-3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253</v>
      </c>
      <c r="L6" s="106">
        <v>663</v>
      </c>
      <c r="M6" s="16" t="str">
        <f ca="1">VLOOKUP($L6,OFFSET([3]enemies!$A$1,0,0,COUNTA([3]enemies!$A:$A),MATCH(M$1,[3]enemies!$1:$1,0)-MATCH($L$1,[3]enemies!$1:$1,0)+1),MATCH(M$1,[3]enemies!$1:$1,0)-MATCH($L$1,[3]enemies!$1:$1,0)+1,FALSE)</f>
        <v>都揺らす地響き ダイダラ</v>
      </c>
      <c r="N6" s="16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6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40</v>
      </c>
      <c r="S6" s="24">
        <v>1.1000000000000001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86050.8</v>
      </c>
      <c r="U6" s="24">
        <v>1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3505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107">
        <v>41012004</v>
      </c>
      <c r="Z6" s="6">
        <v>0</v>
      </c>
      <c r="AA6" s="6">
        <v>100</v>
      </c>
      <c r="AB6" s="6">
        <v>0</v>
      </c>
      <c r="AC6" s="108">
        <v>2</v>
      </c>
      <c r="AD6" s="23">
        <f t="shared" si="3"/>
        <v>663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都揺らす地響き ダイダラ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3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  <row r="7" spans="1:42" ht="21" customHeight="1" x14ac:dyDescent="0.15">
      <c r="A7" s="15" t="str">
        <f t="shared" si="0"/>
        <v>41012_1-3/666&lt;lv40&gt;s1</v>
      </c>
      <c r="B7" s="21">
        <v>41012</v>
      </c>
      <c r="C7" s="20">
        <v>1</v>
      </c>
      <c r="D7" s="2" t="str">
        <f t="shared" si="1"/>
        <v>41012_1</v>
      </c>
      <c r="E7" s="4" t="str">
        <f ca="1">VLOOKUP($B7,OFFSET([2]quests!$A$1,0,0,COUNTA([2]quests!$A:$A),MATCH(E$1,[2]quests!$1:$1,0)-MATCH($B$1,[2]quests!$1:$1,0)+1),MATCH(E$1,[2]quests!$1:$1,0)-MATCH($B$1,[2]quests!$1:$1,0)+1,FALSE)</f>
        <v>ショウキ襲来！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【超絶級】ショウキ襲来</v>
      </c>
      <c r="G7" s="105">
        <v>3</v>
      </c>
      <c r="H7" s="14" t="str">
        <f t="shared" si="2"/>
        <v>41012_1-3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253</v>
      </c>
      <c r="L7" s="106">
        <v>666</v>
      </c>
      <c r="M7" s="16" t="str">
        <f ca="1">VLOOKUP($L7,OFFSET([3]enemies!$A$1,0,0,COUNTA([3]enemies!$A:$A),MATCH(M$1,[3]enemies!$1:$1,0)-MATCH($L$1,[3]enemies!$1:$1,0)+1),MATCH(M$1,[3]enemies!$1:$1,0)-MATCH($L$1,[3]enemies!$1:$1,0)+1,FALSE)</f>
        <v>拡散する幸福 テマリ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6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40</v>
      </c>
      <c r="S7" s="24">
        <v>2.4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126890.4</v>
      </c>
      <c r="U7" s="24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4250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そこにいる人をやっつけて遊ぼうよ！</v>
      </c>
      <c r="Y7" s="107">
        <v>41012005</v>
      </c>
      <c r="Z7" s="6">
        <v>0</v>
      </c>
      <c r="AA7" s="6">
        <v>100</v>
      </c>
      <c r="AB7" s="6">
        <v>1</v>
      </c>
      <c r="AC7" s="108">
        <v>1</v>
      </c>
      <c r="AD7" s="23">
        <f t="shared" si="3"/>
        <v>666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拡散する幸福 テマリ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3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7">
        <v>1</v>
      </c>
    </row>
    <row r="8" spans="1:42" ht="21" customHeight="1" x14ac:dyDescent="0.15">
      <c r="A8" s="15" t="str">
        <f t="shared" si="0"/>
        <v>41012_1-4/654&lt;lv45&gt;s1</v>
      </c>
      <c r="B8" s="21">
        <v>41012</v>
      </c>
      <c r="C8" s="20">
        <v>1</v>
      </c>
      <c r="D8" s="2" t="str">
        <f t="shared" si="1"/>
        <v>41012_1</v>
      </c>
      <c r="E8" s="4" t="str">
        <f ca="1">VLOOKUP($B8,OFFSET([2]quests!$A$1,0,0,COUNTA([2]quests!$A:$A),MATCH(E$1,[2]quests!$1:$1,0)-MATCH($B$1,[2]quests!$1:$1,0)+1),MATCH(E$1,[2]quests!$1:$1,0)-MATCH($B$1,[2]quests!$1:$1,0)+1,FALSE)</f>
        <v>ショウキ襲来！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【超絶級】ショウキ襲来</v>
      </c>
      <c r="G8" s="105">
        <v>4</v>
      </c>
      <c r="H8" s="14" t="str">
        <f t="shared" si="2"/>
        <v>41012_1-4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253</v>
      </c>
      <c r="L8" s="106">
        <v>654</v>
      </c>
      <c r="M8" s="16" t="str">
        <f ca="1">VLOOKUP($L8,OFFSET([3]enemies!$A$1,0,0,COUNTA([3]enemies!$A:$A),MATCH(M$1,[3]enemies!$1:$1,0)-MATCH($L$1,[3]enemies!$1:$1,0)+1),MATCH(M$1,[3]enemies!$1:$1,0)-MATCH($L$1,[3]enemies!$1:$1,0)+1,FALSE)</f>
        <v>酒呑童子 ヨミ</v>
      </c>
      <c r="N8" s="16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6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45</v>
      </c>
      <c r="S8" s="24">
        <v>2.8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159238.79999999999</v>
      </c>
      <c r="U8" s="24">
        <v>1.1000000000000001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7106.0000000000009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107">
        <v>41012006</v>
      </c>
      <c r="Z8" s="6">
        <v>0</v>
      </c>
      <c r="AA8" s="6">
        <v>100</v>
      </c>
      <c r="AB8" s="6">
        <v>0</v>
      </c>
      <c r="AC8" s="108">
        <v>1</v>
      </c>
      <c r="AD8" s="23">
        <f t="shared" si="3"/>
        <v>654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酒呑童子 ヨミ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7">
        <v>1</v>
      </c>
      <c r="AI8" s="23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7">
        <v>1</v>
      </c>
    </row>
    <row r="9" spans="1:42" ht="21" customHeight="1" x14ac:dyDescent="0.15">
      <c r="A9" s="15" t="str">
        <f t="shared" si="0"/>
        <v>41012_1-4/660&lt;lv45&gt;s2</v>
      </c>
      <c r="B9" s="21">
        <v>41012</v>
      </c>
      <c r="C9" s="20">
        <v>1</v>
      </c>
      <c r="D9" s="2" t="str">
        <f t="shared" si="1"/>
        <v>41012_1</v>
      </c>
      <c r="E9" s="4" t="str">
        <f ca="1">VLOOKUP($B9,OFFSET([2]quests!$A$1,0,0,COUNTA([2]quests!$A:$A),MATCH(E$1,[2]quests!$1:$1,0)-MATCH($B$1,[2]quests!$1:$1,0)+1),MATCH(E$1,[2]quests!$1:$1,0)-MATCH($B$1,[2]quests!$1:$1,0)+1,FALSE)</f>
        <v>ショウキ襲来！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【超絶級】ショウキ襲来</v>
      </c>
      <c r="G9" s="105">
        <v>4</v>
      </c>
      <c r="H9" s="14" t="str">
        <f t="shared" si="2"/>
        <v>41012_1-4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253</v>
      </c>
      <c r="L9" s="106">
        <v>660</v>
      </c>
      <c r="M9" s="16" t="str">
        <f ca="1">VLOOKUP($L9,OFFSET([3]enemies!$A$1,0,0,COUNTA([3]enemies!$A:$A),MATCH(M$1,[3]enemies!$1:$1,0)-MATCH($L$1,[3]enemies!$1:$1,0)+1),MATCH(M$1,[3]enemies!$1:$1,0)-MATCH($L$1,[3]enemies!$1:$1,0)+1,FALSE)</f>
        <v>烏天狗 フウガ</v>
      </c>
      <c r="N9" s="16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6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45</v>
      </c>
      <c r="S9" s="24">
        <v>2.8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172645.19999999998</v>
      </c>
      <c r="U9" s="24">
        <v>0.9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4574.7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これより掃討を開始する――</v>
      </c>
      <c r="Y9" s="107">
        <v>41012007</v>
      </c>
      <c r="Z9" s="6">
        <v>0</v>
      </c>
      <c r="AA9" s="6">
        <v>100</v>
      </c>
      <c r="AB9" s="6">
        <v>1</v>
      </c>
      <c r="AC9" s="108">
        <v>2</v>
      </c>
      <c r="AD9" s="23">
        <f t="shared" si="3"/>
        <v>660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烏天狗 フウガ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9" s="7">
        <v>1</v>
      </c>
      <c r="AI9" s="23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7">
        <v>1</v>
      </c>
    </row>
    <row r="10" spans="1:42" ht="21" customHeight="1" x14ac:dyDescent="0.15">
      <c r="A10" s="15" t="str">
        <f t="shared" si="0"/>
        <v>41012_1-5/645&lt;lv50&gt;s2</v>
      </c>
      <c r="B10" s="21">
        <v>41012</v>
      </c>
      <c r="C10" s="20">
        <v>1</v>
      </c>
      <c r="D10" s="2" t="str">
        <f t="shared" si="1"/>
        <v>41012_1</v>
      </c>
      <c r="E10" s="4" t="str">
        <f ca="1">VLOOKUP($B10,OFFSET([2]quests!$A$1,0,0,COUNTA([2]quests!$A:$A),MATCH(E$1,[2]quests!$1:$1,0)-MATCH($B$1,[2]quests!$1:$1,0)+1),MATCH(E$1,[2]quests!$1:$1,0)-MATCH($B$1,[2]quests!$1:$1,0)+1,FALSE)</f>
        <v>ショウキ襲来！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【超絶級】ショウキ襲来</v>
      </c>
      <c r="G10" s="105">
        <v>5</v>
      </c>
      <c r="H10" s="14" t="str">
        <f t="shared" si="2"/>
        <v>41012_1-5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1</v>
      </c>
      <c r="L10" s="106">
        <v>645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百鬼夜行の創大将 ショウキ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6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50</v>
      </c>
      <c r="S10" s="24">
        <v>3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226647</v>
      </c>
      <c r="U10" s="24">
        <v>3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14733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出し惜しみはナシでいくぜ？_x000D_【！】次のターン永続スリープ発動【！】</v>
      </c>
      <c r="Y10" s="107">
        <v>41012008</v>
      </c>
      <c r="Z10" s="6">
        <v>0</v>
      </c>
      <c r="AA10" s="6">
        <v>100</v>
      </c>
      <c r="AB10" s="6">
        <v>1</v>
      </c>
      <c r="AC10" s="108">
        <v>2</v>
      </c>
      <c r="AD10" s="109">
        <v>644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滑瓢 ショウキ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3">
        <f t="shared" ca="1" si="4"/>
        <v>4</v>
      </c>
      <c r="AJ10" s="8">
        <v>15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7">
        <v>1</v>
      </c>
    </row>
    <row r="11" spans="1:42" ht="21" customHeight="1" x14ac:dyDescent="0.15">
      <c r="A11" s="15" t="str">
        <f t="shared" ref="A11:A19" si="5">B11&amp;"_"&amp;C11&amp;"-"&amp;G11&amp;"/"&amp;L11&amp;"&lt;lv"&amp;R11&amp;"&gt;s"&amp;AC11</f>
        <v>41012_2-1/79&lt;lv60&gt;s1</v>
      </c>
      <c r="B11" s="21">
        <v>41012</v>
      </c>
      <c r="C11" s="20">
        <v>2</v>
      </c>
      <c r="D11" s="2" t="str">
        <f t="shared" ref="D11:D19" si="6">B11&amp;"_"&amp;C11</f>
        <v>41012_2</v>
      </c>
      <c r="E11" s="4" t="str">
        <f ca="1">VLOOKUP($B11,OFFSET([2]quests!$A$1,0,0,COUNTA([2]quests!$A:$A),MATCH(E$1,[2]quests!$1:$1,0)-MATCH($B$1,[2]quests!$1:$1,0)+1),MATCH(E$1,[2]quests!$1:$1,0)-MATCH($B$1,[2]quests!$1:$1,0)+1,FALSE)</f>
        <v>ショウキ襲来！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【ウィザード級】ショウキ襲来</v>
      </c>
      <c r="G11" s="105">
        <v>1</v>
      </c>
      <c r="H11" s="14" t="str">
        <f t="shared" ref="H11:H19" si="7">B11&amp;"_"&amp;C11&amp;"-"&amp;G11</f>
        <v>41012_2-1</v>
      </c>
      <c r="I11" s="4">
        <f ca="1">VLOOKUP($H11,OFFSET(floors!$A$1,0,0,COUNTA(floors!$A:$A),MATCH(I$1,floors!$1:$1,0)-MATCH($H$1,floors!$1:$1,0)+1),MATCH(I$1,floors!$1:$1,0)-MATCH($H$1,floors!$1:$1,0)+1,FALSE)</f>
        <v>50</v>
      </c>
      <c r="J11" s="4">
        <f ca="1">VLOOKUP($H11,OFFSET(floors!$A$1,0,0,COUNTA(floors!$A:$A),MATCH(J$1,floors!$1:$1,0)-MATCH($H$1,floors!$1:$1,0)+1),MATCH(J$1,floors!$1:$1,0)-MATCH($H$1,floors!$1:$1,0)+1,FALSE)</f>
        <v>50</v>
      </c>
      <c r="K11" s="37" t="s">
        <v>167</v>
      </c>
      <c r="L11" s="106">
        <v>79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ハッピー100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DropWizW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6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60</v>
      </c>
      <c r="S11" s="24">
        <v>1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55202</v>
      </c>
      <c r="U11" s="24">
        <v>1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4400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107">
        <v>41012012</v>
      </c>
      <c r="Z11" s="6">
        <v>0</v>
      </c>
      <c r="AA11" s="6">
        <v>100</v>
      </c>
      <c r="AB11" s="6">
        <v>0</v>
      </c>
      <c r="AC11" s="108">
        <v>1</v>
      </c>
      <c r="AD11" s="23">
        <f t="shared" ref="AD11:AD18" si="8">L11</f>
        <v>79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ハッピー100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1" s="7">
        <v>1</v>
      </c>
      <c r="AI11" s="23">
        <f t="shared" ref="AI11:AI19" ca="1" si="9">AF11</f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7">
        <v>1</v>
      </c>
    </row>
    <row r="12" spans="1:42" ht="21" customHeight="1" x14ac:dyDescent="0.15">
      <c r="A12" s="15" t="str">
        <f t="shared" si="5"/>
        <v>41012_2-1/644&lt;lv60&gt;s1</v>
      </c>
      <c r="B12" s="21">
        <v>41012</v>
      </c>
      <c r="C12" s="20">
        <v>2</v>
      </c>
      <c r="D12" s="2" t="str">
        <f t="shared" si="6"/>
        <v>41012_2</v>
      </c>
      <c r="E12" s="4" t="str">
        <f ca="1">VLOOKUP($B12,OFFSET([2]quests!$A$1,0,0,COUNTA([2]quests!$A:$A),MATCH(E$1,[2]quests!$1:$1,0)-MATCH($B$1,[2]quests!$1:$1,0)+1),MATCH(E$1,[2]quests!$1:$1,0)-MATCH($B$1,[2]quests!$1:$1,0)+1,FALSE)</f>
        <v>ショウキ襲来！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【ウィザード級】ショウキ襲来</v>
      </c>
      <c r="G12" s="105">
        <v>1</v>
      </c>
      <c r="H12" s="14" t="str">
        <f t="shared" si="7"/>
        <v>41012_2-1</v>
      </c>
      <c r="I12" s="4">
        <f ca="1">VLOOKUP($H12,OFFSET(floors!$A$1,0,0,COUNTA(floors!$A:$A),MATCH(I$1,floors!$1:$1,0)-MATCH($H$1,floors!$1:$1,0)+1),MATCH(I$1,floors!$1:$1,0)-MATCH($H$1,floors!$1:$1,0)+1,FALSE)</f>
        <v>50</v>
      </c>
      <c r="J12" s="4">
        <f ca="1">VLOOKUP($H12,OFFSET(floors!$A$1,0,0,COUNTA(floors!$A:$A),MATCH(J$1,floors!$1:$1,0)-MATCH($H$1,floors!$1:$1,0)+1),MATCH(J$1,floors!$1:$1,0)-MATCH($H$1,floors!$1:$1,0)+1,FALSE)</f>
        <v>50</v>
      </c>
      <c r="K12" s="37" t="s">
        <v>167</v>
      </c>
      <c r="L12" s="106">
        <v>644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滑瓢 ショウキ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DropWizS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6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60</v>
      </c>
      <c r="S12" s="24">
        <v>4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275960</v>
      </c>
      <c r="U12" s="24">
        <v>1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5445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この俺を倒せるとでも思ったのか？</v>
      </c>
      <c r="Y12" s="107">
        <v>41012001</v>
      </c>
      <c r="Z12" s="6">
        <v>0</v>
      </c>
      <c r="AA12" s="6">
        <v>100</v>
      </c>
      <c r="AB12" s="6">
        <v>1</v>
      </c>
      <c r="AC12" s="108">
        <v>1</v>
      </c>
      <c r="AD12" s="23">
        <f t="shared" si="8"/>
        <v>644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滑瓢 ショウキ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2" s="7">
        <v>1</v>
      </c>
      <c r="AI12" s="23">
        <f t="shared" ca="1" si="9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7">
        <v>1</v>
      </c>
    </row>
    <row r="13" spans="1:42" ht="21" customHeight="1" x14ac:dyDescent="0.15">
      <c r="A13" s="15" t="str">
        <f t="shared" si="5"/>
        <v>41012_2-2/646&lt;lv55&gt;s2</v>
      </c>
      <c r="B13" s="21">
        <v>41012</v>
      </c>
      <c r="C13" s="20">
        <v>2</v>
      </c>
      <c r="D13" s="2" t="str">
        <f t="shared" si="6"/>
        <v>41012_2</v>
      </c>
      <c r="E13" s="4" t="str">
        <f ca="1">VLOOKUP($B13,OFFSET([2]quests!$A$1,0,0,COUNTA([2]quests!$A:$A),MATCH(E$1,[2]quests!$1:$1,0)-MATCH($B$1,[2]quests!$1:$1,0)+1),MATCH(E$1,[2]quests!$1:$1,0)-MATCH($B$1,[2]quests!$1:$1,0)+1,FALSE)</f>
        <v>ショウキ襲来！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【ウィザード級】ショウキ襲来</v>
      </c>
      <c r="G13" s="105">
        <v>2</v>
      </c>
      <c r="H13" s="14" t="str">
        <f t="shared" si="7"/>
        <v>41012_2-2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 t="s">
        <v>167</v>
      </c>
      <c r="L13" s="106">
        <v>646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雪女 ユキ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6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55</v>
      </c>
      <c r="S13" s="24">
        <v>1.4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102830</v>
      </c>
      <c r="U13" s="24">
        <v>1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5615</v>
      </c>
      <c r="W13" s="5">
        <v>0</v>
      </c>
      <c r="X13" s="4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107">
        <v>41012002</v>
      </c>
      <c r="Z13" s="6">
        <v>0</v>
      </c>
      <c r="AA13" s="6">
        <v>100</v>
      </c>
      <c r="AB13" s="6">
        <v>0</v>
      </c>
      <c r="AC13" s="108">
        <v>2</v>
      </c>
      <c r="AD13" s="23">
        <f t="shared" si="8"/>
        <v>646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雪女 ユキ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7">
        <v>1</v>
      </c>
      <c r="AI13" s="23">
        <f t="shared" ca="1" si="9"/>
        <v>4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7">
        <v>1</v>
      </c>
    </row>
    <row r="14" spans="1:42" ht="21" customHeight="1" x14ac:dyDescent="0.15">
      <c r="A14" s="15" t="str">
        <f t="shared" si="5"/>
        <v>41012_2-2/650&lt;lv55&gt;s2</v>
      </c>
      <c r="B14" s="21">
        <v>41012</v>
      </c>
      <c r="C14" s="20">
        <v>2</v>
      </c>
      <c r="D14" s="2" t="str">
        <f t="shared" si="6"/>
        <v>41012_2</v>
      </c>
      <c r="E14" s="4" t="str">
        <f ca="1">VLOOKUP($B14,OFFSET([2]quests!$A$1,0,0,COUNTA([2]quests!$A:$A),MATCH(E$1,[2]quests!$1:$1,0)-MATCH($B$1,[2]quests!$1:$1,0)+1),MATCH(E$1,[2]quests!$1:$1,0)-MATCH($B$1,[2]quests!$1:$1,0)+1,FALSE)</f>
        <v>ショウキ襲来！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【ウィザード級】ショウキ襲来</v>
      </c>
      <c r="G14" s="105">
        <v>2</v>
      </c>
      <c r="H14" s="14" t="str">
        <f t="shared" si="7"/>
        <v>41012_2-2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7" t="s">
        <v>167</v>
      </c>
      <c r="L14" s="106">
        <v>650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土蜘蛛 ユウヤ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6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55</v>
      </c>
      <c r="S14" s="24">
        <v>2.1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136044.30000000002</v>
      </c>
      <c r="U14" s="24">
        <v>1.4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8020.5999999999995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14" s="107">
        <v>41012003</v>
      </c>
      <c r="Z14" s="6">
        <v>0</v>
      </c>
      <c r="AA14" s="6">
        <v>100</v>
      </c>
      <c r="AB14" s="6">
        <v>1</v>
      </c>
      <c r="AC14" s="108">
        <v>2</v>
      </c>
      <c r="AD14" s="23">
        <f t="shared" si="8"/>
        <v>650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土蜘蛛 ユウヤ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Drop2N</v>
      </c>
      <c r="AH14" s="7">
        <v>1</v>
      </c>
      <c r="AI14" s="23">
        <f t="shared" ca="1" si="9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7">
        <v>1</v>
      </c>
    </row>
    <row r="15" spans="1:42" ht="21" customHeight="1" x14ac:dyDescent="0.15">
      <c r="A15" s="15" t="str">
        <f t="shared" si="5"/>
        <v>41012_2-3/663&lt;lv55&gt;s2</v>
      </c>
      <c r="B15" s="21">
        <v>41012</v>
      </c>
      <c r="C15" s="20">
        <v>2</v>
      </c>
      <c r="D15" s="2" t="str">
        <f t="shared" si="6"/>
        <v>41012_2</v>
      </c>
      <c r="E15" s="4" t="str">
        <f ca="1">VLOOKUP($B15,OFFSET([2]quests!$A$1,0,0,COUNTA([2]quests!$A:$A),MATCH(E$1,[2]quests!$1:$1,0)-MATCH($B$1,[2]quests!$1:$1,0)+1),MATCH(E$1,[2]quests!$1:$1,0)-MATCH($B$1,[2]quests!$1:$1,0)+1,FALSE)</f>
        <v>ショウキ襲来！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【ウィザード級】ショウキ襲来</v>
      </c>
      <c r="G15" s="105">
        <v>3</v>
      </c>
      <c r="H15" s="14" t="str">
        <f t="shared" si="7"/>
        <v>41012_2-3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7" t="s">
        <v>167</v>
      </c>
      <c r="L15" s="106">
        <v>663</v>
      </c>
      <c r="M15" s="16" t="str">
        <f ca="1">VLOOKUP($L15,OFFSET([3]enemies!$A$1,0,0,COUNTA([3]enemies!$A:$A),MATCH(M$1,[3]enemies!$1:$1,0)-MATCH($L$1,[3]enemies!$1:$1,0)+1),MATCH(M$1,[3]enemies!$1:$1,0)-MATCH($L$1,[3]enemies!$1:$1,0)+1,FALSE)</f>
        <v>都揺らす地響き ダイダラ</v>
      </c>
      <c r="N15" s="16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6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6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6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55</v>
      </c>
      <c r="S15" s="24">
        <v>1.1000000000000001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117153.3</v>
      </c>
      <c r="U15" s="24">
        <v>1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4772</v>
      </c>
      <c r="W15" s="5">
        <v>0</v>
      </c>
      <c r="X15" s="4" t="e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5" s="107">
        <v>41012004</v>
      </c>
      <c r="Z15" s="6">
        <v>0</v>
      </c>
      <c r="AA15" s="6">
        <v>100</v>
      </c>
      <c r="AB15" s="6">
        <v>0</v>
      </c>
      <c r="AC15" s="108">
        <v>2</v>
      </c>
      <c r="AD15" s="23">
        <f t="shared" si="8"/>
        <v>663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都揺らす地響き ダイダラ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7">
        <v>1</v>
      </c>
      <c r="AI15" s="23">
        <f t="shared" ca="1" si="9"/>
        <v>4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7">
        <v>1</v>
      </c>
    </row>
    <row r="16" spans="1:42" ht="21" customHeight="1" x14ac:dyDescent="0.15">
      <c r="A16" s="15" t="str">
        <f t="shared" si="5"/>
        <v>41012_2-3/666&lt;lv55&gt;s1</v>
      </c>
      <c r="B16" s="21">
        <v>41012</v>
      </c>
      <c r="C16" s="20">
        <v>2</v>
      </c>
      <c r="D16" s="2" t="str">
        <f t="shared" si="6"/>
        <v>41012_2</v>
      </c>
      <c r="E16" s="4" t="str">
        <f ca="1">VLOOKUP($B16,OFFSET([2]quests!$A$1,0,0,COUNTA([2]quests!$A:$A),MATCH(E$1,[2]quests!$1:$1,0)-MATCH($B$1,[2]quests!$1:$1,0)+1),MATCH(E$1,[2]quests!$1:$1,0)-MATCH($B$1,[2]quests!$1:$1,0)+1,FALSE)</f>
        <v>ショウキ襲来！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【ウィザード級】ショウキ襲来</v>
      </c>
      <c r="G16" s="105">
        <v>3</v>
      </c>
      <c r="H16" s="14" t="str">
        <f t="shared" si="7"/>
        <v>41012_2-3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7" t="s">
        <v>167</v>
      </c>
      <c r="L16" s="106">
        <v>666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拡散する幸福 テマリ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6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55</v>
      </c>
      <c r="S16" s="24">
        <v>2.4</v>
      </c>
      <c r="T16" s="10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172754.4</v>
      </c>
      <c r="U16" s="24">
        <v>1</v>
      </c>
      <c r="V16" s="10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5786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そこにいる人をやっつけて遊ぼうよ！</v>
      </c>
      <c r="Y16" s="107">
        <v>41012005</v>
      </c>
      <c r="Z16" s="6">
        <v>0</v>
      </c>
      <c r="AA16" s="6">
        <v>100</v>
      </c>
      <c r="AB16" s="6">
        <v>1</v>
      </c>
      <c r="AC16" s="108">
        <v>1</v>
      </c>
      <c r="AD16" s="23">
        <f t="shared" si="8"/>
        <v>666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拡散する幸福 テマリ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6" s="7">
        <v>1</v>
      </c>
      <c r="AI16" s="23">
        <f t="shared" ca="1" si="9"/>
        <v>4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7">
        <v>1</v>
      </c>
    </row>
    <row r="17" spans="1:42" ht="21" customHeight="1" x14ac:dyDescent="0.15">
      <c r="A17" s="15" t="str">
        <f t="shared" si="5"/>
        <v>41012_2-4/654&lt;lv60&gt;s1</v>
      </c>
      <c r="B17" s="21">
        <v>41012</v>
      </c>
      <c r="C17" s="20">
        <v>2</v>
      </c>
      <c r="D17" s="2" t="str">
        <f t="shared" si="6"/>
        <v>41012_2</v>
      </c>
      <c r="E17" s="4" t="str">
        <f ca="1">VLOOKUP($B17,OFFSET([2]quests!$A$1,0,0,COUNTA([2]quests!$A:$A),MATCH(E$1,[2]quests!$1:$1,0)-MATCH($B$1,[2]quests!$1:$1,0)+1),MATCH(E$1,[2]quests!$1:$1,0)-MATCH($B$1,[2]quests!$1:$1,0)+1,FALSE)</f>
        <v>ショウキ襲来！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【ウィザード級】ショウキ襲来</v>
      </c>
      <c r="G17" s="105">
        <v>4</v>
      </c>
      <c r="H17" s="14" t="str">
        <f t="shared" si="7"/>
        <v>41012_2-4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7" t="s">
        <v>167</v>
      </c>
      <c r="L17" s="106">
        <v>654</v>
      </c>
      <c r="M17" s="16" t="str">
        <f ca="1">VLOOKUP($L17,OFFSET([3]enemies!$A$1,0,0,COUNTA([3]enemies!$A:$A),MATCH(M$1,[3]enemies!$1:$1,0)-MATCH($L$1,[3]enemies!$1:$1,0)+1),MATCH(M$1,[3]enemies!$1:$1,0)-MATCH($L$1,[3]enemies!$1:$1,0)+1,FALSE)</f>
        <v>酒呑童子 ヨミ</v>
      </c>
      <c r="N17" s="16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6" t="str">
        <f ca="1">VLOOKUP($L17,OFFSET([4]characters!$A$1,0,0,COUNTA([4]characters!$A:$A),MATCH(O$1,[4]characters!$1:$1,0)-MATCH($L$1,[4]characters!$1:$1,0)+1),MATCH(O$1,[4]characters!$1:$1,0)-MATCH($L$1,[4]characters!$1:$1,0)+1,FALSE)</f>
        <v>DropWizS</v>
      </c>
      <c r="P17" s="16" t="str">
        <f ca="1">VLOOKUP($L17,OFFSET([3]enemies!$A$1,0,0,COUNTA([3]enemies!$A:$A),MATCH(P$1,[3]enemies!$1:$1,0)-MATCH($L$1,[3]enemies!$1:$1,0)+1),MATCH(P$1,[3]enemies!$1:$1,0)-MATCH($L$1,[3]enemies!$1:$1,0)+1,FALSE)</f>
        <v>god</v>
      </c>
      <c r="Q17" s="16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60</v>
      </c>
      <c r="S17" s="24">
        <v>2.8</v>
      </c>
      <c r="T17" s="10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210607.59999999998</v>
      </c>
      <c r="U17" s="24">
        <v>1.1000000000000001</v>
      </c>
      <c r="V17" s="10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9398.4000000000015</v>
      </c>
      <c r="W17" s="5">
        <v>0</v>
      </c>
      <c r="X17" s="4" t="e">
        <f ca="1">VLOOKUP($Y17,OFFSET([5]enemy_skill_sets!$B$1,0,0,COUNTA([5]enemy_skill_sets!$B:$B),MATCH(M$1,[5]enemy_skill_sets!$1:$1,0)-MATCH($Y$1,[5]enemy_skill_sets!$1:$1,0)+2),MATCH(M$1,[5]enemy_skill_sets!$1:$1,0)-MATCH($Y$1,[5]enemy_skill_sets!$1:$1,0)+2,FALSE)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7" s="107">
        <v>41012006</v>
      </c>
      <c r="Z17" s="6">
        <v>0</v>
      </c>
      <c r="AA17" s="6">
        <v>100</v>
      </c>
      <c r="AB17" s="6">
        <v>0</v>
      </c>
      <c r="AC17" s="108">
        <v>1</v>
      </c>
      <c r="AD17" s="23">
        <f t="shared" si="8"/>
        <v>654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酒呑童子 ヨミ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4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7" s="7">
        <v>1</v>
      </c>
      <c r="AI17" s="23">
        <f t="shared" ca="1" si="9"/>
        <v>4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7">
        <v>1</v>
      </c>
    </row>
    <row r="18" spans="1:42" ht="21" customHeight="1" x14ac:dyDescent="0.15">
      <c r="A18" s="15" t="str">
        <f t="shared" si="5"/>
        <v>41012_2-4/660&lt;lv60&gt;s2</v>
      </c>
      <c r="B18" s="21">
        <v>41012</v>
      </c>
      <c r="C18" s="20">
        <v>2</v>
      </c>
      <c r="D18" s="2" t="str">
        <f t="shared" si="6"/>
        <v>41012_2</v>
      </c>
      <c r="E18" s="4" t="str">
        <f ca="1">VLOOKUP($B18,OFFSET([2]quests!$A$1,0,0,COUNTA([2]quests!$A:$A),MATCH(E$1,[2]quests!$1:$1,0)-MATCH($B$1,[2]quests!$1:$1,0)+1),MATCH(E$1,[2]quests!$1:$1,0)-MATCH($B$1,[2]quests!$1:$1,0)+1,FALSE)</f>
        <v>ショウキ襲来！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【ウィザード級】ショウキ襲来</v>
      </c>
      <c r="G18" s="105">
        <v>4</v>
      </c>
      <c r="H18" s="14" t="str">
        <f t="shared" si="7"/>
        <v>41012_2-4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7" t="s">
        <v>167</v>
      </c>
      <c r="L18" s="106">
        <v>660</v>
      </c>
      <c r="M18" s="16" t="str">
        <f ca="1">VLOOKUP($L18,OFFSET([3]enemies!$A$1,0,0,COUNTA([3]enemies!$A:$A),MATCH(M$1,[3]enemies!$1:$1,0)-MATCH($L$1,[3]enemies!$1:$1,0)+1),MATCH(M$1,[3]enemies!$1:$1,0)-MATCH($L$1,[3]enemies!$1:$1,0)+1,FALSE)</f>
        <v>烏天狗 フウガ</v>
      </c>
      <c r="N18" s="16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6" t="str">
        <f ca="1">VLOOKUP($L18,OFFSET([4]characters!$A$1,0,0,COUNTA([4]characters!$A:$A),MATCH(O$1,[4]characters!$1:$1,0)-MATCH($L$1,[4]characters!$1:$1,0)+1),MATCH(O$1,[4]characters!$1:$1,0)-MATCH($L$1,[4]characters!$1:$1,0)+1,FALSE)</f>
        <v>PremiumSS</v>
      </c>
      <c r="P18" s="16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6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60</v>
      </c>
      <c r="S18" s="24">
        <v>2.8</v>
      </c>
      <c r="T18" s="102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228337.19999999998</v>
      </c>
      <c r="U18" s="24">
        <v>0.9</v>
      </c>
      <c r="V18" s="102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6050.7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これより掃討を開始する――</v>
      </c>
      <c r="Y18" s="107">
        <v>41012007</v>
      </c>
      <c r="Z18" s="6">
        <v>0</v>
      </c>
      <c r="AA18" s="6">
        <v>100</v>
      </c>
      <c r="AB18" s="6">
        <v>1</v>
      </c>
      <c r="AC18" s="108">
        <v>2</v>
      </c>
      <c r="AD18" s="23">
        <f t="shared" si="8"/>
        <v>660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烏天狗 フウガ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8" s="7">
        <v>1</v>
      </c>
      <c r="AI18" s="23">
        <f t="shared" ca="1" si="9"/>
        <v>4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7">
        <v>1</v>
      </c>
    </row>
    <row r="19" spans="1:42" ht="21" customHeight="1" x14ac:dyDescent="0.15">
      <c r="A19" s="15" t="str">
        <f t="shared" si="5"/>
        <v>41012_2-5/645&lt;lv70&gt;s2</v>
      </c>
      <c r="B19" s="21">
        <v>41012</v>
      </c>
      <c r="C19" s="20">
        <v>2</v>
      </c>
      <c r="D19" s="2" t="str">
        <f t="shared" si="6"/>
        <v>41012_2</v>
      </c>
      <c r="E19" s="4" t="str">
        <f ca="1">VLOOKUP($B19,OFFSET([2]quests!$A$1,0,0,COUNTA([2]quests!$A:$A),MATCH(E$1,[2]quests!$1:$1,0)-MATCH($B$1,[2]quests!$1:$1,0)+1),MATCH(E$1,[2]quests!$1:$1,0)-MATCH($B$1,[2]quests!$1:$1,0)+1,FALSE)</f>
        <v>ショウキ襲来！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【ウィザード級】ショウキ襲来</v>
      </c>
      <c r="G19" s="105">
        <v>5</v>
      </c>
      <c r="H19" s="14" t="str">
        <f t="shared" si="7"/>
        <v>41012_2-5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7">
        <v>1</v>
      </c>
      <c r="L19" s="106">
        <v>645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百鬼夜行の創大将 ショウキ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6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70</v>
      </c>
      <c r="S19" s="24">
        <v>4.5</v>
      </c>
      <c r="T19" s="102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471996</v>
      </c>
      <c r="U19" s="24">
        <v>3</v>
      </c>
      <c r="V19" s="102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20454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出し惜しみはナシでいくぜ？_x000D_【！】次のターン永続スリープ発動【！】</v>
      </c>
      <c r="Y19" s="107">
        <v>41012008</v>
      </c>
      <c r="Z19" s="6">
        <v>0</v>
      </c>
      <c r="AA19" s="6">
        <v>100</v>
      </c>
      <c r="AB19" s="6">
        <v>1</v>
      </c>
      <c r="AC19" s="108">
        <v>2</v>
      </c>
      <c r="AD19" s="109">
        <v>644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滑瓢 ショウキ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7">
        <v>1</v>
      </c>
      <c r="AI19" s="23">
        <f t="shared" ca="1" si="9"/>
        <v>4</v>
      </c>
      <c r="AJ19" s="8">
        <v>30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4" sqref="S4:S5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53</v>
      </c>
      <c r="L1" s="35" t="s">
        <v>54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1" t="s">
        <v>251</v>
      </c>
      <c r="V1" s="25" t="s">
        <v>50</v>
      </c>
      <c r="W1" s="101" t="s">
        <v>252</v>
      </c>
      <c r="X1" s="25" t="s">
        <v>52</v>
      </c>
      <c r="Y1" s="27" t="s">
        <v>127</v>
      </c>
      <c r="Z1" s="28" t="s">
        <v>126</v>
      </c>
      <c r="AA1" s="27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41012_1-5/645&lt;lv50&gt;sq1st2</v>
      </c>
      <c r="B2" s="21">
        <v>41012</v>
      </c>
      <c r="C2" s="20">
        <v>1</v>
      </c>
      <c r="D2" s="2" t="str">
        <f>B2&amp;"_"&amp;C2</f>
        <v>41012_1</v>
      </c>
      <c r="E2" s="4" t="str">
        <f ca="1">VLOOKUP($B2,OFFSET([2]quests!$A$1,0,0,COUNTA([2]quests!$A:$A),MATCH(E$1,[2]quests!$1:$1,0)-MATCH($B$1,[2]quests!$1:$1,0)+1),MATCH(E$1,[2]quests!$1:$1,0)-MATCH($B$1,[2]quests!$1:$1,0)+1,FALSE)</f>
        <v>ショウキ襲来！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【超絶級】ショウキ襲来</v>
      </c>
      <c r="G2" s="20">
        <v>5</v>
      </c>
      <c r="H2" s="14" t="str">
        <f>B2&amp;"_"&amp;C2&amp;"-"&amp;G2</f>
        <v>41012_1-5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645</v>
      </c>
      <c r="N2" s="16" t="str">
        <f ca="1">VLOOKUP($M2,OFFSET([3]enemies!$A$1,0,0,COUNTA([3]enemies!$A:$A),MATCH(N$1,[3]enemies!$1:$1,0)-MATCH($M$1,[3]enemies!$1:$1,0)+1),MATCH(N$1,[3]enemies!$1:$1,0)-MATCH($M$1,[3]enemies!$1:$1,0)+1,FALSE)</f>
        <v>百鬼夜行の創大将 ショウキ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4">
        <v>3.6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271976.40000000002</v>
      </c>
      <c r="V2" s="24">
        <v>3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14733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07">
        <v>41012009</v>
      </c>
      <c r="AA2" s="110">
        <v>2</v>
      </c>
    </row>
    <row r="3" spans="1:27" ht="21" customHeight="1" x14ac:dyDescent="0.15">
      <c r="A3" s="15" t="str">
        <f>B3&amp;"_"&amp;C3&amp;"-"&amp;G3&amp;"/"&amp;M3&amp;"&lt;lv"&amp;S3&amp;"&gt;sq"&amp;K3&amp;"st"&amp;L3</f>
        <v>41012_1-5/645&lt;lv50&gt;sq1st3</v>
      </c>
      <c r="B3" s="21">
        <v>41012</v>
      </c>
      <c r="C3" s="20">
        <v>1</v>
      </c>
      <c r="D3" s="2" t="str">
        <f>B3&amp;"_"&amp;C3</f>
        <v>41012_1</v>
      </c>
      <c r="E3" s="4" t="str">
        <f ca="1">VLOOKUP($B3,OFFSET([2]quests!$A$1,0,0,COUNTA([2]quests!$A:$A),MATCH(E$1,[2]quests!$1:$1,0)-MATCH($B$1,[2]quests!$1:$1,0)+1),MATCH(E$1,[2]quests!$1:$1,0)-MATCH($B$1,[2]quests!$1:$1,0)+1,FALSE)</f>
        <v>ショウキ襲来！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【超絶級】ショウキ襲来</v>
      </c>
      <c r="G3" s="20">
        <v>5</v>
      </c>
      <c r="H3" s="14" t="str">
        <f>B3&amp;"_"&amp;C3&amp;"-"&amp;G3</f>
        <v>41012_1-5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37">
        <v>3</v>
      </c>
      <c r="M3" s="19">
        <v>645</v>
      </c>
      <c r="N3" s="16" t="str">
        <f ca="1">VLOOKUP($M3,OFFSET([3]enemies!$A$1,0,0,COUNTA([3]enemies!$A:$A),MATCH(N$1,[3]enemies!$1:$1,0)-MATCH($M$1,[3]enemies!$1:$1,0)+1),MATCH(N$1,[3]enemies!$1:$1,0)-MATCH($M$1,[3]enemies!$1:$1,0)+1,FALSE)</f>
        <v>百鬼夜行の創大将 ショウキ</v>
      </c>
      <c r="O3" s="1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4">
        <v>4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302196</v>
      </c>
      <c r="V3" s="24">
        <v>3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14733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07">
        <v>41012010</v>
      </c>
      <c r="AA3" s="110">
        <v>2</v>
      </c>
    </row>
    <row r="4" spans="1:27" ht="21" customHeight="1" x14ac:dyDescent="0.15">
      <c r="A4" s="15" t="str">
        <f>B4&amp;"_"&amp;C4&amp;"-"&amp;G4&amp;"/"&amp;M4&amp;"&lt;lv"&amp;S4&amp;"&gt;sq"&amp;K4&amp;"st"&amp;L4</f>
        <v>41012_2-5/831&lt;lv70&gt;sq1st2</v>
      </c>
      <c r="B4" s="21">
        <v>41012</v>
      </c>
      <c r="C4" s="20">
        <v>2</v>
      </c>
      <c r="D4" s="2" t="str">
        <f>B4&amp;"_"&amp;C4</f>
        <v>41012_2</v>
      </c>
      <c r="E4" s="4" t="str">
        <f ca="1">VLOOKUP($B4,OFFSET([2]quests!$A$1,0,0,COUNTA([2]quests!$A:$A),MATCH(E$1,[2]quests!$1:$1,0)-MATCH($B$1,[2]quests!$1:$1,0)+1),MATCH(E$1,[2]quests!$1:$1,0)-MATCH($B$1,[2]quests!$1:$1,0)+1,FALSE)</f>
        <v>ショウキ襲来！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【ウィザード級】ショウキ襲来</v>
      </c>
      <c r="G4" s="20">
        <v>5</v>
      </c>
      <c r="H4" s="14" t="str">
        <f>B4&amp;"_"&amp;C4&amp;"-"&amp;G4</f>
        <v>41012_2-5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1</v>
      </c>
      <c r="L4" s="37">
        <v>2</v>
      </c>
      <c r="M4" s="19">
        <v>831</v>
      </c>
      <c r="N4" s="16" t="str">
        <f ca="1">VLOOKUP($M4,OFFSET([3]enemies!$A$1,0,0,COUNTA([3]enemies!$A:$A),MATCH(N$1,[3]enemies!$1:$1,0)-MATCH($M$1,[3]enemies!$1:$1,0)+1),MATCH(N$1,[3]enemies!$1:$1,0)-MATCH($M$1,[3]enemies!$1:$1,0)+1,FALSE)</f>
        <v>万鬼乱襲の大創帥 ショウキ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70</v>
      </c>
      <c r="T4" s="24">
        <v>5.0999999999999996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534928.79999999993</v>
      </c>
      <c r="V4" s="24">
        <v>3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20454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07">
        <v>41012009</v>
      </c>
      <c r="AA4" s="110">
        <v>2</v>
      </c>
    </row>
    <row r="5" spans="1:27" ht="21" customHeight="1" x14ac:dyDescent="0.15">
      <c r="A5" s="15" t="str">
        <f>B5&amp;"_"&amp;C5&amp;"-"&amp;G5&amp;"/"&amp;M5&amp;"&lt;lv"&amp;S5&amp;"&gt;sq"&amp;K5&amp;"st"&amp;L5</f>
        <v>41012_2-5/831&lt;lv70&gt;sq1st3</v>
      </c>
      <c r="B5" s="21">
        <v>41012</v>
      </c>
      <c r="C5" s="20">
        <v>2</v>
      </c>
      <c r="D5" s="2" t="str">
        <f>B5&amp;"_"&amp;C5</f>
        <v>41012_2</v>
      </c>
      <c r="E5" s="4" t="str">
        <f ca="1">VLOOKUP($B5,OFFSET([2]quests!$A$1,0,0,COUNTA([2]quests!$A:$A),MATCH(E$1,[2]quests!$1:$1,0)-MATCH($B$1,[2]quests!$1:$1,0)+1),MATCH(E$1,[2]quests!$1:$1,0)-MATCH($B$1,[2]quests!$1:$1,0)+1,FALSE)</f>
        <v>ショウキ襲来！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【ウィザード級】ショウキ襲来</v>
      </c>
      <c r="G5" s="20">
        <v>5</v>
      </c>
      <c r="H5" s="14" t="str">
        <f>B5&amp;"_"&amp;C5&amp;"-"&amp;G5</f>
        <v>41012_2-5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37">
        <v>3</v>
      </c>
      <c r="M5" s="19">
        <v>831</v>
      </c>
      <c r="N5" s="16" t="str">
        <f ca="1">VLOOKUP($M5,OFFSET([3]enemies!$A$1,0,0,COUNTA([3]enemies!$A:$A),MATCH(N$1,[3]enemies!$1:$1,0)-MATCH($M$1,[3]enemies!$1:$1,0)+1),MATCH(N$1,[3]enemies!$1:$1,0)-MATCH($M$1,[3]enemies!$1:$1,0)+1,FALSE)</f>
        <v>万鬼乱襲の大創帥 ショウキ</v>
      </c>
      <c r="O5" s="16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70</v>
      </c>
      <c r="T5" s="24">
        <v>5.5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576884</v>
      </c>
      <c r="V5" s="24">
        <v>3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20454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07">
        <v>41012010</v>
      </c>
      <c r="AA5" s="110">
        <v>2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6"/>
  <sheetViews>
    <sheetView showGridLines="0" workbookViewId="0">
      <pane xSplit="5" ySplit="1" topLeftCell="F40" activePane="bottomRight" state="frozen"/>
      <selection pane="topRight"/>
      <selection pane="bottomLeft"/>
      <selection pane="bottomRight" activeCell="B57" sqref="B57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59</v>
      </c>
      <c r="B1" s="39" t="s">
        <v>60</v>
      </c>
      <c r="C1" s="39" t="s">
        <v>61</v>
      </c>
      <c r="D1" s="40" t="s">
        <v>62</v>
      </c>
      <c r="E1" s="40" t="s">
        <v>63</v>
      </c>
      <c r="F1" s="41" t="s">
        <v>64</v>
      </c>
      <c r="G1" s="42" t="s">
        <v>65</v>
      </c>
      <c r="H1" s="42" t="s">
        <v>67</v>
      </c>
      <c r="I1" s="42" t="s">
        <v>68</v>
      </c>
      <c r="J1" s="42" t="s">
        <v>69</v>
      </c>
      <c r="K1" s="43" t="s">
        <v>70</v>
      </c>
      <c r="L1" s="43" t="s">
        <v>71</v>
      </c>
      <c r="M1" s="42" t="s">
        <v>72</v>
      </c>
      <c r="N1" s="42" t="s">
        <v>73</v>
      </c>
      <c r="O1" s="42" t="s">
        <v>74</v>
      </c>
      <c r="P1" s="40" t="s">
        <v>75</v>
      </c>
      <c r="Q1" s="40" t="s">
        <v>76</v>
      </c>
      <c r="R1" s="40" t="s">
        <v>77</v>
      </c>
    </row>
    <row r="2" spans="1:18" ht="21" customHeight="1" x14ac:dyDescent="0.15">
      <c r="A2" s="38" t="str">
        <f t="shared" ref="A2" si="0">B2&amp;"_"&amp;C2</f>
        <v>41012000_41012000</v>
      </c>
      <c r="B2" s="46">
        <v>41012000</v>
      </c>
      <c r="C2" s="46">
        <v>41012000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ハッピー！！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ハッピーがショウキを止めようとしている！</v>
      </c>
      <c r="F2" s="46">
        <v>41012000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4" si="1">B3&amp;"_"&amp;C3</f>
        <v>41012000_41012002</v>
      </c>
      <c r="B3" s="46">
        <v>41012000</v>
      </c>
      <c r="C3" s="46">
        <v>41012002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ハッピー…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ハッピーはアナタに力を託して消え去った</v>
      </c>
      <c r="F3" s="46">
        <v>41012002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41012001_41012001</v>
      </c>
      <c r="B4" s="46">
        <v>41012001</v>
      </c>
      <c r="C4" s="46">
        <v>41012001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…自然発生のウィルスか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この俺を倒せるとでも思ったのか？</v>
      </c>
      <c r="F4" s="46">
        <v>41012001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ref="A5:A9" si="2">B5&amp;"_"&amp;C5</f>
        <v>41012001_41012003</v>
      </c>
      <c r="B5" s="46">
        <v>41012001</v>
      </c>
      <c r="C5" s="46">
        <v>41012003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待たせて悪かった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俺の百鬼夜行で歓迎してやろう！</v>
      </c>
      <c r="F5" s="46">
        <v>41012003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2"/>
        <v>41012001_41012047</v>
      </c>
      <c r="B6" s="46">
        <v>41012001</v>
      </c>
      <c r="C6" s="112">
        <v>41012047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………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………いや、まさかな…</v>
      </c>
      <c r="F6" s="46">
        <v>41012047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658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2"/>
        <v>41012001_41012048</v>
      </c>
      <c r="B7" s="46">
        <v>41012001</v>
      </c>
      <c r="C7" s="112">
        <v>41012048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………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………いや、まさかな…</v>
      </c>
      <c r="F7" s="46">
        <v>41012048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659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ref="A8" si="3">B8&amp;"_"&amp;C8</f>
        <v>41012001_41012051</v>
      </c>
      <c r="B8" s="46">
        <v>41012001</v>
      </c>
      <c r="C8" s="112">
        <v>41012051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………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………いや、まさかな…</v>
      </c>
      <c r="F8" s="46">
        <v>41012051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829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2"/>
        <v>41012011_41012004</v>
      </c>
      <c r="B9" s="111">
        <v>41012011</v>
      </c>
      <c r="C9" s="111">
        <v>41012004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フフ…全部凍らせてあげる！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邪魔だけはしないでね　蜘蛛さん♪</v>
      </c>
      <c r="F9" s="46">
        <v>41012004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ref="A10:A17" si="4">B10&amp;"_"&amp;C10</f>
        <v>41012002_41012005</v>
      </c>
      <c r="B10" s="46">
        <v>41012002</v>
      </c>
      <c r="C10" s="46">
        <v>41012005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雪花の舞・雹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46">
        <v>41012005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0" s="46"/>
      <c r="Q10" s="46"/>
      <c r="R10" s="46"/>
    </row>
    <row r="11" spans="1:18" ht="21" customHeight="1" x14ac:dyDescent="0.15">
      <c r="A11" s="38" t="str">
        <f t="shared" si="4"/>
        <v>41012002_41012006</v>
      </c>
      <c r="B11" s="46">
        <v>41012002</v>
      </c>
      <c r="C11" s="46">
        <v>41012006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泡雪の抱擁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3ターン攻撃力50%DOWN</v>
      </c>
      <c r="F11" s="46">
        <v>41012006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4"/>
        <v>41012002_41012007</v>
      </c>
      <c r="B12" s="46">
        <v>41012002</v>
      </c>
      <c r="C12" s="46">
        <v>41012007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凍らせてあげる！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3ターン黄パネル無効</v>
      </c>
      <c r="F12" s="46">
        <v>41012007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4"/>
        <v>41012011_41012008</v>
      </c>
      <c r="B13" s="111">
        <v>41012011</v>
      </c>
      <c r="C13" s="111">
        <v>41012008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あァ？誰に言ってやがる！？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テメェこそ足引っ張ンじゃねェぞ！</v>
      </c>
      <c r="F13" s="46">
        <v>41012008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4"/>
        <v>41012003_41012009</v>
      </c>
      <c r="B14" s="46">
        <v>41012003</v>
      </c>
      <c r="C14" s="46">
        <v>41012009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ヒャハハ！これでも喰らいな！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14" s="46">
        <v>41012009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4"/>
        <v>41012003_41012010</v>
      </c>
      <c r="B15" s="46">
        <v>41012003</v>
      </c>
      <c r="C15" s="46">
        <v>41012010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追い打ちだァ！！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15" s="46">
        <v>41012010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5" s="46"/>
      <c r="Q15" s="46"/>
      <c r="R15" s="46"/>
    </row>
    <row r="16" spans="1:18" ht="21" customHeight="1" x14ac:dyDescent="0.15">
      <c r="A16" s="38" t="str">
        <f t="shared" si="4"/>
        <v>41012003_41012011</v>
      </c>
      <c r="B16" s="46">
        <v>41012003</v>
      </c>
      <c r="C16" s="46">
        <v>41012011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お前を喰ってやるぜ！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全体攻撃＋HP回復</v>
      </c>
      <c r="F16" s="46">
        <v>41012011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7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6"/>
      <c r="Q16" s="46"/>
      <c r="R16" s="46"/>
    </row>
    <row r="17" spans="1:18" ht="21" customHeight="1" x14ac:dyDescent="0.15">
      <c r="A17" s="38" t="str">
        <f t="shared" si="4"/>
        <v>41012004_41012012</v>
      </c>
      <c r="B17" s="46">
        <v>41012004</v>
      </c>
      <c r="C17" s="46">
        <v>41012012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次は何して遊ぶんだなー？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ダイダラとテマリが相談している</v>
      </c>
      <c r="F17" s="46">
        <v>41012012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ref="A18:A33" si="5">B18&amp;"_"&amp;C18</f>
        <v>41012004_41012013</v>
      </c>
      <c r="B18" s="46">
        <v>41012004</v>
      </c>
      <c r="C18" s="46">
        <v>41012013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足踏み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お邪魔パネルを4個生成＋攻撃</v>
      </c>
      <c r="F18" s="46">
        <v>41012013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5"/>
        <v>41012004_41012014</v>
      </c>
      <c r="B19" s="46">
        <v>41012004</v>
      </c>
      <c r="C19" s="46">
        <v>41012014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土盛り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2ターン防御力UP</v>
      </c>
      <c r="F19" s="46">
        <v>41012014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5"/>
        <v>41012004_41012015</v>
      </c>
      <c r="B20" s="46">
        <v>41012004</v>
      </c>
      <c r="C20" s="46">
        <v>41012015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フゥ…少し疲れたんだなー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3ターン全属性カウンター</v>
      </c>
      <c r="F20" s="46">
        <v>41012015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666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5"/>
        <v>41012005_41012016</v>
      </c>
      <c r="B21" s="46">
        <v>41012005</v>
      </c>
      <c r="C21" s="46">
        <v>41012016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あ　いいこと考えた！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そこにいる人をやっつけて遊ぼうよ！</v>
      </c>
      <c r="F21" s="46">
        <v>41012016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5"/>
        <v>41012005_41012017</v>
      </c>
      <c r="B22" s="46">
        <v>41012005</v>
      </c>
      <c r="C22" s="46">
        <v>41012017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投擲遊戯・風羽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2" s="46">
        <v>41012017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2" s="46"/>
      <c r="Q22" s="46"/>
      <c r="R22" s="46"/>
    </row>
    <row r="23" spans="1:18" ht="21" customHeight="1" x14ac:dyDescent="0.15">
      <c r="A23" s="38" t="str">
        <f t="shared" si="5"/>
        <v>41012005_41012018</v>
      </c>
      <c r="B23" s="46">
        <v>41012005</v>
      </c>
      <c r="C23" s="46">
        <v>41012018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舞踏遊戯・風車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3" s="46">
        <v>41012018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6"/>
      <c r="Q23" s="46"/>
      <c r="R23" s="46"/>
    </row>
    <row r="24" spans="1:18" ht="21" customHeight="1" x14ac:dyDescent="0.15">
      <c r="A24" s="38" t="str">
        <f t="shared" si="5"/>
        <v>41012005_41012019</v>
      </c>
      <c r="B24" s="46">
        <v>41012005</v>
      </c>
      <c r="C24" s="46">
        <v>41012019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まだまだ帰らせないよっ！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3ターンスキルバインド</v>
      </c>
      <c r="F24" s="46">
        <v>41012019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5"/>
        <v>41012006_41012020</v>
      </c>
      <c r="B25" s="46">
        <v>41012006</v>
      </c>
      <c r="C25" s="46">
        <v>41012020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見つけたわよ　あんた達！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ヨミとフウガが立ちはだかる！</v>
      </c>
      <c r="F25" s="46">
        <v>41012020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5"/>
        <v>41012006_41012021</v>
      </c>
      <c r="B26" s="46">
        <v>41012006</v>
      </c>
      <c r="C26" s="46">
        <v>41012021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無双連撃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6" s="46">
        <v>41012021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6" s="46"/>
      <c r="Q26" s="46"/>
      <c r="R26" s="46"/>
    </row>
    <row r="27" spans="1:18" ht="21" customHeight="1" x14ac:dyDescent="0.15">
      <c r="A27" s="38" t="str">
        <f t="shared" si="5"/>
        <v>41012006_41012022</v>
      </c>
      <c r="B27" s="46">
        <v>41012006</v>
      </c>
      <c r="C27" s="46">
        <v>41012022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闘気爆発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27" s="46">
        <v>41012022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5"/>
        <v>41012006_41012023</v>
      </c>
      <c r="B28" s="46">
        <v>41012006</v>
      </c>
      <c r="C28" s="46">
        <v>41012023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これで仕留めてみせる…！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【！】次のターン強力な緑パネル吸収攻撃【！】</v>
      </c>
      <c r="F28" s="46">
        <v>41012023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5"/>
        <v>41012006_41012024</v>
      </c>
      <c r="B29" s="46">
        <v>41012006</v>
      </c>
      <c r="C29" s="46">
        <v>41012024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黄泉送りの太刀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強力な緑パネル吸収攻撃</v>
      </c>
      <c r="F29" s="46">
        <v>41012024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5"/>
        <v>41012007_41012025</v>
      </c>
      <c r="B30" s="46">
        <v>41012007</v>
      </c>
      <c r="C30" s="46">
        <v>41012025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目標を捕捉した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これより掃討を開始する――</v>
      </c>
      <c r="F30" s="46">
        <v>41012025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si="5"/>
        <v>41012007_41012026</v>
      </c>
      <c r="B31" s="46">
        <v>41012007</v>
      </c>
      <c r="C31" s="46">
        <v>41012026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天眼逆流・一式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5ターン攻撃力44%DOWN＋攻撃</v>
      </c>
      <c r="F31" s="46">
        <v>41012026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5"/>
        <v>41012007_41012027</v>
      </c>
      <c r="B32" s="46">
        <v>41012007</v>
      </c>
      <c r="C32" s="46">
        <v>41012027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宿命劣化・一式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5ターン回復力44%DOWN＋攻撃</v>
      </c>
      <c r="F32" s="46">
        <v>41012027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5"/>
        <v>41012007_41012028</v>
      </c>
      <c r="B33" s="46">
        <v>41012007</v>
      </c>
      <c r="C33" s="46">
        <v>41012028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天眼逆流・二式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4ターン攻撃力55%DOWN＋攻撃</v>
      </c>
      <c r="F33" s="46">
        <v>41012028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3" s="47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ref="A34:A53" si="6">B34&amp;"_"&amp;C34</f>
        <v>41012007_41012029</v>
      </c>
      <c r="B34" s="46">
        <v>41012007</v>
      </c>
      <c r="C34" s="46">
        <v>41012029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宿命劣化・二式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4ターン回復力55%DOWN＋攻撃</v>
      </c>
      <c r="F34" s="46">
        <v>41012029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4" s="47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6"/>
        <v>41012007_41012030</v>
      </c>
      <c r="B35" s="46">
        <v>41012007</v>
      </c>
      <c r="C35" s="46">
        <v>41012030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天眼逆流・三式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3ターン攻撃力66%DOWN＋攻撃</v>
      </c>
      <c r="F35" s="46">
        <v>41012030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7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6"/>
        <v>41012007_41012031</v>
      </c>
      <c r="B36" s="46">
        <v>41012007</v>
      </c>
      <c r="C36" s="46">
        <v>41012031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宿命劣化・三式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3ターン回復力66%DOWN＋攻撃</v>
      </c>
      <c r="F36" s="46">
        <v>41012031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47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6"/>
        <v>41012007_41012032</v>
      </c>
      <c r="B37" s="46">
        <v>41012007</v>
      </c>
      <c r="C37" s="46">
        <v>41012032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データ受領…動作を最適化する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37" s="46">
        <v>41012032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654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6"/>
        <v>41012008_41012033</v>
      </c>
      <c r="B38" s="46">
        <v>41012008</v>
      </c>
      <c r="C38" s="46">
        <v>41012033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…想像以上の強さだな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出し惜しみはナシでいくぜ？_x000D_【！】次のターン永続スリープ発動【！】</v>
      </c>
      <c r="F38" s="46">
        <v>41012033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6"/>
        <v>41012008_41012049</v>
      </c>
      <c r="B39" s="46">
        <v>41012008</v>
      </c>
      <c r="C39" s="112">
        <v>41012049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その力…やはりクルミか！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今度こそ確実に処分する…！_x000D_【！】次のターン永続スリープ発動【！】</v>
      </c>
      <c r="F39" s="46">
        <v>41012049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658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6"/>
        <v>41012008_41012050</v>
      </c>
      <c r="B40" s="46">
        <v>41012008</v>
      </c>
      <c r="C40" s="112">
        <v>41012050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その力…やはりクルミか！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今度こそ確実に処分する…！_x000D_【！】次のターン永続スリープ発動【！】</v>
      </c>
      <c r="F40" s="46">
        <v>41012050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659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ref="A41" si="7">B41&amp;"_"&amp;C41</f>
        <v>41012008_41012052</v>
      </c>
      <c r="B41" s="46">
        <v>41012008</v>
      </c>
      <c r="C41" s="112">
        <v>41012052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その力…やはりクルミか！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今度こそ確実に処分する…！_x000D_【！】次のターン永続スリープ発動【！】</v>
      </c>
      <c r="F41" s="46">
        <v>41012052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829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6"/>
        <v>41012008_41012034</v>
      </c>
      <c r="B42" s="46">
        <v>41012008</v>
      </c>
      <c r="C42" s="46">
        <v>41012034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万物催眠『ナイトメア』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こいつで一生お寝んねしてな！</v>
      </c>
      <c r="F42" s="46">
        <v>41012034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6"/>
        <v>41012008_41012035</v>
      </c>
      <c r="B43" s="46">
        <v>41012008</v>
      </c>
      <c r="C43" s="46">
        <v>41012035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ハハッなぶり殺しだ！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3" s="46">
        <v>41012035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6"/>
        <v>41012008_41012036</v>
      </c>
      <c r="B44" s="46">
        <v>41012008</v>
      </c>
      <c r="C44" s="46">
        <v>41012036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エラソーなヤツは嫌いでね！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44" s="46">
        <v>41012036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4" s="46"/>
      <c r="Q44" s="46"/>
      <c r="R44" s="46"/>
    </row>
    <row r="45" spans="1:18" ht="21" customHeight="1" x14ac:dyDescent="0.15">
      <c r="A45" s="38" t="str">
        <f t="shared" si="6"/>
        <v>41012009_41012037</v>
      </c>
      <c r="B45" s="46">
        <v>41012009</v>
      </c>
      <c r="C45" s="46">
        <v>41012037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なら次のカードを切るだけだ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超高確率で時限式赤パネルをドロップ</v>
      </c>
      <c r="F45" s="46">
        <v>41012037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6"/>
        <v>41012009_41012038</v>
      </c>
      <c r="B46" s="46">
        <v>41012009</v>
      </c>
      <c r="C46" s="46">
        <v>41012038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さぁ　詰めていくぞ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青パネルプロテクト＋攻撃</v>
      </c>
      <c r="F46" s="46">
        <v>41012038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6"/>
        <v>41012009_41012039</v>
      </c>
      <c r="B47" s="46">
        <v>41012009</v>
      </c>
      <c r="C47" s="46">
        <v>41012039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次はこの一手だ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緑パネルプロテクト＋攻撃</v>
      </c>
      <c r="F47" s="46">
        <v>41012039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7" s="46"/>
      <c r="Q47" s="46"/>
      <c r="R47" s="46"/>
    </row>
    <row r="48" spans="1:18" ht="21" customHeight="1" x14ac:dyDescent="0.15">
      <c r="A48" s="38" t="str">
        <f t="shared" si="6"/>
        <v>41012009_41012040</v>
      </c>
      <c r="B48" s="46">
        <v>41012009</v>
      </c>
      <c r="C48" s="46">
        <v>41012040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対処しきれるか？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黄パネルプロテクト＋攻撃</v>
      </c>
      <c r="F48" s="46">
        <v>41012040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8" s="46"/>
      <c r="Q48" s="46"/>
      <c r="R48" s="46"/>
    </row>
    <row r="49" spans="1:18" ht="21" customHeight="1" x14ac:dyDescent="0.15">
      <c r="A49" s="38" t="str">
        <f t="shared" si="6"/>
        <v>41012009_41012041</v>
      </c>
      <c r="B49" s="46">
        <v>41012009</v>
      </c>
      <c r="C49" s="46">
        <v>41012041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手も足も出ないって感じだな！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3ターン全属性カウンター&amp;攻撃頻度UP</v>
      </c>
      <c r="F49" s="46">
        <v>41012041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6"/>
        <v>41012010_41012042</v>
      </c>
      <c r="B50" s="46">
        <v>41012010</v>
      </c>
      <c r="C50" s="46">
        <v>41012042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そろそろ終わらせようか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Cパネル変換禁止_x000D_＋3ターンCパネル生成延長（特大）</v>
      </c>
      <c r="F50" s="46">
        <v>41012042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si="6"/>
        <v>41012010_41012043</v>
      </c>
      <c r="B51" s="46">
        <v>41012010</v>
      </c>
      <c r="C51" s="46">
        <v>41012043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悪あがきは止めとけよ！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ハートパネルを10個パネルプロテクト＋攻撃</v>
      </c>
      <c r="F51" s="46">
        <v>41012043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si="6"/>
        <v>41012010_41012044</v>
      </c>
      <c r="B52" s="46">
        <v>41012010</v>
      </c>
      <c r="C52" s="46">
        <v>41012044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いつまで保つかな！？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ランダムで12個パネルプロテクト＋攻撃</v>
      </c>
      <c r="F52" s="46">
        <v>41012044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si="6"/>
        <v>41012010_41012045</v>
      </c>
      <c r="B53" s="46">
        <v>41012010</v>
      </c>
      <c r="C53" s="46">
        <v>41012045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ここで変化の一手だ！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時限式ダメージパネルプロテクト＋攻撃</v>
      </c>
      <c r="F53" s="46">
        <v>41012045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ref="A54:A56" si="8">B54&amp;"_"&amp;C54</f>
        <v>41012010_41012046</v>
      </c>
      <c r="B54" s="46">
        <v>41012010</v>
      </c>
      <c r="C54" s="46">
        <v>41012046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勝ちの目は全て潰す…！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3ターン全属性カウンター&amp;攻撃頻度UP</v>
      </c>
      <c r="F54" s="46">
        <v>41012046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7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  <row r="55" spans="1:18" ht="21" customHeight="1" x14ac:dyDescent="0.15">
      <c r="A55" s="38" t="str">
        <f t="shared" si="8"/>
        <v>41012012_41012000</v>
      </c>
      <c r="B55" s="112">
        <v>41012012</v>
      </c>
      <c r="C55" s="46">
        <v>41012000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ハッピー！！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ハッピーがショウキを止めようとしている！</v>
      </c>
      <c r="F55" s="46">
        <v>41012000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ht="21" customHeight="1" x14ac:dyDescent="0.15">
      <c r="A56" s="38" t="str">
        <f t="shared" si="8"/>
        <v>41012012_41012053</v>
      </c>
      <c r="B56" s="112">
        <v>41012012</v>
      </c>
      <c r="C56" s="112">
        <v>41012053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ハッピー…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ハッピーはアナタに力を託して消え去った</v>
      </c>
      <c r="F56" s="46">
        <v>41012002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5"/>
  <sheetViews>
    <sheetView showGridLines="0" tabSelected="1" zoomScale="75" zoomScaleNormal="75" zoomScalePageLayoutView="75" workbookViewId="0">
      <pane ySplit="1" topLeftCell="A11" activePane="bottomLeft" state="frozenSplit"/>
      <selection pane="bottomLeft" activeCell="B16" sqref="B16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92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78</v>
      </c>
      <c r="B1" s="39" t="s">
        <v>79</v>
      </c>
      <c r="C1" s="39" t="s">
        <v>80</v>
      </c>
      <c r="D1" s="39" t="s">
        <v>124</v>
      </c>
      <c r="E1" s="39" t="s">
        <v>81</v>
      </c>
      <c r="F1" s="39" t="s">
        <v>82</v>
      </c>
      <c r="G1" s="40" t="s">
        <v>130</v>
      </c>
      <c r="H1" s="40" t="s">
        <v>136</v>
      </c>
      <c r="I1" s="40" t="s">
        <v>138</v>
      </c>
      <c r="J1" s="40" t="s">
        <v>137</v>
      </c>
      <c r="K1" s="40" t="s">
        <v>139</v>
      </c>
      <c r="L1" s="40" t="s">
        <v>131</v>
      </c>
      <c r="M1" s="40" t="s">
        <v>129</v>
      </c>
      <c r="N1" s="40" t="s">
        <v>132</v>
      </c>
      <c r="O1" s="40" t="s">
        <v>140</v>
      </c>
      <c r="P1" s="40" t="s">
        <v>141</v>
      </c>
      <c r="Q1" s="40" t="s">
        <v>142</v>
      </c>
      <c r="R1" s="40" t="s">
        <v>143</v>
      </c>
      <c r="S1" s="40" t="s">
        <v>133</v>
      </c>
      <c r="T1" s="40" t="s">
        <v>134</v>
      </c>
      <c r="U1" s="40" t="s">
        <v>144</v>
      </c>
      <c r="V1" s="40" t="s">
        <v>145</v>
      </c>
      <c r="W1" s="40" t="s">
        <v>146</v>
      </c>
      <c r="X1" s="40" t="s">
        <v>147</v>
      </c>
      <c r="Y1" s="40" t="s">
        <v>135</v>
      </c>
      <c r="Z1" s="40" t="s">
        <v>75</v>
      </c>
      <c r="AA1" s="40" t="s">
        <v>76</v>
      </c>
      <c r="AB1" s="40" t="s">
        <v>77</v>
      </c>
    </row>
    <row r="2" spans="1:28" ht="21" customHeight="1" x14ac:dyDescent="0.15">
      <c r="A2" s="113">
        <v>41012000</v>
      </c>
      <c r="B2" s="116" t="s">
        <v>254</v>
      </c>
      <c r="C2" s="49">
        <v>3</v>
      </c>
      <c r="D2" s="49" t="s">
        <v>125</v>
      </c>
      <c r="E2" s="118" t="s">
        <v>340</v>
      </c>
      <c r="F2" s="118" t="s">
        <v>345</v>
      </c>
      <c r="G2" s="61" t="str">
        <f t="shared" ref="G2:G33" si="0">IFERROR(LEFT(B2,FIND("],",B2)),B2)</f>
        <v>[effect:fix_speed, target:enemy_all, turn:1]</v>
      </c>
      <c r="H2" s="61">
        <f t="shared" ref="H2:H33" si="1">FIND("effect:",G2)+7</f>
        <v>9</v>
      </c>
      <c r="I2" s="61">
        <f t="shared" ref="I2:I33" si="2">IFERROR(FIND(",",G2),LEN(G2))</f>
        <v>18</v>
      </c>
      <c r="J2" s="61">
        <f t="shared" ref="J2:J33" si="3">FIND("target:",G2)+7</f>
        <v>27</v>
      </c>
      <c r="K2" s="61">
        <f t="shared" ref="K2:K33" si="4">FIND(",",G2,I2+1)</f>
        <v>36</v>
      </c>
      <c r="L2" s="61" t="str">
        <f>IFERROR(VLOOKUP(MID(G2,J2,K2-J2),[6]skilldef!$C:$D,2,FALSE),"-") &amp; " / " &amp; IFERROR(VLOOKUP(MID(G2,H2,I2-H2),[6]skilldef!$A:$B,2,FALSE),"-")</f>
        <v>敵全体に / 行動値設定</v>
      </c>
      <c r="M2" s="61" t="str">
        <f t="shared" ref="M2:M33" si="5">IFERROR(RIGHT(B2,LEN(B2)-FIND("],",B2)-1),"none")</f>
        <v>[effect:suicide, val:0.03, dead_type:suicide, target:enemy_human, animation:enemy_suicide]</v>
      </c>
      <c r="N2" s="47" t="str">
        <f t="shared" ref="N2:N33" si="6">IFERROR(LEFT(M2,FIND("],",M2)+S12),M2)</f>
        <v>[effect:suicide, val:0.03, dead_type:suicide, target:enemy_human, animation:enemy_suicide]</v>
      </c>
      <c r="O2" s="61">
        <f t="shared" ref="O2:O33" si="7">FIND("effect:",N2)+7</f>
        <v>9</v>
      </c>
      <c r="P2" s="61">
        <f t="shared" ref="P2:P33" si="8">IFERROR(FIND(",",N2),LEN(N2))</f>
        <v>16</v>
      </c>
      <c r="Q2" s="61">
        <f t="shared" ref="Q2:Q33" si="9">FIND("target:",N2)+7</f>
        <v>54</v>
      </c>
      <c r="R2" s="61">
        <f t="shared" ref="R2:R33" si="10">FIND(",",N2,P2+1)</f>
        <v>26</v>
      </c>
      <c r="S2" s="61" t="str">
        <f>IFERROR(VLOOKUP(MID(N2,Q2,R2-Q2),[6]skilldef!$C:$D,2,FALSE),"-") &amp; " / " &amp; IFERROR(VLOOKUP(MID(N2,O2,P2-O2),[6]skilldef!$A:$B,2,FALSE),"-")</f>
        <v>- / -</v>
      </c>
      <c r="T2" s="47" t="str">
        <f t="shared" ref="T2:T33" si="11">IFERROR(RIGHT(M2,LEN(M2)-FIND("],",M2)-1),"none")</f>
        <v>none</v>
      </c>
      <c r="U2" s="61" t="e">
        <f t="shared" ref="U2:U33" si="12">FIND("effect:",T2)+7</f>
        <v>#VALUE!</v>
      </c>
      <c r="V2" s="61">
        <f t="shared" ref="V2:V33" si="13">IFERROR(FIND(",",T2),LEN(T2))</f>
        <v>4</v>
      </c>
      <c r="W2" s="61" t="e">
        <f t="shared" ref="W2:W33" si="14">FIND("target:",T2)+7</f>
        <v>#VALUE!</v>
      </c>
      <c r="X2" s="61" t="e">
        <f t="shared" ref="X2:X33" si="15"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9"/>
      <c r="AA2" s="50"/>
      <c r="AB2" s="49"/>
    </row>
    <row r="3" spans="1:28" ht="21" customHeight="1" x14ac:dyDescent="0.15">
      <c r="A3" s="113">
        <v>41012001</v>
      </c>
      <c r="B3" s="116" t="s">
        <v>255</v>
      </c>
      <c r="C3" s="49">
        <v>3</v>
      </c>
      <c r="D3" s="49" t="s">
        <v>125</v>
      </c>
      <c r="E3" s="118" t="s">
        <v>296</v>
      </c>
      <c r="F3" s="118" t="s">
        <v>346</v>
      </c>
      <c r="G3" s="61" t="str">
        <f t="shared" si="0"/>
        <v>[effect:sleep, target:unit_all, turn:1, rate:1]</v>
      </c>
      <c r="H3" s="61">
        <f t="shared" si="1"/>
        <v>9</v>
      </c>
      <c r="I3" s="61">
        <f t="shared" si="2"/>
        <v>14</v>
      </c>
      <c r="J3" s="61">
        <f t="shared" si="3"/>
        <v>23</v>
      </c>
      <c r="K3" s="61">
        <f t="shared" si="4"/>
        <v>31</v>
      </c>
      <c r="L3" s="61" t="str">
        <f>IFERROR(VLOOKUP(MID(G3,J3,K3-J3),[6]skilldef!$C:$D,2,FALSE),"-") &amp; " / " &amp; IFERROR(VLOOKUP(MID(G3,H3,I3-H3),[6]skilldef!$A:$B,2,FALSE),"-")</f>
        <v>味方全体に / スリープ</v>
      </c>
      <c r="M3" s="61" t="str">
        <f t="shared" si="5"/>
        <v>[effect:suicide, val:0.9, dead_type:suicide, target:enemy_heal, animation:enemy_suicide]</v>
      </c>
      <c r="N3" s="47" t="str">
        <f t="shared" si="6"/>
        <v>[effect:suicide, val:0.9, dead_type:suicide, target:enemy_heal, animation:enemy_suicide]</v>
      </c>
      <c r="O3" s="61">
        <f t="shared" si="7"/>
        <v>9</v>
      </c>
      <c r="P3" s="61">
        <f t="shared" si="8"/>
        <v>16</v>
      </c>
      <c r="Q3" s="61">
        <f t="shared" si="9"/>
        <v>53</v>
      </c>
      <c r="R3" s="61">
        <f t="shared" si="10"/>
        <v>25</v>
      </c>
      <c r="S3" s="61" t="str">
        <f>IFERROR(VLOOKUP(MID(N3,Q3,R3-Q3),[6]skilldef!$C:$D,2,FALSE),"-") &amp; " / " &amp; IFERROR(VLOOKUP(MID(N3,O3,P3-O3),[6]skilldef!$A:$B,2,FALSE),"-")</f>
        <v>- / -</v>
      </c>
      <c r="T3" s="47" t="str">
        <f t="shared" si="11"/>
        <v>none</v>
      </c>
      <c r="U3" s="61" t="e">
        <f t="shared" si="12"/>
        <v>#VALUE!</v>
      </c>
      <c r="V3" s="61">
        <f t="shared" si="13"/>
        <v>4</v>
      </c>
      <c r="W3" s="61" t="e">
        <f t="shared" si="14"/>
        <v>#VALUE!</v>
      </c>
      <c r="X3" s="61" t="e">
        <f t="shared" si="15"/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9"/>
      <c r="AA3" s="50"/>
      <c r="AB3" s="49"/>
    </row>
    <row r="4" spans="1:28" ht="21" customHeight="1" x14ac:dyDescent="0.15">
      <c r="A4" s="113">
        <v>41012002</v>
      </c>
      <c r="B4" s="116" t="s">
        <v>256</v>
      </c>
      <c r="C4" s="49">
        <v>3</v>
      </c>
      <c r="D4" s="49" t="s">
        <v>125</v>
      </c>
      <c r="E4" s="118" t="s">
        <v>341</v>
      </c>
      <c r="F4" s="118" t="s">
        <v>347</v>
      </c>
      <c r="G4" s="61" t="str">
        <f t="shared" si="0"/>
        <v>[effect:tolerance, target:unit_all, turn:40, tolerance_effect:sleep, count:-1, animation:prevent_abnormal_Unit04]</v>
      </c>
      <c r="H4" s="61">
        <f t="shared" si="1"/>
        <v>9</v>
      </c>
      <c r="I4" s="61">
        <f t="shared" si="2"/>
        <v>18</v>
      </c>
      <c r="J4" s="61">
        <f t="shared" si="3"/>
        <v>27</v>
      </c>
      <c r="K4" s="61">
        <f t="shared" si="4"/>
        <v>35</v>
      </c>
      <c r="L4" s="61" t="str">
        <f>IFERROR(VLOOKUP(MID(G4,J4,K4-J4),[6]skilldef!$C:$D,2,FALSE),"-") &amp; " / " &amp; IFERROR(VLOOKUP(MID(G4,H4,I4-H4),[6]skilldef!$A:$B,2,FALSE),"-")</f>
        <v>味方全体に / 状態異常耐性</v>
      </c>
      <c r="M4" s="61" t="str">
        <f t="shared" si="5"/>
        <v>[effect:suicide, val:1.0, dead_type:escape, target:myself]</v>
      </c>
      <c r="N4" s="47" t="str">
        <f t="shared" si="6"/>
        <v>[effect:suicide, val:1.0, dead_type:escape, target:myself]</v>
      </c>
      <c r="O4" s="61">
        <f t="shared" si="7"/>
        <v>9</v>
      </c>
      <c r="P4" s="61">
        <f t="shared" si="8"/>
        <v>16</v>
      </c>
      <c r="Q4" s="61">
        <f t="shared" si="9"/>
        <v>52</v>
      </c>
      <c r="R4" s="61">
        <f t="shared" si="10"/>
        <v>25</v>
      </c>
      <c r="S4" s="61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9"/>
      <c r="AA4" s="50"/>
      <c r="AB4" s="49"/>
    </row>
    <row r="5" spans="1:28" ht="21" customHeight="1" x14ac:dyDescent="0.15">
      <c r="A5" s="113">
        <v>41012003</v>
      </c>
      <c r="B5" s="116" t="s">
        <v>257</v>
      </c>
      <c r="C5" s="49">
        <v>3</v>
      </c>
      <c r="D5" s="49" t="s">
        <v>125</v>
      </c>
      <c r="E5" s="118" t="s">
        <v>297</v>
      </c>
      <c r="F5" s="118" t="s">
        <v>348</v>
      </c>
      <c r="G5" s="61" t="str">
        <f t="shared" si="0"/>
        <v>[effect:suicide, val:1.0, dead_type:escape, target:myself]</v>
      </c>
      <c r="H5" s="61">
        <f t="shared" si="1"/>
        <v>9</v>
      </c>
      <c r="I5" s="61">
        <f t="shared" si="2"/>
        <v>16</v>
      </c>
      <c r="J5" s="61">
        <f t="shared" si="3"/>
        <v>52</v>
      </c>
      <c r="K5" s="61">
        <f t="shared" si="4"/>
        <v>25</v>
      </c>
      <c r="L5" s="61" t="str">
        <f>IFERROR(VLOOKUP(MID(G5,J5,K5-J5),[6]skilldef!$C:$D,2,FALSE),"-") &amp; " / " &amp; IFERROR(VLOOKUP(MID(G5,H5,I5-H5),[6]skilldef!$A:$B,2,FALSE),"-")</f>
        <v>- / -</v>
      </c>
      <c r="M5" s="61" t="str">
        <f t="shared" si="5"/>
        <v>none</v>
      </c>
      <c r="N5" s="47" t="str">
        <f t="shared" si="6"/>
        <v>none</v>
      </c>
      <c r="O5" s="61" t="e">
        <f t="shared" si="7"/>
        <v>#VALUE!</v>
      </c>
      <c r="P5" s="61">
        <f t="shared" si="8"/>
        <v>4</v>
      </c>
      <c r="Q5" s="61" t="e">
        <f t="shared" si="9"/>
        <v>#VALUE!</v>
      </c>
      <c r="R5" s="61" t="e">
        <f t="shared" si="10"/>
        <v>#VALUE!</v>
      </c>
      <c r="S5" s="61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9"/>
      <c r="AA5" s="50"/>
      <c r="AB5" s="49"/>
    </row>
    <row r="6" spans="1:28" ht="21" customHeight="1" x14ac:dyDescent="0.15">
      <c r="A6" s="114">
        <v>41012004</v>
      </c>
      <c r="B6" s="114" t="s">
        <v>258</v>
      </c>
      <c r="C6" s="49">
        <v>3</v>
      </c>
      <c r="D6" s="49" t="s">
        <v>125</v>
      </c>
      <c r="E6" s="119" t="s">
        <v>298</v>
      </c>
      <c r="F6" s="119" t="s">
        <v>349</v>
      </c>
      <c r="G6" s="61" t="str">
        <f t="shared" si="0"/>
        <v>[effect:nothing]</v>
      </c>
      <c r="H6" s="61">
        <f t="shared" si="1"/>
        <v>9</v>
      </c>
      <c r="I6" s="61">
        <f t="shared" si="2"/>
        <v>16</v>
      </c>
      <c r="J6" s="61" t="e">
        <f t="shared" si="3"/>
        <v>#VALUE!</v>
      </c>
      <c r="K6" s="61" t="e">
        <f t="shared" si="4"/>
        <v>#VALUE!</v>
      </c>
      <c r="L6" s="61" t="str">
        <f>IFERROR(VLOOKUP(MID(G6,J6,K6-J6),[6]skilldef!$C:$D,2,FALSE),"-") &amp; " / " &amp; IFERROR(VLOOKUP(MID(G6,H6,I6-H6),[6]skilldef!$A:$B,2,FALSE),"-")</f>
        <v>- / 何もしない</v>
      </c>
      <c r="M6" s="61" t="str">
        <f t="shared" si="5"/>
        <v>none</v>
      </c>
      <c r="N6" s="47" t="str">
        <f t="shared" si="6"/>
        <v>none</v>
      </c>
      <c r="O6" s="61" t="e">
        <f t="shared" si="7"/>
        <v>#VALUE!</v>
      </c>
      <c r="P6" s="61">
        <f t="shared" si="8"/>
        <v>4</v>
      </c>
      <c r="Q6" s="61" t="e">
        <f t="shared" si="9"/>
        <v>#VALUE!</v>
      </c>
      <c r="R6" s="61" t="e">
        <f t="shared" si="10"/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7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9"/>
      <c r="AA6" s="50"/>
      <c r="AB6" s="49"/>
    </row>
    <row r="7" spans="1:28" ht="21" customHeight="1" x14ac:dyDescent="0.15">
      <c r="A7" s="113">
        <v>41012005</v>
      </c>
      <c r="B7" s="117" t="s">
        <v>259</v>
      </c>
      <c r="C7" s="49">
        <v>3</v>
      </c>
      <c r="D7" s="49" t="s">
        <v>125</v>
      </c>
      <c r="E7" s="120" t="s">
        <v>299</v>
      </c>
      <c r="F7" s="120" t="s">
        <v>381</v>
      </c>
      <c r="G7" s="61" t="str">
        <f t="shared" si="0"/>
        <v>[effect:critical, val:1.2]</v>
      </c>
      <c r="H7" s="61">
        <f t="shared" si="1"/>
        <v>9</v>
      </c>
      <c r="I7" s="61">
        <f t="shared" si="2"/>
        <v>17</v>
      </c>
      <c r="J7" s="61" t="e">
        <f t="shared" si="3"/>
        <v>#VALUE!</v>
      </c>
      <c r="K7" s="61" t="e">
        <f t="shared" si="4"/>
        <v>#VALUE!</v>
      </c>
      <c r="L7" s="61" t="str">
        <f>IFERROR(VLOOKUP(MID(G7,J7,K7-J7),[6]skilldef!$C:$D,2,FALSE),"-") &amp; " / " &amp; IFERROR(VLOOKUP(MID(G7,H7,I7-H7),[6]skilldef!$A:$B,2,FALSE),"-")</f>
        <v>- / 大攻撃</v>
      </c>
      <c r="M7" s="61" t="str">
        <f t="shared" si="5"/>
        <v>none</v>
      </c>
      <c r="N7" s="47" t="str">
        <f t="shared" si="6"/>
        <v>none</v>
      </c>
      <c r="O7" s="61" t="e">
        <f t="shared" si="7"/>
        <v>#VALUE!</v>
      </c>
      <c r="P7" s="61">
        <f t="shared" si="8"/>
        <v>4</v>
      </c>
      <c r="Q7" s="61" t="e">
        <f t="shared" si="9"/>
        <v>#VALUE!</v>
      </c>
      <c r="R7" s="61" t="e">
        <f t="shared" si="10"/>
        <v>#VALUE!</v>
      </c>
      <c r="S7" s="61" t="str">
        <f>IFERROR(VLOOKUP(MID(N7,Q7,R7-Q7),[6]skilldef!$C:$D,2,FALSE),"-") &amp; " / " &amp; IFERROR(VLOOKUP(MID(N7,O7,P7-O7),[6]skilldef!$A:$B,2,FALSE),"-")</f>
        <v>- / -</v>
      </c>
      <c r="T7" s="47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9"/>
      <c r="AA7" s="50"/>
      <c r="AB7" s="49"/>
    </row>
    <row r="8" spans="1:28" ht="21" customHeight="1" x14ac:dyDescent="0.15">
      <c r="A8" s="113">
        <v>41012006</v>
      </c>
      <c r="B8" s="117" t="s">
        <v>260</v>
      </c>
      <c r="C8" s="49">
        <v>3</v>
      </c>
      <c r="D8" s="49" t="s">
        <v>125</v>
      </c>
      <c r="E8" s="120" t="s">
        <v>300</v>
      </c>
      <c r="F8" s="120" t="s">
        <v>351</v>
      </c>
      <c r="G8" s="61" t="str">
        <f t="shared" si="0"/>
        <v>[effect:degrade_unit, target:unit_all, turn:3, status:attack, val:0.5]</v>
      </c>
      <c r="H8" s="61">
        <f t="shared" si="1"/>
        <v>9</v>
      </c>
      <c r="I8" s="61">
        <f t="shared" si="2"/>
        <v>21</v>
      </c>
      <c r="J8" s="61">
        <f t="shared" si="3"/>
        <v>30</v>
      </c>
      <c r="K8" s="61">
        <f t="shared" si="4"/>
        <v>38</v>
      </c>
      <c r="L8" s="61" t="str">
        <f>IFERROR(VLOOKUP(MID(G8,J8,K8-J8),[6]skilldef!$C:$D,2,FALSE),"-") &amp; " / " &amp; IFERROR(VLOOKUP(MID(G8,H8,I8-H8),[6]skilldef!$A:$B,2,FALSE),"-")</f>
        <v>味方全体に / ステータスDOWN</v>
      </c>
      <c r="M8" s="61" t="str">
        <f t="shared" si="5"/>
        <v>none</v>
      </c>
      <c r="N8" s="47" t="str">
        <f t="shared" si="6"/>
        <v>none</v>
      </c>
      <c r="O8" s="61" t="e">
        <f t="shared" si="7"/>
        <v>#VALUE!</v>
      </c>
      <c r="P8" s="61">
        <f t="shared" si="8"/>
        <v>4</v>
      </c>
      <c r="Q8" s="61" t="e">
        <f t="shared" si="9"/>
        <v>#VALUE!</v>
      </c>
      <c r="R8" s="61" t="e">
        <f t="shared" si="10"/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7" t="str">
        <f t="shared" si="11"/>
        <v>none</v>
      </c>
      <c r="U8" s="61" t="e">
        <f t="shared" si="12"/>
        <v>#VALUE!</v>
      </c>
      <c r="V8" s="61">
        <f t="shared" si="13"/>
        <v>4</v>
      </c>
      <c r="W8" s="61" t="e">
        <f t="shared" si="14"/>
        <v>#VALUE!</v>
      </c>
      <c r="X8" s="61" t="e">
        <f t="shared" si="15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9"/>
      <c r="AA8" s="50"/>
      <c r="AB8" s="49"/>
    </row>
    <row r="9" spans="1:28" ht="21" customHeight="1" x14ac:dyDescent="0.15">
      <c r="A9" s="113">
        <v>41012007</v>
      </c>
      <c r="B9" s="117" t="s">
        <v>261</v>
      </c>
      <c r="C9" s="49">
        <v>3</v>
      </c>
      <c r="D9" s="49" t="s">
        <v>125</v>
      </c>
      <c r="E9" s="120" t="s">
        <v>301</v>
      </c>
      <c r="F9" s="120" t="s">
        <v>415</v>
      </c>
      <c r="G9" s="61" t="str">
        <f t="shared" si="0"/>
        <v>[effect:dis_panel, target:block_yellow, turn:3, animation:enemy_dis_yellow]</v>
      </c>
      <c r="H9" s="61">
        <f t="shared" si="1"/>
        <v>9</v>
      </c>
      <c r="I9" s="61">
        <f t="shared" si="2"/>
        <v>18</v>
      </c>
      <c r="J9" s="61">
        <f t="shared" si="3"/>
        <v>27</v>
      </c>
      <c r="K9" s="61">
        <f t="shared" si="4"/>
        <v>39</v>
      </c>
      <c r="L9" s="61" t="str">
        <f>IFERROR(VLOOKUP(MID(G9,J9,K9-J9),[6]skilldef!$C:$D,2,FALSE),"-") &amp; " / " &amp; IFERROR(VLOOKUP(MID(G9,H9,I9-H9),[6]skilldef!$A:$B,2,FALSE),"-")</f>
        <v>黄色パネルを / ディスパネル</v>
      </c>
      <c r="M9" s="61" t="str">
        <f t="shared" si="5"/>
        <v>none</v>
      </c>
      <c r="N9" s="47" t="str">
        <f t="shared" si="6"/>
        <v>none</v>
      </c>
      <c r="O9" s="61" t="e">
        <f t="shared" si="7"/>
        <v>#VALUE!</v>
      </c>
      <c r="P9" s="61">
        <f t="shared" si="8"/>
        <v>4</v>
      </c>
      <c r="Q9" s="61" t="e">
        <f t="shared" si="9"/>
        <v>#VALUE!</v>
      </c>
      <c r="R9" s="61" t="e">
        <f t="shared" si="10"/>
        <v>#VALUE!</v>
      </c>
      <c r="S9" s="61" t="str">
        <f>IFERROR(VLOOKUP(MID(N9,Q9,R9-Q9),[6]skilldef!$C:$D,2,FALSE),"-") &amp; " / " &amp; IFERROR(VLOOKUP(MID(N9,O9,P9-O9),[6]skilldef!$A:$B,2,FALSE),"-")</f>
        <v>- / -</v>
      </c>
      <c r="T9" s="47" t="str">
        <f t="shared" si="11"/>
        <v>none</v>
      </c>
      <c r="U9" s="61" t="e">
        <f t="shared" si="12"/>
        <v>#VALUE!</v>
      </c>
      <c r="V9" s="61">
        <f t="shared" si="13"/>
        <v>4</v>
      </c>
      <c r="W9" s="61" t="e">
        <f t="shared" si="14"/>
        <v>#VALUE!</v>
      </c>
      <c r="X9" s="61" t="e">
        <f t="shared" si="15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9"/>
      <c r="AA9" s="50"/>
      <c r="AB9" s="49"/>
    </row>
    <row r="10" spans="1:28" ht="21" customHeight="1" x14ac:dyDescent="0.15">
      <c r="A10" s="114">
        <v>41012008</v>
      </c>
      <c r="B10" s="114" t="s">
        <v>258</v>
      </c>
      <c r="C10" s="49">
        <v>3</v>
      </c>
      <c r="D10" s="49" t="s">
        <v>125</v>
      </c>
      <c r="E10" s="119" t="s">
        <v>302</v>
      </c>
      <c r="F10" s="119" t="s">
        <v>352</v>
      </c>
      <c r="G10" s="61" t="str">
        <f t="shared" si="0"/>
        <v>[effect:nothing]</v>
      </c>
      <c r="H10" s="61">
        <f t="shared" si="1"/>
        <v>9</v>
      </c>
      <c r="I10" s="61">
        <f t="shared" si="2"/>
        <v>16</v>
      </c>
      <c r="J10" s="61" t="e">
        <f t="shared" si="3"/>
        <v>#VALUE!</v>
      </c>
      <c r="K10" s="61" t="e">
        <f t="shared" si="4"/>
        <v>#VALUE!</v>
      </c>
      <c r="L10" s="61" t="str">
        <f>IFERROR(VLOOKUP(MID(G10,J10,K10-J10),[6]skilldef!$C:$D,2,FALSE),"-") &amp; " / " &amp; IFERROR(VLOOKUP(MID(G10,H10,I10-H10),[6]skilldef!$A:$B,2,FALSE),"-")</f>
        <v>- / 何もしない</v>
      </c>
      <c r="M10" s="61" t="str">
        <f t="shared" si="5"/>
        <v>none</v>
      </c>
      <c r="N10" s="47" t="str">
        <f t="shared" si="6"/>
        <v>none</v>
      </c>
      <c r="O10" s="61" t="e">
        <f t="shared" si="7"/>
        <v>#VALUE!</v>
      </c>
      <c r="P10" s="61">
        <f t="shared" si="8"/>
        <v>4</v>
      </c>
      <c r="Q10" s="61" t="e">
        <f t="shared" si="9"/>
        <v>#VALUE!</v>
      </c>
      <c r="R10" s="61" t="e">
        <f t="shared" si="10"/>
        <v>#VALUE!</v>
      </c>
      <c r="S10" s="61" t="str">
        <f>IFERROR(VLOOKUP(MID(N10,Q10,R10-Q10),[6]skilldef!$C:$D,2,FALSE),"-") &amp; " / " &amp; IFERROR(VLOOKUP(MID(N10,O10,P10-O10),[6]skilldef!$A:$B,2,FALSE),"-")</f>
        <v>- / -</v>
      </c>
      <c r="T10" s="47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9"/>
      <c r="AA10" s="50"/>
      <c r="AB10" s="49"/>
    </row>
    <row r="11" spans="1:28" ht="21" customHeight="1" x14ac:dyDescent="0.15">
      <c r="A11" s="113">
        <v>41012009</v>
      </c>
      <c r="B11" s="116" t="s">
        <v>262</v>
      </c>
      <c r="C11" s="49">
        <v>3</v>
      </c>
      <c r="D11" s="49" t="s">
        <v>125</v>
      </c>
      <c r="E11" s="118" t="s">
        <v>303</v>
      </c>
      <c r="F11" s="118" t="s">
        <v>405</v>
      </c>
      <c r="G11" s="61" t="str">
        <f t="shared" si="0"/>
        <v>[effect:virus, turn:5, rate:1, val:0.02, animation:enemy_virus]</v>
      </c>
      <c r="H11" s="61">
        <f t="shared" si="1"/>
        <v>9</v>
      </c>
      <c r="I11" s="61">
        <f t="shared" si="2"/>
        <v>14</v>
      </c>
      <c r="J11" s="61" t="e">
        <f t="shared" si="3"/>
        <v>#VALUE!</v>
      </c>
      <c r="K11" s="61">
        <f t="shared" si="4"/>
        <v>22</v>
      </c>
      <c r="L11" s="61" t="str">
        <f>IFERROR(VLOOKUP(MID(G11,J11,K11-J11),[6]skilldef!$C:$D,2,FALSE),"-") &amp; " / " &amp; IFERROR(VLOOKUP(MID(G11,H11,I11-H11),[6]skilldef!$A:$B,2,FALSE),"-")</f>
        <v>- / ウィルス</v>
      </c>
      <c r="M11" s="61" t="str">
        <f t="shared" si="5"/>
        <v>none</v>
      </c>
      <c r="N11" s="47" t="str">
        <f t="shared" si="6"/>
        <v>none</v>
      </c>
      <c r="O11" s="61" t="e">
        <f t="shared" si="7"/>
        <v>#VALUE!</v>
      </c>
      <c r="P11" s="61">
        <f t="shared" si="8"/>
        <v>4</v>
      </c>
      <c r="Q11" s="61" t="e">
        <f t="shared" si="9"/>
        <v>#VALUE!</v>
      </c>
      <c r="R11" s="61" t="e">
        <f t="shared" si="10"/>
        <v>#VALUE!</v>
      </c>
      <c r="S11" s="61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1" t="e">
        <f t="shared" si="12"/>
        <v>#VALUE!</v>
      </c>
      <c r="V11" s="61">
        <f t="shared" si="13"/>
        <v>4</v>
      </c>
      <c r="W11" s="61" t="e">
        <f t="shared" si="14"/>
        <v>#VALUE!</v>
      </c>
      <c r="X11" s="61" t="e">
        <f t="shared" si="15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9"/>
      <c r="AA11" s="50"/>
      <c r="AB11" s="49"/>
    </row>
    <row r="12" spans="1:28" ht="21" customHeight="1" x14ac:dyDescent="0.15">
      <c r="A12" s="113">
        <v>41012010</v>
      </c>
      <c r="B12" s="116" t="s">
        <v>263</v>
      </c>
      <c r="C12" s="49">
        <v>3</v>
      </c>
      <c r="D12" s="49" t="s">
        <v>125</v>
      </c>
      <c r="E12" s="118" t="s">
        <v>342</v>
      </c>
      <c r="F12" s="118" t="s">
        <v>353</v>
      </c>
      <c r="G12" s="61" t="str">
        <f t="shared" si="0"/>
        <v>[effect:damage_anti_abnormal, target:unit_all, target_effect01:virus, val1:0.35, val2:0.2]</v>
      </c>
      <c r="H12" s="61">
        <f t="shared" si="1"/>
        <v>9</v>
      </c>
      <c r="I12" s="61">
        <f t="shared" si="2"/>
        <v>29</v>
      </c>
      <c r="J12" s="61">
        <f t="shared" si="3"/>
        <v>38</v>
      </c>
      <c r="K12" s="61">
        <f t="shared" si="4"/>
        <v>46</v>
      </c>
      <c r="L12" s="61" t="str">
        <f>IFERROR(VLOOKUP(MID(G12,J12,K12-J12),[6]skilldef!$C:$D,2,FALSE),"-") &amp; " / " &amp; IFERROR(VLOOKUP(MID(G12,H12,I12-H12),[6]skilldef!$A:$B,2,FALSE),"-")</f>
        <v>味方全体に / -</v>
      </c>
      <c r="M12" s="61" t="str">
        <f t="shared" si="5"/>
        <v>none</v>
      </c>
      <c r="N12" s="47" t="str">
        <f t="shared" si="6"/>
        <v>none</v>
      </c>
      <c r="O12" s="61" t="e">
        <f t="shared" si="7"/>
        <v>#VALUE!</v>
      </c>
      <c r="P12" s="61">
        <f t="shared" si="8"/>
        <v>4</v>
      </c>
      <c r="Q12" s="61" t="e">
        <f t="shared" si="9"/>
        <v>#VALUE!</v>
      </c>
      <c r="R12" s="61" t="e">
        <f t="shared" si="10"/>
        <v>#VALUE!</v>
      </c>
      <c r="S12" s="61" t="str">
        <f>IFERROR(VLOOKUP(MID(N12,Q12,R12-Q12),[6]skilldef!$C:$D,2,FALSE),"-") &amp; " / " &amp; IFERROR(VLOOKUP(MID(N12,O12,P12-O12),[6]skilldef!$A:$B,2,FALSE),"-")</f>
        <v>- / -</v>
      </c>
      <c r="T12" s="47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9"/>
      <c r="AA12" s="50"/>
      <c r="AB12" s="49"/>
    </row>
    <row r="13" spans="1:28" ht="21" customHeight="1" x14ac:dyDescent="0.15">
      <c r="A13" s="113">
        <v>41012011</v>
      </c>
      <c r="B13" s="116" t="s">
        <v>264</v>
      </c>
      <c r="C13" s="49">
        <v>3</v>
      </c>
      <c r="D13" s="49" t="s">
        <v>125</v>
      </c>
      <c r="E13" s="118" t="s">
        <v>343</v>
      </c>
      <c r="F13" s="118" t="s">
        <v>354</v>
      </c>
      <c r="G13" s="61" t="str">
        <f t="shared" si="0"/>
        <v>[effect:spread, val:0.3]</v>
      </c>
      <c r="H13" s="61">
        <f t="shared" si="1"/>
        <v>9</v>
      </c>
      <c r="I13" s="61">
        <f t="shared" si="2"/>
        <v>15</v>
      </c>
      <c r="J13" s="61" t="e">
        <f t="shared" si="3"/>
        <v>#VALUE!</v>
      </c>
      <c r="K13" s="61" t="e">
        <f t="shared" si="4"/>
        <v>#VALUE!</v>
      </c>
      <c r="L13" s="61" t="str">
        <f>IFERROR(VLOOKUP(MID(G13,J13,K13-J13),[6]skilldef!$C:$D,2,FALSE),"-") &amp; " / " &amp; IFERROR(VLOOKUP(MID(G13,H13,I13-H13),[6]skilldef!$A:$B,2,FALSE),"-")</f>
        <v>- / 全体攻撃</v>
      </c>
      <c r="M13" s="61" t="str">
        <f t="shared" si="5"/>
        <v>[effect:heal, target:myself, val:0.1, animation:enemy_heal]</v>
      </c>
      <c r="N13" s="47" t="str">
        <f t="shared" si="6"/>
        <v>[effect:heal, target:myself, val:0.1, animation:enemy_heal]</v>
      </c>
      <c r="O13" s="61">
        <f t="shared" si="7"/>
        <v>9</v>
      </c>
      <c r="P13" s="61">
        <f t="shared" si="8"/>
        <v>13</v>
      </c>
      <c r="Q13" s="61">
        <f t="shared" si="9"/>
        <v>22</v>
      </c>
      <c r="R13" s="61">
        <f t="shared" si="10"/>
        <v>28</v>
      </c>
      <c r="S13" s="61" t="str">
        <f>IFERROR(VLOOKUP(MID(N13,Q13,R13-Q13),[6]skilldef!$C:$D,2,FALSE),"-") &amp; " / " &amp; IFERROR(VLOOKUP(MID(N13,O13,P13-O13),[6]skilldef!$A:$B,2,FALSE),"-")</f>
        <v>自分自身に / 回復</v>
      </c>
      <c r="T13" s="47" t="str">
        <f t="shared" si="11"/>
        <v>none</v>
      </c>
      <c r="U13" s="61" t="e">
        <f t="shared" si="12"/>
        <v>#VALUE!</v>
      </c>
      <c r="V13" s="61">
        <f t="shared" si="13"/>
        <v>4</v>
      </c>
      <c r="W13" s="61" t="e">
        <f t="shared" si="14"/>
        <v>#VALUE!</v>
      </c>
      <c r="X13" s="61" t="e">
        <f t="shared" si="15"/>
        <v>#VALUE!</v>
      </c>
      <c r="Y13" s="61" t="str">
        <f>IFERROR(VLOOKUP(MID(T13,W13,X13-W13),[6]skilldef!$C:$D,2,FALSE),"-") &amp; " / " &amp; IFERROR(VLOOKUP(MID(T13,U13,V13-U13),[6]skilldef!$A:$B,2,FALSE),"-")</f>
        <v>- / -</v>
      </c>
      <c r="Z13" s="49"/>
      <c r="AA13" s="50"/>
      <c r="AB13" s="49"/>
    </row>
    <row r="14" spans="1:28" ht="21" customHeight="1" x14ac:dyDescent="0.15">
      <c r="A14" s="113">
        <v>41012012</v>
      </c>
      <c r="B14" s="117" t="s">
        <v>278</v>
      </c>
      <c r="C14" s="49">
        <v>3</v>
      </c>
      <c r="D14" s="49" t="s">
        <v>125</v>
      </c>
      <c r="E14" s="120" t="s">
        <v>304</v>
      </c>
      <c r="F14" s="120" t="s">
        <v>355</v>
      </c>
      <c r="G14" s="61" t="str">
        <f t="shared" si="0"/>
        <v>[effect:fix_speed, target:myself, turn:2]</v>
      </c>
      <c r="H14" s="61">
        <f t="shared" si="1"/>
        <v>9</v>
      </c>
      <c r="I14" s="61">
        <f t="shared" si="2"/>
        <v>18</v>
      </c>
      <c r="J14" s="61">
        <f t="shared" si="3"/>
        <v>27</v>
      </c>
      <c r="K14" s="61">
        <f t="shared" si="4"/>
        <v>33</v>
      </c>
      <c r="L14" s="61" t="str">
        <f>IFERROR(VLOOKUP(MID(G14,J14,K14-J14),[6]skilldef!$C:$D,2,FALSE),"-") &amp; " / " &amp; IFERROR(VLOOKUP(MID(G14,H14,I14-H14),[6]skilldef!$A:$B,2,FALSE),"-")</f>
        <v>自分自身に / 行動値設定</v>
      </c>
      <c r="M14" s="61" t="str">
        <f t="shared" si="5"/>
        <v>none</v>
      </c>
      <c r="N14" s="47" t="str">
        <f t="shared" si="6"/>
        <v>none</v>
      </c>
      <c r="O14" s="61" t="e">
        <f t="shared" si="7"/>
        <v>#VALUE!</v>
      </c>
      <c r="P14" s="61">
        <f t="shared" si="8"/>
        <v>4</v>
      </c>
      <c r="Q14" s="61" t="e">
        <f t="shared" si="9"/>
        <v>#VALUE!</v>
      </c>
      <c r="R14" s="61" t="e">
        <f t="shared" si="10"/>
        <v>#VALUE!</v>
      </c>
      <c r="S14" s="61" t="str">
        <f>IFERROR(VLOOKUP(MID(N14,Q14,R14-Q14),[6]skilldef!$C:$D,2,FALSE),"-") &amp; " / " &amp; IFERROR(VLOOKUP(MID(N14,O14,P14-O14),[6]skilldef!$A:$B,2,FALSE),"-")</f>
        <v>- / -</v>
      </c>
      <c r="T14" s="47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9"/>
      <c r="AA14" s="50"/>
      <c r="AB14" s="49"/>
    </row>
    <row r="15" spans="1:28" ht="21" customHeight="1" x14ac:dyDescent="0.15">
      <c r="A15" s="113">
        <v>41012013</v>
      </c>
      <c r="B15" s="117" t="s">
        <v>420</v>
      </c>
      <c r="C15" s="49">
        <v>3</v>
      </c>
      <c r="D15" s="49" t="s">
        <v>125</v>
      </c>
      <c r="E15" s="120" t="s">
        <v>305</v>
      </c>
      <c r="F15" s="120" t="s">
        <v>416</v>
      </c>
      <c r="G15" s="61" t="str">
        <f t="shared" si="0"/>
        <v>[effect:force_change_block, new_block:jammer, target:block_all, ignore01:block_positive, ignore02:block_negative, count:4, val:0]</v>
      </c>
      <c r="H15" s="61">
        <f t="shared" si="1"/>
        <v>9</v>
      </c>
      <c r="I15" s="61">
        <f t="shared" si="2"/>
        <v>27</v>
      </c>
      <c r="J15" s="61">
        <f t="shared" si="3"/>
        <v>54</v>
      </c>
      <c r="K15" s="61">
        <f t="shared" si="4"/>
        <v>45</v>
      </c>
      <c r="L15" s="61" t="str">
        <f>IFERROR(VLOOKUP(MID(G15,J15,K15-J15),[6]skilldef!$C:$D,2,FALSE),"-") &amp; " / " &amp; IFERROR(VLOOKUP(MID(G15,H15,I15-H15),[6]skilldef!$A:$B,2,FALSE),"-")</f>
        <v>- / -</v>
      </c>
      <c r="M15" s="61" t="str">
        <f t="shared" si="5"/>
        <v>[effect:rush, count:1, val:0.5]</v>
      </c>
      <c r="N15" s="47" t="str">
        <f t="shared" si="6"/>
        <v>[effect:rush, count:1, val:0.5]</v>
      </c>
      <c r="O15" s="61">
        <f t="shared" si="7"/>
        <v>9</v>
      </c>
      <c r="P15" s="61">
        <f t="shared" si="8"/>
        <v>13</v>
      </c>
      <c r="Q15" s="61" t="e">
        <f t="shared" si="9"/>
        <v>#VALUE!</v>
      </c>
      <c r="R15" s="61">
        <f t="shared" si="10"/>
        <v>22</v>
      </c>
      <c r="S15" s="61" t="str">
        <f>IFERROR(VLOOKUP(MID(N15,Q15,R15-Q15),[6]skilldef!$C:$D,2,FALSE),"-") &amp; " / " &amp; IFERROR(VLOOKUP(MID(N15,O15,P15-O15),[6]skilldef!$A:$B,2,FALSE),"-")</f>
        <v>- / 連続攻撃</v>
      </c>
      <c r="T15" s="47" t="str">
        <f t="shared" si="11"/>
        <v>none</v>
      </c>
      <c r="U15" s="61" t="e">
        <f t="shared" si="12"/>
        <v>#VALUE!</v>
      </c>
      <c r="V15" s="61">
        <f t="shared" si="13"/>
        <v>4</v>
      </c>
      <c r="W15" s="61" t="e">
        <f t="shared" si="14"/>
        <v>#VALUE!</v>
      </c>
      <c r="X15" s="61" t="e">
        <f t="shared" si="15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9"/>
      <c r="AA15" s="50"/>
      <c r="AB15" s="49"/>
    </row>
    <row r="16" spans="1:28" ht="21" customHeight="1" x14ac:dyDescent="0.15">
      <c r="A16" s="113">
        <v>41012014</v>
      </c>
      <c r="B16" s="117" t="s">
        <v>279</v>
      </c>
      <c r="C16" s="49">
        <v>3</v>
      </c>
      <c r="D16" s="49" t="s">
        <v>125</v>
      </c>
      <c r="E16" s="120" t="s">
        <v>306</v>
      </c>
      <c r="F16" s="120" t="s">
        <v>356</v>
      </c>
      <c r="G16" s="61" t="str">
        <f t="shared" si="0"/>
        <v>[effect:enhance_enemy, target:enemy_all, turn:2, status:defense, val:2000, calc:add, animation:enemy_enhance_defense]</v>
      </c>
      <c r="H16" s="61">
        <f t="shared" si="1"/>
        <v>9</v>
      </c>
      <c r="I16" s="61">
        <f t="shared" si="2"/>
        <v>22</v>
      </c>
      <c r="J16" s="61">
        <f t="shared" si="3"/>
        <v>31</v>
      </c>
      <c r="K16" s="61">
        <f t="shared" si="4"/>
        <v>40</v>
      </c>
      <c r="L16" s="61" t="str">
        <f>IFERROR(VLOOKUP(MID(G16,J16,K16-J16),[6]skilldef!$C:$D,2,FALSE),"-") &amp; " / " &amp; IFERROR(VLOOKUP(MID(G16,H16,I16-H16),[6]skilldef!$A:$B,2,FALSE),"-")</f>
        <v>敵全体に / ステータス強化</v>
      </c>
      <c r="M16" s="61" t="str">
        <f t="shared" si="5"/>
        <v>none</v>
      </c>
      <c r="N16" s="47" t="str">
        <f t="shared" si="6"/>
        <v>none</v>
      </c>
      <c r="O16" s="61" t="e">
        <f t="shared" si="7"/>
        <v>#VALUE!</v>
      </c>
      <c r="P16" s="61">
        <f t="shared" si="8"/>
        <v>4</v>
      </c>
      <c r="Q16" s="61" t="e">
        <f t="shared" si="9"/>
        <v>#VALUE!</v>
      </c>
      <c r="R16" s="61" t="e">
        <f t="shared" si="10"/>
        <v>#VALUE!</v>
      </c>
      <c r="S16" s="61" t="str">
        <f>IFERROR(VLOOKUP(MID(N16,Q16,R16-Q16),[6]skilldef!$C:$D,2,FALSE),"-") &amp; " / " &amp; IFERROR(VLOOKUP(MID(N16,O16,P16-O16),[6]skilldef!$A:$B,2,FALSE),"-")</f>
        <v>- / -</v>
      </c>
      <c r="T16" s="47" t="str">
        <f t="shared" si="11"/>
        <v>none</v>
      </c>
      <c r="U16" s="61" t="e">
        <f t="shared" si="12"/>
        <v>#VALUE!</v>
      </c>
      <c r="V16" s="61">
        <f t="shared" si="13"/>
        <v>4</v>
      </c>
      <c r="W16" s="61" t="e">
        <f t="shared" si="14"/>
        <v>#VALUE!</v>
      </c>
      <c r="X16" s="61" t="e">
        <f t="shared" si="15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9"/>
      <c r="AA16" s="50"/>
      <c r="AB16" s="49"/>
    </row>
    <row r="17" spans="1:28" ht="21" customHeight="1" x14ac:dyDescent="0.15">
      <c r="A17" s="113">
        <v>41012015</v>
      </c>
      <c r="B17" s="117" t="s">
        <v>280</v>
      </c>
      <c r="C17" s="49">
        <v>3</v>
      </c>
      <c r="D17" s="49" t="s">
        <v>125</v>
      </c>
      <c r="E17" s="120" t="s">
        <v>307</v>
      </c>
      <c r="F17" s="120" t="s">
        <v>357</v>
      </c>
      <c r="G17" s="61" t="str">
        <f t="shared" si="0"/>
        <v>[effect:enemy_counter, target:enemy_all, invoke_condition:unit_all, counter_target:attacker, turn:3, val:0.5, animation:enemy_counter]</v>
      </c>
      <c r="H17" s="61">
        <f t="shared" si="1"/>
        <v>9</v>
      </c>
      <c r="I17" s="61">
        <f t="shared" si="2"/>
        <v>22</v>
      </c>
      <c r="J17" s="61">
        <f t="shared" si="3"/>
        <v>31</v>
      </c>
      <c r="K17" s="61">
        <f t="shared" si="4"/>
        <v>40</v>
      </c>
      <c r="L17" s="61" t="str">
        <f>IFERROR(VLOOKUP(MID(G17,J17,K17-J17),[6]skilldef!$C:$D,2,FALSE),"-") &amp; " / " &amp; IFERROR(VLOOKUP(MID(G17,H17,I17-H17),[6]skilldef!$A:$B,2,FALSE),"-")</f>
        <v>敵全体に / カウンター</v>
      </c>
      <c r="M17" s="61" t="str">
        <f t="shared" si="5"/>
        <v>none</v>
      </c>
      <c r="N17" s="47" t="str">
        <f t="shared" si="6"/>
        <v>none</v>
      </c>
      <c r="O17" s="61" t="e">
        <f t="shared" si="7"/>
        <v>#VALUE!</v>
      </c>
      <c r="P17" s="61">
        <f t="shared" si="8"/>
        <v>4</v>
      </c>
      <c r="Q17" s="61" t="e">
        <f t="shared" si="9"/>
        <v>#VALUE!</v>
      </c>
      <c r="R17" s="61" t="e">
        <f t="shared" si="10"/>
        <v>#VALUE!</v>
      </c>
      <c r="S17" s="61" t="str">
        <f>IFERROR(VLOOKUP(MID(N17,Q17,R17-Q17),[6]skilldef!$C:$D,2,FALSE),"-") &amp; " / " &amp; IFERROR(VLOOKUP(MID(N17,O17,P17-O17),[6]skilldef!$A:$B,2,FALSE),"-")</f>
        <v>- / -</v>
      </c>
      <c r="T17" s="47" t="str">
        <f t="shared" si="11"/>
        <v>none</v>
      </c>
      <c r="U17" s="61" t="e">
        <f t="shared" si="12"/>
        <v>#VALUE!</v>
      </c>
      <c r="V17" s="61">
        <f t="shared" si="13"/>
        <v>4</v>
      </c>
      <c r="W17" s="61" t="e">
        <f t="shared" si="14"/>
        <v>#VALUE!</v>
      </c>
      <c r="X17" s="61" t="e">
        <f t="shared" si="15"/>
        <v>#VALUE!</v>
      </c>
      <c r="Y17" s="61" t="str">
        <f>IFERROR(VLOOKUP(MID(T17,W17,X17-W17),[6]skilldef!$C:$D,2,FALSE),"-") &amp; " / " &amp; IFERROR(VLOOKUP(MID(T17,U17,V17-U17),[6]skilldef!$A:$B,2,FALSE),"-")</f>
        <v>- / -</v>
      </c>
      <c r="Z17" s="49"/>
      <c r="AA17" s="50"/>
      <c r="AB17" s="49"/>
    </row>
    <row r="18" spans="1:28" ht="21" customHeight="1" x14ac:dyDescent="0.15">
      <c r="A18" s="113">
        <v>41012016</v>
      </c>
      <c r="B18" s="116" t="s">
        <v>281</v>
      </c>
      <c r="C18" s="49">
        <v>3</v>
      </c>
      <c r="D18" s="49" t="s">
        <v>125</v>
      </c>
      <c r="E18" s="118" t="s">
        <v>308</v>
      </c>
      <c r="F18" s="118" t="s">
        <v>358</v>
      </c>
      <c r="G18" s="61" t="str">
        <f t="shared" si="0"/>
        <v>[effect:fix_speed, target:myself, turn:1]</v>
      </c>
      <c r="H18" s="61">
        <f t="shared" si="1"/>
        <v>9</v>
      </c>
      <c r="I18" s="61">
        <f t="shared" si="2"/>
        <v>18</v>
      </c>
      <c r="J18" s="61">
        <f t="shared" si="3"/>
        <v>27</v>
      </c>
      <c r="K18" s="61">
        <f t="shared" si="4"/>
        <v>33</v>
      </c>
      <c r="L18" s="61" t="str">
        <f>IFERROR(VLOOKUP(MID(G18,J18,K18-J18),[6]skilldef!$C:$D,2,FALSE),"-") &amp; " / " &amp; IFERROR(VLOOKUP(MID(G18,H18,I18-H18),[6]skilldef!$A:$B,2,FALSE),"-")</f>
        <v>自分自身に / 行動値設定</v>
      </c>
      <c r="M18" s="61" t="str">
        <f t="shared" si="5"/>
        <v>none</v>
      </c>
      <c r="N18" s="47" t="str">
        <f t="shared" si="6"/>
        <v>none</v>
      </c>
      <c r="O18" s="61" t="e">
        <f t="shared" si="7"/>
        <v>#VALUE!</v>
      </c>
      <c r="P18" s="61">
        <f t="shared" si="8"/>
        <v>4</v>
      </c>
      <c r="Q18" s="61" t="e">
        <f t="shared" si="9"/>
        <v>#VALUE!</v>
      </c>
      <c r="R18" s="61" t="e">
        <f t="shared" si="10"/>
        <v>#VALUE!</v>
      </c>
      <c r="S18" s="61" t="str">
        <f>IFERROR(VLOOKUP(MID(N18,Q18,R18-Q18),[6]skilldef!$C:$D,2,FALSE),"-") &amp; " / " &amp; IFERROR(VLOOKUP(MID(N18,O18,P18-O18),[6]skilldef!$A:$B,2,FALSE),"-")</f>
        <v>- / -</v>
      </c>
      <c r="T18" s="47" t="str">
        <f t="shared" si="11"/>
        <v>none</v>
      </c>
      <c r="U18" s="61" t="e">
        <f t="shared" si="12"/>
        <v>#VALUE!</v>
      </c>
      <c r="V18" s="61">
        <f t="shared" si="13"/>
        <v>4</v>
      </c>
      <c r="W18" s="61" t="e">
        <f t="shared" si="14"/>
        <v>#VALUE!</v>
      </c>
      <c r="X18" s="61" t="e">
        <f t="shared" si="15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9"/>
      <c r="AA18" s="50"/>
      <c r="AB18" s="49"/>
    </row>
    <row r="19" spans="1:28" ht="21" customHeight="1" x14ac:dyDescent="0.15">
      <c r="A19" s="113">
        <v>41012017</v>
      </c>
      <c r="B19" s="116" t="s">
        <v>282</v>
      </c>
      <c r="C19" s="49">
        <v>3</v>
      </c>
      <c r="D19" s="49" t="s">
        <v>125</v>
      </c>
      <c r="E19" s="118" t="s">
        <v>309</v>
      </c>
      <c r="F19" s="118" t="s">
        <v>350</v>
      </c>
      <c r="G19" s="61" t="str">
        <f t="shared" si="0"/>
        <v>[effect:critical, val:1.2]</v>
      </c>
      <c r="H19" s="61">
        <f t="shared" si="1"/>
        <v>9</v>
      </c>
      <c r="I19" s="61">
        <f t="shared" si="2"/>
        <v>17</v>
      </c>
      <c r="J19" s="61" t="e">
        <f t="shared" si="3"/>
        <v>#VALUE!</v>
      </c>
      <c r="K19" s="61" t="e">
        <f t="shared" si="4"/>
        <v>#VALUE!</v>
      </c>
      <c r="L19" s="61" t="str">
        <f>IFERROR(VLOOKUP(MID(G19,J19,K19-J19),[6]skilldef!$C:$D,2,FALSE),"-") &amp; " / " &amp; IFERROR(VLOOKUP(MID(G19,H19,I19-H19),[6]skilldef!$A:$B,2,FALSE),"-")</f>
        <v>- / 大攻撃</v>
      </c>
      <c r="M19" s="61" t="str">
        <f t="shared" si="5"/>
        <v>none</v>
      </c>
      <c r="N19" s="47" t="str">
        <f t="shared" si="6"/>
        <v>none</v>
      </c>
      <c r="O19" s="61" t="e">
        <f t="shared" si="7"/>
        <v>#VALUE!</v>
      </c>
      <c r="P19" s="61">
        <f t="shared" si="8"/>
        <v>4</v>
      </c>
      <c r="Q19" s="61" t="e">
        <f t="shared" si="9"/>
        <v>#VALUE!</v>
      </c>
      <c r="R19" s="61" t="e">
        <f t="shared" si="10"/>
        <v>#VALUE!</v>
      </c>
      <c r="S19" s="61" t="str">
        <f>IFERROR(VLOOKUP(MID(N19,Q19,R19-Q19),[6]skilldef!$C:$D,2,FALSE),"-") &amp; " / " &amp; IFERROR(VLOOKUP(MID(N19,O19,P19-O19),[6]skilldef!$A:$B,2,FALSE),"-")</f>
        <v>- / -</v>
      </c>
      <c r="T19" s="47" t="str">
        <f t="shared" si="11"/>
        <v>none</v>
      </c>
      <c r="U19" s="61" t="e">
        <f t="shared" si="12"/>
        <v>#VALUE!</v>
      </c>
      <c r="V19" s="61">
        <f t="shared" si="13"/>
        <v>4</v>
      </c>
      <c r="W19" s="61" t="e">
        <f t="shared" si="14"/>
        <v>#VALUE!</v>
      </c>
      <c r="X19" s="61" t="e">
        <f t="shared" si="15"/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9"/>
      <c r="AA19" s="50"/>
      <c r="AB19" s="49"/>
    </row>
    <row r="20" spans="1:28" ht="21" customHeight="1" x14ac:dyDescent="0.15">
      <c r="A20" s="113">
        <v>41012018</v>
      </c>
      <c r="B20" s="116" t="s">
        <v>283</v>
      </c>
      <c r="C20" s="49">
        <v>3</v>
      </c>
      <c r="D20" s="49" t="s">
        <v>125</v>
      </c>
      <c r="E20" s="118" t="s">
        <v>310</v>
      </c>
      <c r="F20" s="118" t="s">
        <v>359</v>
      </c>
      <c r="G20" s="61" t="str">
        <f t="shared" si="0"/>
        <v>[effect:rush, count:5, val:0.3]</v>
      </c>
      <c r="H20" s="61">
        <f t="shared" si="1"/>
        <v>9</v>
      </c>
      <c r="I20" s="61">
        <f t="shared" si="2"/>
        <v>13</v>
      </c>
      <c r="J20" s="61" t="e">
        <f t="shared" si="3"/>
        <v>#VALUE!</v>
      </c>
      <c r="K20" s="61">
        <f t="shared" si="4"/>
        <v>22</v>
      </c>
      <c r="L20" s="61" t="str">
        <f>IFERROR(VLOOKUP(MID(G20,J20,K20-J20),[6]skilldef!$C:$D,2,FALSE),"-") &amp; " / " &amp; IFERROR(VLOOKUP(MID(G20,H20,I20-H20),[6]skilldef!$A:$B,2,FALSE),"-")</f>
        <v>- / 連続攻撃</v>
      </c>
      <c r="M20" s="61" t="str">
        <f t="shared" si="5"/>
        <v>none</v>
      </c>
      <c r="N20" s="47" t="str">
        <f t="shared" si="6"/>
        <v>none</v>
      </c>
      <c r="O20" s="61" t="e">
        <f t="shared" si="7"/>
        <v>#VALUE!</v>
      </c>
      <c r="P20" s="61">
        <f t="shared" si="8"/>
        <v>4</v>
      </c>
      <c r="Q20" s="61" t="e">
        <f t="shared" si="9"/>
        <v>#VALUE!</v>
      </c>
      <c r="R20" s="61" t="e">
        <f t="shared" si="10"/>
        <v>#VALUE!</v>
      </c>
      <c r="S20" s="61" t="str">
        <f>IFERROR(VLOOKUP(MID(N20,Q20,R20-Q20),[6]skilldef!$C:$D,2,FALSE),"-") &amp; " / " &amp; IFERROR(VLOOKUP(MID(N20,O20,P20-O20),[6]skilldef!$A:$B,2,FALSE),"-")</f>
        <v>- / -</v>
      </c>
      <c r="T20" s="47" t="str">
        <f t="shared" si="11"/>
        <v>none</v>
      </c>
      <c r="U20" s="61" t="e">
        <f t="shared" si="12"/>
        <v>#VALUE!</v>
      </c>
      <c r="V20" s="61">
        <f t="shared" si="13"/>
        <v>4</v>
      </c>
      <c r="W20" s="61" t="e">
        <f t="shared" si="14"/>
        <v>#VALUE!</v>
      </c>
      <c r="X20" s="61" t="e">
        <f t="shared" si="15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9"/>
      <c r="AA20" s="50"/>
      <c r="AB20" s="49"/>
    </row>
    <row r="21" spans="1:28" ht="21" customHeight="1" x14ac:dyDescent="0.15">
      <c r="A21" s="113">
        <v>41012019</v>
      </c>
      <c r="B21" s="116" t="s">
        <v>284</v>
      </c>
      <c r="C21" s="49">
        <v>3</v>
      </c>
      <c r="D21" s="49" t="s">
        <v>125</v>
      </c>
      <c r="E21" s="118" t="s">
        <v>311</v>
      </c>
      <c r="F21" s="118" t="s">
        <v>404</v>
      </c>
      <c r="G21" s="61" t="str">
        <f t="shared" si="0"/>
        <v>[effect:hungup, target:unit_all, turn:3, rate:1, animation:hungup01]</v>
      </c>
      <c r="H21" s="61">
        <f t="shared" si="1"/>
        <v>9</v>
      </c>
      <c r="I21" s="61">
        <f t="shared" si="2"/>
        <v>15</v>
      </c>
      <c r="J21" s="61">
        <f t="shared" si="3"/>
        <v>24</v>
      </c>
      <c r="K21" s="61">
        <f t="shared" si="4"/>
        <v>32</v>
      </c>
      <c r="L21" s="61" t="str">
        <f>IFERROR(VLOOKUP(MID(G21,J21,K21-J21),[6]skilldef!$C:$D,2,FALSE),"-") &amp; " / " &amp; IFERROR(VLOOKUP(MID(G21,H21,I21-H21),[6]skilldef!$A:$B,2,FALSE),"-")</f>
        <v>味方全体に / ハングアップ</v>
      </c>
      <c r="M21" s="61" t="str">
        <f t="shared" si="5"/>
        <v>none</v>
      </c>
      <c r="N21" s="47" t="str">
        <f t="shared" si="6"/>
        <v>none</v>
      </c>
      <c r="O21" s="61" t="e">
        <f t="shared" si="7"/>
        <v>#VALUE!</v>
      </c>
      <c r="P21" s="61">
        <f t="shared" si="8"/>
        <v>4</v>
      </c>
      <c r="Q21" s="61" t="e">
        <f t="shared" si="9"/>
        <v>#VALUE!</v>
      </c>
      <c r="R21" s="61" t="e">
        <f t="shared" si="10"/>
        <v>#VALUE!</v>
      </c>
      <c r="S21" s="61" t="str">
        <f>IFERROR(VLOOKUP(MID(N21,Q21,R21-Q21),[6]skilldef!$C:$D,2,FALSE),"-") &amp; " / " &amp; IFERROR(VLOOKUP(MID(N21,O21,P21-O21),[6]skilldef!$A:$B,2,FALSE),"-")</f>
        <v>- / -</v>
      </c>
      <c r="T21" s="47" t="str">
        <f t="shared" si="11"/>
        <v>none</v>
      </c>
      <c r="U21" s="61" t="e">
        <f t="shared" si="12"/>
        <v>#VALUE!</v>
      </c>
      <c r="V21" s="61">
        <f t="shared" si="13"/>
        <v>4</v>
      </c>
      <c r="W21" s="61" t="e">
        <f t="shared" si="14"/>
        <v>#VALUE!</v>
      </c>
      <c r="X21" s="61" t="e">
        <f t="shared" si="15"/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9"/>
      <c r="AA21" s="50"/>
      <c r="AB21" s="49"/>
    </row>
    <row r="22" spans="1:28" ht="21" customHeight="1" x14ac:dyDescent="0.15">
      <c r="A22" s="113">
        <v>41012020</v>
      </c>
      <c r="B22" s="117" t="s">
        <v>281</v>
      </c>
      <c r="C22" s="49">
        <v>3</v>
      </c>
      <c r="D22" s="49" t="s">
        <v>125</v>
      </c>
      <c r="E22" s="120" t="s">
        <v>312</v>
      </c>
      <c r="F22" s="120" t="s">
        <v>360</v>
      </c>
      <c r="G22" s="61" t="str">
        <f t="shared" si="0"/>
        <v>[effect:fix_speed, target:myself, turn:1]</v>
      </c>
      <c r="H22" s="61">
        <f t="shared" si="1"/>
        <v>9</v>
      </c>
      <c r="I22" s="61">
        <f t="shared" si="2"/>
        <v>18</v>
      </c>
      <c r="J22" s="61">
        <f t="shared" si="3"/>
        <v>27</v>
      </c>
      <c r="K22" s="61">
        <f t="shared" si="4"/>
        <v>33</v>
      </c>
      <c r="L22" s="61" t="str">
        <f>IFERROR(VLOOKUP(MID(G22,J22,K22-J22),[6]skilldef!$C:$D,2,FALSE),"-") &amp; " / " &amp; IFERROR(VLOOKUP(MID(G22,H22,I22-H22),[6]skilldef!$A:$B,2,FALSE),"-")</f>
        <v>自分自身に / 行動値設定</v>
      </c>
      <c r="M22" s="61" t="str">
        <f t="shared" si="5"/>
        <v>none</v>
      </c>
      <c r="N22" s="47" t="str">
        <f t="shared" si="6"/>
        <v>none</v>
      </c>
      <c r="O22" s="61" t="e">
        <f t="shared" si="7"/>
        <v>#VALUE!</v>
      </c>
      <c r="P22" s="61">
        <f t="shared" si="8"/>
        <v>4</v>
      </c>
      <c r="Q22" s="61" t="e">
        <f t="shared" si="9"/>
        <v>#VALUE!</v>
      </c>
      <c r="R22" s="61" t="e">
        <f t="shared" si="10"/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7" t="str">
        <f t="shared" si="11"/>
        <v>none</v>
      </c>
      <c r="U22" s="61" t="e">
        <f t="shared" si="12"/>
        <v>#VALUE!</v>
      </c>
      <c r="V22" s="61">
        <f t="shared" si="13"/>
        <v>4</v>
      </c>
      <c r="W22" s="61" t="e">
        <f t="shared" si="14"/>
        <v>#VALUE!</v>
      </c>
      <c r="X22" s="61" t="e">
        <f t="shared" si="15"/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9"/>
      <c r="AA22" s="50"/>
      <c r="AB22" s="49"/>
    </row>
    <row r="23" spans="1:28" ht="21" customHeight="1" x14ac:dyDescent="0.15">
      <c r="A23" s="113">
        <v>41012021</v>
      </c>
      <c r="B23" s="117" t="s">
        <v>285</v>
      </c>
      <c r="C23" s="49">
        <v>3</v>
      </c>
      <c r="D23" s="49" t="s">
        <v>125</v>
      </c>
      <c r="E23" s="120" t="s">
        <v>313</v>
      </c>
      <c r="F23" s="120" t="s">
        <v>361</v>
      </c>
      <c r="G23" s="61" t="str">
        <f t="shared" si="0"/>
        <v>[effect:rush, count:4, val:0.35]</v>
      </c>
      <c r="H23" s="61">
        <f t="shared" si="1"/>
        <v>9</v>
      </c>
      <c r="I23" s="61">
        <f t="shared" si="2"/>
        <v>13</v>
      </c>
      <c r="J23" s="61" t="e">
        <f t="shared" si="3"/>
        <v>#VALUE!</v>
      </c>
      <c r="K23" s="61">
        <f t="shared" si="4"/>
        <v>22</v>
      </c>
      <c r="L23" s="61" t="str">
        <f>IFERROR(VLOOKUP(MID(G23,J23,K23-J23),[6]skilldef!$C:$D,2,FALSE),"-") &amp; " / " &amp; IFERROR(VLOOKUP(MID(G23,H23,I23-H23),[6]skilldef!$A:$B,2,FALSE),"-")</f>
        <v>- / 連続攻撃</v>
      </c>
      <c r="M23" s="61" t="str">
        <f t="shared" si="5"/>
        <v>none</v>
      </c>
      <c r="N23" s="47" t="str">
        <f t="shared" si="6"/>
        <v>none</v>
      </c>
      <c r="O23" s="61" t="e">
        <f t="shared" si="7"/>
        <v>#VALUE!</v>
      </c>
      <c r="P23" s="61">
        <f t="shared" si="8"/>
        <v>4</v>
      </c>
      <c r="Q23" s="61" t="e">
        <f t="shared" si="9"/>
        <v>#VALUE!</v>
      </c>
      <c r="R23" s="61" t="e">
        <f t="shared" si="10"/>
        <v>#VALUE!</v>
      </c>
      <c r="S23" s="61" t="str">
        <f>IFERROR(VLOOKUP(MID(N23,Q23,R23-Q23),[6]skilldef!$C:$D,2,FALSE),"-") &amp; " / " &amp; IFERROR(VLOOKUP(MID(N23,O23,P23-O23),[6]skilldef!$A:$B,2,FALSE),"-")</f>
        <v>- / -</v>
      </c>
      <c r="T23" s="47" t="str">
        <f t="shared" si="11"/>
        <v>none</v>
      </c>
      <c r="U23" s="61" t="e">
        <f t="shared" si="12"/>
        <v>#VALUE!</v>
      </c>
      <c r="V23" s="61">
        <f t="shared" si="13"/>
        <v>4</v>
      </c>
      <c r="W23" s="61" t="e">
        <f t="shared" si="14"/>
        <v>#VALUE!</v>
      </c>
      <c r="X23" s="61" t="e">
        <f t="shared" si="15"/>
        <v>#VALUE!</v>
      </c>
      <c r="Y23" s="61" t="str">
        <f>IFERROR(VLOOKUP(MID(T23,W23,X23-W23),[6]skilldef!$C:$D,2,FALSE),"-") &amp; " / " &amp; IFERROR(VLOOKUP(MID(T23,U23,V23-U23),[6]skilldef!$A:$B,2,FALSE),"-")</f>
        <v>- / -</v>
      </c>
      <c r="Z23" s="49"/>
      <c r="AA23" s="50"/>
      <c r="AB23" s="49"/>
    </row>
    <row r="24" spans="1:28" ht="21" customHeight="1" x14ac:dyDescent="0.15">
      <c r="A24" s="113">
        <v>41012022</v>
      </c>
      <c r="B24" s="117" t="s">
        <v>286</v>
      </c>
      <c r="C24" s="49">
        <v>3</v>
      </c>
      <c r="D24" s="49" t="s">
        <v>125</v>
      </c>
      <c r="E24" s="120" t="s">
        <v>314</v>
      </c>
      <c r="F24" s="120" t="s">
        <v>362</v>
      </c>
      <c r="G24" s="61" t="str">
        <f t="shared" si="0"/>
        <v>[effect:enhance_enemy, target:myself, turn:3, status:attack, val:0.5, animation:enemy_enhance_attack]</v>
      </c>
      <c r="H24" s="61">
        <f t="shared" si="1"/>
        <v>9</v>
      </c>
      <c r="I24" s="61">
        <f t="shared" si="2"/>
        <v>22</v>
      </c>
      <c r="J24" s="61">
        <f t="shared" si="3"/>
        <v>31</v>
      </c>
      <c r="K24" s="61">
        <f t="shared" si="4"/>
        <v>37</v>
      </c>
      <c r="L24" s="61" t="str">
        <f>IFERROR(VLOOKUP(MID(G24,J24,K24-J24),[6]skilldef!$C:$D,2,FALSE),"-") &amp; " / " &amp; IFERROR(VLOOKUP(MID(G24,H24,I24-H24),[6]skilldef!$A:$B,2,FALSE),"-")</f>
        <v>自分自身に / ステータス強化</v>
      </c>
      <c r="M24" s="61" t="str">
        <f t="shared" si="5"/>
        <v>none</v>
      </c>
      <c r="N24" s="47" t="str">
        <f t="shared" si="6"/>
        <v>none</v>
      </c>
      <c r="O24" s="61" t="e">
        <f t="shared" si="7"/>
        <v>#VALUE!</v>
      </c>
      <c r="P24" s="61">
        <f t="shared" si="8"/>
        <v>4</v>
      </c>
      <c r="Q24" s="61" t="e">
        <f t="shared" si="9"/>
        <v>#VALUE!</v>
      </c>
      <c r="R24" s="61" t="e">
        <f t="shared" si="10"/>
        <v>#VALUE!</v>
      </c>
      <c r="S24" s="61" t="str">
        <f>IFERROR(VLOOKUP(MID(N24,Q24,R24-Q24),[6]skilldef!$C:$D,2,FALSE),"-") &amp; " / " &amp; IFERROR(VLOOKUP(MID(N24,O24,P24-O24),[6]skilldef!$A:$B,2,FALSE),"-")</f>
        <v>- / -</v>
      </c>
      <c r="T24" s="47" t="str">
        <f t="shared" si="11"/>
        <v>none</v>
      </c>
      <c r="U24" s="61" t="e">
        <f t="shared" si="12"/>
        <v>#VALUE!</v>
      </c>
      <c r="V24" s="61">
        <f t="shared" si="13"/>
        <v>4</v>
      </c>
      <c r="W24" s="61" t="e">
        <f t="shared" si="14"/>
        <v>#VALUE!</v>
      </c>
      <c r="X24" s="61" t="e">
        <f t="shared" si="15"/>
        <v>#VALUE!</v>
      </c>
      <c r="Y24" s="61" t="str">
        <f>IFERROR(VLOOKUP(MID(T24,W24,X24-W24),[6]skilldef!$C:$D,2,FALSE),"-") &amp; " / " &amp; IFERROR(VLOOKUP(MID(T24,U24,V24-U24),[6]skilldef!$A:$B,2,FALSE),"-")</f>
        <v>- / -</v>
      </c>
      <c r="Z24" s="49"/>
      <c r="AA24" s="50"/>
      <c r="AB24" s="49"/>
    </row>
    <row r="25" spans="1:28" ht="21" customHeight="1" x14ac:dyDescent="0.15">
      <c r="A25" s="113">
        <v>41012023</v>
      </c>
      <c r="B25" s="117" t="s">
        <v>287</v>
      </c>
      <c r="C25" s="49">
        <v>3</v>
      </c>
      <c r="D25" s="49" t="s">
        <v>125</v>
      </c>
      <c r="E25" s="120" t="s">
        <v>315</v>
      </c>
      <c r="F25" s="120" t="s">
        <v>413</v>
      </c>
      <c r="G25" s="61" t="str">
        <f t="shared" si="0"/>
        <v>[effect:nothing]</v>
      </c>
      <c r="H25" s="61">
        <f t="shared" si="1"/>
        <v>9</v>
      </c>
      <c r="I25" s="61">
        <f t="shared" si="2"/>
        <v>16</v>
      </c>
      <c r="J25" s="61" t="e">
        <f t="shared" si="3"/>
        <v>#VALUE!</v>
      </c>
      <c r="K25" s="61" t="e">
        <f t="shared" si="4"/>
        <v>#VALUE!</v>
      </c>
      <c r="L25" s="61" t="str">
        <f>IFERROR(VLOOKUP(MID(G25,J25,K25-J25),[6]skilldef!$C:$D,2,FALSE),"-") &amp; " / " &amp; IFERROR(VLOOKUP(MID(G25,H25,I25-H25),[6]skilldef!$A:$B,2,FALSE),"-")</f>
        <v>- / 何もしない</v>
      </c>
      <c r="M25" s="61" t="str">
        <f t="shared" si="5"/>
        <v>none</v>
      </c>
      <c r="N25" s="47" t="str">
        <f t="shared" si="6"/>
        <v>none</v>
      </c>
      <c r="O25" s="61" t="e">
        <f t="shared" si="7"/>
        <v>#VALUE!</v>
      </c>
      <c r="P25" s="61">
        <f t="shared" si="8"/>
        <v>4</v>
      </c>
      <c r="Q25" s="61" t="e">
        <f t="shared" si="9"/>
        <v>#VALUE!</v>
      </c>
      <c r="R25" s="61" t="e">
        <f t="shared" si="10"/>
        <v>#VALUE!</v>
      </c>
      <c r="S25" s="61" t="str">
        <f>IFERROR(VLOOKUP(MID(N25,Q25,R25-Q25),[6]skilldef!$C:$D,2,FALSE),"-") &amp; " / " &amp; IFERROR(VLOOKUP(MID(N25,O25,P25-O25),[6]skilldef!$A:$B,2,FALSE),"-")</f>
        <v>- / -</v>
      </c>
      <c r="T25" s="47" t="str">
        <f t="shared" si="11"/>
        <v>none</v>
      </c>
      <c r="U25" s="61" t="e">
        <f t="shared" si="12"/>
        <v>#VALUE!</v>
      </c>
      <c r="V25" s="61">
        <f t="shared" si="13"/>
        <v>4</v>
      </c>
      <c r="W25" s="61" t="e">
        <f t="shared" si="14"/>
        <v>#VALUE!</v>
      </c>
      <c r="X25" s="61" t="e">
        <f t="shared" si="15"/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9"/>
      <c r="AA25" s="50"/>
      <c r="AB25" s="49"/>
    </row>
    <row r="26" spans="1:28" ht="21" customHeight="1" x14ac:dyDescent="0.15">
      <c r="A26" s="113">
        <v>41012024</v>
      </c>
      <c r="B26" s="117" t="s">
        <v>288</v>
      </c>
      <c r="C26" s="49">
        <v>3</v>
      </c>
      <c r="D26" s="49" t="s">
        <v>125</v>
      </c>
      <c r="E26" s="120" t="s">
        <v>316</v>
      </c>
      <c r="F26" s="120" t="s">
        <v>414</v>
      </c>
      <c r="G26" s="61" t="str">
        <f t="shared" si="0"/>
        <v>[effect:break_attack, val:0.4, lowest_val:1000, count:10, block:block_green, target:unit_one]</v>
      </c>
      <c r="H26" s="61">
        <f t="shared" si="1"/>
        <v>9</v>
      </c>
      <c r="I26" s="61">
        <f t="shared" si="2"/>
        <v>21</v>
      </c>
      <c r="J26" s="61">
        <f t="shared" si="3"/>
        <v>85</v>
      </c>
      <c r="K26" s="61">
        <f t="shared" si="4"/>
        <v>30</v>
      </c>
      <c r="L26" s="61" t="str">
        <f>IFERROR(VLOOKUP(MID(G26,J26,K26-J26),[6]skilldef!$C:$D,2,FALSE),"-") &amp; " / " &amp; IFERROR(VLOOKUP(MID(G26,H26,I26-H26),[6]skilldef!$A:$B,2,FALSE),"-")</f>
        <v>- / -</v>
      </c>
      <c r="M26" s="61" t="str">
        <f t="shared" si="5"/>
        <v>none</v>
      </c>
      <c r="N26" s="47" t="str">
        <f t="shared" si="6"/>
        <v>none</v>
      </c>
      <c r="O26" s="61" t="e">
        <f t="shared" si="7"/>
        <v>#VALUE!</v>
      </c>
      <c r="P26" s="61">
        <f t="shared" si="8"/>
        <v>4</v>
      </c>
      <c r="Q26" s="61" t="e">
        <f t="shared" si="9"/>
        <v>#VALUE!</v>
      </c>
      <c r="R26" s="61" t="e">
        <f t="shared" si="10"/>
        <v>#VALUE!</v>
      </c>
      <c r="S26" s="61" t="str">
        <f>IFERROR(VLOOKUP(MID(N26,Q26,R26-Q26),[6]skilldef!$C:$D,2,FALSE),"-") &amp; " / " &amp; IFERROR(VLOOKUP(MID(N26,O26,P26-O26),[6]skilldef!$A:$B,2,FALSE),"-")</f>
        <v>- / -</v>
      </c>
      <c r="T26" s="47" t="str">
        <f t="shared" si="11"/>
        <v>none</v>
      </c>
      <c r="U26" s="61" t="e">
        <f t="shared" si="12"/>
        <v>#VALUE!</v>
      </c>
      <c r="V26" s="61">
        <f t="shared" si="13"/>
        <v>4</v>
      </c>
      <c r="W26" s="61" t="e">
        <f t="shared" si="14"/>
        <v>#VALUE!</v>
      </c>
      <c r="X26" s="61" t="e">
        <f t="shared" si="15"/>
        <v>#VALUE!</v>
      </c>
      <c r="Y26" s="61" t="str">
        <f>IFERROR(VLOOKUP(MID(T26,W26,X26-W26),[6]skilldef!$C:$D,2,FALSE),"-") &amp; " / " &amp; IFERROR(VLOOKUP(MID(T26,U26,V26-U26),[6]skilldef!$A:$B,2,FALSE),"-")</f>
        <v>- / -</v>
      </c>
      <c r="Z26" s="49"/>
      <c r="AA26" s="50"/>
      <c r="AB26" s="49"/>
    </row>
    <row r="27" spans="1:28" ht="21" customHeight="1" x14ac:dyDescent="0.15">
      <c r="A27" s="113">
        <v>41012025</v>
      </c>
      <c r="B27" s="116" t="s">
        <v>278</v>
      </c>
      <c r="C27" s="49">
        <v>3</v>
      </c>
      <c r="D27" s="49" t="s">
        <v>125</v>
      </c>
      <c r="E27" s="118" t="s">
        <v>317</v>
      </c>
      <c r="F27" s="118" t="s">
        <v>363</v>
      </c>
      <c r="G27" s="61" t="str">
        <f t="shared" si="0"/>
        <v>[effect:fix_speed, target:myself, turn:2]</v>
      </c>
      <c r="H27" s="61">
        <f t="shared" si="1"/>
        <v>9</v>
      </c>
      <c r="I27" s="61">
        <f t="shared" si="2"/>
        <v>18</v>
      </c>
      <c r="J27" s="61">
        <f t="shared" si="3"/>
        <v>27</v>
      </c>
      <c r="K27" s="61">
        <f t="shared" si="4"/>
        <v>33</v>
      </c>
      <c r="L27" s="61" t="str">
        <f>IFERROR(VLOOKUP(MID(G27,J27,K27-J27),[6]skilldef!$C:$D,2,FALSE),"-") &amp; " / " &amp; IFERROR(VLOOKUP(MID(G27,H27,I27-H27),[6]skilldef!$A:$B,2,FALSE),"-")</f>
        <v>自分自身に / 行動値設定</v>
      </c>
      <c r="M27" s="61" t="str">
        <f t="shared" si="5"/>
        <v>none</v>
      </c>
      <c r="N27" s="47" t="str">
        <f t="shared" si="6"/>
        <v>none</v>
      </c>
      <c r="O27" s="61" t="e">
        <f t="shared" si="7"/>
        <v>#VALUE!</v>
      </c>
      <c r="P27" s="61">
        <f t="shared" si="8"/>
        <v>4</v>
      </c>
      <c r="Q27" s="61" t="e">
        <f t="shared" si="9"/>
        <v>#VALUE!</v>
      </c>
      <c r="R27" s="61" t="e">
        <f t="shared" si="10"/>
        <v>#VALUE!</v>
      </c>
      <c r="S27" s="61" t="str">
        <f>IFERROR(VLOOKUP(MID(N27,Q27,R27-Q27),[6]skilldef!$C:$D,2,FALSE),"-") &amp; " / " &amp; IFERROR(VLOOKUP(MID(N27,O27,P27-O27),[6]skilldef!$A:$B,2,FALSE),"-")</f>
        <v>- / -</v>
      </c>
      <c r="T27" s="47" t="str">
        <f t="shared" si="11"/>
        <v>none</v>
      </c>
      <c r="U27" s="61" t="e">
        <f t="shared" si="12"/>
        <v>#VALUE!</v>
      </c>
      <c r="V27" s="61">
        <f t="shared" si="13"/>
        <v>4</v>
      </c>
      <c r="W27" s="61" t="e">
        <f t="shared" si="14"/>
        <v>#VALUE!</v>
      </c>
      <c r="X27" s="61" t="e">
        <f t="shared" si="15"/>
        <v>#VALUE!</v>
      </c>
      <c r="Y27" s="61" t="str">
        <f>IFERROR(VLOOKUP(MID(T27,W27,X27-W27),[6]skilldef!$C:$D,2,FALSE),"-") &amp; " / " &amp; IFERROR(VLOOKUP(MID(T27,U27,V27-U27),[6]skilldef!$A:$B,2,FALSE),"-")</f>
        <v>- / -</v>
      </c>
      <c r="Z27" s="49"/>
      <c r="AA27" s="50"/>
      <c r="AB27" s="49"/>
    </row>
    <row r="28" spans="1:28" ht="21" customHeight="1" x14ac:dyDescent="0.15">
      <c r="A28" s="113">
        <v>41012026</v>
      </c>
      <c r="B28" s="116" t="s">
        <v>289</v>
      </c>
      <c r="C28" s="49">
        <v>3</v>
      </c>
      <c r="D28" s="49" t="s">
        <v>125</v>
      </c>
      <c r="E28" s="118" t="s">
        <v>318</v>
      </c>
      <c r="F28" s="118" t="s">
        <v>364</v>
      </c>
      <c r="G28" s="61" t="str">
        <f t="shared" si="0"/>
        <v>[effect:degrade_unit, target:unit_all, turn:5, status:attack, val:0.44]</v>
      </c>
      <c r="H28" s="61">
        <f t="shared" si="1"/>
        <v>9</v>
      </c>
      <c r="I28" s="61">
        <f t="shared" si="2"/>
        <v>21</v>
      </c>
      <c r="J28" s="61">
        <f t="shared" si="3"/>
        <v>30</v>
      </c>
      <c r="K28" s="61">
        <f t="shared" si="4"/>
        <v>38</v>
      </c>
      <c r="L28" s="61" t="str">
        <f>IFERROR(VLOOKUP(MID(G28,J28,K28-J28),[6]skilldef!$C:$D,2,FALSE),"-") &amp; " / " &amp; IFERROR(VLOOKUP(MID(G28,H28,I28-H28),[6]skilldef!$A:$B,2,FALSE),"-")</f>
        <v>味方全体に / ステータスDOWN</v>
      </c>
      <c r="M28" s="61" t="str">
        <f t="shared" si="5"/>
        <v>[effect:rush, count:1, val:1.0]</v>
      </c>
      <c r="N28" s="47" t="str">
        <f t="shared" si="6"/>
        <v>[effect:rush, count:1, val:1.0]</v>
      </c>
      <c r="O28" s="61">
        <f t="shared" si="7"/>
        <v>9</v>
      </c>
      <c r="P28" s="61">
        <f t="shared" si="8"/>
        <v>13</v>
      </c>
      <c r="Q28" s="61" t="e">
        <f t="shared" si="9"/>
        <v>#VALUE!</v>
      </c>
      <c r="R28" s="61">
        <f t="shared" si="10"/>
        <v>22</v>
      </c>
      <c r="S28" s="61" t="str">
        <f>IFERROR(VLOOKUP(MID(N28,Q28,R28-Q28),[6]skilldef!$C:$D,2,FALSE),"-") &amp; " / " &amp; IFERROR(VLOOKUP(MID(N28,O28,P28-O28),[6]skilldef!$A:$B,2,FALSE),"-")</f>
        <v>- / 連続攻撃</v>
      </c>
      <c r="T28" s="47" t="str">
        <f t="shared" si="11"/>
        <v>none</v>
      </c>
      <c r="U28" s="61" t="e">
        <f t="shared" si="12"/>
        <v>#VALUE!</v>
      </c>
      <c r="V28" s="61">
        <f t="shared" si="13"/>
        <v>4</v>
      </c>
      <c r="W28" s="61" t="e">
        <f t="shared" si="14"/>
        <v>#VALUE!</v>
      </c>
      <c r="X28" s="61" t="e">
        <f t="shared" si="15"/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9"/>
      <c r="AA28" s="50"/>
      <c r="AB28" s="49"/>
    </row>
    <row r="29" spans="1:28" ht="21" customHeight="1" x14ac:dyDescent="0.15">
      <c r="A29" s="113">
        <v>41012027</v>
      </c>
      <c r="B29" s="116" t="s">
        <v>290</v>
      </c>
      <c r="C29" s="49">
        <v>3</v>
      </c>
      <c r="D29" s="49" t="s">
        <v>125</v>
      </c>
      <c r="E29" s="118" t="s">
        <v>319</v>
      </c>
      <c r="F29" s="118" t="s">
        <v>365</v>
      </c>
      <c r="G29" s="61" t="str">
        <f t="shared" si="0"/>
        <v>[effect:degrade_unit, target:unit_all, turn:5, status:heal, val:0.44, animation:degrade_unit_all_heal]</v>
      </c>
      <c r="H29" s="61">
        <f t="shared" si="1"/>
        <v>9</v>
      </c>
      <c r="I29" s="61">
        <f t="shared" si="2"/>
        <v>21</v>
      </c>
      <c r="J29" s="61">
        <f t="shared" si="3"/>
        <v>30</v>
      </c>
      <c r="K29" s="61">
        <f t="shared" si="4"/>
        <v>38</v>
      </c>
      <c r="L29" s="61" t="str">
        <f>IFERROR(VLOOKUP(MID(G29,J29,K29-J29),[6]skilldef!$C:$D,2,FALSE),"-") &amp; " / " &amp; IFERROR(VLOOKUP(MID(G29,H29,I29-H29),[6]skilldef!$A:$B,2,FALSE),"-")</f>
        <v>味方全体に / ステータスDOWN</v>
      </c>
      <c r="M29" s="61" t="str">
        <f t="shared" si="5"/>
        <v>[effect:rush, count:1, val:1.0]</v>
      </c>
      <c r="N29" s="47" t="str">
        <f t="shared" si="6"/>
        <v>[effect:rush, count:1, val:1.0]</v>
      </c>
      <c r="O29" s="61">
        <f t="shared" si="7"/>
        <v>9</v>
      </c>
      <c r="P29" s="61">
        <f t="shared" si="8"/>
        <v>13</v>
      </c>
      <c r="Q29" s="61" t="e">
        <f t="shared" si="9"/>
        <v>#VALUE!</v>
      </c>
      <c r="R29" s="61">
        <f t="shared" si="10"/>
        <v>22</v>
      </c>
      <c r="S29" s="61" t="str">
        <f>IFERROR(VLOOKUP(MID(N29,Q29,R29-Q29),[6]skilldef!$C:$D,2,FALSE),"-") &amp; " / " &amp; IFERROR(VLOOKUP(MID(N29,O29,P29-O29),[6]skilldef!$A:$B,2,FALSE),"-")</f>
        <v>- / 連続攻撃</v>
      </c>
      <c r="T29" s="47" t="str">
        <f t="shared" si="11"/>
        <v>none</v>
      </c>
      <c r="U29" s="61" t="e">
        <f t="shared" si="12"/>
        <v>#VALUE!</v>
      </c>
      <c r="V29" s="61">
        <f t="shared" si="13"/>
        <v>4</v>
      </c>
      <c r="W29" s="61" t="e">
        <f t="shared" si="14"/>
        <v>#VALUE!</v>
      </c>
      <c r="X29" s="61" t="e">
        <f t="shared" si="15"/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9"/>
      <c r="AA29" s="50"/>
      <c r="AB29" s="49"/>
    </row>
    <row r="30" spans="1:28" ht="21" customHeight="1" x14ac:dyDescent="0.15">
      <c r="A30" s="113">
        <v>41012028</v>
      </c>
      <c r="B30" s="116" t="s">
        <v>291</v>
      </c>
      <c r="C30" s="49">
        <v>3</v>
      </c>
      <c r="D30" s="49" t="s">
        <v>125</v>
      </c>
      <c r="E30" s="118" t="s">
        <v>320</v>
      </c>
      <c r="F30" s="118" t="s">
        <v>366</v>
      </c>
      <c r="G30" s="61" t="str">
        <f t="shared" si="0"/>
        <v>[effect:degrade_unit, target:unit_all, turn:4, status:attack, val:0.55]</v>
      </c>
      <c r="H30" s="61">
        <f t="shared" si="1"/>
        <v>9</v>
      </c>
      <c r="I30" s="61">
        <f t="shared" si="2"/>
        <v>21</v>
      </c>
      <c r="J30" s="61">
        <f t="shared" si="3"/>
        <v>30</v>
      </c>
      <c r="K30" s="61">
        <f t="shared" si="4"/>
        <v>38</v>
      </c>
      <c r="L30" s="61" t="str">
        <f>IFERROR(VLOOKUP(MID(G30,J30,K30-J30),[6]skilldef!$C:$D,2,FALSE),"-") &amp; " / " &amp; IFERROR(VLOOKUP(MID(G30,H30,I30-H30),[6]skilldef!$A:$B,2,FALSE),"-")</f>
        <v>味方全体に / ステータスDOWN</v>
      </c>
      <c r="M30" s="61" t="str">
        <f t="shared" si="5"/>
        <v>[effect:rush, count:1, val:1.0]</v>
      </c>
      <c r="N30" s="47" t="str">
        <f t="shared" si="6"/>
        <v>[effect:rush, count:1, val:1.0]</v>
      </c>
      <c r="O30" s="61">
        <f t="shared" si="7"/>
        <v>9</v>
      </c>
      <c r="P30" s="61">
        <f t="shared" si="8"/>
        <v>13</v>
      </c>
      <c r="Q30" s="61" t="e">
        <f t="shared" si="9"/>
        <v>#VALUE!</v>
      </c>
      <c r="R30" s="61">
        <f t="shared" si="10"/>
        <v>22</v>
      </c>
      <c r="S30" s="61" t="str">
        <f>IFERROR(VLOOKUP(MID(N30,Q30,R30-Q30),[6]skilldef!$C:$D,2,FALSE),"-") &amp; " / " &amp; IFERROR(VLOOKUP(MID(N30,O30,P30-O30),[6]skilldef!$A:$B,2,FALSE),"-")</f>
        <v>- / 連続攻撃</v>
      </c>
      <c r="T30" s="47" t="str">
        <f t="shared" si="11"/>
        <v>none</v>
      </c>
      <c r="U30" s="61" t="e">
        <f t="shared" si="12"/>
        <v>#VALUE!</v>
      </c>
      <c r="V30" s="61">
        <f t="shared" si="13"/>
        <v>4</v>
      </c>
      <c r="W30" s="61" t="e">
        <f t="shared" si="14"/>
        <v>#VALUE!</v>
      </c>
      <c r="X30" s="61" t="e">
        <f t="shared" si="15"/>
        <v>#VALUE!</v>
      </c>
      <c r="Y30" s="61" t="str">
        <f>IFERROR(VLOOKUP(MID(T30,W30,X30-W30),[6]skilldef!$C:$D,2,FALSE),"-") &amp; " / " &amp; IFERROR(VLOOKUP(MID(T30,U30,V30-U30),[6]skilldef!$A:$B,2,FALSE),"-")</f>
        <v>- / -</v>
      </c>
      <c r="Z30" s="49"/>
      <c r="AA30" s="50"/>
      <c r="AB30" s="49"/>
    </row>
    <row r="31" spans="1:28" ht="21" customHeight="1" x14ac:dyDescent="0.15">
      <c r="A31" s="113">
        <v>41012029</v>
      </c>
      <c r="B31" s="116" t="s">
        <v>292</v>
      </c>
      <c r="C31" s="49">
        <v>3</v>
      </c>
      <c r="D31" s="49" t="s">
        <v>125</v>
      </c>
      <c r="E31" s="118" t="s">
        <v>321</v>
      </c>
      <c r="F31" s="118" t="s">
        <v>367</v>
      </c>
      <c r="G31" s="61" t="str">
        <f t="shared" si="0"/>
        <v>[effect:degrade_unit, target:unit_all, turn:4, status:heal, val:0.55, animation:degrade_unit_all_heal]</v>
      </c>
      <c r="H31" s="61">
        <f t="shared" si="1"/>
        <v>9</v>
      </c>
      <c r="I31" s="61">
        <f t="shared" si="2"/>
        <v>21</v>
      </c>
      <c r="J31" s="61">
        <f t="shared" si="3"/>
        <v>30</v>
      </c>
      <c r="K31" s="61">
        <f t="shared" si="4"/>
        <v>38</v>
      </c>
      <c r="L31" s="61" t="str">
        <f>IFERROR(VLOOKUP(MID(G31,J31,K31-J31),[6]skilldef!$C:$D,2,FALSE),"-") &amp; " / " &amp; IFERROR(VLOOKUP(MID(G31,H31,I31-H31),[6]skilldef!$A:$B,2,FALSE),"-")</f>
        <v>味方全体に / ステータスDOWN</v>
      </c>
      <c r="M31" s="61" t="str">
        <f t="shared" si="5"/>
        <v>[effect:rush, count:1, val:1.0]</v>
      </c>
      <c r="N31" s="47" t="str">
        <f t="shared" si="6"/>
        <v>[effect:rush, count:1, val:1.0]</v>
      </c>
      <c r="O31" s="61">
        <f t="shared" si="7"/>
        <v>9</v>
      </c>
      <c r="P31" s="61">
        <f t="shared" si="8"/>
        <v>13</v>
      </c>
      <c r="Q31" s="61" t="e">
        <f t="shared" si="9"/>
        <v>#VALUE!</v>
      </c>
      <c r="R31" s="61">
        <f t="shared" si="10"/>
        <v>22</v>
      </c>
      <c r="S31" s="61" t="str">
        <f>IFERROR(VLOOKUP(MID(N31,Q31,R31-Q31),[6]skilldef!$C:$D,2,FALSE),"-") &amp; " / " &amp; IFERROR(VLOOKUP(MID(N31,O31,P31-O31),[6]skilldef!$A:$B,2,FALSE),"-")</f>
        <v>- / 連続攻撃</v>
      </c>
      <c r="T31" s="47" t="str">
        <f t="shared" si="11"/>
        <v>none</v>
      </c>
      <c r="U31" s="61" t="e">
        <f t="shared" si="12"/>
        <v>#VALUE!</v>
      </c>
      <c r="V31" s="61">
        <f t="shared" si="13"/>
        <v>4</v>
      </c>
      <c r="W31" s="61" t="e">
        <f t="shared" si="14"/>
        <v>#VALUE!</v>
      </c>
      <c r="X31" s="61" t="e">
        <f t="shared" si="15"/>
        <v>#VALUE!</v>
      </c>
      <c r="Y31" s="61" t="str">
        <f>IFERROR(VLOOKUP(MID(T31,W31,X31-W31),[6]skilldef!$C:$D,2,FALSE),"-") &amp; " / " &amp; IFERROR(VLOOKUP(MID(T31,U31,V31-U31),[6]skilldef!$A:$B,2,FALSE),"-")</f>
        <v>- / -</v>
      </c>
      <c r="Z31" s="49"/>
      <c r="AA31" s="50"/>
      <c r="AB31" s="49"/>
    </row>
    <row r="32" spans="1:28" ht="21" customHeight="1" x14ac:dyDescent="0.15">
      <c r="A32" s="113">
        <v>41012030</v>
      </c>
      <c r="B32" s="116" t="s">
        <v>293</v>
      </c>
      <c r="C32" s="49">
        <v>3</v>
      </c>
      <c r="D32" s="49" t="s">
        <v>125</v>
      </c>
      <c r="E32" s="121" t="s">
        <v>322</v>
      </c>
      <c r="F32" s="118" t="s">
        <v>368</v>
      </c>
      <c r="G32" s="61" t="str">
        <f t="shared" si="0"/>
        <v>[effect:degrade_unit, target:unit_all, turn:3, status:attack, val:0.66]</v>
      </c>
      <c r="H32" s="61">
        <f t="shared" si="1"/>
        <v>9</v>
      </c>
      <c r="I32" s="61">
        <f t="shared" si="2"/>
        <v>21</v>
      </c>
      <c r="J32" s="61">
        <f t="shared" si="3"/>
        <v>30</v>
      </c>
      <c r="K32" s="61">
        <f t="shared" si="4"/>
        <v>38</v>
      </c>
      <c r="L32" s="61" t="str">
        <f>IFERROR(VLOOKUP(MID(G32,J32,K32-J32),[6]skilldef!$C:$D,2,FALSE),"-") &amp; " / " &amp; IFERROR(VLOOKUP(MID(G32,H32,I32-H32),[6]skilldef!$A:$B,2,FALSE),"-")</f>
        <v>味方全体に / ステータスDOWN</v>
      </c>
      <c r="M32" s="61" t="str">
        <f t="shared" si="5"/>
        <v>[effect:rush, count:1, val:1.5]</v>
      </c>
      <c r="N32" s="47" t="str">
        <f t="shared" si="6"/>
        <v>[effect:rush, count:1, val:1.5]</v>
      </c>
      <c r="O32" s="61">
        <f t="shared" si="7"/>
        <v>9</v>
      </c>
      <c r="P32" s="61">
        <f t="shared" si="8"/>
        <v>13</v>
      </c>
      <c r="Q32" s="61" t="e">
        <f t="shared" si="9"/>
        <v>#VALUE!</v>
      </c>
      <c r="R32" s="61">
        <f t="shared" si="10"/>
        <v>22</v>
      </c>
      <c r="S32" s="61" t="str">
        <f>IFERROR(VLOOKUP(MID(N32,Q32,R32-Q32),[6]skilldef!$C:$D,2,FALSE),"-") &amp; " / " &amp; IFERROR(VLOOKUP(MID(N32,O32,P32-O32),[6]skilldef!$A:$B,2,FALSE),"-")</f>
        <v>- / 連続攻撃</v>
      </c>
      <c r="T32" s="47" t="str">
        <f t="shared" si="11"/>
        <v>none</v>
      </c>
      <c r="U32" s="61" t="e">
        <f t="shared" si="12"/>
        <v>#VALUE!</v>
      </c>
      <c r="V32" s="61">
        <f t="shared" si="13"/>
        <v>4</v>
      </c>
      <c r="W32" s="61" t="e">
        <f t="shared" si="14"/>
        <v>#VALUE!</v>
      </c>
      <c r="X32" s="61" t="e">
        <f t="shared" si="15"/>
        <v>#VALUE!</v>
      </c>
      <c r="Y32" s="61" t="str">
        <f>IFERROR(VLOOKUP(MID(T32,W32,X32-W32),[6]skilldef!$C:$D,2,FALSE),"-") &amp; " / " &amp; IFERROR(VLOOKUP(MID(T32,U32,V32-U32),[6]skilldef!$A:$B,2,FALSE),"-")</f>
        <v>- / -</v>
      </c>
      <c r="Z32" s="49"/>
      <c r="AA32" s="50"/>
      <c r="AB32" s="49"/>
    </row>
    <row r="33" spans="1:28" ht="21" customHeight="1" x14ac:dyDescent="0.15">
      <c r="A33" s="113">
        <v>41012031</v>
      </c>
      <c r="B33" s="116" t="s">
        <v>294</v>
      </c>
      <c r="C33" s="49">
        <v>3</v>
      </c>
      <c r="D33" s="49" t="s">
        <v>125</v>
      </c>
      <c r="E33" s="122" t="s">
        <v>323</v>
      </c>
      <c r="F33" s="118" t="s">
        <v>369</v>
      </c>
      <c r="G33" s="61" t="str">
        <f t="shared" si="0"/>
        <v>[effect:degrade_unit, target:unit_all, turn:3, status:heal, val:0.66, animation:degrade_unit_all_heal]</v>
      </c>
      <c r="H33" s="61">
        <f t="shared" si="1"/>
        <v>9</v>
      </c>
      <c r="I33" s="61">
        <f t="shared" si="2"/>
        <v>21</v>
      </c>
      <c r="J33" s="61">
        <f t="shared" si="3"/>
        <v>30</v>
      </c>
      <c r="K33" s="61">
        <f t="shared" si="4"/>
        <v>38</v>
      </c>
      <c r="L33" s="61" t="str">
        <f>IFERROR(VLOOKUP(MID(G33,J33,K33-J33),[6]skilldef!$C:$D,2,FALSE),"-") &amp; " / " &amp; IFERROR(VLOOKUP(MID(G33,H33,I33-H33),[6]skilldef!$A:$B,2,FALSE),"-")</f>
        <v>味方全体に / ステータスDOWN</v>
      </c>
      <c r="M33" s="61" t="str">
        <f t="shared" si="5"/>
        <v>[effect:rush, count:1, val:1.5]</v>
      </c>
      <c r="N33" s="47" t="str">
        <f t="shared" si="6"/>
        <v>[effect:rush, count:1, val:1.5]</v>
      </c>
      <c r="O33" s="61">
        <f t="shared" si="7"/>
        <v>9</v>
      </c>
      <c r="P33" s="61">
        <f t="shared" si="8"/>
        <v>13</v>
      </c>
      <c r="Q33" s="61" t="e">
        <f t="shared" si="9"/>
        <v>#VALUE!</v>
      </c>
      <c r="R33" s="61">
        <f t="shared" si="10"/>
        <v>22</v>
      </c>
      <c r="S33" s="61" t="str">
        <f>IFERROR(VLOOKUP(MID(N33,Q33,R33-Q33),[6]skilldef!$C:$D,2,FALSE),"-") &amp; " / " &amp; IFERROR(VLOOKUP(MID(N33,O33,P33-O33),[6]skilldef!$A:$B,2,FALSE),"-")</f>
        <v>- / 連続攻撃</v>
      </c>
      <c r="T33" s="47" t="str">
        <f t="shared" si="11"/>
        <v>none</v>
      </c>
      <c r="U33" s="61" t="e">
        <f t="shared" si="12"/>
        <v>#VALUE!</v>
      </c>
      <c r="V33" s="61">
        <f t="shared" si="13"/>
        <v>4</v>
      </c>
      <c r="W33" s="61" t="e">
        <f t="shared" si="14"/>
        <v>#VALUE!</v>
      </c>
      <c r="X33" s="61" t="e">
        <f t="shared" si="15"/>
        <v>#VALUE!</v>
      </c>
      <c r="Y33" s="61" t="str">
        <f>IFERROR(VLOOKUP(MID(T33,W33,X33-W33),[6]skilldef!$C:$D,2,FALSE),"-") &amp; " / " &amp; IFERROR(VLOOKUP(MID(T33,U33,V33-U33),[6]skilldef!$A:$B,2,FALSE),"-")</f>
        <v>- / -</v>
      </c>
      <c r="Z33" s="49"/>
      <c r="AA33" s="50"/>
      <c r="AB33" s="49"/>
    </row>
    <row r="34" spans="1:28" ht="21" customHeight="1" x14ac:dyDescent="0.15">
      <c r="A34" s="113">
        <v>41012032</v>
      </c>
      <c r="B34" s="116" t="s">
        <v>295</v>
      </c>
      <c r="C34" s="49">
        <v>3</v>
      </c>
      <c r="D34" s="49" t="s">
        <v>125</v>
      </c>
      <c r="E34" s="122" t="s">
        <v>324</v>
      </c>
      <c r="F34" s="118" t="s">
        <v>406</v>
      </c>
      <c r="G34" s="61" t="str">
        <f t="shared" ref="G34:G52" si="16">IFERROR(LEFT(B34,FIND("],",B34)),B34)</f>
        <v>[effect:freq_turn, target:myself, turn:3, val:1, animation:enemy_freq_turn]</v>
      </c>
      <c r="H34" s="61">
        <f t="shared" ref="H34:H52" si="17">FIND("effect:",G34)+7</f>
        <v>9</v>
      </c>
      <c r="I34" s="61">
        <f t="shared" ref="I34:I52" si="18">IFERROR(FIND(",",G34),LEN(G34))</f>
        <v>18</v>
      </c>
      <c r="J34" s="61">
        <f t="shared" ref="J34:J52" si="19">FIND("target:",G34)+7</f>
        <v>27</v>
      </c>
      <c r="K34" s="61">
        <f t="shared" ref="K34:K52" si="20">FIND(",",G34,I34+1)</f>
        <v>33</v>
      </c>
      <c r="L34" s="61" t="str">
        <f>IFERROR(VLOOKUP(MID(G34,J34,K34-J34),[6]skilldef!$C:$D,2,FALSE),"-") &amp; " / " &amp; IFERROR(VLOOKUP(MID(G34,H34,I34-H34),[6]skilldef!$A:$B,2,FALSE),"-")</f>
        <v>自分自身に / 攻撃頻度がUP</v>
      </c>
      <c r="M34" s="61" t="str">
        <f t="shared" ref="M34:M52" si="21">IFERROR(RIGHT(B34,LEN(B34)-FIND("],",B34)-1),"none")</f>
        <v>none</v>
      </c>
      <c r="N34" s="47" t="str">
        <f t="shared" ref="N34:N52" si="22">IFERROR(LEFT(M34,FIND("],",M34)+S44),M34)</f>
        <v>none</v>
      </c>
      <c r="O34" s="61" t="e">
        <f t="shared" ref="O34:O52" si="23">FIND("effect:",N34)+7</f>
        <v>#VALUE!</v>
      </c>
      <c r="P34" s="61">
        <f t="shared" ref="P34:P52" si="24">IFERROR(FIND(",",N34),LEN(N34))</f>
        <v>4</v>
      </c>
      <c r="Q34" s="61" t="e">
        <f t="shared" ref="Q34:Q52" si="25">FIND("target:",N34)+7</f>
        <v>#VALUE!</v>
      </c>
      <c r="R34" s="61" t="e">
        <f t="shared" ref="R34:R52" si="26">FIND(",",N34,P34+1)</f>
        <v>#VALUE!</v>
      </c>
      <c r="S34" s="61" t="str">
        <f>IFERROR(VLOOKUP(MID(N34,Q34,R34-Q34),[6]skilldef!$C:$D,2,FALSE),"-") &amp; " / " &amp; IFERROR(VLOOKUP(MID(N34,O34,P34-O34),[6]skilldef!$A:$B,2,FALSE),"-")</f>
        <v>- / -</v>
      </c>
      <c r="T34" s="47" t="str">
        <f t="shared" ref="T34:T52" si="27">IFERROR(RIGHT(M34,LEN(M34)-FIND("],",M34)-1),"none")</f>
        <v>none</v>
      </c>
      <c r="U34" s="61" t="e">
        <f t="shared" ref="U34:U52" si="28">FIND("effect:",T34)+7</f>
        <v>#VALUE!</v>
      </c>
      <c r="V34" s="61">
        <f t="shared" ref="V34:V52" si="29">IFERROR(FIND(",",T34),LEN(T34))</f>
        <v>4</v>
      </c>
      <c r="W34" s="61" t="e">
        <f t="shared" ref="W34:W52" si="30">FIND("target:",T34)+7</f>
        <v>#VALUE!</v>
      </c>
      <c r="X34" s="61" t="e">
        <f t="shared" ref="X34:X52" si="31">FIND(",",T34,V34+1)</f>
        <v>#VALUE!</v>
      </c>
      <c r="Y34" s="61" t="str">
        <f>IFERROR(VLOOKUP(MID(T34,W34,X34-W34),[6]skilldef!$C:$D,2,FALSE),"-") &amp; " / " &amp; IFERROR(VLOOKUP(MID(T34,U34,V34-U34),[6]skilldef!$A:$B,2,FALSE),"-")</f>
        <v>- / -</v>
      </c>
      <c r="Z34" s="49"/>
      <c r="AA34" s="50"/>
      <c r="AB34" s="49"/>
    </row>
    <row r="35" spans="1:28" ht="21" customHeight="1" x14ac:dyDescent="0.15">
      <c r="A35" s="113">
        <v>41012033</v>
      </c>
      <c r="B35" s="117" t="s">
        <v>265</v>
      </c>
      <c r="C35" s="49">
        <v>3</v>
      </c>
      <c r="D35" s="49" t="s">
        <v>125</v>
      </c>
      <c r="E35" s="120" t="s">
        <v>325</v>
      </c>
      <c r="F35" s="120" t="s">
        <v>370</v>
      </c>
      <c r="G35" s="61" t="str">
        <f t="shared" si="16"/>
        <v>[effect:tolerance, target:myself, turn:-1, tolerance_effect:hungup, count:-1, animation:enemy_tolerance]</v>
      </c>
      <c r="H35" s="61">
        <f t="shared" si="17"/>
        <v>9</v>
      </c>
      <c r="I35" s="61">
        <f t="shared" si="18"/>
        <v>18</v>
      </c>
      <c r="J35" s="61">
        <f t="shared" si="19"/>
        <v>27</v>
      </c>
      <c r="K35" s="61">
        <f t="shared" si="20"/>
        <v>33</v>
      </c>
      <c r="L35" s="61" t="str">
        <f>IFERROR(VLOOKUP(MID(G35,J35,K35-J35),[6]skilldef!$C:$D,2,FALSE),"-") &amp; " / " &amp; IFERROR(VLOOKUP(MID(G35,H35,I35-H35),[6]skilldef!$A:$B,2,FALSE),"-")</f>
        <v>自分自身に / 状態異常耐性</v>
      </c>
      <c r="M35" s="61" t="str">
        <f t="shared" si="21"/>
        <v>[effect:tolerance, target:myself, turn:-1, tolerance_effect:sleep, count:-1, animation:enemy_tolerance],[effect:fix_speed, target:myself, turn:1]</v>
      </c>
      <c r="N35" s="47" t="str">
        <f t="shared" si="22"/>
        <v>[effect:tolerance, target:myself, turn:-1, tolerance_effect:sleep, count:-1, animation:enemy_tolerance],[effect:fix_speed, target:myself, turn:1]</v>
      </c>
      <c r="O35" s="61">
        <f t="shared" si="23"/>
        <v>9</v>
      </c>
      <c r="P35" s="61">
        <f t="shared" si="24"/>
        <v>18</v>
      </c>
      <c r="Q35" s="61">
        <f t="shared" si="25"/>
        <v>27</v>
      </c>
      <c r="R35" s="61">
        <f t="shared" si="26"/>
        <v>33</v>
      </c>
      <c r="S35" s="61" t="str">
        <f>IFERROR(VLOOKUP(MID(N35,Q35,R35-Q35),[6]skilldef!$C:$D,2,FALSE),"-") &amp; " / " &amp; IFERROR(VLOOKUP(MID(N35,O35,P35-O35),[6]skilldef!$A:$B,2,FALSE),"-")</f>
        <v>自分自身に / 状態異常耐性</v>
      </c>
      <c r="T35" s="47" t="str">
        <f t="shared" si="27"/>
        <v>[effect:fix_speed, target:myself, turn:1]</v>
      </c>
      <c r="U35" s="61">
        <f t="shared" si="28"/>
        <v>9</v>
      </c>
      <c r="V35" s="61">
        <f t="shared" si="29"/>
        <v>18</v>
      </c>
      <c r="W35" s="61">
        <f t="shared" si="30"/>
        <v>27</v>
      </c>
      <c r="X35" s="61">
        <f t="shared" si="31"/>
        <v>33</v>
      </c>
      <c r="Y35" s="61" t="str">
        <f>IFERROR(VLOOKUP(MID(T35,W35,X35-W35),[6]skilldef!$C:$D,2,FALSE),"-") &amp; " / " &amp; IFERROR(VLOOKUP(MID(T35,U35,V35-U35),[6]skilldef!$A:$B,2,FALSE),"-")</f>
        <v>自分自身に / 行動値設定</v>
      </c>
      <c r="Z35" s="49"/>
      <c r="AA35" s="50"/>
      <c r="AB35" s="49"/>
    </row>
    <row r="36" spans="1:28" ht="21" customHeight="1" x14ac:dyDescent="0.15">
      <c r="A36" s="113">
        <v>41012034</v>
      </c>
      <c r="B36" s="117" t="s">
        <v>266</v>
      </c>
      <c r="C36" s="49">
        <v>3</v>
      </c>
      <c r="D36" s="49" t="s">
        <v>125</v>
      </c>
      <c r="E36" s="120" t="s">
        <v>326</v>
      </c>
      <c r="F36" s="120" t="s">
        <v>371</v>
      </c>
      <c r="G36" s="61" t="str">
        <f t="shared" si="16"/>
        <v>[effect:sleep, target:unit_all, turn:-1, rate:1, animation:sleep01]</v>
      </c>
      <c r="H36" s="61">
        <f t="shared" si="17"/>
        <v>9</v>
      </c>
      <c r="I36" s="61">
        <f t="shared" si="18"/>
        <v>14</v>
      </c>
      <c r="J36" s="61">
        <f t="shared" si="19"/>
        <v>23</v>
      </c>
      <c r="K36" s="61">
        <f t="shared" si="20"/>
        <v>31</v>
      </c>
      <c r="L36" s="61" t="str">
        <f>IFERROR(VLOOKUP(MID(G36,J36,K36-J36),[6]skilldef!$C:$D,2,FALSE),"-") &amp; " / " &amp; IFERROR(VLOOKUP(MID(G36,H36,I36-H36),[6]skilldef!$A:$B,2,FALSE),"-")</f>
        <v>味方全体に / スリープ</v>
      </c>
      <c r="M36" s="61" t="str">
        <f t="shared" si="21"/>
        <v>[effect:fix_speed, target:myself, turn:2]</v>
      </c>
      <c r="N36" s="47" t="str">
        <f t="shared" si="22"/>
        <v>[effect:fix_speed, target:myself, turn:2]</v>
      </c>
      <c r="O36" s="61">
        <f t="shared" si="23"/>
        <v>9</v>
      </c>
      <c r="P36" s="61">
        <f t="shared" si="24"/>
        <v>18</v>
      </c>
      <c r="Q36" s="61">
        <f t="shared" si="25"/>
        <v>27</v>
      </c>
      <c r="R36" s="61">
        <f t="shared" si="26"/>
        <v>33</v>
      </c>
      <c r="S36" s="61" t="str">
        <f>IFERROR(VLOOKUP(MID(N36,Q36,R36-Q36),[6]skilldef!$C:$D,2,FALSE),"-") &amp; " / " &amp; IFERROR(VLOOKUP(MID(N36,O36,P36-O36),[6]skilldef!$A:$B,2,FALSE),"-")</f>
        <v>自分自身に / 行動値設定</v>
      </c>
      <c r="T36" s="47" t="str">
        <f t="shared" si="27"/>
        <v>none</v>
      </c>
      <c r="U36" s="61" t="e">
        <f t="shared" si="28"/>
        <v>#VALUE!</v>
      </c>
      <c r="V36" s="61">
        <f t="shared" si="29"/>
        <v>4</v>
      </c>
      <c r="W36" s="61" t="e">
        <f t="shared" si="30"/>
        <v>#VALUE!</v>
      </c>
      <c r="X36" s="61" t="e">
        <f t="shared" si="31"/>
        <v>#VALUE!</v>
      </c>
      <c r="Y36" s="61" t="str">
        <f>IFERROR(VLOOKUP(MID(T36,W36,X36-W36),[6]skilldef!$C:$D,2,FALSE),"-") &amp; " / " &amp; IFERROR(VLOOKUP(MID(T36,U36,V36-U36),[6]skilldef!$A:$B,2,FALSE),"-")</f>
        <v>- / -</v>
      </c>
      <c r="Z36" s="49"/>
      <c r="AA36" s="50"/>
      <c r="AB36" s="49"/>
    </row>
    <row r="37" spans="1:28" ht="21" customHeight="1" x14ac:dyDescent="0.15">
      <c r="A37" s="113">
        <v>41012035</v>
      </c>
      <c r="B37" s="117" t="s">
        <v>267</v>
      </c>
      <c r="C37" s="49">
        <v>3</v>
      </c>
      <c r="D37" s="49" t="s">
        <v>125</v>
      </c>
      <c r="E37" s="120" t="s">
        <v>327</v>
      </c>
      <c r="F37" s="120" t="s">
        <v>372</v>
      </c>
      <c r="G37" s="61" t="str">
        <f t="shared" si="16"/>
        <v>[effect:rush, count:3, val:0.45]</v>
      </c>
      <c r="H37" s="61">
        <f t="shared" si="17"/>
        <v>9</v>
      </c>
      <c r="I37" s="61">
        <f t="shared" si="18"/>
        <v>13</v>
      </c>
      <c r="J37" s="61" t="e">
        <f t="shared" si="19"/>
        <v>#VALUE!</v>
      </c>
      <c r="K37" s="61">
        <f t="shared" si="20"/>
        <v>22</v>
      </c>
      <c r="L37" s="61" t="str">
        <f>IFERROR(VLOOKUP(MID(G37,J37,K37-J37),[6]skilldef!$C:$D,2,FALSE),"-") &amp; " / " &amp; IFERROR(VLOOKUP(MID(G37,H37,I37-H37),[6]skilldef!$A:$B,2,FALSE),"-")</f>
        <v>- / 連続攻撃</v>
      </c>
      <c r="M37" s="61" t="str">
        <f t="shared" si="21"/>
        <v>none</v>
      </c>
      <c r="N37" s="47" t="str">
        <f t="shared" si="22"/>
        <v>none</v>
      </c>
      <c r="O37" s="61" t="e">
        <f t="shared" si="23"/>
        <v>#VALUE!</v>
      </c>
      <c r="P37" s="61">
        <f t="shared" si="24"/>
        <v>4</v>
      </c>
      <c r="Q37" s="61" t="e">
        <f t="shared" si="25"/>
        <v>#VALUE!</v>
      </c>
      <c r="R37" s="61" t="e">
        <f t="shared" si="26"/>
        <v>#VALUE!</v>
      </c>
      <c r="S37" s="61" t="str">
        <f>IFERROR(VLOOKUP(MID(N37,Q37,R37-Q37),[6]skilldef!$C:$D,2,FALSE),"-") &amp; " / " &amp; IFERROR(VLOOKUP(MID(N37,O37,P37-O37),[6]skilldef!$A:$B,2,FALSE),"-")</f>
        <v>- / -</v>
      </c>
      <c r="T37" s="47" t="str">
        <f t="shared" si="27"/>
        <v>none</v>
      </c>
      <c r="U37" s="61" t="e">
        <f t="shared" si="28"/>
        <v>#VALUE!</v>
      </c>
      <c r="V37" s="61">
        <f t="shared" si="29"/>
        <v>4</v>
      </c>
      <c r="W37" s="61" t="e">
        <f t="shared" si="30"/>
        <v>#VALUE!</v>
      </c>
      <c r="X37" s="61" t="e">
        <f t="shared" si="31"/>
        <v>#VALUE!</v>
      </c>
      <c r="Y37" s="61" t="str">
        <f>IFERROR(VLOOKUP(MID(T37,W37,X37-W37),[6]skilldef!$C:$D,2,FALSE),"-") &amp; " / " &amp; IFERROR(VLOOKUP(MID(T37,U37,V37-U37),[6]skilldef!$A:$B,2,FALSE),"-")</f>
        <v>- / -</v>
      </c>
      <c r="Z37" s="49"/>
      <c r="AA37" s="50"/>
      <c r="AB37" s="49"/>
    </row>
    <row r="38" spans="1:28" ht="21" customHeight="1" x14ac:dyDescent="0.15">
      <c r="A38" s="113">
        <v>41012036</v>
      </c>
      <c r="B38" s="117" t="s">
        <v>268</v>
      </c>
      <c r="C38" s="49">
        <v>3</v>
      </c>
      <c r="D38" s="49" t="s">
        <v>125</v>
      </c>
      <c r="E38" s="120" t="s">
        <v>328</v>
      </c>
      <c r="F38" s="120" t="s">
        <v>373</v>
      </c>
      <c r="G38" s="61" t="str">
        <f t="shared" si="16"/>
        <v>[effect:damage_anti_tribe, target:unit_all, tribe:god, val1:0.6, val2:0.3]</v>
      </c>
      <c r="H38" s="61">
        <f t="shared" si="17"/>
        <v>9</v>
      </c>
      <c r="I38" s="61">
        <f t="shared" si="18"/>
        <v>26</v>
      </c>
      <c r="J38" s="61">
        <f t="shared" si="19"/>
        <v>35</v>
      </c>
      <c r="K38" s="61">
        <f t="shared" si="20"/>
        <v>43</v>
      </c>
      <c r="L38" s="61" t="str">
        <f>IFERROR(VLOOKUP(MID(G38,J38,K38-J38),[6]skilldef!$C:$D,2,FALSE),"-") &amp; " / " &amp; IFERROR(VLOOKUP(MID(G38,H38,I38-H38),[6]skilldef!$A:$B,2,FALSE),"-")</f>
        <v>味方全体に / 種族キラー</v>
      </c>
      <c r="M38" s="61" t="str">
        <f t="shared" si="21"/>
        <v>none</v>
      </c>
      <c r="N38" s="47" t="str">
        <f t="shared" si="22"/>
        <v>none</v>
      </c>
      <c r="O38" s="61" t="e">
        <f t="shared" si="23"/>
        <v>#VALUE!</v>
      </c>
      <c r="P38" s="61">
        <f t="shared" si="24"/>
        <v>4</v>
      </c>
      <c r="Q38" s="61" t="e">
        <f t="shared" si="25"/>
        <v>#VALUE!</v>
      </c>
      <c r="R38" s="61" t="e">
        <f t="shared" si="26"/>
        <v>#VALUE!</v>
      </c>
      <c r="S38" s="61" t="str">
        <f>IFERROR(VLOOKUP(MID(N38,Q38,R38-Q38),[6]skilldef!$C:$D,2,FALSE),"-") &amp; " / " &amp; IFERROR(VLOOKUP(MID(N38,O38,P38-O38),[6]skilldef!$A:$B,2,FALSE),"-")</f>
        <v>- / -</v>
      </c>
      <c r="T38" s="47" t="str">
        <f t="shared" si="27"/>
        <v>none</v>
      </c>
      <c r="U38" s="61" t="e">
        <f t="shared" si="28"/>
        <v>#VALUE!</v>
      </c>
      <c r="V38" s="61">
        <f t="shared" si="29"/>
        <v>4</v>
      </c>
      <c r="W38" s="61" t="e">
        <f t="shared" si="30"/>
        <v>#VALUE!</v>
      </c>
      <c r="X38" s="61" t="e">
        <f t="shared" si="31"/>
        <v>#VALUE!</v>
      </c>
      <c r="Y38" s="61" t="str">
        <f>IFERROR(VLOOKUP(MID(T38,W38,X38-W38),[6]skilldef!$C:$D,2,FALSE),"-") &amp; " / " &amp; IFERROR(VLOOKUP(MID(T38,U38,V38-U38),[6]skilldef!$A:$B,2,FALSE),"-")</f>
        <v>- / -</v>
      </c>
      <c r="Z38" s="49"/>
      <c r="AA38" s="50"/>
      <c r="AB38" s="49"/>
    </row>
    <row r="39" spans="1:28" ht="21" customHeight="1" x14ac:dyDescent="0.15">
      <c r="A39" s="113">
        <v>41012037</v>
      </c>
      <c r="B39" s="116" t="s">
        <v>419</v>
      </c>
      <c r="C39" s="49">
        <v>3</v>
      </c>
      <c r="D39" s="49" t="s">
        <v>125</v>
      </c>
      <c r="E39" s="118" t="s">
        <v>329</v>
      </c>
      <c r="F39" s="118" t="s">
        <v>412</v>
      </c>
      <c r="G39" s="61" t="str">
        <f t="shared" si="16"/>
        <v>[effect:tolerance, target:myself, turn:-1, tolerance_effect:hungup, count:-1, animation:enemy_tolerance]</v>
      </c>
      <c r="H39" s="61">
        <f t="shared" si="17"/>
        <v>9</v>
      </c>
      <c r="I39" s="61">
        <f t="shared" si="18"/>
        <v>18</v>
      </c>
      <c r="J39" s="61">
        <f t="shared" si="19"/>
        <v>27</v>
      </c>
      <c r="K39" s="61">
        <f t="shared" si="20"/>
        <v>33</v>
      </c>
      <c r="L39" s="61" t="str">
        <f>IFERROR(VLOOKUP(MID(G39,J39,K39-J39),[6]skilldef!$C:$D,2,FALSE),"-") &amp; " / " &amp; IFERROR(VLOOKUP(MID(G39,H39,I39-H39),[6]skilldef!$A:$B,2,FALSE),"-")</f>
        <v>自分自身に / 状態異常耐性</v>
      </c>
      <c r="M39" s="61" t="str">
        <f t="shared" si="21"/>
        <v>[effect:tolerance, target:myself, turn:-1, tolerance_effect:sleep, count:-1, animation:enemy_tolerance],[effect:drop_block, block_type:time_bomb, color:block_red, val:33, rate:0.9, turn:-1, min_time_count:3, max_time_count:3, animation:time_bomb_influence04]</v>
      </c>
      <c r="N39" s="47" t="str">
        <f t="shared" si="22"/>
        <v>[effect:tolerance, target:myself, turn:-1, tolerance_effect:sleep, count:-1, animation:enemy_tolerance],[effect:drop_block, block_type:time_bomb, color:block_red, val:33, rate:0.9, turn:-1, min_time_count:3, max_time_count:3, animation:time_bomb_influence04]</v>
      </c>
      <c r="O39" s="61">
        <f t="shared" si="23"/>
        <v>9</v>
      </c>
      <c r="P39" s="61">
        <f t="shared" si="24"/>
        <v>18</v>
      </c>
      <c r="Q39" s="61">
        <f t="shared" si="25"/>
        <v>27</v>
      </c>
      <c r="R39" s="61">
        <f t="shared" si="26"/>
        <v>33</v>
      </c>
      <c r="S39" s="61" t="str">
        <f>IFERROR(VLOOKUP(MID(N39,Q39,R39-Q39),[6]skilldef!$C:$D,2,FALSE),"-") &amp; " / " &amp; IFERROR(VLOOKUP(MID(N39,O39,P39-O39),[6]skilldef!$A:$B,2,FALSE),"-")</f>
        <v>自分自身に / 状態異常耐性</v>
      </c>
      <c r="T39" s="47" t="str">
        <f t="shared" si="27"/>
        <v>[effect:drop_block, block_type:time_bomb, color:block_red, val:33, rate:0.9, turn:-1, min_time_count:3, max_time_count:3, animation:time_bomb_influence04]</v>
      </c>
      <c r="U39" s="61">
        <f t="shared" si="28"/>
        <v>9</v>
      </c>
      <c r="V39" s="61">
        <f t="shared" si="29"/>
        <v>19</v>
      </c>
      <c r="W39" s="61" t="e">
        <f t="shared" si="30"/>
        <v>#VALUE!</v>
      </c>
      <c r="X39" s="61">
        <f t="shared" si="31"/>
        <v>41</v>
      </c>
      <c r="Y39" s="61" t="str">
        <f>IFERROR(VLOOKUP(MID(T39,W39,X39-W39),[6]skilldef!$C:$D,2,FALSE),"-") &amp; " / " &amp; IFERROR(VLOOKUP(MID(T39,U39,V39-U39),[6]skilldef!$A:$B,2,FALSE),"-")</f>
        <v>- / 特定ブロックの割合ドロップ</v>
      </c>
      <c r="Z39" s="49"/>
      <c r="AA39" s="50"/>
      <c r="AB39" s="49"/>
    </row>
    <row r="40" spans="1:28" ht="21" customHeight="1" x14ac:dyDescent="0.15">
      <c r="A40" s="113">
        <v>41012038</v>
      </c>
      <c r="B40" s="116" t="s">
        <v>269</v>
      </c>
      <c r="C40" s="49">
        <v>3</v>
      </c>
      <c r="D40" s="49" t="s">
        <v>125</v>
      </c>
      <c r="E40" s="118" t="s">
        <v>330</v>
      </c>
      <c r="F40" s="118" t="s">
        <v>374</v>
      </c>
      <c r="G40" s="61" t="str">
        <f t="shared" si="16"/>
        <v>[effect:panel_freeze, target:block_blue, count:-1, break_count:1]</v>
      </c>
      <c r="H40" s="61">
        <f t="shared" si="17"/>
        <v>9</v>
      </c>
      <c r="I40" s="61">
        <f t="shared" si="18"/>
        <v>21</v>
      </c>
      <c r="J40" s="61">
        <f t="shared" si="19"/>
        <v>30</v>
      </c>
      <c r="K40" s="61">
        <f t="shared" si="20"/>
        <v>40</v>
      </c>
      <c r="L40" s="61" t="str">
        <f>IFERROR(VLOOKUP(MID(G40,J40,K40-J40),[6]skilldef!$C:$D,2,FALSE),"-") &amp; " / " &amp; IFERROR(VLOOKUP(MID(G40,H40,I40-H40),[6]skilldef!$A:$B,2,FALSE),"-")</f>
        <v>青パネルを / -</v>
      </c>
      <c r="M40" s="61" t="str">
        <f t="shared" si="21"/>
        <v>[effect:rush, count:1, val:1.0]</v>
      </c>
      <c r="N40" s="47" t="str">
        <f t="shared" si="22"/>
        <v>[effect:rush, count:1, val:1.0]</v>
      </c>
      <c r="O40" s="61">
        <f t="shared" si="23"/>
        <v>9</v>
      </c>
      <c r="P40" s="61">
        <f t="shared" si="24"/>
        <v>13</v>
      </c>
      <c r="Q40" s="61" t="e">
        <f t="shared" si="25"/>
        <v>#VALUE!</v>
      </c>
      <c r="R40" s="61">
        <f t="shared" si="26"/>
        <v>22</v>
      </c>
      <c r="S40" s="61" t="str">
        <f>IFERROR(VLOOKUP(MID(N40,Q40,R40-Q40),[6]skilldef!$C:$D,2,FALSE),"-") &amp; " / " &amp; IFERROR(VLOOKUP(MID(N40,O40,P40-O40),[6]skilldef!$A:$B,2,FALSE),"-")</f>
        <v>- / 連続攻撃</v>
      </c>
      <c r="T40" s="47" t="str">
        <f t="shared" si="27"/>
        <v>none</v>
      </c>
      <c r="U40" s="61" t="e">
        <f t="shared" si="28"/>
        <v>#VALUE!</v>
      </c>
      <c r="V40" s="61">
        <f t="shared" si="29"/>
        <v>4</v>
      </c>
      <c r="W40" s="61" t="e">
        <f t="shared" si="30"/>
        <v>#VALUE!</v>
      </c>
      <c r="X40" s="61" t="e">
        <f t="shared" si="31"/>
        <v>#VALUE!</v>
      </c>
      <c r="Y40" s="61" t="str">
        <f>IFERROR(VLOOKUP(MID(T40,W40,X40-W40),[6]skilldef!$C:$D,2,FALSE),"-") &amp; " / " &amp; IFERROR(VLOOKUP(MID(T40,U40,V40-U40),[6]skilldef!$A:$B,2,FALSE),"-")</f>
        <v>- / -</v>
      </c>
      <c r="Z40" s="49"/>
      <c r="AA40" s="50"/>
      <c r="AB40" s="49"/>
    </row>
    <row r="41" spans="1:28" ht="21" customHeight="1" x14ac:dyDescent="0.15">
      <c r="A41" s="113">
        <v>41012039</v>
      </c>
      <c r="B41" s="116" t="s">
        <v>270</v>
      </c>
      <c r="C41" s="49">
        <v>3</v>
      </c>
      <c r="D41" s="49" t="s">
        <v>125</v>
      </c>
      <c r="E41" s="118" t="s">
        <v>331</v>
      </c>
      <c r="F41" s="118" t="s">
        <v>375</v>
      </c>
      <c r="G41" s="61" t="str">
        <f t="shared" si="16"/>
        <v>[effect:panel_freeze, target:block_green, count:-1, break_count:1]</v>
      </c>
      <c r="H41" s="61">
        <f t="shared" si="17"/>
        <v>9</v>
      </c>
      <c r="I41" s="61">
        <f t="shared" si="18"/>
        <v>21</v>
      </c>
      <c r="J41" s="61">
        <f t="shared" si="19"/>
        <v>30</v>
      </c>
      <c r="K41" s="61">
        <f t="shared" si="20"/>
        <v>41</v>
      </c>
      <c r="L41" s="61" t="str">
        <f>IFERROR(VLOOKUP(MID(G41,J41,K41-J41),[6]skilldef!$C:$D,2,FALSE),"-") &amp; " / " &amp; IFERROR(VLOOKUP(MID(G41,H41,I41-H41),[6]skilldef!$A:$B,2,FALSE),"-")</f>
        <v>緑パネルを / -</v>
      </c>
      <c r="M41" s="61" t="str">
        <f t="shared" si="21"/>
        <v>[effect:rush, count:1, val:1.0]</v>
      </c>
      <c r="N41" s="47" t="str">
        <f t="shared" si="22"/>
        <v>[effect:rush, count:1, val:1.0]</v>
      </c>
      <c r="O41" s="61">
        <f t="shared" si="23"/>
        <v>9</v>
      </c>
      <c r="P41" s="61">
        <f t="shared" si="24"/>
        <v>13</v>
      </c>
      <c r="Q41" s="61" t="e">
        <f t="shared" si="25"/>
        <v>#VALUE!</v>
      </c>
      <c r="R41" s="61">
        <f t="shared" si="26"/>
        <v>22</v>
      </c>
      <c r="S41" s="61" t="str">
        <f>IFERROR(VLOOKUP(MID(N41,Q41,R41-Q41),[6]skilldef!$C:$D,2,FALSE),"-") &amp; " / " &amp; IFERROR(VLOOKUP(MID(N41,O41,P41-O41),[6]skilldef!$A:$B,2,FALSE),"-")</f>
        <v>- / 連続攻撃</v>
      </c>
      <c r="T41" s="47" t="str">
        <f t="shared" si="27"/>
        <v>none</v>
      </c>
      <c r="U41" s="61" t="e">
        <f t="shared" si="28"/>
        <v>#VALUE!</v>
      </c>
      <c r="V41" s="61">
        <f t="shared" si="29"/>
        <v>4</v>
      </c>
      <c r="W41" s="61" t="e">
        <f t="shared" si="30"/>
        <v>#VALUE!</v>
      </c>
      <c r="X41" s="61" t="e">
        <f t="shared" si="31"/>
        <v>#VALUE!</v>
      </c>
      <c r="Y41" s="61" t="str">
        <f>IFERROR(VLOOKUP(MID(T41,W41,X41-W41),[6]skilldef!$C:$D,2,FALSE),"-") &amp; " / " &amp; IFERROR(VLOOKUP(MID(T41,U41,V41-U41),[6]skilldef!$A:$B,2,FALSE),"-")</f>
        <v>- / -</v>
      </c>
      <c r="Z41" s="49"/>
      <c r="AA41" s="50"/>
      <c r="AB41" s="49"/>
    </row>
    <row r="42" spans="1:28" ht="21" customHeight="1" x14ac:dyDescent="0.15">
      <c r="A42" s="113">
        <v>41012040</v>
      </c>
      <c r="B42" s="116" t="s">
        <v>271</v>
      </c>
      <c r="C42" s="49">
        <v>3</v>
      </c>
      <c r="D42" s="49" t="s">
        <v>125</v>
      </c>
      <c r="E42" s="118" t="s">
        <v>332</v>
      </c>
      <c r="F42" s="118" t="s">
        <v>376</v>
      </c>
      <c r="G42" s="61" t="str">
        <f t="shared" si="16"/>
        <v>[effect:panel_freeze, target:block_yellow, count:-1, break_count:1]</v>
      </c>
      <c r="H42" s="61">
        <f t="shared" si="17"/>
        <v>9</v>
      </c>
      <c r="I42" s="61">
        <f t="shared" si="18"/>
        <v>21</v>
      </c>
      <c r="J42" s="61">
        <f t="shared" si="19"/>
        <v>30</v>
      </c>
      <c r="K42" s="61">
        <f t="shared" si="20"/>
        <v>42</v>
      </c>
      <c r="L42" s="61" t="str">
        <f>IFERROR(VLOOKUP(MID(G42,J42,K42-J42),[6]skilldef!$C:$D,2,FALSE),"-") &amp; " / " &amp; IFERROR(VLOOKUP(MID(G42,H42,I42-H42),[6]skilldef!$A:$B,2,FALSE),"-")</f>
        <v>黄色パネルを / -</v>
      </c>
      <c r="M42" s="61" t="str">
        <f t="shared" si="21"/>
        <v>[effect:rush, count:1, val:1.0]</v>
      </c>
      <c r="N42" s="47" t="str">
        <f t="shared" si="22"/>
        <v>[effect:rush, count:1, val:1.0]</v>
      </c>
      <c r="O42" s="61">
        <f t="shared" si="23"/>
        <v>9</v>
      </c>
      <c r="P42" s="61">
        <f t="shared" si="24"/>
        <v>13</v>
      </c>
      <c r="Q42" s="61" t="e">
        <f t="shared" si="25"/>
        <v>#VALUE!</v>
      </c>
      <c r="R42" s="61">
        <f t="shared" si="26"/>
        <v>22</v>
      </c>
      <c r="S42" s="61" t="str">
        <f>IFERROR(VLOOKUP(MID(N42,Q42,R42-Q42),[6]skilldef!$C:$D,2,FALSE),"-") &amp; " / " &amp; IFERROR(VLOOKUP(MID(N42,O42,P42-O42),[6]skilldef!$A:$B,2,FALSE),"-")</f>
        <v>- / 連続攻撃</v>
      </c>
      <c r="T42" s="47" t="str">
        <f t="shared" si="27"/>
        <v>none</v>
      </c>
      <c r="U42" s="61" t="e">
        <f t="shared" si="28"/>
        <v>#VALUE!</v>
      </c>
      <c r="V42" s="61">
        <f t="shared" si="29"/>
        <v>4</v>
      </c>
      <c r="W42" s="61" t="e">
        <f t="shared" si="30"/>
        <v>#VALUE!</v>
      </c>
      <c r="X42" s="61" t="e">
        <f t="shared" si="31"/>
        <v>#VALUE!</v>
      </c>
      <c r="Y42" s="61" t="str">
        <f>IFERROR(VLOOKUP(MID(T42,W42,X42-W42),[6]skilldef!$C:$D,2,FALSE),"-") &amp; " / " &amp; IFERROR(VLOOKUP(MID(T42,U42,V42-U42),[6]skilldef!$A:$B,2,FALSE),"-")</f>
        <v>- / -</v>
      </c>
      <c r="Z42" s="49"/>
      <c r="AA42" s="50"/>
      <c r="AB42" s="49"/>
    </row>
    <row r="43" spans="1:28" ht="21" customHeight="1" x14ac:dyDescent="0.15">
      <c r="A43" s="113">
        <v>41012041</v>
      </c>
      <c r="B43" s="116" t="s">
        <v>272</v>
      </c>
      <c r="C43" s="49">
        <v>3</v>
      </c>
      <c r="D43" s="49" t="s">
        <v>125</v>
      </c>
      <c r="E43" s="118" t="s">
        <v>333</v>
      </c>
      <c r="F43" s="118" t="s">
        <v>377</v>
      </c>
      <c r="G43" s="61" t="str">
        <f t="shared" si="16"/>
        <v>[effect:enemy_counter, target:myself, invoke_condition:unit_all, counter_target:attacker, turn:3, val:1, animation:enemy_counter]</v>
      </c>
      <c r="H43" s="61">
        <f t="shared" si="17"/>
        <v>9</v>
      </c>
      <c r="I43" s="61">
        <f t="shared" si="18"/>
        <v>22</v>
      </c>
      <c r="J43" s="61">
        <f t="shared" si="19"/>
        <v>31</v>
      </c>
      <c r="K43" s="61">
        <f t="shared" si="20"/>
        <v>37</v>
      </c>
      <c r="L43" s="61" t="str">
        <f>IFERROR(VLOOKUP(MID(G43,J43,K43-J43),[6]skilldef!$C:$D,2,FALSE),"-") &amp; " / " &amp; IFERROR(VLOOKUP(MID(G43,H43,I43-H43),[6]skilldef!$A:$B,2,FALSE),"-")</f>
        <v>自分自身に / カウンター</v>
      </c>
      <c r="M43" s="61" t="str">
        <f t="shared" si="21"/>
        <v>[effect:freq_turn, target:myself, turn:3, val:1, animation:enemy_freq_turn]</v>
      </c>
      <c r="N43" s="47" t="str">
        <f t="shared" si="22"/>
        <v>[effect:freq_turn, target:myself, turn:3, val:1, animation:enemy_freq_turn]</v>
      </c>
      <c r="O43" s="61">
        <f t="shared" si="23"/>
        <v>9</v>
      </c>
      <c r="P43" s="61">
        <f t="shared" si="24"/>
        <v>18</v>
      </c>
      <c r="Q43" s="61">
        <f t="shared" si="25"/>
        <v>27</v>
      </c>
      <c r="R43" s="61">
        <f t="shared" si="26"/>
        <v>33</v>
      </c>
      <c r="S43" s="61" t="str">
        <f>IFERROR(VLOOKUP(MID(N43,Q43,R43-Q43),[6]skilldef!$C:$D,2,FALSE),"-") &amp; " / " &amp; IFERROR(VLOOKUP(MID(N43,O43,P43-O43),[6]skilldef!$A:$B,2,FALSE),"-")</f>
        <v>自分自身に / 攻撃頻度がUP</v>
      </c>
      <c r="T43" s="47" t="str">
        <f t="shared" si="27"/>
        <v>none</v>
      </c>
      <c r="U43" s="61" t="e">
        <f t="shared" si="28"/>
        <v>#VALUE!</v>
      </c>
      <c r="V43" s="61">
        <f t="shared" si="29"/>
        <v>4</v>
      </c>
      <c r="W43" s="61" t="e">
        <f t="shared" si="30"/>
        <v>#VALUE!</v>
      </c>
      <c r="X43" s="61" t="e">
        <f t="shared" si="31"/>
        <v>#VALUE!</v>
      </c>
      <c r="Y43" s="61" t="str">
        <f>IFERROR(VLOOKUP(MID(T43,W43,X43-W43),[6]skilldef!$C:$D,2,FALSE),"-") &amp; " / " &amp; IFERROR(VLOOKUP(MID(T43,U43,V43-U43),[6]skilldef!$A:$B,2,FALSE),"-")</f>
        <v>- / -</v>
      </c>
      <c r="Z43" s="49"/>
      <c r="AA43" s="50"/>
      <c r="AB43" s="49"/>
    </row>
    <row r="44" spans="1:28" ht="21" customHeight="1" x14ac:dyDescent="0.15">
      <c r="A44" s="113">
        <v>41012042</v>
      </c>
      <c r="B44" s="117" t="s">
        <v>273</v>
      </c>
      <c r="C44" s="49">
        <v>3</v>
      </c>
      <c r="D44" s="49" t="s">
        <v>125</v>
      </c>
      <c r="E44" s="120" t="s">
        <v>334</v>
      </c>
      <c r="F44" s="120" t="s">
        <v>378</v>
      </c>
      <c r="G44" s="61" t="str">
        <f t="shared" si="16"/>
        <v>[effect:tolerance, target:myself, turn:-1, tolerance_effect:hungup, count:-1, animation:enemy_tolerance]</v>
      </c>
      <c r="H44" s="61">
        <f t="shared" si="17"/>
        <v>9</v>
      </c>
      <c r="I44" s="61">
        <f t="shared" si="18"/>
        <v>18</v>
      </c>
      <c r="J44" s="61">
        <f t="shared" si="19"/>
        <v>27</v>
      </c>
      <c r="K44" s="61">
        <f t="shared" si="20"/>
        <v>33</v>
      </c>
      <c r="L44" s="61" t="str">
        <f>IFERROR(VLOOKUP(MID(G44,J44,K44-J44),[6]skilldef!$C:$D,2,FALSE),"-") &amp; " / " &amp; IFERROR(VLOOKUP(MID(G44,H44,I44-H44),[6]skilldef!$A:$B,2,FALSE),"-")</f>
        <v>自分自身に / 状態異常耐性</v>
      </c>
      <c r="M44" s="61" t="str">
        <f t="shared" si="21"/>
        <v>[effect:tolerance, target:myself, turn:-1, tolerance_effect:sleep, count:-1, animation:enemy_tolerance],[effect:invalidate_change_block, target:unit_all, block_type01:crash, turn:-1, animation:panel_conversion_off],[effect:crash_condition, target:unit_all, val:4, turn:3, animation:crash_panel_reduce03]</v>
      </c>
      <c r="N44" s="47" t="str">
        <f t="shared" si="22"/>
        <v>[effect:tolerance, target:myself, turn:-1, tolerance_effect:sleep, count:-1, animation:enemy_tolerance],[effect:invalidate_change_block, target:unit_all, block_type01:crash, turn:-1, animation:panel_conversion_off],[effect:crash_condition, target:unit_all, val:4, turn:3, animation:crash_panel_reduce03]</v>
      </c>
      <c r="O44" s="61">
        <f t="shared" si="23"/>
        <v>9</v>
      </c>
      <c r="P44" s="61">
        <f t="shared" si="24"/>
        <v>18</v>
      </c>
      <c r="Q44" s="61">
        <f t="shared" si="25"/>
        <v>27</v>
      </c>
      <c r="R44" s="61">
        <f t="shared" si="26"/>
        <v>33</v>
      </c>
      <c r="S44" s="61" t="str">
        <f>IFERROR(VLOOKUP(MID(N44,Q44,R44-Q44),[6]skilldef!$C:$D,2,FALSE),"-") &amp; " / " &amp; IFERROR(VLOOKUP(MID(N44,O44,P44-O44),[6]skilldef!$A:$B,2,FALSE),"-")</f>
        <v>自分自身に / 状態異常耐性</v>
      </c>
      <c r="T44" s="47" t="str">
        <f t="shared" si="27"/>
        <v>[effect:invalidate_change_block, target:unit_all, block_type01:crash, turn:-1, animation:panel_conversion_off],[effect:crash_condition, target:unit_all, val:4, turn:3, animation:crash_panel_reduce03]</v>
      </c>
      <c r="U44" s="61">
        <f t="shared" si="28"/>
        <v>9</v>
      </c>
      <c r="V44" s="61">
        <f t="shared" si="29"/>
        <v>32</v>
      </c>
      <c r="W44" s="61">
        <f t="shared" si="30"/>
        <v>41</v>
      </c>
      <c r="X44" s="61">
        <f t="shared" si="31"/>
        <v>49</v>
      </c>
      <c r="Y44" s="61" t="str">
        <f>IFERROR(VLOOKUP(MID(T44,W44,X44-W44),[6]skilldef!$C:$D,2,FALSE),"-") &amp; " / " &amp; IFERROR(VLOOKUP(MID(T44,U44,V44-U44),[6]skilldef!$A:$B,2,FALSE),"-")</f>
        <v>味方全体に / -</v>
      </c>
      <c r="Z44" s="49"/>
      <c r="AA44" s="50"/>
      <c r="AB44" s="49"/>
    </row>
    <row r="45" spans="1:28" ht="21" customHeight="1" x14ac:dyDescent="0.15">
      <c r="A45" s="113">
        <v>41012043</v>
      </c>
      <c r="B45" s="117" t="s">
        <v>274</v>
      </c>
      <c r="C45" s="49">
        <v>3</v>
      </c>
      <c r="D45" s="49" t="s">
        <v>125</v>
      </c>
      <c r="E45" s="120" t="s">
        <v>335</v>
      </c>
      <c r="F45" s="120" t="s">
        <v>417</v>
      </c>
      <c r="G45" s="61" t="str">
        <f t="shared" si="16"/>
        <v>[effect:panel_freeze, target:block_heart, count:10, break_count:1]</v>
      </c>
      <c r="H45" s="61">
        <f t="shared" si="17"/>
        <v>9</v>
      </c>
      <c r="I45" s="61">
        <f t="shared" si="18"/>
        <v>21</v>
      </c>
      <c r="J45" s="61">
        <f t="shared" si="19"/>
        <v>30</v>
      </c>
      <c r="K45" s="61">
        <f t="shared" si="20"/>
        <v>41</v>
      </c>
      <c r="L45" s="61" t="str">
        <f>IFERROR(VLOOKUP(MID(G45,J45,K45-J45),[6]skilldef!$C:$D,2,FALSE),"-") &amp; " / " &amp; IFERROR(VLOOKUP(MID(G45,H45,I45-H45),[6]skilldef!$A:$B,2,FALSE),"-")</f>
        <v>ハートパネルを / -</v>
      </c>
      <c r="M45" s="61" t="str">
        <f t="shared" si="21"/>
        <v>[effect:rush, count:1, val:1.0]</v>
      </c>
      <c r="N45" s="47" t="str">
        <f t="shared" si="22"/>
        <v>[effect:rush, count:1, val:1.0]</v>
      </c>
      <c r="O45" s="61">
        <f t="shared" si="23"/>
        <v>9</v>
      </c>
      <c r="P45" s="61">
        <f t="shared" si="24"/>
        <v>13</v>
      </c>
      <c r="Q45" s="61" t="e">
        <f t="shared" si="25"/>
        <v>#VALUE!</v>
      </c>
      <c r="R45" s="61">
        <f t="shared" si="26"/>
        <v>22</v>
      </c>
      <c r="S45" s="61" t="str">
        <f>IFERROR(VLOOKUP(MID(N45,Q45,R45-Q45),[6]skilldef!$C:$D,2,FALSE),"-") &amp; " / " &amp; IFERROR(VLOOKUP(MID(N45,O45,P45-O45),[6]skilldef!$A:$B,2,FALSE),"-")</f>
        <v>- / 連続攻撃</v>
      </c>
      <c r="T45" s="47" t="str">
        <f t="shared" si="27"/>
        <v>none</v>
      </c>
      <c r="U45" s="61" t="e">
        <f t="shared" si="28"/>
        <v>#VALUE!</v>
      </c>
      <c r="V45" s="61">
        <f t="shared" si="29"/>
        <v>4</v>
      </c>
      <c r="W45" s="61" t="e">
        <f t="shared" si="30"/>
        <v>#VALUE!</v>
      </c>
      <c r="X45" s="61" t="e">
        <f t="shared" si="31"/>
        <v>#VALUE!</v>
      </c>
      <c r="Y45" s="61" t="str">
        <f>IFERROR(VLOOKUP(MID(T45,W45,X45-W45),[6]skilldef!$C:$D,2,FALSE),"-") &amp; " / " &amp; IFERROR(VLOOKUP(MID(T45,U45,V45-U45),[6]skilldef!$A:$B,2,FALSE),"-")</f>
        <v>- / -</v>
      </c>
      <c r="Z45" s="49"/>
      <c r="AA45" s="50"/>
      <c r="AB45" s="49"/>
    </row>
    <row r="46" spans="1:28" ht="21" customHeight="1" x14ac:dyDescent="0.15">
      <c r="A46" s="113">
        <v>41012044</v>
      </c>
      <c r="B46" s="117" t="s">
        <v>275</v>
      </c>
      <c r="C46" s="49">
        <v>3</v>
      </c>
      <c r="D46" s="49" t="s">
        <v>125</v>
      </c>
      <c r="E46" s="120" t="s">
        <v>336</v>
      </c>
      <c r="F46" s="120" t="s">
        <v>411</v>
      </c>
      <c r="G46" s="61" t="str">
        <f t="shared" si="16"/>
        <v>[effect:panel_freeze, target:block_all, count:12, break_count:1]</v>
      </c>
      <c r="H46" s="61">
        <f t="shared" si="17"/>
        <v>9</v>
      </c>
      <c r="I46" s="61">
        <f t="shared" si="18"/>
        <v>21</v>
      </c>
      <c r="J46" s="61">
        <f t="shared" si="19"/>
        <v>30</v>
      </c>
      <c r="K46" s="61">
        <f t="shared" si="20"/>
        <v>39</v>
      </c>
      <c r="L46" s="61" t="str">
        <f>IFERROR(VLOOKUP(MID(G46,J46,K46-J46),[6]skilldef!$C:$D,2,FALSE),"-") &amp; " / " &amp; IFERROR(VLOOKUP(MID(G46,H46,I46-H46),[6]skilldef!$A:$B,2,FALSE),"-")</f>
        <v>- / -</v>
      </c>
      <c r="M46" s="61" t="str">
        <f t="shared" si="21"/>
        <v>[effect:rush, count:1, val:1.0]</v>
      </c>
      <c r="N46" s="47" t="str">
        <f t="shared" si="22"/>
        <v>[effect:rush, count:1, val:1.0]</v>
      </c>
      <c r="O46" s="61">
        <f t="shared" si="23"/>
        <v>9</v>
      </c>
      <c r="P46" s="61">
        <f t="shared" si="24"/>
        <v>13</v>
      </c>
      <c r="Q46" s="61" t="e">
        <f t="shared" si="25"/>
        <v>#VALUE!</v>
      </c>
      <c r="R46" s="61">
        <f t="shared" si="26"/>
        <v>22</v>
      </c>
      <c r="S46" s="61" t="str">
        <f>IFERROR(VLOOKUP(MID(N46,Q46,R46-Q46),[6]skilldef!$C:$D,2,FALSE),"-") &amp; " / " &amp; IFERROR(VLOOKUP(MID(N46,O46,P46-O46),[6]skilldef!$A:$B,2,FALSE),"-")</f>
        <v>- / 連続攻撃</v>
      </c>
      <c r="T46" s="47" t="str">
        <f t="shared" si="27"/>
        <v>none</v>
      </c>
      <c r="U46" s="61" t="e">
        <f t="shared" si="28"/>
        <v>#VALUE!</v>
      </c>
      <c r="V46" s="61">
        <f t="shared" si="29"/>
        <v>4</v>
      </c>
      <c r="W46" s="61" t="e">
        <f t="shared" si="30"/>
        <v>#VALUE!</v>
      </c>
      <c r="X46" s="61" t="e">
        <f t="shared" si="31"/>
        <v>#VALUE!</v>
      </c>
      <c r="Y46" s="61" t="str">
        <f>IFERROR(VLOOKUP(MID(T46,W46,X46-W46),[6]skilldef!$C:$D,2,FALSE),"-") &amp; " / " &amp; IFERROR(VLOOKUP(MID(T46,U46,V46-U46),[6]skilldef!$A:$B,2,FALSE),"-")</f>
        <v>- / -</v>
      </c>
      <c r="Z46" s="49"/>
      <c r="AA46" s="50"/>
      <c r="AB46" s="49"/>
    </row>
    <row r="47" spans="1:28" ht="21" customHeight="1" x14ac:dyDescent="0.15">
      <c r="A47" s="113">
        <v>41012045</v>
      </c>
      <c r="B47" s="117" t="s">
        <v>276</v>
      </c>
      <c r="C47" s="49">
        <v>3</v>
      </c>
      <c r="D47" s="49" t="s">
        <v>125</v>
      </c>
      <c r="E47" s="120" t="s">
        <v>337</v>
      </c>
      <c r="F47" s="120" t="s">
        <v>418</v>
      </c>
      <c r="G47" s="61" t="str">
        <f t="shared" si="16"/>
        <v>[effect:panel_freeze, target:time_bomb, count:-1, break_count:1]</v>
      </c>
      <c r="H47" s="61">
        <f t="shared" si="17"/>
        <v>9</v>
      </c>
      <c r="I47" s="61">
        <f t="shared" si="18"/>
        <v>21</v>
      </c>
      <c r="J47" s="61">
        <f t="shared" si="19"/>
        <v>30</v>
      </c>
      <c r="K47" s="61">
        <f t="shared" si="20"/>
        <v>39</v>
      </c>
      <c r="L47" s="61" t="str">
        <f>IFERROR(VLOOKUP(MID(G47,J47,K47-J47),[6]skilldef!$C:$D,2,FALSE),"-") &amp; " / " &amp; IFERROR(VLOOKUP(MID(G47,H47,I47-H47),[6]skilldef!$A:$B,2,FALSE),"-")</f>
        <v>- / -</v>
      </c>
      <c r="M47" s="61" t="str">
        <f t="shared" si="21"/>
        <v>[effect:rush, count:1, val:1.0]</v>
      </c>
      <c r="N47" s="47" t="str">
        <f t="shared" si="22"/>
        <v>[effect:rush, count:1, val:1.0]</v>
      </c>
      <c r="O47" s="61">
        <f t="shared" si="23"/>
        <v>9</v>
      </c>
      <c r="P47" s="61">
        <f t="shared" si="24"/>
        <v>13</v>
      </c>
      <c r="Q47" s="61" t="e">
        <f t="shared" si="25"/>
        <v>#VALUE!</v>
      </c>
      <c r="R47" s="61">
        <f t="shared" si="26"/>
        <v>22</v>
      </c>
      <c r="S47" s="61" t="str">
        <f>IFERROR(VLOOKUP(MID(N47,Q47,R47-Q47),[6]skilldef!$C:$D,2,FALSE),"-") &amp; " / " &amp; IFERROR(VLOOKUP(MID(N47,O47,P47-O47),[6]skilldef!$A:$B,2,FALSE),"-")</f>
        <v>- / 連続攻撃</v>
      </c>
      <c r="T47" s="47" t="str">
        <f t="shared" si="27"/>
        <v>none</v>
      </c>
      <c r="U47" s="61" t="e">
        <f t="shared" si="28"/>
        <v>#VALUE!</v>
      </c>
      <c r="V47" s="61">
        <f t="shared" si="29"/>
        <v>4</v>
      </c>
      <c r="W47" s="61" t="e">
        <f t="shared" si="30"/>
        <v>#VALUE!</v>
      </c>
      <c r="X47" s="61" t="e">
        <f t="shared" si="31"/>
        <v>#VALUE!</v>
      </c>
      <c r="Y47" s="61" t="str">
        <f>IFERROR(VLOOKUP(MID(T47,W47,X47-W47),[6]skilldef!$C:$D,2,FALSE),"-") &amp; " / " &amp; IFERROR(VLOOKUP(MID(T47,U47,V47-U47),[6]skilldef!$A:$B,2,FALSE),"-")</f>
        <v>- / -</v>
      </c>
      <c r="Z47" s="49"/>
      <c r="AA47" s="50"/>
      <c r="AB47" s="49"/>
    </row>
    <row r="48" spans="1:28" ht="21" customHeight="1" x14ac:dyDescent="0.15">
      <c r="A48" s="113">
        <v>41012046</v>
      </c>
      <c r="B48" s="117" t="s">
        <v>272</v>
      </c>
      <c r="C48" s="49">
        <v>3</v>
      </c>
      <c r="D48" s="49" t="s">
        <v>125</v>
      </c>
      <c r="E48" s="120" t="s">
        <v>338</v>
      </c>
      <c r="F48" s="120" t="s">
        <v>377</v>
      </c>
      <c r="G48" s="61" t="str">
        <f t="shared" si="16"/>
        <v>[effect:enemy_counter, target:myself, invoke_condition:unit_all, counter_target:attacker, turn:3, val:1, animation:enemy_counter]</v>
      </c>
      <c r="H48" s="61">
        <f t="shared" si="17"/>
        <v>9</v>
      </c>
      <c r="I48" s="61">
        <f t="shared" si="18"/>
        <v>22</v>
      </c>
      <c r="J48" s="61">
        <f t="shared" si="19"/>
        <v>31</v>
      </c>
      <c r="K48" s="61">
        <f t="shared" si="20"/>
        <v>37</v>
      </c>
      <c r="L48" s="61" t="str">
        <f>IFERROR(VLOOKUP(MID(G48,J48,K48-J48),[6]skilldef!$C:$D,2,FALSE),"-") &amp; " / " &amp; IFERROR(VLOOKUP(MID(G48,H48,I48-H48),[6]skilldef!$A:$B,2,FALSE),"-")</f>
        <v>自分自身に / カウンター</v>
      </c>
      <c r="M48" s="61" t="str">
        <f t="shared" si="21"/>
        <v>[effect:freq_turn, target:myself, turn:3, val:1, animation:enemy_freq_turn]</v>
      </c>
      <c r="N48" s="47" t="str">
        <f t="shared" si="22"/>
        <v>[effect:freq_turn, target:myself, turn:3, val:1, animation:enemy_freq_turn]</v>
      </c>
      <c r="O48" s="61">
        <f t="shared" si="23"/>
        <v>9</v>
      </c>
      <c r="P48" s="61">
        <f t="shared" si="24"/>
        <v>18</v>
      </c>
      <c r="Q48" s="61">
        <f t="shared" si="25"/>
        <v>27</v>
      </c>
      <c r="R48" s="61">
        <f t="shared" si="26"/>
        <v>33</v>
      </c>
      <c r="S48" s="61" t="str">
        <f>IFERROR(VLOOKUP(MID(N48,Q48,R48-Q48),[6]skilldef!$C:$D,2,FALSE),"-") &amp; " / " &amp; IFERROR(VLOOKUP(MID(N48,O48,P48-O48),[6]skilldef!$A:$B,2,FALSE),"-")</f>
        <v>自分自身に / 攻撃頻度がUP</v>
      </c>
      <c r="T48" s="47" t="str">
        <f t="shared" si="27"/>
        <v>none</v>
      </c>
      <c r="U48" s="61" t="e">
        <f t="shared" si="28"/>
        <v>#VALUE!</v>
      </c>
      <c r="V48" s="61">
        <f t="shared" si="29"/>
        <v>4</v>
      </c>
      <c r="W48" s="61" t="e">
        <f t="shared" si="30"/>
        <v>#VALUE!</v>
      </c>
      <c r="X48" s="61" t="e">
        <f t="shared" si="31"/>
        <v>#VALUE!</v>
      </c>
      <c r="Y48" s="61" t="str">
        <f>IFERROR(VLOOKUP(MID(T48,W48,X48-W48),[6]skilldef!$C:$D,2,FALSE),"-") &amp; " / " &amp; IFERROR(VLOOKUP(MID(T48,U48,V48-U48),[6]skilldef!$A:$B,2,FALSE),"-")</f>
        <v>- / -</v>
      </c>
      <c r="Z48" s="49"/>
      <c r="AA48" s="50"/>
      <c r="AB48" s="49"/>
    </row>
    <row r="49" spans="1:28" ht="21" customHeight="1" x14ac:dyDescent="0.15">
      <c r="A49" s="115">
        <v>41012047</v>
      </c>
      <c r="B49" s="116" t="s">
        <v>277</v>
      </c>
      <c r="C49" s="49">
        <v>3</v>
      </c>
      <c r="D49" s="49" t="s">
        <v>125</v>
      </c>
      <c r="E49" s="118" t="s">
        <v>344</v>
      </c>
      <c r="F49" s="118" t="s">
        <v>379</v>
      </c>
      <c r="G49" s="61" t="str">
        <f t="shared" si="16"/>
        <v>[effect:sleep, target:unit_all, turn:1, rate:1]</v>
      </c>
      <c r="H49" s="61">
        <f t="shared" si="17"/>
        <v>9</v>
      </c>
      <c r="I49" s="61">
        <f t="shared" si="18"/>
        <v>14</v>
      </c>
      <c r="J49" s="61">
        <f t="shared" si="19"/>
        <v>23</v>
      </c>
      <c r="K49" s="61">
        <f t="shared" si="20"/>
        <v>31</v>
      </c>
      <c r="L49" s="61" t="str">
        <f>IFERROR(VLOOKUP(MID(G49,J49,K49-J49),[6]skilldef!$C:$D,2,FALSE),"-") &amp; " / " &amp; IFERROR(VLOOKUP(MID(G49,H49,I49-H49),[6]skilldef!$A:$B,2,FALSE),"-")</f>
        <v>味方全体に / スリープ</v>
      </c>
      <c r="M49" s="61" t="str">
        <f t="shared" si="21"/>
        <v>[effect:suicide, val:0.8, dead_type:suicide, target:enemy_heal, animation:enemy_suicide]</v>
      </c>
      <c r="N49" s="47" t="str">
        <f t="shared" si="22"/>
        <v>[effect:suicide, val:0.8, dead_type:suicide, target:enemy_heal, animation:enemy_suicide]</v>
      </c>
      <c r="O49" s="61">
        <f t="shared" si="23"/>
        <v>9</v>
      </c>
      <c r="P49" s="61">
        <f t="shared" si="24"/>
        <v>16</v>
      </c>
      <c r="Q49" s="61">
        <f t="shared" si="25"/>
        <v>53</v>
      </c>
      <c r="R49" s="61">
        <f t="shared" si="26"/>
        <v>25</v>
      </c>
      <c r="S49" s="61" t="str">
        <f>IFERROR(VLOOKUP(MID(N49,Q49,R49-Q49),[6]skilldef!$C:$D,2,FALSE),"-") &amp; " / " &amp; IFERROR(VLOOKUP(MID(N49,O49,P49-O49),[6]skilldef!$A:$B,2,FALSE),"-")</f>
        <v>- / -</v>
      </c>
      <c r="T49" s="47" t="str">
        <f t="shared" si="27"/>
        <v>none</v>
      </c>
      <c r="U49" s="61" t="e">
        <f t="shared" si="28"/>
        <v>#VALUE!</v>
      </c>
      <c r="V49" s="61">
        <f t="shared" si="29"/>
        <v>4</v>
      </c>
      <c r="W49" s="61" t="e">
        <f t="shared" si="30"/>
        <v>#VALUE!</v>
      </c>
      <c r="X49" s="61" t="e">
        <f t="shared" si="31"/>
        <v>#VALUE!</v>
      </c>
      <c r="Y49" s="61" t="str">
        <f>IFERROR(VLOOKUP(MID(T49,W49,X49-W49),[6]skilldef!$C:$D,2,FALSE),"-") &amp; " / " &amp; IFERROR(VLOOKUP(MID(T49,U49,V49-U49),[6]skilldef!$A:$B,2,FALSE),"-")</f>
        <v>- / -</v>
      </c>
      <c r="Z49" s="49"/>
      <c r="AA49" s="50"/>
      <c r="AB49" s="49"/>
    </row>
    <row r="50" spans="1:28" ht="21" customHeight="1" x14ac:dyDescent="0.15">
      <c r="A50" s="115">
        <v>41012048</v>
      </c>
      <c r="B50" s="116" t="s">
        <v>277</v>
      </c>
      <c r="C50" s="49">
        <v>3</v>
      </c>
      <c r="D50" s="49" t="s">
        <v>125</v>
      </c>
      <c r="E50" s="118" t="s">
        <v>344</v>
      </c>
      <c r="F50" s="118" t="s">
        <v>379</v>
      </c>
      <c r="G50" s="61" t="str">
        <f t="shared" si="16"/>
        <v>[effect:sleep, target:unit_all, turn:1, rate:1]</v>
      </c>
      <c r="H50" s="61">
        <f t="shared" si="17"/>
        <v>9</v>
      </c>
      <c r="I50" s="61">
        <f t="shared" si="18"/>
        <v>14</v>
      </c>
      <c r="J50" s="61">
        <f t="shared" si="19"/>
        <v>23</v>
      </c>
      <c r="K50" s="61">
        <f t="shared" si="20"/>
        <v>31</v>
      </c>
      <c r="L50" s="61" t="str">
        <f>IFERROR(VLOOKUP(MID(G50,J50,K50-J50),[6]skilldef!$C:$D,2,FALSE),"-") &amp; " / " &amp; IFERROR(VLOOKUP(MID(G50,H50,I50-H50),[6]skilldef!$A:$B,2,FALSE),"-")</f>
        <v>味方全体に / スリープ</v>
      </c>
      <c r="M50" s="61" t="str">
        <f t="shared" si="21"/>
        <v>[effect:suicide, val:0.8, dead_type:suicide, target:enemy_heal, animation:enemy_suicide]</v>
      </c>
      <c r="N50" s="47" t="str">
        <f t="shared" si="22"/>
        <v>[effect:suicide, val:0.8, dead_type:suicide, target:enemy_heal, animation:enemy_suicide]</v>
      </c>
      <c r="O50" s="61">
        <f t="shared" si="23"/>
        <v>9</v>
      </c>
      <c r="P50" s="61">
        <f t="shared" si="24"/>
        <v>16</v>
      </c>
      <c r="Q50" s="61">
        <f t="shared" si="25"/>
        <v>53</v>
      </c>
      <c r="R50" s="61">
        <f t="shared" si="26"/>
        <v>25</v>
      </c>
      <c r="S50" s="61" t="str">
        <f>IFERROR(VLOOKUP(MID(N50,Q50,R50-Q50),[6]skilldef!$C:$D,2,FALSE),"-") &amp; " / " &amp; IFERROR(VLOOKUP(MID(N50,O50,P50-O50),[6]skilldef!$A:$B,2,FALSE),"-")</f>
        <v>- / -</v>
      </c>
      <c r="T50" s="47" t="str">
        <f t="shared" si="27"/>
        <v>none</v>
      </c>
      <c r="U50" s="61" t="e">
        <f t="shared" si="28"/>
        <v>#VALUE!</v>
      </c>
      <c r="V50" s="61">
        <f t="shared" si="29"/>
        <v>4</v>
      </c>
      <c r="W50" s="61" t="e">
        <f t="shared" si="30"/>
        <v>#VALUE!</v>
      </c>
      <c r="X50" s="61" t="e">
        <f t="shared" si="31"/>
        <v>#VALUE!</v>
      </c>
      <c r="Y50" s="61" t="str">
        <f>IFERROR(VLOOKUP(MID(T50,W50,X50-W50),[6]skilldef!$C:$D,2,FALSE),"-") &amp; " / " &amp; IFERROR(VLOOKUP(MID(T50,U50,V50-U50),[6]skilldef!$A:$B,2,FALSE),"-")</f>
        <v>- / -</v>
      </c>
      <c r="Z50" s="49"/>
      <c r="AA50" s="50"/>
      <c r="AB50" s="49"/>
    </row>
    <row r="51" spans="1:28" ht="21" customHeight="1" x14ac:dyDescent="0.15">
      <c r="A51" s="115">
        <v>41012049</v>
      </c>
      <c r="B51" s="116" t="s">
        <v>265</v>
      </c>
      <c r="C51" s="49">
        <v>3</v>
      </c>
      <c r="D51" s="49" t="s">
        <v>125</v>
      </c>
      <c r="E51" s="118" t="s">
        <v>339</v>
      </c>
      <c r="F51" s="118" t="s">
        <v>380</v>
      </c>
      <c r="G51" s="61" t="str">
        <f t="shared" si="16"/>
        <v>[effect:tolerance, target:myself, turn:-1, tolerance_effect:hungup, count:-1, animation:enemy_tolerance]</v>
      </c>
      <c r="H51" s="61">
        <f t="shared" si="17"/>
        <v>9</v>
      </c>
      <c r="I51" s="61">
        <f t="shared" si="18"/>
        <v>18</v>
      </c>
      <c r="J51" s="61">
        <f t="shared" si="19"/>
        <v>27</v>
      </c>
      <c r="K51" s="61">
        <f t="shared" si="20"/>
        <v>33</v>
      </c>
      <c r="L51" s="61" t="str">
        <f>IFERROR(VLOOKUP(MID(G51,J51,K51-J51),[6]skilldef!$C:$D,2,FALSE),"-") &amp; " / " &amp; IFERROR(VLOOKUP(MID(G51,H51,I51-H51),[6]skilldef!$A:$B,2,FALSE),"-")</f>
        <v>自分自身に / 状態異常耐性</v>
      </c>
      <c r="M51" s="61" t="str">
        <f t="shared" si="21"/>
        <v>[effect:tolerance, target:myself, turn:-1, tolerance_effect:sleep, count:-1, animation:enemy_tolerance],[effect:fix_speed, target:myself, turn:1]</v>
      </c>
      <c r="N51" s="47" t="str">
        <f t="shared" si="22"/>
        <v>[effect:tolerance, target:myself, turn:-1, tolerance_effect:sleep, count:-1, animation:enemy_tolerance]</v>
      </c>
      <c r="O51" s="61">
        <f t="shared" si="23"/>
        <v>9</v>
      </c>
      <c r="P51" s="61">
        <f t="shared" si="24"/>
        <v>18</v>
      </c>
      <c r="Q51" s="61">
        <f t="shared" si="25"/>
        <v>27</v>
      </c>
      <c r="R51" s="61">
        <f t="shared" si="26"/>
        <v>33</v>
      </c>
      <c r="S51" s="61" t="str">
        <f>IFERROR(VLOOKUP(MID(N51,Q51,R51-Q51),[6]skilldef!$C:$D,2,FALSE),"-") &amp; " / " &amp; IFERROR(VLOOKUP(MID(N51,O51,P51-O51),[6]skilldef!$A:$B,2,FALSE),"-")</f>
        <v>自分自身に / 状態異常耐性</v>
      </c>
      <c r="T51" s="47" t="str">
        <f t="shared" si="27"/>
        <v>[effect:fix_speed, target:myself, turn:1]</v>
      </c>
      <c r="U51" s="61">
        <f t="shared" si="28"/>
        <v>9</v>
      </c>
      <c r="V51" s="61">
        <f t="shared" si="29"/>
        <v>18</v>
      </c>
      <c r="W51" s="61">
        <f t="shared" si="30"/>
        <v>27</v>
      </c>
      <c r="X51" s="61">
        <f t="shared" si="31"/>
        <v>33</v>
      </c>
      <c r="Y51" s="61" t="str">
        <f>IFERROR(VLOOKUP(MID(T51,W51,X51-W51),[6]skilldef!$C:$D,2,FALSE),"-") &amp; " / " &amp; IFERROR(VLOOKUP(MID(T51,U51,V51-U51),[6]skilldef!$A:$B,2,FALSE),"-")</f>
        <v>自分自身に / 行動値設定</v>
      </c>
      <c r="Z51" s="49"/>
      <c r="AA51" s="50"/>
      <c r="AB51" s="49"/>
    </row>
    <row r="52" spans="1:28" ht="21" customHeight="1" x14ac:dyDescent="0.15">
      <c r="A52" s="115">
        <v>41012050</v>
      </c>
      <c r="B52" s="116" t="s">
        <v>265</v>
      </c>
      <c r="C52" s="49">
        <v>3</v>
      </c>
      <c r="D52" s="49" t="s">
        <v>125</v>
      </c>
      <c r="E52" s="118" t="s">
        <v>339</v>
      </c>
      <c r="F52" s="118" t="s">
        <v>380</v>
      </c>
      <c r="G52" s="61" t="str">
        <f t="shared" si="16"/>
        <v>[effect:tolerance, target:myself, turn:-1, tolerance_effect:hungup, count:-1, animation:enemy_tolerance]</v>
      </c>
      <c r="H52" s="61">
        <f t="shared" si="17"/>
        <v>9</v>
      </c>
      <c r="I52" s="61">
        <f t="shared" si="18"/>
        <v>18</v>
      </c>
      <c r="J52" s="61">
        <f t="shared" si="19"/>
        <v>27</v>
      </c>
      <c r="K52" s="61">
        <f t="shared" si="20"/>
        <v>33</v>
      </c>
      <c r="L52" s="61" t="str">
        <f>IFERROR(VLOOKUP(MID(G52,J52,K52-J52),[6]skilldef!$C:$D,2,FALSE),"-") &amp; " / " &amp; IFERROR(VLOOKUP(MID(G52,H52,I52-H52),[6]skilldef!$A:$B,2,FALSE),"-")</f>
        <v>自分自身に / 状態異常耐性</v>
      </c>
      <c r="M52" s="61" t="str">
        <f t="shared" si="21"/>
        <v>[effect:tolerance, target:myself, turn:-1, tolerance_effect:sleep, count:-1, animation:enemy_tolerance],[effect:fix_speed, target:myself, turn:1]</v>
      </c>
      <c r="N52" s="47" t="str">
        <f t="shared" si="22"/>
        <v>[effect:tolerance, target:myself, turn:-1, tolerance_effect:sleep, count:-1, animation:enemy_tolerance]</v>
      </c>
      <c r="O52" s="61">
        <f t="shared" si="23"/>
        <v>9</v>
      </c>
      <c r="P52" s="61">
        <f t="shared" si="24"/>
        <v>18</v>
      </c>
      <c r="Q52" s="61">
        <f t="shared" si="25"/>
        <v>27</v>
      </c>
      <c r="R52" s="61">
        <f t="shared" si="26"/>
        <v>33</v>
      </c>
      <c r="S52" s="61" t="str">
        <f>IFERROR(VLOOKUP(MID(N52,Q52,R52-Q52),[6]skilldef!$C:$D,2,FALSE),"-") &amp; " / " &amp; IFERROR(VLOOKUP(MID(N52,O52,P52-O52),[6]skilldef!$A:$B,2,FALSE),"-")</f>
        <v>自分自身に / 状態異常耐性</v>
      </c>
      <c r="T52" s="47" t="str">
        <f t="shared" si="27"/>
        <v>[effect:fix_speed, target:myself, turn:1]</v>
      </c>
      <c r="U52" s="61">
        <f t="shared" si="28"/>
        <v>9</v>
      </c>
      <c r="V52" s="61">
        <f t="shared" si="29"/>
        <v>18</v>
      </c>
      <c r="W52" s="61">
        <f t="shared" si="30"/>
        <v>27</v>
      </c>
      <c r="X52" s="61">
        <f t="shared" si="31"/>
        <v>33</v>
      </c>
      <c r="Y52" s="61" t="str">
        <f>IFERROR(VLOOKUP(MID(T52,W52,X52-W52),[6]skilldef!$C:$D,2,FALSE),"-") &amp; " / " &amp; IFERROR(VLOOKUP(MID(T52,U52,V52-U52),[6]skilldef!$A:$B,2,FALSE),"-")</f>
        <v>自分自身に / 行動値設定</v>
      </c>
      <c r="Z52" s="49"/>
      <c r="AA52" s="50"/>
      <c r="AB52" s="49"/>
    </row>
    <row r="53" spans="1:28" ht="21" customHeight="1" x14ac:dyDescent="0.15">
      <c r="A53" s="115">
        <v>41012051</v>
      </c>
      <c r="B53" s="116" t="s">
        <v>277</v>
      </c>
      <c r="C53" s="49">
        <v>3</v>
      </c>
      <c r="D53" s="49" t="s">
        <v>125</v>
      </c>
      <c r="E53" s="118" t="s">
        <v>344</v>
      </c>
      <c r="F53" s="118" t="s">
        <v>379</v>
      </c>
      <c r="G53" s="61" t="str">
        <f t="shared" ref="G53:G55" si="32">IFERROR(LEFT(B53,FIND("],",B53)),B53)</f>
        <v>[effect:sleep, target:unit_all, turn:1, rate:1]</v>
      </c>
      <c r="H53" s="61">
        <f t="shared" ref="H53:H55" si="33">FIND("effect:",G53)+7</f>
        <v>9</v>
      </c>
      <c r="I53" s="61">
        <f t="shared" ref="I53:I55" si="34">IFERROR(FIND(",",G53),LEN(G53))</f>
        <v>14</v>
      </c>
      <c r="J53" s="61">
        <f t="shared" ref="J53:J55" si="35">FIND("target:",G53)+7</f>
        <v>23</v>
      </c>
      <c r="K53" s="61">
        <f t="shared" ref="K53:K55" si="36">FIND(",",G53,I53+1)</f>
        <v>31</v>
      </c>
      <c r="L53" s="61" t="str">
        <f>IFERROR(VLOOKUP(MID(G53,J53,K53-J53),[6]skilldef!$C:$D,2,FALSE),"-") &amp; " / " &amp; IFERROR(VLOOKUP(MID(G53,H53,I53-H53),[6]skilldef!$A:$B,2,FALSE),"-")</f>
        <v>味方全体に / スリープ</v>
      </c>
      <c r="M53" s="61" t="str">
        <f t="shared" ref="M53:M55" si="37">IFERROR(RIGHT(B53,LEN(B53)-FIND("],",B53)-1),"none")</f>
        <v>[effect:suicide, val:0.8, dead_type:suicide, target:enemy_heal, animation:enemy_suicide]</v>
      </c>
      <c r="N53" s="47" t="str">
        <f t="shared" ref="N53:N55" si="38">IFERROR(LEFT(M53,FIND("],",M53)+S63),M53)</f>
        <v>[effect:suicide, val:0.8, dead_type:suicide, target:enemy_heal, animation:enemy_suicide]</v>
      </c>
      <c r="O53" s="61">
        <f t="shared" ref="O53:O55" si="39">FIND("effect:",N53)+7</f>
        <v>9</v>
      </c>
      <c r="P53" s="61">
        <f t="shared" ref="P53:P55" si="40">IFERROR(FIND(",",N53),LEN(N53))</f>
        <v>16</v>
      </c>
      <c r="Q53" s="61">
        <f t="shared" ref="Q53:Q55" si="41">FIND("target:",N53)+7</f>
        <v>53</v>
      </c>
      <c r="R53" s="61">
        <f t="shared" ref="R53:R55" si="42">FIND(",",N53,P53+1)</f>
        <v>25</v>
      </c>
      <c r="S53" s="61" t="str">
        <f>IFERROR(VLOOKUP(MID(N53,Q53,R53-Q53),[6]skilldef!$C:$D,2,FALSE),"-") &amp; " / " &amp; IFERROR(VLOOKUP(MID(N53,O53,P53-O53),[6]skilldef!$A:$B,2,FALSE),"-")</f>
        <v>- / -</v>
      </c>
      <c r="T53" s="47" t="str">
        <f t="shared" ref="T53:T55" si="43">IFERROR(RIGHT(M53,LEN(M53)-FIND("],",M53)-1),"none")</f>
        <v>none</v>
      </c>
      <c r="U53" s="61" t="e">
        <f t="shared" ref="U53:U55" si="44">FIND("effect:",T53)+7</f>
        <v>#VALUE!</v>
      </c>
      <c r="V53" s="61">
        <f t="shared" ref="V53:V55" si="45">IFERROR(FIND(",",T53),LEN(T53))</f>
        <v>4</v>
      </c>
      <c r="W53" s="61" t="e">
        <f t="shared" ref="W53:W55" si="46">FIND("target:",T53)+7</f>
        <v>#VALUE!</v>
      </c>
      <c r="X53" s="61" t="e">
        <f t="shared" ref="X53:X55" si="47">FIND(",",T53,V53+1)</f>
        <v>#VALUE!</v>
      </c>
      <c r="Y53" s="61" t="str">
        <f>IFERROR(VLOOKUP(MID(T53,W53,X53-W53),[6]skilldef!$C:$D,2,FALSE),"-") &amp; " / " &amp; IFERROR(VLOOKUP(MID(T53,U53,V53-U53),[6]skilldef!$A:$B,2,FALSE),"-")</f>
        <v>- / -</v>
      </c>
      <c r="Z53" s="49"/>
      <c r="AA53" s="50"/>
      <c r="AB53" s="49"/>
    </row>
    <row r="54" spans="1:28" ht="21" customHeight="1" x14ac:dyDescent="0.15">
      <c r="A54" s="115">
        <v>41012052</v>
      </c>
      <c r="B54" s="116" t="s">
        <v>265</v>
      </c>
      <c r="C54" s="49">
        <v>3</v>
      </c>
      <c r="D54" s="49" t="s">
        <v>125</v>
      </c>
      <c r="E54" s="118" t="s">
        <v>339</v>
      </c>
      <c r="F54" s="118" t="s">
        <v>380</v>
      </c>
      <c r="G54" s="61" t="str">
        <f t="shared" si="32"/>
        <v>[effect:tolerance, target:myself, turn:-1, tolerance_effect:hungup, count:-1, animation:enemy_tolerance]</v>
      </c>
      <c r="H54" s="61">
        <f t="shared" si="33"/>
        <v>9</v>
      </c>
      <c r="I54" s="61">
        <f t="shared" si="34"/>
        <v>18</v>
      </c>
      <c r="J54" s="61">
        <f t="shared" si="35"/>
        <v>27</v>
      </c>
      <c r="K54" s="61">
        <f t="shared" si="36"/>
        <v>33</v>
      </c>
      <c r="L54" s="61" t="str">
        <f>IFERROR(VLOOKUP(MID(G54,J54,K54-J54),[6]skilldef!$C:$D,2,FALSE),"-") &amp; " / " &amp; IFERROR(VLOOKUP(MID(G54,H54,I54-H54),[6]skilldef!$A:$B,2,FALSE),"-")</f>
        <v>自分自身に / 状態異常耐性</v>
      </c>
      <c r="M54" s="61" t="str">
        <f t="shared" si="37"/>
        <v>[effect:tolerance, target:myself, turn:-1, tolerance_effect:sleep, count:-1, animation:enemy_tolerance],[effect:fix_speed, target:myself, turn:1]</v>
      </c>
      <c r="N54" s="47" t="str">
        <f t="shared" si="38"/>
        <v>[effect:tolerance, target:myself, turn:-1, tolerance_effect:sleep, count:-1, animation:enemy_tolerance]</v>
      </c>
      <c r="O54" s="61">
        <f t="shared" si="39"/>
        <v>9</v>
      </c>
      <c r="P54" s="61">
        <f t="shared" si="40"/>
        <v>18</v>
      </c>
      <c r="Q54" s="61">
        <f t="shared" si="41"/>
        <v>27</v>
      </c>
      <c r="R54" s="61">
        <f t="shared" si="42"/>
        <v>33</v>
      </c>
      <c r="S54" s="61" t="str">
        <f>IFERROR(VLOOKUP(MID(N54,Q54,R54-Q54),[6]skilldef!$C:$D,2,FALSE),"-") &amp; " / " &amp; IFERROR(VLOOKUP(MID(N54,O54,P54-O54),[6]skilldef!$A:$B,2,FALSE),"-")</f>
        <v>自分自身に / 状態異常耐性</v>
      </c>
      <c r="T54" s="47" t="str">
        <f t="shared" si="43"/>
        <v>[effect:fix_speed, target:myself, turn:1]</v>
      </c>
      <c r="U54" s="61">
        <f t="shared" si="44"/>
        <v>9</v>
      </c>
      <c r="V54" s="61">
        <f t="shared" si="45"/>
        <v>18</v>
      </c>
      <c r="W54" s="61">
        <f t="shared" si="46"/>
        <v>27</v>
      </c>
      <c r="X54" s="61">
        <f t="shared" si="47"/>
        <v>33</v>
      </c>
      <c r="Y54" s="61" t="str">
        <f>IFERROR(VLOOKUP(MID(T54,W54,X54-W54),[6]skilldef!$C:$D,2,FALSE),"-") &amp; " / " &amp; IFERROR(VLOOKUP(MID(T54,U54,V54-U54),[6]skilldef!$A:$B,2,FALSE),"-")</f>
        <v>自分自身に / 行動値設定</v>
      </c>
      <c r="Z54" s="49"/>
      <c r="AA54" s="50"/>
      <c r="AB54" s="49"/>
    </row>
    <row r="55" spans="1:28" ht="21" customHeight="1" x14ac:dyDescent="0.15">
      <c r="A55" s="115">
        <v>41012053</v>
      </c>
      <c r="B55" s="116" t="s">
        <v>403</v>
      </c>
      <c r="C55" s="49">
        <v>3</v>
      </c>
      <c r="D55" s="49" t="s">
        <v>125</v>
      </c>
      <c r="E55" s="118" t="s">
        <v>341</v>
      </c>
      <c r="F55" s="118" t="s">
        <v>347</v>
      </c>
      <c r="G55" s="61" t="str">
        <f t="shared" si="32"/>
        <v>[effect:tolerance, target:unit_all, turn:30, tolerance_effect:sleep, count:-1, animation:prevent_abnormal_Unit04]</v>
      </c>
      <c r="H55" s="61">
        <f t="shared" si="33"/>
        <v>9</v>
      </c>
      <c r="I55" s="61">
        <f t="shared" si="34"/>
        <v>18</v>
      </c>
      <c r="J55" s="61">
        <f t="shared" si="35"/>
        <v>27</v>
      </c>
      <c r="K55" s="61">
        <f t="shared" si="36"/>
        <v>35</v>
      </c>
      <c r="L55" s="61" t="str">
        <f>IFERROR(VLOOKUP(MID(G55,J55,K55-J55),[6]skilldef!$C:$D,2,FALSE),"-") &amp; " / " &amp; IFERROR(VLOOKUP(MID(G55,H55,I55-H55),[6]skilldef!$A:$B,2,FALSE),"-")</f>
        <v>味方全体に / 状態異常耐性</v>
      </c>
      <c r="M55" s="61" t="str">
        <f t="shared" si="37"/>
        <v>[effect:suicide, val:1.0, dead_type:escape, target:myself]</v>
      </c>
      <c r="N55" s="47" t="str">
        <f t="shared" si="38"/>
        <v>[effect:suicide, val:1.0, dead_type:escape, target:myself]</v>
      </c>
      <c r="O55" s="61">
        <f t="shared" si="39"/>
        <v>9</v>
      </c>
      <c r="P55" s="61">
        <f t="shared" si="40"/>
        <v>16</v>
      </c>
      <c r="Q55" s="61">
        <f t="shared" si="41"/>
        <v>52</v>
      </c>
      <c r="R55" s="61">
        <f t="shared" si="42"/>
        <v>25</v>
      </c>
      <c r="S55" s="61" t="str">
        <f>IFERROR(VLOOKUP(MID(N55,Q55,R55-Q55),[6]skilldef!$C:$D,2,FALSE),"-") &amp; " / " &amp; IFERROR(VLOOKUP(MID(N55,O55,P55-O55),[6]skilldef!$A:$B,2,FALSE),"-")</f>
        <v>- / -</v>
      </c>
      <c r="T55" s="47" t="str">
        <f t="shared" si="43"/>
        <v>none</v>
      </c>
      <c r="U55" s="61" t="e">
        <f t="shared" si="44"/>
        <v>#VALUE!</v>
      </c>
      <c r="V55" s="61">
        <f t="shared" si="45"/>
        <v>4</v>
      </c>
      <c r="W55" s="61" t="e">
        <f t="shared" si="46"/>
        <v>#VALUE!</v>
      </c>
      <c r="X55" s="61" t="e">
        <f t="shared" si="47"/>
        <v>#VALUE!</v>
      </c>
      <c r="Y55" s="61" t="str">
        <f>IFERROR(VLOOKUP(MID(T55,W55,X55-W55),[6]skilldef!$C:$D,2,FALSE),"-") &amp; " / " &amp; IFERROR(VLOOKUP(MID(T55,U55,V55-U55),[6]skilldef!$A:$B,2,FALSE),"-")</f>
        <v>- / -</v>
      </c>
      <c r="Z55" s="49"/>
      <c r="AA55" s="50"/>
      <c r="AB55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4"/>
  <sheetViews>
    <sheetView showGridLines="0" zoomScale="75" zoomScaleNormal="75" zoomScalePageLayoutView="75" workbookViewId="0">
      <pane ySplit="1" topLeftCell="A34" activePane="bottomLeft" state="frozenSplit"/>
      <selection pane="bottomLeft" activeCell="I53" sqref="I53:I54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83</v>
      </c>
      <c r="B1" s="41" t="s">
        <v>84</v>
      </c>
      <c r="C1" s="41" t="s">
        <v>85</v>
      </c>
      <c r="D1" s="41" t="s">
        <v>86</v>
      </c>
      <c r="E1" s="41" t="s">
        <v>69</v>
      </c>
      <c r="F1" s="51" t="s">
        <v>70</v>
      </c>
      <c r="G1" s="51" t="s">
        <v>71</v>
      </c>
      <c r="H1" s="41" t="s">
        <v>72</v>
      </c>
      <c r="I1" s="41" t="s">
        <v>73</v>
      </c>
      <c r="J1" s="41" t="s">
        <v>74</v>
      </c>
      <c r="K1" s="52" t="s">
        <v>87</v>
      </c>
    </row>
    <row r="2" spans="1:11" ht="21" customHeight="1" x14ac:dyDescent="0.15">
      <c r="A2" s="46">
        <v>41012000</v>
      </c>
      <c r="B2" s="46">
        <v>1</v>
      </c>
      <c r="C2" s="46">
        <v>2</v>
      </c>
      <c r="D2" s="46">
        <v>100</v>
      </c>
      <c r="E2" s="46" t="s">
        <v>382</v>
      </c>
      <c r="F2" s="46" t="s">
        <v>382</v>
      </c>
      <c r="G2" s="46">
        <v>1</v>
      </c>
      <c r="H2" s="46" t="s">
        <v>382</v>
      </c>
      <c r="I2" s="46" t="s">
        <v>382</v>
      </c>
      <c r="J2" s="47">
        <f t="shared" ref="J2:J52" si="0">D2</f>
        <v>100</v>
      </c>
    </row>
    <row r="3" spans="1:11" ht="21" customHeight="1" x14ac:dyDescent="0.15">
      <c r="A3" s="46">
        <v>41012001</v>
      </c>
      <c r="B3" s="46">
        <v>1</v>
      </c>
      <c r="C3" s="46">
        <v>2</v>
      </c>
      <c r="D3" s="46">
        <v>100</v>
      </c>
      <c r="E3" s="46" t="s">
        <v>383</v>
      </c>
      <c r="F3" s="46" t="s">
        <v>383</v>
      </c>
      <c r="G3" s="46">
        <v>1</v>
      </c>
      <c r="H3" s="46" t="s">
        <v>383</v>
      </c>
      <c r="I3" s="46" t="s">
        <v>383</v>
      </c>
      <c r="J3" s="47">
        <f t="shared" si="0"/>
        <v>100</v>
      </c>
    </row>
    <row r="4" spans="1:11" ht="21" customHeight="1" x14ac:dyDescent="0.15">
      <c r="A4" s="46">
        <v>41012002</v>
      </c>
      <c r="B4" s="46">
        <v>0</v>
      </c>
      <c r="C4" s="46">
        <v>1</v>
      </c>
      <c r="D4" s="46">
        <v>100</v>
      </c>
      <c r="E4" s="46" t="s">
        <v>383</v>
      </c>
      <c r="F4" s="46" t="s">
        <v>383</v>
      </c>
      <c r="G4" s="46">
        <v>1</v>
      </c>
      <c r="H4" s="46" t="s">
        <v>383</v>
      </c>
      <c r="I4" s="46" t="s">
        <v>383</v>
      </c>
      <c r="J4" s="47">
        <f t="shared" si="0"/>
        <v>100</v>
      </c>
    </row>
    <row r="5" spans="1:11" ht="21" customHeight="1" x14ac:dyDescent="0.15">
      <c r="A5" s="46">
        <v>41012003</v>
      </c>
      <c r="B5" s="46">
        <v>0</v>
      </c>
      <c r="C5" s="46">
        <v>1</v>
      </c>
      <c r="D5" s="46">
        <v>100</v>
      </c>
      <c r="E5" s="46" t="s">
        <v>383</v>
      </c>
      <c r="F5" s="46" t="s">
        <v>383</v>
      </c>
      <c r="G5" s="46">
        <v>1</v>
      </c>
      <c r="H5" s="46" t="s">
        <v>383</v>
      </c>
      <c r="I5" s="46" t="s">
        <v>383</v>
      </c>
      <c r="J5" s="47">
        <f t="shared" si="0"/>
        <v>100</v>
      </c>
    </row>
    <row r="6" spans="1:11" ht="21" customHeight="1" x14ac:dyDescent="0.15">
      <c r="A6" s="46">
        <v>41012004</v>
      </c>
      <c r="B6" s="46">
        <v>1</v>
      </c>
      <c r="C6" s="46">
        <v>50</v>
      </c>
      <c r="D6" s="46">
        <v>100</v>
      </c>
      <c r="E6" s="46" t="s">
        <v>383</v>
      </c>
      <c r="F6" s="46" t="s">
        <v>383</v>
      </c>
      <c r="G6" s="46">
        <v>1</v>
      </c>
      <c r="H6" s="46" t="s">
        <v>383</v>
      </c>
      <c r="I6" s="46" t="s">
        <v>383</v>
      </c>
      <c r="J6" s="47">
        <f t="shared" si="0"/>
        <v>100</v>
      </c>
    </row>
    <row r="7" spans="1:11" ht="21" customHeight="1" x14ac:dyDescent="0.15">
      <c r="A7" s="46">
        <v>41012005</v>
      </c>
      <c r="B7" s="46">
        <v>0</v>
      </c>
      <c r="C7" s="46">
        <v>30</v>
      </c>
      <c r="D7" s="46">
        <v>60</v>
      </c>
      <c r="E7" s="46" t="s">
        <v>383</v>
      </c>
      <c r="F7" s="46" t="s">
        <v>383</v>
      </c>
      <c r="G7" s="46" t="s">
        <v>383</v>
      </c>
      <c r="H7" s="46" t="s">
        <v>383</v>
      </c>
      <c r="I7" s="46" t="s">
        <v>383</v>
      </c>
      <c r="J7" s="47">
        <f t="shared" si="0"/>
        <v>60</v>
      </c>
    </row>
    <row r="8" spans="1:11" ht="21" customHeight="1" x14ac:dyDescent="0.15">
      <c r="A8" s="46">
        <v>41012006</v>
      </c>
      <c r="B8" s="46">
        <v>0</v>
      </c>
      <c r="C8" s="46">
        <v>40</v>
      </c>
      <c r="D8" s="46">
        <v>100</v>
      </c>
      <c r="E8" s="46" t="s">
        <v>383</v>
      </c>
      <c r="F8" s="46" t="s">
        <v>383</v>
      </c>
      <c r="G8" s="46">
        <v>1</v>
      </c>
      <c r="H8" s="46">
        <v>3</v>
      </c>
      <c r="I8" s="46" t="s">
        <v>383</v>
      </c>
      <c r="J8" s="47">
        <f t="shared" si="0"/>
        <v>100</v>
      </c>
    </row>
    <row r="9" spans="1:11" ht="21" customHeight="1" x14ac:dyDescent="0.15">
      <c r="A9" s="46">
        <v>41012007</v>
      </c>
      <c r="B9" s="46">
        <v>0</v>
      </c>
      <c r="C9" s="46">
        <v>41</v>
      </c>
      <c r="D9" s="46">
        <v>100</v>
      </c>
      <c r="E9" s="46">
        <v>50</v>
      </c>
      <c r="F9" s="46" t="s">
        <v>383</v>
      </c>
      <c r="G9" s="46">
        <v>1</v>
      </c>
      <c r="H9" s="46">
        <v>1</v>
      </c>
      <c r="I9" s="46" t="s">
        <v>383</v>
      </c>
      <c r="J9" s="47">
        <f t="shared" si="0"/>
        <v>100</v>
      </c>
    </row>
    <row r="10" spans="1:11" ht="21" customHeight="1" x14ac:dyDescent="0.15">
      <c r="A10" s="46">
        <v>41012008</v>
      </c>
      <c r="B10" s="46">
        <v>1</v>
      </c>
      <c r="C10" s="46">
        <v>50</v>
      </c>
      <c r="D10" s="46">
        <v>100</v>
      </c>
      <c r="E10" s="46" t="s">
        <v>383</v>
      </c>
      <c r="F10" s="46" t="s">
        <v>383</v>
      </c>
      <c r="G10" s="46">
        <v>1</v>
      </c>
      <c r="H10" s="46" t="s">
        <v>383</v>
      </c>
      <c r="I10" s="46" t="s">
        <v>383</v>
      </c>
      <c r="J10" s="47">
        <f t="shared" si="0"/>
        <v>100</v>
      </c>
    </row>
    <row r="11" spans="1:11" ht="21" customHeight="1" x14ac:dyDescent="0.15">
      <c r="A11" s="46">
        <v>41012009</v>
      </c>
      <c r="B11" s="46">
        <v>0</v>
      </c>
      <c r="C11" s="46">
        <v>49</v>
      </c>
      <c r="D11" s="46">
        <v>100</v>
      </c>
      <c r="E11" s="46" t="s">
        <v>383</v>
      </c>
      <c r="F11" s="46" t="s">
        <v>383</v>
      </c>
      <c r="G11" s="46">
        <v>1</v>
      </c>
      <c r="H11" s="46" t="s">
        <v>383</v>
      </c>
      <c r="I11" s="46" t="s">
        <v>383</v>
      </c>
      <c r="J11" s="47">
        <f t="shared" si="0"/>
        <v>100</v>
      </c>
    </row>
    <row r="12" spans="1:11" ht="21" customHeight="1" x14ac:dyDescent="0.15">
      <c r="A12" s="46">
        <v>41012010</v>
      </c>
      <c r="B12" s="46">
        <v>0</v>
      </c>
      <c r="C12" s="46">
        <v>30</v>
      </c>
      <c r="D12" s="46">
        <v>60</v>
      </c>
      <c r="E12" s="46" t="s">
        <v>383</v>
      </c>
      <c r="F12" s="46" t="s">
        <v>383</v>
      </c>
      <c r="G12" s="46" t="s">
        <v>383</v>
      </c>
      <c r="H12" s="46" t="s">
        <v>383</v>
      </c>
      <c r="I12" s="46" t="s">
        <v>383</v>
      </c>
      <c r="J12" s="47">
        <f t="shared" si="0"/>
        <v>60</v>
      </c>
    </row>
    <row r="13" spans="1:11" ht="21" customHeight="1" x14ac:dyDescent="0.15">
      <c r="A13" s="46">
        <v>41012011</v>
      </c>
      <c r="B13" s="46">
        <v>0</v>
      </c>
      <c r="C13" s="46">
        <v>40</v>
      </c>
      <c r="D13" s="46">
        <v>50</v>
      </c>
      <c r="E13" s="46">
        <v>50</v>
      </c>
      <c r="F13" s="46" t="s">
        <v>383</v>
      </c>
      <c r="G13" s="46">
        <v>3</v>
      </c>
      <c r="H13" s="46" t="s">
        <v>383</v>
      </c>
      <c r="I13" s="46" t="s">
        <v>383</v>
      </c>
      <c r="J13" s="47">
        <f t="shared" si="0"/>
        <v>50</v>
      </c>
    </row>
    <row r="14" spans="1:11" ht="21" customHeight="1" x14ac:dyDescent="0.15">
      <c r="A14" s="46">
        <v>41012012</v>
      </c>
      <c r="B14" s="46">
        <v>1</v>
      </c>
      <c r="C14" s="46">
        <v>50</v>
      </c>
      <c r="D14" s="46">
        <v>100</v>
      </c>
      <c r="E14" s="46" t="s">
        <v>383</v>
      </c>
      <c r="F14" s="46" t="s">
        <v>383</v>
      </c>
      <c r="G14" s="46">
        <v>1</v>
      </c>
      <c r="H14" s="46" t="s">
        <v>383</v>
      </c>
      <c r="I14" s="46" t="s">
        <v>383</v>
      </c>
      <c r="J14" s="47">
        <f t="shared" si="0"/>
        <v>100</v>
      </c>
    </row>
    <row r="15" spans="1:11" ht="21" customHeight="1" x14ac:dyDescent="0.15">
      <c r="A15" s="46">
        <v>41012013</v>
      </c>
      <c r="B15" s="46">
        <v>0</v>
      </c>
      <c r="C15" s="46">
        <v>30</v>
      </c>
      <c r="D15" s="46">
        <v>100</v>
      </c>
      <c r="E15" s="46" t="s">
        <v>383</v>
      </c>
      <c r="F15" s="46" t="s">
        <v>383</v>
      </c>
      <c r="G15" s="46" t="s">
        <v>383</v>
      </c>
      <c r="H15" s="46">
        <v>1</v>
      </c>
      <c r="I15" s="46" t="s">
        <v>383</v>
      </c>
      <c r="J15" s="47">
        <f t="shared" si="0"/>
        <v>100</v>
      </c>
    </row>
    <row r="16" spans="1:11" ht="21" customHeight="1" x14ac:dyDescent="0.15">
      <c r="A16" s="46">
        <v>41012014</v>
      </c>
      <c r="B16" s="46">
        <v>0</v>
      </c>
      <c r="C16" s="46">
        <v>31</v>
      </c>
      <c r="D16" s="46">
        <v>100</v>
      </c>
      <c r="E16" s="46" t="s">
        <v>383</v>
      </c>
      <c r="F16" s="46" t="s">
        <v>383</v>
      </c>
      <c r="G16" s="46" t="s">
        <v>383</v>
      </c>
      <c r="H16" s="46">
        <v>2</v>
      </c>
      <c r="I16" s="46" t="s">
        <v>383</v>
      </c>
      <c r="J16" s="47">
        <f t="shared" si="0"/>
        <v>100</v>
      </c>
    </row>
    <row r="17" spans="1:10" ht="21" customHeight="1" x14ac:dyDescent="0.15">
      <c r="A17" s="46">
        <v>41012015</v>
      </c>
      <c r="B17" s="46">
        <v>0</v>
      </c>
      <c r="C17" s="46">
        <v>49</v>
      </c>
      <c r="D17" s="46">
        <v>100</v>
      </c>
      <c r="E17" s="46" t="s">
        <v>383</v>
      </c>
      <c r="F17" s="46" t="s">
        <v>383</v>
      </c>
      <c r="G17" s="46" t="s">
        <v>383</v>
      </c>
      <c r="H17" s="46" t="s">
        <v>383</v>
      </c>
      <c r="I17" s="46">
        <v>666</v>
      </c>
      <c r="J17" s="47">
        <f t="shared" si="0"/>
        <v>100</v>
      </c>
    </row>
    <row r="18" spans="1:10" ht="21" customHeight="1" x14ac:dyDescent="0.15">
      <c r="A18" s="46">
        <v>41012016</v>
      </c>
      <c r="B18" s="46">
        <v>1</v>
      </c>
      <c r="C18" s="46">
        <v>50</v>
      </c>
      <c r="D18" s="46">
        <v>100</v>
      </c>
      <c r="E18" s="46" t="s">
        <v>383</v>
      </c>
      <c r="F18" s="46" t="s">
        <v>383</v>
      </c>
      <c r="G18" s="46">
        <v>1</v>
      </c>
      <c r="H18" s="46" t="s">
        <v>383</v>
      </c>
      <c r="I18" s="46" t="s">
        <v>383</v>
      </c>
      <c r="J18" s="47">
        <f t="shared" si="0"/>
        <v>100</v>
      </c>
    </row>
    <row r="19" spans="1:10" ht="21" customHeight="1" x14ac:dyDescent="0.15">
      <c r="A19" s="46">
        <v>41012017</v>
      </c>
      <c r="B19" s="46">
        <v>0</v>
      </c>
      <c r="C19" s="46">
        <v>30</v>
      </c>
      <c r="D19" s="46">
        <v>60</v>
      </c>
      <c r="E19" s="46" t="s">
        <v>383</v>
      </c>
      <c r="F19" s="46" t="s">
        <v>383</v>
      </c>
      <c r="G19" s="46" t="s">
        <v>383</v>
      </c>
      <c r="H19" s="46" t="s">
        <v>383</v>
      </c>
      <c r="I19" s="46" t="s">
        <v>383</v>
      </c>
      <c r="J19" s="47">
        <f t="shared" si="0"/>
        <v>60</v>
      </c>
    </row>
    <row r="20" spans="1:10" ht="21" customHeight="1" x14ac:dyDescent="0.15">
      <c r="A20" s="46">
        <v>41012018</v>
      </c>
      <c r="B20" s="46">
        <v>0</v>
      </c>
      <c r="C20" s="46">
        <v>31</v>
      </c>
      <c r="D20" s="46">
        <v>50</v>
      </c>
      <c r="E20" s="46">
        <v>75</v>
      </c>
      <c r="F20" s="46" t="s">
        <v>383</v>
      </c>
      <c r="G20" s="46" t="s">
        <v>383</v>
      </c>
      <c r="H20" s="46" t="s">
        <v>383</v>
      </c>
      <c r="I20" s="46" t="s">
        <v>383</v>
      </c>
      <c r="J20" s="47">
        <f t="shared" si="0"/>
        <v>50</v>
      </c>
    </row>
    <row r="21" spans="1:10" ht="21" customHeight="1" x14ac:dyDescent="0.15">
      <c r="A21" s="46">
        <v>41012019</v>
      </c>
      <c r="B21" s="46">
        <v>0</v>
      </c>
      <c r="C21" s="46">
        <v>40</v>
      </c>
      <c r="D21" s="46">
        <v>100</v>
      </c>
      <c r="E21" s="46">
        <v>50</v>
      </c>
      <c r="F21" s="46" t="s">
        <v>383</v>
      </c>
      <c r="G21" s="46">
        <v>1</v>
      </c>
      <c r="H21" s="46" t="s">
        <v>383</v>
      </c>
      <c r="I21" s="46" t="s">
        <v>383</v>
      </c>
      <c r="J21" s="47">
        <f t="shared" si="0"/>
        <v>100</v>
      </c>
    </row>
    <row r="22" spans="1:10" ht="21" customHeight="1" x14ac:dyDescent="0.15">
      <c r="A22" s="46">
        <v>41012020</v>
      </c>
      <c r="B22" s="46">
        <v>1</v>
      </c>
      <c r="C22" s="46">
        <v>50</v>
      </c>
      <c r="D22" s="46">
        <v>100</v>
      </c>
      <c r="E22" s="46" t="s">
        <v>383</v>
      </c>
      <c r="F22" s="46" t="s">
        <v>383</v>
      </c>
      <c r="G22" s="46">
        <v>1</v>
      </c>
      <c r="H22" s="46" t="s">
        <v>383</v>
      </c>
      <c r="I22" s="46" t="s">
        <v>383</v>
      </c>
      <c r="J22" s="47">
        <f t="shared" si="0"/>
        <v>100</v>
      </c>
    </row>
    <row r="23" spans="1:10" ht="21" customHeight="1" x14ac:dyDescent="0.15">
      <c r="A23" s="46">
        <v>41012021</v>
      </c>
      <c r="B23" s="46">
        <v>0</v>
      </c>
      <c r="C23" s="46">
        <v>30</v>
      </c>
      <c r="D23" s="46">
        <v>60</v>
      </c>
      <c r="E23" s="46" t="s">
        <v>383</v>
      </c>
      <c r="F23" s="46" t="s">
        <v>383</v>
      </c>
      <c r="G23" s="46" t="s">
        <v>383</v>
      </c>
      <c r="H23" s="46">
        <v>1</v>
      </c>
      <c r="I23" s="46" t="s">
        <v>383</v>
      </c>
      <c r="J23" s="47">
        <f t="shared" si="0"/>
        <v>60</v>
      </c>
    </row>
    <row r="24" spans="1:10" ht="21" customHeight="1" x14ac:dyDescent="0.15">
      <c r="A24" s="46">
        <v>41012022</v>
      </c>
      <c r="B24" s="46">
        <v>0</v>
      </c>
      <c r="C24" s="46">
        <v>31</v>
      </c>
      <c r="D24" s="46">
        <v>100</v>
      </c>
      <c r="E24" s="46" t="s">
        <v>383</v>
      </c>
      <c r="F24" s="46" t="s">
        <v>383</v>
      </c>
      <c r="G24" s="46">
        <v>1</v>
      </c>
      <c r="H24" s="46">
        <v>3</v>
      </c>
      <c r="I24" s="46" t="s">
        <v>383</v>
      </c>
      <c r="J24" s="47">
        <f t="shared" si="0"/>
        <v>100</v>
      </c>
    </row>
    <row r="25" spans="1:10" ht="21" customHeight="1" x14ac:dyDescent="0.15">
      <c r="A25" s="46">
        <v>41012023</v>
      </c>
      <c r="B25" s="46">
        <v>0</v>
      </c>
      <c r="C25" s="46">
        <v>41</v>
      </c>
      <c r="D25" s="46">
        <v>100</v>
      </c>
      <c r="E25" s="46">
        <v>30</v>
      </c>
      <c r="F25" s="46" t="s">
        <v>383</v>
      </c>
      <c r="G25" s="46">
        <v>1</v>
      </c>
      <c r="H25" s="46">
        <v>1</v>
      </c>
      <c r="I25" s="46" t="s">
        <v>383</v>
      </c>
      <c r="J25" s="47">
        <f t="shared" si="0"/>
        <v>100</v>
      </c>
    </row>
    <row r="26" spans="1:10" ht="21" customHeight="1" x14ac:dyDescent="0.15">
      <c r="A26" s="46">
        <v>41012024</v>
      </c>
      <c r="B26" s="46">
        <v>0</v>
      </c>
      <c r="C26" s="46">
        <v>40</v>
      </c>
      <c r="D26" s="46">
        <v>100</v>
      </c>
      <c r="E26" s="46">
        <v>30</v>
      </c>
      <c r="F26" s="46" t="s">
        <v>383</v>
      </c>
      <c r="G26" s="46">
        <v>1</v>
      </c>
      <c r="H26" s="46">
        <v>1</v>
      </c>
      <c r="I26" s="46" t="s">
        <v>383</v>
      </c>
      <c r="J26" s="47">
        <f t="shared" si="0"/>
        <v>100</v>
      </c>
    </row>
    <row r="27" spans="1:10" ht="21" customHeight="1" x14ac:dyDescent="0.15">
      <c r="A27" s="46">
        <v>41012025</v>
      </c>
      <c r="B27" s="46">
        <v>1</v>
      </c>
      <c r="C27" s="46">
        <v>50</v>
      </c>
      <c r="D27" s="46">
        <v>100</v>
      </c>
      <c r="E27" s="46" t="s">
        <v>383</v>
      </c>
      <c r="F27" s="46" t="s">
        <v>383</v>
      </c>
      <c r="G27" s="46">
        <v>1</v>
      </c>
      <c r="H27" s="46" t="s">
        <v>383</v>
      </c>
      <c r="I27" s="46" t="s">
        <v>383</v>
      </c>
      <c r="J27" s="47">
        <f t="shared" si="0"/>
        <v>100</v>
      </c>
    </row>
    <row r="28" spans="1:10" ht="21" customHeight="1" x14ac:dyDescent="0.15">
      <c r="A28" s="46">
        <v>41012026</v>
      </c>
      <c r="B28" s="46">
        <v>0</v>
      </c>
      <c r="C28" s="46">
        <v>30</v>
      </c>
      <c r="D28" s="46">
        <v>100</v>
      </c>
      <c r="E28" s="46" t="s">
        <v>383</v>
      </c>
      <c r="F28" s="46">
        <v>75</v>
      </c>
      <c r="G28" s="46">
        <v>1</v>
      </c>
      <c r="H28" s="46" t="s">
        <v>383</v>
      </c>
      <c r="I28" s="46" t="s">
        <v>383</v>
      </c>
      <c r="J28" s="47">
        <f t="shared" si="0"/>
        <v>100</v>
      </c>
    </row>
    <row r="29" spans="1:10" ht="21" customHeight="1" x14ac:dyDescent="0.15">
      <c r="A29" s="46">
        <v>41012027</v>
      </c>
      <c r="B29" s="46">
        <v>0</v>
      </c>
      <c r="C29" s="46">
        <v>30</v>
      </c>
      <c r="D29" s="46">
        <v>100</v>
      </c>
      <c r="E29" s="46" t="s">
        <v>383</v>
      </c>
      <c r="F29" s="46">
        <v>75</v>
      </c>
      <c r="G29" s="46">
        <v>1</v>
      </c>
      <c r="H29" s="46" t="s">
        <v>383</v>
      </c>
      <c r="I29" s="46" t="s">
        <v>383</v>
      </c>
      <c r="J29" s="47">
        <f t="shared" si="0"/>
        <v>100</v>
      </c>
    </row>
    <row r="30" spans="1:10" ht="21" customHeight="1" x14ac:dyDescent="0.15">
      <c r="A30" s="46">
        <v>41012028</v>
      </c>
      <c r="B30" s="46">
        <v>0</v>
      </c>
      <c r="C30" s="46">
        <v>31</v>
      </c>
      <c r="D30" s="46">
        <v>100</v>
      </c>
      <c r="E30" s="46">
        <v>75</v>
      </c>
      <c r="F30" s="46">
        <v>50</v>
      </c>
      <c r="G30" s="46">
        <v>1</v>
      </c>
      <c r="H30" s="46" t="s">
        <v>383</v>
      </c>
      <c r="I30" s="46" t="s">
        <v>383</v>
      </c>
      <c r="J30" s="47">
        <f t="shared" si="0"/>
        <v>100</v>
      </c>
    </row>
    <row r="31" spans="1:10" ht="21" customHeight="1" x14ac:dyDescent="0.15">
      <c r="A31" s="46">
        <v>41012029</v>
      </c>
      <c r="B31" s="46">
        <v>0</v>
      </c>
      <c r="C31" s="46">
        <v>31</v>
      </c>
      <c r="D31" s="46">
        <v>100</v>
      </c>
      <c r="E31" s="46">
        <v>75</v>
      </c>
      <c r="F31" s="46">
        <v>50</v>
      </c>
      <c r="G31" s="46">
        <v>1</v>
      </c>
      <c r="H31" s="46" t="s">
        <v>383</v>
      </c>
      <c r="I31" s="46" t="s">
        <v>383</v>
      </c>
      <c r="J31" s="47">
        <f t="shared" si="0"/>
        <v>100</v>
      </c>
    </row>
    <row r="32" spans="1:10" ht="21" customHeight="1" x14ac:dyDescent="0.15">
      <c r="A32" s="46">
        <v>41012030</v>
      </c>
      <c r="B32" s="46">
        <v>0</v>
      </c>
      <c r="C32" s="46">
        <v>32</v>
      </c>
      <c r="D32" s="46">
        <v>100</v>
      </c>
      <c r="E32" s="46">
        <v>50</v>
      </c>
      <c r="F32" s="46">
        <v>25</v>
      </c>
      <c r="G32" s="46">
        <v>1</v>
      </c>
      <c r="H32" s="46" t="s">
        <v>383</v>
      </c>
      <c r="I32" s="46" t="s">
        <v>383</v>
      </c>
      <c r="J32" s="47">
        <f t="shared" si="0"/>
        <v>100</v>
      </c>
    </row>
    <row r="33" spans="1:10" ht="21" customHeight="1" x14ac:dyDescent="0.15">
      <c r="A33" s="46">
        <v>41012031</v>
      </c>
      <c r="B33" s="46">
        <v>0</v>
      </c>
      <c r="C33" s="46">
        <v>32</v>
      </c>
      <c r="D33" s="46">
        <v>100</v>
      </c>
      <c r="E33" s="46">
        <v>50</v>
      </c>
      <c r="F33" s="46">
        <v>25</v>
      </c>
      <c r="G33" s="46">
        <v>1</v>
      </c>
      <c r="H33" s="46" t="s">
        <v>383</v>
      </c>
      <c r="I33" s="46" t="s">
        <v>383</v>
      </c>
      <c r="J33" s="47">
        <f t="shared" si="0"/>
        <v>100</v>
      </c>
    </row>
    <row r="34" spans="1:10" ht="21" customHeight="1" x14ac:dyDescent="0.15">
      <c r="A34" s="46">
        <v>41012032</v>
      </c>
      <c r="B34" s="46">
        <v>0</v>
      </c>
      <c r="C34" s="46">
        <v>49</v>
      </c>
      <c r="D34" s="46">
        <v>100</v>
      </c>
      <c r="E34" s="46" t="s">
        <v>383</v>
      </c>
      <c r="F34" s="46" t="s">
        <v>383</v>
      </c>
      <c r="G34" s="46">
        <v>1</v>
      </c>
      <c r="H34" s="46" t="s">
        <v>383</v>
      </c>
      <c r="I34" s="46">
        <v>654</v>
      </c>
      <c r="J34" s="47">
        <f t="shared" si="0"/>
        <v>100</v>
      </c>
    </row>
    <row r="35" spans="1:10" ht="21" customHeight="1" x14ac:dyDescent="0.15">
      <c r="A35" s="46">
        <v>41012033</v>
      </c>
      <c r="B35" s="46">
        <v>1</v>
      </c>
      <c r="C35" s="46">
        <v>50</v>
      </c>
      <c r="D35" s="46">
        <v>100</v>
      </c>
      <c r="E35" s="46" t="s">
        <v>383</v>
      </c>
      <c r="F35" s="46" t="s">
        <v>383</v>
      </c>
      <c r="G35" s="46">
        <v>1</v>
      </c>
      <c r="H35" s="46" t="s">
        <v>383</v>
      </c>
      <c r="I35" s="46" t="s">
        <v>383</v>
      </c>
      <c r="J35" s="47">
        <f t="shared" si="0"/>
        <v>100</v>
      </c>
    </row>
    <row r="36" spans="1:10" ht="21" customHeight="1" x14ac:dyDescent="0.15">
      <c r="A36" s="46">
        <v>41012034</v>
      </c>
      <c r="B36" s="46">
        <v>0</v>
      </c>
      <c r="C36" s="46">
        <v>40</v>
      </c>
      <c r="D36" s="46">
        <v>100</v>
      </c>
      <c r="E36" s="46" t="s">
        <v>383</v>
      </c>
      <c r="F36" s="46" t="s">
        <v>383</v>
      </c>
      <c r="G36" s="46">
        <v>1</v>
      </c>
      <c r="H36" s="46" t="s">
        <v>383</v>
      </c>
      <c r="I36" s="46" t="s">
        <v>383</v>
      </c>
      <c r="J36" s="47">
        <f t="shared" si="0"/>
        <v>100</v>
      </c>
    </row>
    <row r="37" spans="1:10" ht="21" customHeight="1" x14ac:dyDescent="0.15">
      <c r="A37" s="46">
        <v>41012035</v>
      </c>
      <c r="B37" s="46">
        <v>0</v>
      </c>
      <c r="C37" s="46">
        <v>30</v>
      </c>
      <c r="D37" s="46">
        <v>100</v>
      </c>
      <c r="E37" s="46" t="s">
        <v>383</v>
      </c>
      <c r="F37" s="46" t="s">
        <v>383</v>
      </c>
      <c r="G37" s="46" t="s">
        <v>383</v>
      </c>
      <c r="H37" s="46" t="s">
        <v>383</v>
      </c>
      <c r="I37" s="46" t="s">
        <v>383</v>
      </c>
      <c r="J37" s="47">
        <f t="shared" si="0"/>
        <v>100</v>
      </c>
    </row>
    <row r="38" spans="1:10" ht="21" customHeight="1" x14ac:dyDescent="0.15">
      <c r="A38" s="46">
        <v>41012036</v>
      </c>
      <c r="B38" s="46">
        <v>0</v>
      </c>
      <c r="C38" s="46">
        <v>31</v>
      </c>
      <c r="D38" s="46">
        <v>40</v>
      </c>
      <c r="E38" s="46" t="s">
        <v>383</v>
      </c>
      <c r="F38" s="46" t="s">
        <v>383</v>
      </c>
      <c r="G38" s="46" t="s">
        <v>383</v>
      </c>
      <c r="H38" s="46" t="s">
        <v>383</v>
      </c>
      <c r="I38" s="46" t="s">
        <v>383</v>
      </c>
      <c r="J38" s="47">
        <f t="shared" si="0"/>
        <v>40</v>
      </c>
    </row>
    <row r="39" spans="1:10" ht="21" customHeight="1" x14ac:dyDescent="0.15">
      <c r="A39" s="46">
        <v>41012037</v>
      </c>
      <c r="B39" s="46">
        <v>1</v>
      </c>
      <c r="C39" s="46">
        <v>50</v>
      </c>
      <c r="D39" s="46">
        <v>100</v>
      </c>
      <c r="E39" s="46" t="s">
        <v>383</v>
      </c>
      <c r="F39" s="46" t="s">
        <v>383</v>
      </c>
      <c r="G39" s="46">
        <v>1</v>
      </c>
      <c r="H39" s="46" t="s">
        <v>383</v>
      </c>
      <c r="I39" s="46" t="s">
        <v>383</v>
      </c>
      <c r="J39" s="47">
        <f t="shared" si="0"/>
        <v>100</v>
      </c>
    </row>
    <row r="40" spans="1:10" ht="21" customHeight="1" x14ac:dyDescent="0.15">
      <c r="A40" s="46">
        <v>41012038</v>
      </c>
      <c r="B40" s="46">
        <v>0</v>
      </c>
      <c r="C40" s="46">
        <v>30</v>
      </c>
      <c r="D40" s="46">
        <v>100</v>
      </c>
      <c r="E40" s="46" t="s">
        <v>383</v>
      </c>
      <c r="F40" s="46" t="s">
        <v>383</v>
      </c>
      <c r="G40" s="46" t="s">
        <v>383</v>
      </c>
      <c r="H40" s="46" t="s">
        <v>383</v>
      </c>
      <c r="I40" s="46" t="s">
        <v>383</v>
      </c>
      <c r="J40" s="47">
        <f t="shared" si="0"/>
        <v>100</v>
      </c>
    </row>
    <row r="41" spans="1:10" ht="21" customHeight="1" x14ac:dyDescent="0.15">
      <c r="A41" s="46">
        <v>41012039</v>
      </c>
      <c r="B41" s="46">
        <v>0</v>
      </c>
      <c r="C41" s="46">
        <v>31</v>
      </c>
      <c r="D41" s="46">
        <v>50</v>
      </c>
      <c r="E41" s="46" t="s">
        <v>383</v>
      </c>
      <c r="F41" s="46" t="s">
        <v>383</v>
      </c>
      <c r="G41" s="46" t="s">
        <v>383</v>
      </c>
      <c r="H41" s="46" t="s">
        <v>383</v>
      </c>
      <c r="I41" s="46" t="s">
        <v>383</v>
      </c>
      <c r="J41" s="47">
        <f t="shared" si="0"/>
        <v>50</v>
      </c>
    </row>
    <row r="42" spans="1:10" ht="21" customHeight="1" x14ac:dyDescent="0.15">
      <c r="A42" s="46">
        <v>41012040</v>
      </c>
      <c r="B42" s="46">
        <v>0</v>
      </c>
      <c r="C42" s="46">
        <v>32</v>
      </c>
      <c r="D42" s="46">
        <v>33</v>
      </c>
      <c r="E42" s="46" t="s">
        <v>383</v>
      </c>
      <c r="F42" s="46" t="s">
        <v>383</v>
      </c>
      <c r="G42" s="46" t="s">
        <v>383</v>
      </c>
      <c r="H42" s="46" t="s">
        <v>383</v>
      </c>
      <c r="I42" s="46" t="s">
        <v>383</v>
      </c>
      <c r="J42" s="47">
        <f t="shared" si="0"/>
        <v>33</v>
      </c>
    </row>
    <row r="43" spans="1:10" ht="21" customHeight="1" x14ac:dyDescent="0.15">
      <c r="A43" s="46">
        <v>41012041</v>
      </c>
      <c r="B43" s="46">
        <v>0</v>
      </c>
      <c r="C43" s="46">
        <v>40</v>
      </c>
      <c r="D43" s="46">
        <v>100</v>
      </c>
      <c r="E43" s="46">
        <v>70</v>
      </c>
      <c r="F43" s="46" t="s">
        <v>383</v>
      </c>
      <c r="G43" s="46">
        <v>1</v>
      </c>
      <c r="H43" s="46" t="s">
        <v>383</v>
      </c>
      <c r="I43" s="46" t="s">
        <v>383</v>
      </c>
      <c r="J43" s="47">
        <f t="shared" si="0"/>
        <v>100</v>
      </c>
    </row>
    <row r="44" spans="1:10" ht="21" customHeight="1" x14ac:dyDescent="0.15">
      <c r="A44" s="46">
        <v>41012042</v>
      </c>
      <c r="B44" s="46">
        <v>1</v>
      </c>
      <c r="C44" s="46">
        <v>50</v>
      </c>
      <c r="D44" s="46">
        <v>100</v>
      </c>
      <c r="E44" s="46" t="s">
        <v>383</v>
      </c>
      <c r="F44" s="46" t="s">
        <v>383</v>
      </c>
      <c r="G44" s="46">
        <v>1</v>
      </c>
      <c r="H44" s="46" t="s">
        <v>383</v>
      </c>
      <c r="I44" s="46" t="s">
        <v>383</v>
      </c>
      <c r="J44" s="47">
        <f t="shared" si="0"/>
        <v>100</v>
      </c>
    </row>
    <row r="45" spans="1:10" ht="21" customHeight="1" x14ac:dyDescent="0.15">
      <c r="A45" s="46">
        <v>41012043</v>
      </c>
      <c r="B45" s="46">
        <v>0</v>
      </c>
      <c r="C45" s="46">
        <v>30</v>
      </c>
      <c r="D45" s="46">
        <v>100</v>
      </c>
      <c r="E45" s="46" t="s">
        <v>383</v>
      </c>
      <c r="F45" s="46" t="s">
        <v>383</v>
      </c>
      <c r="G45" s="46" t="s">
        <v>383</v>
      </c>
      <c r="H45" s="46">
        <v>1</v>
      </c>
      <c r="I45" s="46" t="s">
        <v>383</v>
      </c>
      <c r="J45" s="47">
        <f t="shared" si="0"/>
        <v>100</v>
      </c>
    </row>
    <row r="46" spans="1:10" ht="21" customHeight="1" x14ac:dyDescent="0.15">
      <c r="A46" s="46">
        <v>41012044</v>
      </c>
      <c r="B46" s="46">
        <v>0</v>
      </c>
      <c r="C46" s="46">
        <v>31</v>
      </c>
      <c r="D46" s="46">
        <v>100</v>
      </c>
      <c r="E46" s="46" t="s">
        <v>383</v>
      </c>
      <c r="F46" s="46" t="s">
        <v>383</v>
      </c>
      <c r="G46" s="46" t="s">
        <v>383</v>
      </c>
      <c r="H46" s="46">
        <v>2</v>
      </c>
      <c r="I46" s="46" t="s">
        <v>383</v>
      </c>
      <c r="J46" s="47">
        <f t="shared" si="0"/>
        <v>100</v>
      </c>
    </row>
    <row r="47" spans="1:10" ht="21" customHeight="1" x14ac:dyDescent="0.15">
      <c r="A47" s="46">
        <v>41012045</v>
      </c>
      <c r="B47" s="46">
        <v>0</v>
      </c>
      <c r="C47" s="46">
        <v>32</v>
      </c>
      <c r="D47" s="46">
        <v>100</v>
      </c>
      <c r="E47" s="46" t="s">
        <v>383</v>
      </c>
      <c r="F47" s="46" t="s">
        <v>383</v>
      </c>
      <c r="G47" s="46" t="s">
        <v>383</v>
      </c>
      <c r="H47" s="46">
        <v>3</v>
      </c>
      <c r="I47" s="46" t="s">
        <v>383</v>
      </c>
      <c r="J47" s="47">
        <f t="shared" si="0"/>
        <v>100</v>
      </c>
    </row>
    <row r="48" spans="1:10" ht="21" customHeight="1" x14ac:dyDescent="0.15">
      <c r="A48" s="46">
        <v>41012046</v>
      </c>
      <c r="B48" s="46">
        <v>0</v>
      </c>
      <c r="C48" s="46">
        <v>40</v>
      </c>
      <c r="D48" s="46">
        <v>100</v>
      </c>
      <c r="E48" s="46">
        <v>50</v>
      </c>
      <c r="F48" s="46" t="s">
        <v>383</v>
      </c>
      <c r="G48" s="46">
        <v>1</v>
      </c>
      <c r="H48" s="46">
        <v>1</v>
      </c>
      <c r="I48" s="46" t="s">
        <v>383</v>
      </c>
      <c r="J48" s="47">
        <f t="shared" si="0"/>
        <v>100</v>
      </c>
    </row>
    <row r="49" spans="1:10" ht="21" customHeight="1" x14ac:dyDescent="0.15">
      <c r="A49" s="46">
        <v>41012047</v>
      </c>
      <c r="B49" s="46">
        <v>1</v>
      </c>
      <c r="C49" s="46">
        <v>3</v>
      </c>
      <c r="D49" s="46">
        <v>100</v>
      </c>
      <c r="E49" s="46" t="s">
        <v>383</v>
      </c>
      <c r="F49" s="46" t="s">
        <v>383</v>
      </c>
      <c r="G49" s="46">
        <v>1</v>
      </c>
      <c r="H49" s="46" t="s">
        <v>383</v>
      </c>
      <c r="I49" s="46">
        <v>658</v>
      </c>
      <c r="J49" s="47">
        <f t="shared" si="0"/>
        <v>100</v>
      </c>
    </row>
    <row r="50" spans="1:10" ht="21" customHeight="1" x14ac:dyDescent="0.15">
      <c r="A50" s="46">
        <v>41012048</v>
      </c>
      <c r="B50" s="46">
        <v>1</v>
      </c>
      <c r="C50" s="46">
        <v>3</v>
      </c>
      <c r="D50" s="46">
        <v>100</v>
      </c>
      <c r="E50" s="46" t="s">
        <v>383</v>
      </c>
      <c r="F50" s="46" t="s">
        <v>383</v>
      </c>
      <c r="G50" s="46">
        <v>1</v>
      </c>
      <c r="H50" s="46" t="s">
        <v>383</v>
      </c>
      <c r="I50" s="46">
        <v>659</v>
      </c>
      <c r="J50" s="47">
        <f t="shared" si="0"/>
        <v>100</v>
      </c>
    </row>
    <row r="51" spans="1:10" ht="21" customHeight="1" x14ac:dyDescent="0.15">
      <c r="A51" s="46">
        <v>41012049</v>
      </c>
      <c r="B51" s="46">
        <v>1</v>
      </c>
      <c r="C51" s="46">
        <v>51</v>
      </c>
      <c r="D51" s="46">
        <v>100</v>
      </c>
      <c r="E51" s="46" t="s">
        <v>383</v>
      </c>
      <c r="F51" s="46" t="s">
        <v>383</v>
      </c>
      <c r="G51" s="46">
        <v>1</v>
      </c>
      <c r="H51" s="46" t="s">
        <v>383</v>
      </c>
      <c r="I51" s="46">
        <v>658</v>
      </c>
      <c r="J51" s="47">
        <f t="shared" si="0"/>
        <v>100</v>
      </c>
    </row>
    <row r="52" spans="1:10" ht="21" customHeight="1" x14ac:dyDescent="0.15">
      <c r="A52" s="46">
        <v>41012050</v>
      </c>
      <c r="B52" s="46">
        <v>1</v>
      </c>
      <c r="C52" s="46">
        <v>51</v>
      </c>
      <c r="D52" s="46">
        <v>100</v>
      </c>
      <c r="E52" s="46" t="s">
        <v>383</v>
      </c>
      <c r="F52" s="46" t="s">
        <v>383</v>
      </c>
      <c r="G52" s="46">
        <v>1</v>
      </c>
      <c r="H52" s="46" t="s">
        <v>383</v>
      </c>
      <c r="I52" s="46">
        <v>659</v>
      </c>
      <c r="J52" s="47">
        <f t="shared" si="0"/>
        <v>100</v>
      </c>
    </row>
    <row r="53" spans="1:10" ht="21" customHeight="1" x14ac:dyDescent="0.15">
      <c r="A53" s="46">
        <v>41012051</v>
      </c>
      <c r="B53" s="46">
        <v>1</v>
      </c>
      <c r="C53" s="46">
        <v>3</v>
      </c>
      <c r="D53" s="46">
        <v>100</v>
      </c>
      <c r="E53" s="46" t="s">
        <v>167</v>
      </c>
      <c r="F53" s="46" t="s">
        <v>167</v>
      </c>
      <c r="G53" s="46">
        <v>1</v>
      </c>
      <c r="H53" s="46" t="s">
        <v>167</v>
      </c>
      <c r="I53" s="46">
        <v>829</v>
      </c>
      <c r="J53" s="47">
        <f t="shared" ref="J53:J54" si="1">D53</f>
        <v>100</v>
      </c>
    </row>
    <row r="54" spans="1:10" ht="21" customHeight="1" x14ac:dyDescent="0.15">
      <c r="A54" s="46">
        <v>41012052</v>
      </c>
      <c r="B54" s="46">
        <v>1</v>
      </c>
      <c r="C54" s="46">
        <v>51</v>
      </c>
      <c r="D54" s="46">
        <v>100</v>
      </c>
      <c r="E54" s="46" t="s">
        <v>167</v>
      </c>
      <c r="F54" s="46" t="s">
        <v>167</v>
      </c>
      <c r="G54" s="46">
        <v>1</v>
      </c>
      <c r="H54" s="46" t="s">
        <v>167</v>
      </c>
      <c r="I54" s="46">
        <v>829</v>
      </c>
      <c r="J54" s="47">
        <f t="shared" si="1"/>
        <v>100</v>
      </c>
    </row>
  </sheetData>
  <autoFilter ref="A1:G1"/>
  <phoneticPr fontId="5"/>
  <conditionalFormatting sqref="K1 K42:K52 K55:K1048576">
    <cfRule type="duplicateValues" dxfId="12" priority="24"/>
  </conditionalFormatting>
  <conditionalFormatting sqref="K37:K39">
    <cfRule type="duplicateValues" dxfId="11" priority="12"/>
  </conditionalFormatting>
  <conditionalFormatting sqref="K2:K5">
    <cfRule type="duplicateValues" dxfId="10" priority="11"/>
  </conditionalFormatting>
  <conditionalFormatting sqref="K6:K10">
    <cfRule type="duplicateValues" dxfId="9" priority="10"/>
  </conditionalFormatting>
  <conditionalFormatting sqref="K11:K15">
    <cfRule type="duplicateValues" dxfId="8" priority="9"/>
  </conditionalFormatting>
  <conditionalFormatting sqref="K16:K20">
    <cfRule type="duplicateValues" dxfId="7" priority="8"/>
  </conditionalFormatting>
  <conditionalFormatting sqref="K21:K25">
    <cfRule type="duplicateValues" dxfId="6" priority="7"/>
  </conditionalFormatting>
  <conditionalFormatting sqref="K26:K30">
    <cfRule type="duplicateValues" dxfId="5" priority="6"/>
  </conditionalFormatting>
  <conditionalFormatting sqref="K31:K35">
    <cfRule type="duplicateValues" dxfId="4" priority="5"/>
  </conditionalFormatting>
  <conditionalFormatting sqref="K36">
    <cfRule type="duplicateValues" dxfId="3" priority="13"/>
  </conditionalFormatting>
  <conditionalFormatting sqref="K40:K41">
    <cfRule type="duplicateValues" dxfId="2" priority="4"/>
  </conditionalFormatting>
  <conditionalFormatting sqref="K53">
    <cfRule type="duplicateValues" dxfId="1" priority="3"/>
  </conditionalFormatting>
  <conditionalFormatting sqref="K5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workbookViewId="0">
      <selection activeCell="L31" sqref="L3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41012</v>
      </c>
      <c r="B2" s="78">
        <v>1</v>
      </c>
      <c r="C2" s="68" t="str">
        <f t="shared" ref="C2:C18" si="0">A2&amp; "_"&amp;B2</f>
        <v>41012_1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8">
        <v>1</v>
      </c>
      <c r="F2" s="55" t="s">
        <v>166</v>
      </c>
      <c r="G2" s="55">
        <v>40000</v>
      </c>
      <c r="H2" s="55" t="s">
        <v>409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150</v>
      </c>
      <c r="Q2" s="55" t="s">
        <v>168</v>
      </c>
      <c r="R2" s="55" t="s">
        <v>169</v>
      </c>
    </row>
    <row r="3" spans="1:18" x14ac:dyDescent="0.15">
      <c r="A3" s="55">
        <v>41012</v>
      </c>
      <c r="B3" s="78">
        <v>1</v>
      </c>
      <c r="C3" s="68" t="str">
        <f t="shared" si="0"/>
        <v>41012_1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8">
        <v>2</v>
      </c>
      <c r="F3" s="55" t="s">
        <v>407</v>
      </c>
      <c r="G3" s="55">
        <v>30</v>
      </c>
      <c r="H3" s="55" t="s">
        <v>409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150</v>
      </c>
      <c r="Q3" s="55" t="s">
        <v>168</v>
      </c>
      <c r="R3" s="55" t="s">
        <v>169</v>
      </c>
    </row>
    <row r="4" spans="1:18" x14ac:dyDescent="0.15">
      <c r="A4" s="55">
        <v>41012</v>
      </c>
      <c r="B4" s="78">
        <v>1</v>
      </c>
      <c r="C4" s="68" t="str">
        <f t="shared" si="0"/>
        <v>41012_1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8">
        <v>3</v>
      </c>
      <c r="F4" s="55" t="s">
        <v>408</v>
      </c>
      <c r="G4" s="55">
        <v>337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28</v>
      </c>
      <c r="Q4" s="55" t="s">
        <v>168</v>
      </c>
      <c r="R4" s="55" t="s">
        <v>169</v>
      </c>
    </row>
    <row r="5" spans="1:18" x14ac:dyDescent="0.15">
      <c r="A5" s="55">
        <v>41012</v>
      </c>
      <c r="B5" s="78">
        <v>1</v>
      </c>
      <c r="C5" s="68" t="str">
        <f t="shared" si="0"/>
        <v>41012_1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8">
        <v>4</v>
      </c>
      <c r="F5" s="55" t="s">
        <v>408</v>
      </c>
      <c r="G5" s="55">
        <v>338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112</v>
      </c>
      <c r="Q5" s="55" t="s">
        <v>168</v>
      </c>
      <c r="R5" s="55" t="s">
        <v>169</v>
      </c>
    </row>
    <row r="6" spans="1:18" x14ac:dyDescent="0.15">
      <c r="A6" s="55">
        <v>41012</v>
      </c>
      <c r="B6" s="78">
        <v>1</v>
      </c>
      <c r="C6" s="68" t="str">
        <f t="shared" si="0"/>
        <v>41012_1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8">
        <v>5</v>
      </c>
      <c r="F6" s="55" t="s">
        <v>408</v>
      </c>
      <c r="G6" s="55">
        <v>121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100</v>
      </c>
      <c r="Q6" s="55" t="s">
        <v>168</v>
      </c>
      <c r="R6" s="55" t="s">
        <v>169</v>
      </c>
    </row>
    <row r="7" spans="1:18" x14ac:dyDescent="0.15">
      <c r="A7" s="55">
        <v>41012</v>
      </c>
      <c r="B7" s="78">
        <v>1</v>
      </c>
      <c r="C7" s="68" t="str">
        <f t="shared" si="0"/>
        <v>41012_1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8">
        <v>6</v>
      </c>
      <c r="F7" s="55" t="s">
        <v>408</v>
      </c>
      <c r="G7" s="55">
        <v>122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100</v>
      </c>
      <c r="Q7" s="55" t="s">
        <v>168</v>
      </c>
      <c r="R7" s="55" t="s">
        <v>169</v>
      </c>
    </row>
    <row r="8" spans="1:18" x14ac:dyDescent="0.15">
      <c r="A8" s="55">
        <v>41012</v>
      </c>
      <c r="B8" s="78">
        <v>1</v>
      </c>
      <c r="C8" s="68" t="str">
        <f t="shared" si="0"/>
        <v>41012_1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8">
        <v>7</v>
      </c>
      <c r="F8" s="55" t="s">
        <v>408</v>
      </c>
      <c r="G8" s="55">
        <v>123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100</v>
      </c>
      <c r="Q8" s="55" t="s">
        <v>168</v>
      </c>
      <c r="R8" s="55" t="s">
        <v>169</v>
      </c>
    </row>
    <row r="9" spans="1:18" x14ac:dyDescent="0.15">
      <c r="A9" s="55">
        <v>41012</v>
      </c>
      <c r="B9" s="78">
        <v>1</v>
      </c>
      <c r="C9" s="68" t="str">
        <f t="shared" si="0"/>
        <v>41012_1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8">
        <v>8</v>
      </c>
      <c r="F9" s="55" t="s">
        <v>408</v>
      </c>
      <c r="G9" s="55">
        <v>125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10</v>
      </c>
      <c r="Q9" s="55" t="s">
        <v>168</v>
      </c>
      <c r="R9" s="55" t="s">
        <v>169</v>
      </c>
    </row>
    <row r="10" spans="1:18" x14ac:dyDescent="0.15">
      <c r="A10" s="55">
        <v>41012</v>
      </c>
      <c r="B10" s="78">
        <v>1</v>
      </c>
      <c r="C10" s="68" t="str">
        <f t="shared" si="0"/>
        <v>41012_1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8">
        <v>9</v>
      </c>
      <c r="F10" s="55" t="s">
        <v>408</v>
      </c>
      <c r="G10" s="55">
        <v>644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100</v>
      </c>
      <c r="Q10" s="55" t="s">
        <v>168</v>
      </c>
      <c r="R10" s="55" t="s">
        <v>169</v>
      </c>
    </row>
    <row r="11" spans="1:18" x14ac:dyDescent="0.15">
      <c r="A11" s="55">
        <v>41012</v>
      </c>
      <c r="B11" s="78">
        <v>1</v>
      </c>
      <c r="C11" s="68" t="str">
        <f t="shared" si="0"/>
        <v>41012_1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78">
        <v>10</v>
      </c>
      <c r="F11" s="55" t="s">
        <v>408</v>
      </c>
      <c r="G11" s="55">
        <v>350</v>
      </c>
      <c r="H11" s="55">
        <v>1</v>
      </c>
      <c r="I11" s="55">
        <v>1</v>
      </c>
      <c r="J11" s="55">
        <v>1</v>
      </c>
      <c r="K11" s="55">
        <v>0</v>
      </c>
      <c r="L11" s="55">
        <v>0</v>
      </c>
      <c r="M11" s="55">
        <v>0</v>
      </c>
      <c r="N11" s="55">
        <v>0</v>
      </c>
      <c r="O11" s="55">
        <v>1</v>
      </c>
      <c r="P11" s="55">
        <v>150</v>
      </c>
      <c r="Q11" s="55" t="s">
        <v>168</v>
      </c>
      <c r="R11" s="55" t="s">
        <v>169</v>
      </c>
    </row>
    <row r="12" spans="1:18" x14ac:dyDescent="0.15">
      <c r="A12" s="55">
        <v>41012</v>
      </c>
      <c r="B12" s="78">
        <v>2</v>
      </c>
      <c r="C12" s="68" t="str">
        <f t="shared" si="0"/>
        <v>41012_2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78">
        <v>1</v>
      </c>
      <c r="F12" s="55" t="s">
        <v>408</v>
      </c>
      <c r="G12" s="55">
        <v>338</v>
      </c>
      <c r="H12" s="55">
        <v>1</v>
      </c>
      <c r="I12" s="55">
        <v>1</v>
      </c>
      <c r="J12" s="55">
        <v>1</v>
      </c>
      <c r="K12" s="55">
        <v>0</v>
      </c>
      <c r="L12" s="55">
        <v>0</v>
      </c>
      <c r="M12" s="55">
        <v>0</v>
      </c>
      <c r="N12" s="55">
        <v>0</v>
      </c>
      <c r="O12" s="55">
        <v>1</v>
      </c>
      <c r="P12" s="55">
        <v>50</v>
      </c>
      <c r="Q12" s="55" t="s">
        <v>168</v>
      </c>
      <c r="R12" s="55" t="s">
        <v>169</v>
      </c>
    </row>
    <row r="13" spans="1:18" x14ac:dyDescent="0.15">
      <c r="A13" s="55">
        <v>41012</v>
      </c>
      <c r="B13" s="78">
        <v>2</v>
      </c>
      <c r="C13" s="68" t="str">
        <f t="shared" si="0"/>
        <v>41012_2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8">
        <v>2</v>
      </c>
      <c r="F13" s="55" t="s">
        <v>408</v>
      </c>
      <c r="G13" s="55">
        <v>607</v>
      </c>
      <c r="H13" s="55">
        <v>1</v>
      </c>
      <c r="I13" s="55">
        <v>1</v>
      </c>
      <c r="J13" s="55">
        <v>1</v>
      </c>
      <c r="K13" s="55">
        <v>0</v>
      </c>
      <c r="L13" s="55">
        <v>0</v>
      </c>
      <c r="M13" s="55">
        <v>0</v>
      </c>
      <c r="N13" s="55">
        <v>0</v>
      </c>
      <c r="O13" s="55">
        <v>1</v>
      </c>
      <c r="P13" s="55">
        <v>100</v>
      </c>
      <c r="Q13" s="55" t="s">
        <v>168</v>
      </c>
      <c r="R13" s="55" t="s">
        <v>169</v>
      </c>
    </row>
    <row r="14" spans="1:18" x14ac:dyDescent="0.15">
      <c r="A14" s="55">
        <v>41012</v>
      </c>
      <c r="B14" s="78">
        <v>2</v>
      </c>
      <c r="C14" s="68" t="str">
        <f t="shared" si="0"/>
        <v>41012_2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8">
        <v>3</v>
      </c>
      <c r="F14" s="55" t="s">
        <v>408</v>
      </c>
      <c r="G14" s="55">
        <v>608</v>
      </c>
      <c r="H14" s="55">
        <v>1</v>
      </c>
      <c r="I14" s="55">
        <v>1</v>
      </c>
      <c r="J14" s="55">
        <v>1</v>
      </c>
      <c r="K14" s="55">
        <v>0</v>
      </c>
      <c r="L14" s="55">
        <v>0</v>
      </c>
      <c r="M14" s="55">
        <v>0</v>
      </c>
      <c r="N14" s="55">
        <v>0</v>
      </c>
      <c r="O14" s="55">
        <v>1</v>
      </c>
      <c r="P14" s="55">
        <v>100</v>
      </c>
      <c r="Q14" s="55" t="s">
        <v>168</v>
      </c>
      <c r="R14" s="55" t="s">
        <v>169</v>
      </c>
    </row>
    <row r="15" spans="1:18" x14ac:dyDescent="0.15">
      <c r="A15" s="55">
        <v>41012</v>
      </c>
      <c r="B15" s="78">
        <v>2</v>
      </c>
      <c r="C15" s="68" t="str">
        <f t="shared" si="0"/>
        <v>41012_2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8">
        <v>4</v>
      </c>
      <c r="F15" s="55" t="s">
        <v>408</v>
      </c>
      <c r="G15" s="55">
        <v>609</v>
      </c>
      <c r="H15" s="55">
        <v>1</v>
      </c>
      <c r="I15" s="55">
        <v>1</v>
      </c>
      <c r="J15" s="55">
        <v>1</v>
      </c>
      <c r="K15" s="55">
        <v>0</v>
      </c>
      <c r="L15" s="55">
        <v>0</v>
      </c>
      <c r="M15" s="55">
        <v>0</v>
      </c>
      <c r="N15" s="55">
        <v>0</v>
      </c>
      <c r="O15" s="55">
        <v>1</v>
      </c>
      <c r="P15" s="55">
        <v>100</v>
      </c>
      <c r="Q15" s="55" t="s">
        <v>168</v>
      </c>
      <c r="R15" s="55" t="s">
        <v>169</v>
      </c>
    </row>
    <row r="16" spans="1:18" x14ac:dyDescent="0.15">
      <c r="A16" s="55">
        <v>41012</v>
      </c>
      <c r="B16" s="78">
        <v>2</v>
      </c>
      <c r="C16" s="68" t="str">
        <f t="shared" si="0"/>
        <v>41012_2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8">
        <v>5</v>
      </c>
      <c r="F16" s="55" t="s">
        <v>408</v>
      </c>
      <c r="G16" s="55">
        <v>125</v>
      </c>
      <c r="H16" s="55">
        <v>1</v>
      </c>
      <c r="I16" s="55">
        <v>1</v>
      </c>
      <c r="J16" s="55">
        <v>1</v>
      </c>
      <c r="K16" s="55">
        <v>0</v>
      </c>
      <c r="L16" s="55">
        <v>0</v>
      </c>
      <c r="M16" s="55">
        <v>0</v>
      </c>
      <c r="N16" s="55">
        <v>0</v>
      </c>
      <c r="O16" s="55">
        <v>1</v>
      </c>
      <c r="P16" s="55">
        <v>30</v>
      </c>
      <c r="Q16" s="55" t="s">
        <v>168</v>
      </c>
      <c r="R16" s="55" t="s">
        <v>169</v>
      </c>
    </row>
    <row r="17" spans="1:18" x14ac:dyDescent="0.15">
      <c r="A17" s="55">
        <v>41012</v>
      </c>
      <c r="B17" s="78">
        <v>2</v>
      </c>
      <c r="C17" s="68" t="str">
        <f t="shared" si="0"/>
        <v>41012_2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8">
        <v>6</v>
      </c>
      <c r="F17" s="55" t="s">
        <v>408</v>
      </c>
      <c r="G17" s="55">
        <v>644</v>
      </c>
      <c r="H17" s="55">
        <v>1</v>
      </c>
      <c r="I17" s="55">
        <v>1</v>
      </c>
      <c r="J17" s="55">
        <v>1</v>
      </c>
      <c r="K17" s="55">
        <v>0</v>
      </c>
      <c r="L17" s="55">
        <v>0</v>
      </c>
      <c r="M17" s="55">
        <v>0</v>
      </c>
      <c r="N17" s="55">
        <v>0</v>
      </c>
      <c r="O17" s="55">
        <v>1</v>
      </c>
      <c r="P17" s="55">
        <v>500</v>
      </c>
      <c r="Q17" s="55" t="s">
        <v>168</v>
      </c>
      <c r="R17" s="55" t="s">
        <v>169</v>
      </c>
    </row>
    <row r="18" spans="1:18" x14ac:dyDescent="0.15">
      <c r="A18" s="55">
        <v>41012</v>
      </c>
      <c r="B18" s="78">
        <v>2</v>
      </c>
      <c r="C18" s="68" t="str">
        <f t="shared" si="0"/>
        <v>41012_2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8">
        <v>7</v>
      </c>
      <c r="F18" s="55" t="s">
        <v>408</v>
      </c>
      <c r="G18" s="55">
        <v>350</v>
      </c>
      <c r="H18" s="55">
        <v>1</v>
      </c>
      <c r="I18" s="55">
        <v>1</v>
      </c>
      <c r="J18" s="55">
        <v>1</v>
      </c>
      <c r="K18" s="55">
        <v>0</v>
      </c>
      <c r="L18" s="55">
        <v>0</v>
      </c>
      <c r="M18" s="55">
        <v>0</v>
      </c>
      <c r="N18" s="55">
        <v>0</v>
      </c>
      <c r="O18" s="55">
        <v>1</v>
      </c>
      <c r="P18" s="55">
        <v>120</v>
      </c>
      <c r="Q18" s="55" t="s">
        <v>168</v>
      </c>
      <c r="R18" s="55" t="s">
        <v>169</v>
      </c>
    </row>
    <row r="19" spans="1:18" x14ac:dyDescent="0.15">
      <c r="A19" s="124"/>
    </row>
    <row r="20" spans="1:18" x14ac:dyDescent="0.15">
      <c r="A20" s="124"/>
    </row>
    <row r="21" spans="1:18" x14ac:dyDescent="0.15">
      <c r="A21" s="124"/>
    </row>
    <row r="22" spans="1:18" x14ac:dyDescent="0.15">
      <c r="A22" s="124"/>
    </row>
    <row r="23" spans="1:18" x14ac:dyDescent="0.15">
      <c r="A23" s="124"/>
    </row>
    <row r="24" spans="1:18" x14ac:dyDescent="0.15">
      <c r="A24" s="124"/>
    </row>
    <row r="25" spans="1:18" x14ac:dyDescent="0.15">
      <c r="A25" s="124"/>
    </row>
    <row r="26" spans="1:18" x14ac:dyDescent="0.15">
      <c r="A26" s="124"/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E30" sqref="E30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186</v>
      </c>
      <c r="B1" s="70" t="s">
        <v>187</v>
      </c>
      <c r="C1" s="74" t="s">
        <v>188</v>
      </c>
      <c r="D1" s="74" t="s">
        <v>33</v>
      </c>
      <c r="E1" s="70" t="s">
        <v>189</v>
      </c>
      <c r="F1" s="74" t="s">
        <v>190</v>
      </c>
      <c r="G1" s="74" t="s">
        <v>33</v>
      </c>
      <c r="H1" s="70" t="s">
        <v>191</v>
      </c>
      <c r="I1" s="88" t="s">
        <v>193</v>
      </c>
      <c r="J1" s="76" t="s">
        <v>124</v>
      </c>
      <c r="K1" s="75" t="s">
        <v>185</v>
      </c>
      <c r="L1" s="89" t="s">
        <v>184</v>
      </c>
      <c r="M1" s="77" t="s">
        <v>194</v>
      </c>
    </row>
    <row r="2" spans="1:13" x14ac:dyDescent="0.15">
      <c r="A2" s="78" t="s">
        <v>198</v>
      </c>
      <c r="B2" s="79">
        <f>floors!$C$2</f>
        <v>41012</v>
      </c>
      <c r="C2" s="80" t="str">
        <f ca="1">VLOOKUP($B2,OFFSET([2]quests!$A$1,0,0,COUNTA([2]quests!$A:$A),MATCH(C$1,[2]quests!$1:$1,0)-MATCH($B$1,[2]quests!$1:$1,0)+1),MATCH(C$1,[2]quests!$1:$1,0)-MATCH($B$1,[2]quests!$1:$1,0)+1,FALSE)</f>
        <v>ショウキ襲来！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降臨1</v>
      </c>
      <c r="E2" s="84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【超絶級】ショウキ襲来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2">
        <v>0</v>
      </c>
      <c r="I2">
        <v>12</v>
      </c>
      <c r="J2" s="81" t="s">
        <v>196</v>
      </c>
      <c r="K2" s="90" t="str">
        <f>VLOOKUP(I2,[7]stage_hints!$A:$C,3,FALSE)</f>
        <v>ユニットのお気に入り登録</v>
      </c>
      <c r="L2" s="91" t="str">
        <f>VLOOKUP(I2,[7]stage_hints!$A:$D,4,FALSE)</f>
        <v>大事なユニットを誤って消さないように_x000D_フォルダから「お気に入り登録」しましょう</v>
      </c>
      <c r="M2" s="55" t="s">
        <v>208</v>
      </c>
    </row>
    <row r="3" spans="1:13" x14ac:dyDescent="0.15">
      <c r="A3" s="78" t="s">
        <v>198</v>
      </c>
      <c r="B3" s="79">
        <f>floors!$C$2</f>
        <v>41012</v>
      </c>
      <c r="C3" s="80" t="str">
        <f ca="1">VLOOKUP($B3,OFFSET([2]quests!$A$1,0,0,COUNTA([2]quests!$A:$A),MATCH(C$1,[2]quests!$1:$1,0)-MATCH($B$1,[2]quests!$1:$1,0)+1),MATCH(C$1,[2]quests!$1:$1,0)-MATCH($B$1,[2]quests!$1:$1,0)+1,FALSE)</f>
        <v>ショウキ襲来！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降臨1</v>
      </c>
      <c r="E3" s="84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【超絶級】ショウキ襲来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2">
        <v>0</v>
      </c>
      <c r="I3">
        <v>17</v>
      </c>
      <c r="J3" s="81" t="s">
        <v>196</v>
      </c>
      <c r="K3" s="90" t="str">
        <f>VLOOKUP(I3,[7]stage_hints!$A:$C,3,FALSE)</f>
        <v>リンクガチャ</v>
      </c>
      <c r="L3" s="91" t="str">
        <f>VLOOKUP(I3,[7]stage_hints!$A:$D,4,FALSE)</f>
        <v>無料のリンクガチャを回して_x000D_経験値素材や売却素材を獲得しましょう</v>
      </c>
      <c r="M3" s="55" t="s">
        <v>208</v>
      </c>
    </row>
    <row r="4" spans="1:13" x14ac:dyDescent="0.15">
      <c r="A4" s="78" t="s">
        <v>198</v>
      </c>
      <c r="B4" s="79">
        <f>floors!$C$2</f>
        <v>41012</v>
      </c>
      <c r="C4" s="80" t="str">
        <f ca="1">VLOOKUP($B4,OFFSET([2]quests!$A$1,0,0,COUNTA([2]quests!$A:$A),MATCH(C$1,[2]quests!$1:$1,0)-MATCH($B$1,[2]quests!$1:$1,0)+1),MATCH(C$1,[2]quests!$1:$1,0)-MATCH($B$1,[2]quests!$1:$1,0)+1,FALSE)</f>
        <v>ショウキ襲来！</v>
      </c>
      <c r="D4" s="80" t="str">
        <f ca="1">VLOOKUP($B4,OFFSET([2]quests!$A$1,0,0,COUNTA([2]quests!$A:$A),MATCH(D$1,[2]quests!$1:$1,0)-MATCH($B$1,[2]quests!$1:$1,0)+1),MATCH(D$1,[2]quests!$1:$1,0)-MATCH($B$1,[2]quests!$1:$1,0)+1,FALSE)</f>
        <v>降臨1</v>
      </c>
      <c r="E4" s="84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【超絶級】ショウキ襲来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2">
        <v>0</v>
      </c>
      <c r="I4">
        <v>19</v>
      </c>
      <c r="J4" s="81" t="s">
        <v>196</v>
      </c>
      <c r="K4" s="90" t="str">
        <f>VLOOKUP(I4,[7]stage_hints!$A:$C,3,FALSE)</f>
        <v>ソロ専用タワーオブザクイーン</v>
      </c>
      <c r="L4" s="91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55" t="s">
        <v>208</v>
      </c>
    </row>
    <row r="5" spans="1:13" x14ac:dyDescent="0.15">
      <c r="A5" s="78" t="s">
        <v>198</v>
      </c>
      <c r="B5" s="79">
        <f>floors!$C$2</f>
        <v>41012</v>
      </c>
      <c r="C5" s="80" t="str">
        <f ca="1">VLOOKUP($B5,OFFSET([2]quests!$A$1,0,0,COUNTA([2]quests!$A:$A),MATCH(C$1,[2]quests!$1:$1,0)-MATCH($B$1,[2]quests!$1:$1,0)+1),MATCH(C$1,[2]quests!$1:$1,0)-MATCH($B$1,[2]quests!$1:$1,0)+1,FALSE)</f>
        <v>ショウキ襲来！</v>
      </c>
      <c r="D5" s="80" t="str">
        <f ca="1">VLOOKUP($B5,OFFSET([2]quests!$A$1,0,0,COUNTA([2]quests!$A:$A),MATCH(D$1,[2]quests!$1:$1,0)-MATCH($B$1,[2]quests!$1:$1,0)+1),MATCH(D$1,[2]quests!$1:$1,0)-MATCH($B$1,[2]quests!$1:$1,0)+1,FALSE)</f>
        <v>降臨1</v>
      </c>
      <c r="E5" s="84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【超絶級】ショウキ襲来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2">
        <v>0</v>
      </c>
      <c r="I5">
        <v>21</v>
      </c>
      <c r="J5" s="81" t="s">
        <v>196</v>
      </c>
      <c r="K5" s="90" t="str">
        <f>VLOOKUP(I5,[7]stage_hints!$A:$C,3,FALSE)</f>
        <v>スキルを有効に</v>
      </c>
      <c r="L5" s="91" t="str">
        <f>VLOOKUP(I5,[7]stage_hints!$A:$D,4,FALSE)</f>
        <v>ターン経過でユニットのスキルが使えます_x000D_強力スキルでバトルを有利に進めましょう</v>
      </c>
      <c r="M5" s="55" t="s">
        <v>208</v>
      </c>
    </row>
    <row r="6" spans="1:13" x14ac:dyDescent="0.15">
      <c r="A6" s="78" t="s">
        <v>198</v>
      </c>
      <c r="B6" s="79">
        <f>floors!$C$2</f>
        <v>41012</v>
      </c>
      <c r="C6" s="80" t="str">
        <f ca="1">VLOOKUP($B6,OFFSET([2]quests!$A$1,0,0,COUNTA([2]quests!$A:$A),MATCH(C$1,[2]quests!$1:$1,0)-MATCH($B$1,[2]quests!$1:$1,0)+1),MATCH(C$1,[2]quests!$1:$1,0)-MATCH($B$1,[2]quests!$1:$1,0)+1,FALSE)</f>
        <v>ショウキ襲来！</v>
      </c>
      <c r="D6" s="80" t="str">
        <f ca="1">VLOOKUP($B6,OFFSET([2]quests!$A$1,0,0,COUNTA([2]quests!$A:$A),MATCH(D$1,[2]quests!$1:$1,0)-MATCH($B$1,[2]quests!$1:$1,0)+1),MATCH(D$1,[2]quests!$1:$1,0)-MATCH($B$1,[2]quests!$1:$1,0)+1,FALSE)</f>
        <v>降臨1</v>
      </c>
      <c r="E6" s="84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【超絶級】ショウキ襲来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2">
        <v>0</v>
      </c>
      <c r="I6">
        <v>29</v>
      </c>
      <c r="J6" s="81" t="s">
        <v>196</v>
      </c>
      <c r="K6" s="90" t="str">
        <f>VLOOKUP(I6,[7]stage_hints!$A:$C,3,FALSE)</f>
        <v>「バグ」のメリット</v>
      </c>
      <c r="L6" s="91" t="str">
        <f>VLOOKUP(I6,[7]stage_hints!$A:$D,4,FALSE)</f>
        <v>ユニットの「バグ」を増やすと_x000D_報酬をもらえる確率がアップします</v>
      </c>
      <c r="M6" s="55" t="s">
        <v>208</v>
      </c>
    </row>
    <row r="7" spans="1:13" x14ac:dyDescent="0.15">
      <c r="A7" s="78" t="s">
        <v>198</v>
      </c>
      <c r="B7" s="79">
        <f>floors!$C$2</f>
        <v>41012</v>
      </c>
      <c r="C7" s="80" t="str">
        <f ca="1">VLOOKUP($B7,OFFSET([2]quests!$A$1,0,0,COUNTA([2]quests!$A:$A),MATCH(C$1,[2]quests!$1:$1,0)-MATCH($B$1,[2]quests!$1:$1,0)+1),MATCH(C$1,[2]quests!$1:$1,0)-MATCH($B$1,[2]quests!$1:$1,0)+1,FALSE)</f>
        <v>ショウキ襲来！</v>
      </c>
      <c r="D7" s="80" t="str">
        <f ca="1">VLOOKUP($B7,OFFSET([2]quests!$A$1,0,0,COUNTA([2]quests!$A:$A),MATCH(D$1,[2]quests!$1:$1,0)-MATCH($B$1,[2]quests!$1:$1,0)+1),MATCH(D$1,[2]quests!$1:$1,0)-MATCH($B$1,[2]quests!$1:$1,0)+1,FALSE)</f>
        <v>降臨1</v>
      </c>
      <c r="E7" s="84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【超絶級】ショウキ襲来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2">
        <v>0</v>
      </c>
      <c r="I7">
        <v>30</v>
      </c>
      <c r="J7" s="81" t="s">
        <v>196</v>
      </c>
      <c r="K7" s="90" t="str">
        <f>VLOOKUP(I7,[7]stage_hints!$A:$C,3,FALSE)</f>
        <v>「バグ」の増やし方</v>
      </c>
      <c r="L7" s="91" t="str">
        <f>VLOOKUP(I7,[7]stage_hints!$A:$D,4,FALSE)</f>
        <v>同じユニット同士を強化で合成すると_x000D_「バグ」を増やすことができます</v>
      </c>
      <c r="M7" s="55" t="s">
        <v>208</v>
      </c>
    </row>
    <row r="8" spans="1:13" x14ac:dyDescent="0.15">
      <c r="A8" s="78" t="s">
        <v>198</v>
      </c>
      <c r="B8" s="79">
        <f>floors!$C$2</f>
        <v>41012</v>
      </c>
      <c r="C8" s="80" t="str">
        <f ca="1">VLOOKUP($B8,OFFSET([2]quests!$A$1,0,0,COUNTA([2]quests!$A:$A),MATCH(C$1,[2]quests!$1:$1,0)-MATCH($B$1,[2]quests!$1:$1,0)+1),MATCH(C$1,[2]quests!$1:$1,0)-MATCH($B$1,[2]quests!$1:$1,0)+1,FALSE)</f>
        <v>ショウキ襲来！</v>
      </c>
      <c r="D8" s="80" t="str">
        <f ca="1">VLOOKUP($B8,OFFSET([2]quests!$A$1,0,0,COUNTA([2]quests!$A:$A),MATCH(D$1,[2]quests!$1:$1,0)-MATCH($B$1,[2]quests!$1:$1,0)+1),MATCH(D$1,[2]quests!$1:$1,0)-MATCH($B$1,[2]quests!$1:$1,0)+1,FALSE)</f>
        <v>降臨1</v>
      </c>
      <c r="E8" s="84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【超絶級】ショウキ襲来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2">
        <v>0</v>
      </c>
      <c r="I8">
        <v>32</v>
      </c>
      <c r="J8" s="81" t="s">
        <v>196</v>
      </c>
      <c r="K8" s="90" t="str">
        <f>VLOOKUP(I8,[7]stage_hints!$A:$C,3,FALSE)</f>
        <v>敵の連続攻撃には</v>
      </c>
      <c r="L8" s="91" t="str">
        <f>VLOOKUP(I8,[7]stage_hints!$A:$D,4,FALSE)</f>
        <v>カウンタースキルを持つユニットがいれば_x000D_ダメージ回数分の反撃ができます</v>
      </c>
      <c r="M8" s="55" t="s">
        <v>208</v>
      </c>
    </row>
    <row r="9" spans="1:13" x14ac:dyDescent="0.15">
      <c r="A9" s="78" t="s">
        <v>198</v>
      </c>
      <c r="B9" s="79">
        <f>floors!$C$2</f>
        <v>41012</v>
      </c>
      <c r="C9" s="80" t="str">
        <f ca="1">VLOOKUP($B9,OFFSET([2]quests!$A$1,0,0,COUNTA([2]quests!$A:$A),MATCH(C$1,[2]quests!$1:$1,0)-MATCH($B$1,[2]quests!$1:$1,0)+1),MATCH(C$1,[2]quests!$1:$1,0)-MATCH($B$1,[2]quests!$1:$1,0)+1,FALSE)</f>
        <v>ショウキ襲来！</v>
      </c>
      <c r="D9" s="80" t="str">
        <f ca="1">VLOOKUP($B9,OFFSET([2]quests!$A$1,0,0,COUNTA([2]quests!$A:$A),MATCH(D$1,[2]quests!$1:$1,0)-MATCH($B$1,[2]quests!$1:$1,0)+1),MATCH(D$1,[2]quests!$1:$1,0)-MATCH($B$1,[2]quests!$1:$1,0)+1,FALSE)</f>
        <v>降臨1</v>
      </c>
      <c r="E9" s="84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【超絶級】ショウキ襲来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2">
        <v>0</v>
      </c>
      <c r="I9">
        <v>33</v>
      </c>
      <c r="J9" s="81" t="s">
        <v>196</v>
      </c>
      <c r="K9" s="90" t="str">
        <f>VLOOKUP(I9,[7]stage_hints!$A:$C,3,FALSE)</f>
        <v>敵のカウンター攻撃には</v>
      </c>
      <c r="L9" s="91" t="str">
        <f>VLOOKUP(I9,[7]stage_hints!$A:$D,4,FALSE)</f>
        <v>カウンターブレイクスキルを持っていれば_x000D_敵のカウンターを解除して攻撃ができます</v>
      </c>
      <c r="M9" s="55" t="s">
        <v>208</v>
      </c>
    </row>
    <row r="10" spans="1:13" x14ac:dyDescent="0.15">
      <c r="A10" s="78" t="s">
        <v>198</v>
      </c>
      <c r="B10" s="79">
        <f>floors!$C$2</f>
        <v>41012</v>
      </c>
      <c r="C10" s="80" t="str">
        <f ca="1">VLOOKUP($B10,OFFSET([2]quests!$A$1,0,0,COUNTA([2]quests!$A:$A),MATCH(C$1,[2]quests!$1:$1,0)-MATCH($B$1,[2]quests!$1:$1,0)+1),MATCH(C$1,[2]quests!$1:$1,0)-MATCH($B$1,[2]quests!$1:$1,0)+1,FALSE)</f>
        <v>ショウキ襲来！</v>
      </c>
      <c r="D10" s="80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4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【超絶級】ショウキ襲来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2">
        <v>0</v>
      </c>
      <c r="I10">
        <v>34</v>
      </c>
      <c r="J10" s="81" t="s">
        <v>196</v>
      </c>
      <c r="K10" s="90" t="str">
        <f>VLOOKUP(I10,[7]stage_hints!$A:$C,3,FALSE)</f>
        <v>ステータスをスキルで下げられたら</v>
      </c>
      <c r="L10" s="91" t="str">
        <f>VLOOKUP(I10,[7]stage_hints!$A:$D,4,FALSE)</f>
        <v>ステータスダウンのスキルを受けたら_x000D_ステータスアップスキルで上書きしましょう</v>
      </c>
      <c r="M10" s="55" t="s">
        <v>208</v>
      </c>
    </row>
    <row r="11" spans="1:13" x14ac:dyDescent="0.15">
      <c r="A11" s="78" t="s">
        <v>198</v>
      </c>
      <c r="B11" s="79">
        <f>floors!$C$2</f>
        <v>41012</v>
      </c>
      <c r="C11" s="80" t="str">
        <f ca="1">VLOOKUP($B11,OFFSET([2]quests!$A$1,0,0,COUNTA([2]quests!$A:$A),MATCH(C$1,[2]quests!$1:$1,0)-MATCH($B$1,[2]quests!$1:$1,0)+1),MATCH(C$1,[2]quests!$1:$1,0)-MATCH($B$1,[2]quests!$1:$1,0)+1,FALSE)</f>
        <v>ショウキ襲来！</v>
      </c>
      <c r="D11" s="80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4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【超絶級】ショウキ襲来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2">
        <v>0</v>
      </c>
      <c r="I11">
        <v>35</v>
      </c>
      <c r="J11" s="81" t="s">
        <v>196</v>
      </c>
      <c r="K11" s="90" t="str">
        <f>VLOOKUP(I11,[7]stage_hints!$A:$C,3,FALSE)</f>
        <v>敵のステータスがスキルで上がったら</v>
      </c>
      <c r="L11" s="91" t="str">
        <f>VLOOKUP(I11,[7]stage_hints!$A:$D,4,FALSE)</f>
        <v>敵のステータスがスキルでアップしたときは_x000D_ステータスダウンスキルで上書きしましょう</v>
      </c>
      <c r="M11" s="55" t="s">
        <v>208</v>
      </c>
    </row>
    <row r="12" spans="1:13" x14ac:dyDescent="0.15">
      <c r="A12" s="78" t="s">
        <v>198</v>
      </c>
      <c r="B12" s="79">
        <f>floors!$C$2</f>
        <v>41012</v>
      </c>
      <c r="C12" s="80" t="str">
        <f ca="1">VLOOKUP($B12,OFFSET([2]quests!$A$1,0,0,COUNTA([2]quests!$A:$A),MATCH(C$1,[2]quests!$1:$1,0)-MATCH($B$1,[2]quests!$1:$1,0)+1),MATCH(C$1,[2]quests!$1:$1,0)-MATCH($B$1,[2]quests!$1:$1,0)+1,FALSE)</f>
        <v>ショウキ襲来！</v>
      </c>
      <c r="D12" s="80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4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【超絶級】ショウキ襲来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2">
        <v>0</v>
      </c>
      <c r="I12">
        <v>36</v>
      </c>
      <c r="J12" s="81" t="s">
        <v>196</v>
      </c>
      <c r="K12" s="90" t="str">
        <f>VLOOKUP(I12,[7]stage_hints!$A:$C,3,FALSE)</f>
        <v>タワーオブザクイーンのボス</v>
      </c>
      <c r="L12" s="91" t="str">
        <f>VLOOKUP(I12,[7]stage_hints!$A:$D,4,FALSE)</f>
        <v>「タワーオブザクイーン」最上階のボスは_x000D_15階の初回クリア報酬で獲得できるほか_x000D_その階にて低確率でドロップもします</v>
      </c>
      <c r="M12" s="55" t="s">
        <v>208</v>
      </c>
    </row>
    <row r="13" spans="1:13" x14ac:dyDescent="0.15">
      <c r="A13" s="78" t="s">
        <v>198</v>
      </c>
      <c r="B13" s="79">
        <f>floors!$C$2</f>
        <v>41012</v>
      </c>
      <c r="C13" s="80" t="str">
        <f ca="1">VLOOKUP($B13,OFFSET([2]quests!$A$1,0,0,COUNTA([2]quests!$A:$A),MATCH(C$1,[2]quests!$1:$1,0)-MATCH($B$1,[2]quests!$1:$1,0)+1),MATCH(C$1,[2]quests!$1:$1,0)-MATCH($B$1,[2]quests!$1:$1,0)+1,FALSE)</f>
        <v>ショウキ襲来！</v>
      </c>
      <c r="D13" s="80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4">
        <v>1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【超絶級】ショウキ襲来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2">
        <v>0</v>
      </c>
      <c r="I13">
        <v>37</v>
      </c>
      <c r="J13" s="81" t="s">
        <v>196</v>
      </c>
      <c r="K13" s="90" t="str">
        <f>VLOOKUP(I13,[7]stage_hints!$A:$C,3,FALSE)</f>
        <v>限界突破値の引き継ぎ</v>
      </c>
      <c r="L13" s="91" t="str">
        <f>VLOOKUP(I13,[7]stage_hints!$A:$D,4,FALSE)</f>
        <v>同じユニットを強化で合成すると_x000D_限界突破値を引き継げます（覚醒前後も可）</v>
      </c>
      <c r="M13" s="55" t="s">
        <v>208</v>
      </c>
    </row>
    <row r="14" spans="1:13" x14ac:dyDescent="0.15">
      <c r="A14" s="78" t="s">
        <v>198</v>
      </c>
      <c r="B14" s="79">
        <f>floors!$C$2</f>
        <v>41012</v>
      </c>
      <c r="C14" s="80" t="str">
        <f ca="1">VLOOKUP($B14,OFFSET([2]quests!$A$1,0,0,COUNTA([2]quests!$A:$A),MATCH(C$1,[2]quests!$1:$1,0)-MATCH($B$1,[2]quests!$1:$1,0)+1),MATCH(C$1,[2]quests!$1:$1,0)-MATCH($B$1,[2]quests!$1:$1,0)+1,FALSE)</f>
        <v>ショウキ襲来！</v>
      </c>
      <c r="D14" s="80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4">
        <v>1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【超絶級】ショウキ襲来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2">
        <v>0</v>
      </c>
      <c r="I14">
        <v>39</v>
      </c>
      <c r="J14" s="81" t="s">
        <v>196</v>
      </c>
      <c r="K14" s="90" t="str">
        <f>VLOOKUP(I14,[7]stage_hints!$A:$C,3,FALSE)</f>
        <v>システム適合者を確認</v>
      </c>
      <c r="L14" s="91" t="str">
        <f>VLOOKUP(I14,[7]stage_hints!$A:$D,4,FALSE)</f>
        <v>ALICEが 「アナタ」を呼んでいます</v>
      </c>
      <c r="M14" s="55" t="s">
        <v>208</v>
      </c>
    </row>
    <row r="15" spans="1:13" x14ac:dyDescent="0.15">
      <c r="A15" s="78" t="s">
        <v>198</v>
      </c>
      <c r="B15" s="79">
        <f>floors!$C$2</f>
        <v>41012</v>
      </c>
      <c r="C15" s="80" t="str">
        <f ca="1">VLOOKUP($B15,OFFSET([2]quests!$A$1,0,0,COUNTA([2]quests!$A:$A),MATCH(C$1,[2]quests!$1:$1,0)-MATCH($B$1,[2]quests!$1:$1,0)+1),MATCH(C$1,[2]quests!$1:$1,0)-MATCH($B$1,[2]quests!$1:$1,0)+1,FALSE)</f>
        <v>ショウキ襲来！</v>
      </c>
      <c r="D15" s="80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4">
        <v>2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2">
        <v>0</v>
      </c>
      <c r="I15">
        <v>12</v>
      </c>
      <c r="J15" s="81" t="s">
        <v>196</v>
      </c>
      <c r="K15" s="90" t="str">
        <f>VLOOKUP(I15,[7]stage_hints!$A:$C,3,FALSE)</f>
        <v>ユニットのお気に入り登録</v>
      </c>
      <c r="L15" s="91" t="str">
        <f>VLOOKUP(I15,[7]stage_hints!$A:$D,4,FALSE)</f>
        <v>大事なユニットを誤って消さないように_x000D_フォルダから「お気に入り登録」しましょう</v>
      </c>
      <c r="M15" s="55" t="s">
        <v>208</v>
      </c>
    </row>
    <row r="16" spans="1:13" x14ac:dyDescent="0.15">
      <c r="A16" s="78" t="s">
        <v>198</v>
      </c>
      <c r="B16" s="79">
        <f>floors!$C$2</f>
        <v>41012</v>
      </c>
      <c r="C16" s="80" t="str">
        <f ca="1">VLOOKUP($B16,OFFSET([2]quests!$A$1,0,0,COUNTA([2]quests!$A:$A),MATCH(C$1,[2]quests!$1:$1,0)-MATCH($B$1,[2]quests!$1:$1,0)+1),MATCH(C$1,[2]quests!$1:$1,0)-MATCH($B$1,[2]quests!$1:$1,0)+1,FALSE)</f>
        <v>ショウキ襲来！</v>
      </c>
      <c r="D16" s="80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4">
        <v>2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2">
        <v>0</v>
      </c>
      <c r="I16">
        <v>17</v>
      </c>
      <c r="J16" s="81" t="s">
        <v>196</v>
      </c>
      <c r="K16" s="90" t="str">
        <f>VLOOKUP(I16,[7]stage_hints!$A:$C,3,FALSE)</f>
        <v>リンクガチャ</v>
      </c>
      <c r="L16" s="91" t="str">
        <f>VLOOKUP(I16,[7]stage_hints!$A:$D,4,FALSE)</f>
        <v>無料のリンクガチャを回して_x000D_経験値素材や売却素材を獲得しましょう</v>
      </c>
      <c r="M16" s="55" t="s">
        <v>208</v>
      </c>
    </row>
    <row r="17" spans="1:13" x14ac:dyDescent="0.15">
      <c r="A17" s="78" t="s">
        <v>198</v>
      </c>
      <c r="B17" s="79">
        <f>floors!$C$2</f>
        <v>41012</v>
      </c>
      <c r="C17" s="80" t="str">
        <f ca="1">VLOOKUP($B17,OFFSET([2]quests!$A$1,0,0,COUNTA([2]quests!$A:$A),MATCH(C$1,[2]quests!$1:$1,0)-MATCH($B$1,[2]quests!$1:$1,0)+1),MATCH(C$1,[2]quests!$1:$1,0)-MATCH($B$1,[2]quests!$1:$1,0)+1,FALSE)</f>
        <v>ショウキ襲来！</v>
      </c>
      <c r="D17" s="80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4">
        <v>2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2">
        <v>0</v>
      </c>
      <c r="I17">
        <v>19</v>
      </c>
      <c r="J17" s="81" t="s">
        <v>196</v>
      </c>
      <c r="K17" s="90" t="str">
        <f>VLOOKUP(I17,[7]stage_hints!$A:$C,3,FALSE)</f>
        <v>ソロ専用タワーオブザクイーン</v>
      </c>
      <c r="L17" s="91" t="str">
        <f>VLOOKUP(I17,[7]stage_hints!$A:$D,4,FALSE)</f>
        <v>ソロ専用の「タワーオブザクイーン」は_x000D_期間限定で定期的に開催されます_x000D_ここでしか獲得できない報酬もあるようです</v>
      </c>
      <c r="M17" s="55" t="s">
        <v>208</v>
      </c>
    </row>
    <row r="18" spans="1:13" x14ac:dyDescent="0.15">
      <c r="A18" s="78" t="s">
        <v>198</v>
      </c>
      <c r="B18" s="79">
        <f>floors!$C$2</f>
        <v>41012</v>
      </c>
      <c r="C18" s="80" t="str">
        <f ca="1">VLOOKUP($B18,OFFSET([2]quests!$A$1,0,0,COUNTA([2]quests!$A:$A),MATCH(C$1,[2]quests!$1:$1,0)-MATCH($B$1,[2]quests!$1:$1,0)+1),MATCH(C$1,[2]quests!$1:$1,0)-MATCH($B$1,[2]quests!$1:$1,0)+1,FALSE)</f>
        <v>ショウキ襲来！</v>
      </c>
      <c r="D18" s="80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4">
        <v>2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2">
        <v>0</v>
      </c>
      <c r="I18">
        <v>21</v>
      </c>
      <c r="J18" s="81" t="s">
        <v>196</v>
      </c>
      <c r="K18" s="90" t="str">
        <f>VLOOKUP(I18,[7]stage_hints!$A:$C,3,FALSE)</f>
        <v>スキルを有効に</v>
      </c>
      <c r="L18" s="91" t="str">
        <f>VLOOKUP(I18,[7]stage_hints!$A:$D,4,FALSE)</f>
        <v>ターン経過でユニットのスキルが使えます_x000D_強力スキルでバトルを有利に進めましょう</v>
      </c>
      <c r="M18" s="55" t="s">
        <v>208</v>
      </c>
    </row>
    <row r="19" spans="1:13" x14ac:dyDescent="0.15">
      <c r="A19" s="78" t="s">
        <v>198</v>
      </c>
      <c r="B19" s="79">
        <f>floors!$C$2</f>
        <v>41012</v>
      </c>
      <c r="C19" s="80" t="str">
        <f ca="1">VLOOKUP($B19,OFFSET([2]quests!$A$1,0,0,COUNTA([2]quests!$A:$A),MATCH(C$1,[2]quests!$1:$1,0)-MATCH($B$1,[2]quests!$1:$1,0)+1),MATCH(C$1,[2]quests!$1:$1,0)-MATCH($B$1,[2]quests!$1:$1,0)+1,FALSE)</f>
        <v>ショウキ襲来！</v>
      </c>
      <c r="D19" s="80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4">
        <v>2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2">
        <v>0</v>
      </c>
      <c r="I19">
        <v>29</v>
      </c>
      <c r="J19" s="81" t="s">
        <v>196</v>
      </c>
      <c r="K19" s="90" t="str">
        <f>VLOOKUP(I19,[7]stage_hints!$A:$C,3,FALSE)</f>
        <v>「バグ」のメリット</v>
      </c>
      <c r="L19" s="91" t="str">
        <f>VLOOKUP(I19,[7]stage_hints!$A:$D,4,FALSE)</f>
        <v>ユニットの「バグ」を増やすと_x000D_報酬をもらえる確率がアップします</v>
      </c>
      <c r="M19" s="55" t="s">
        <v>208</v>
      </c>
    </row>
    <row r="20" spans="1:13" x14ac:dyDescent="0.15">
      <c r="A20" s="78" t="s">
        <v>198</v>
      </c>
      <c r="B20" s="79">
        <f>floors!$C$2</f>
        <v>41012</v>
      </c>
      <c r="C20" s="80" t="str">
        <f ca="1">VLOOKUP($B20,OFFSET([2]quests!$A$1,0,0,COUNTA([2]quests!$A:$A),MATCH(C$1,[2]quests!$1:$1,0)-MATCH($B$1,[2]quests!$1:$1,0)+1),MATCH(C$1,[2]quests!$1:$1,0)-MATCH($B$1,[2]quests!$1:$1,0)+1,FALSE)</f>
        <v>ショウキ襲来！</v>
      </c>
      <c r="D20" s="80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4">
        <v>2</v>
      </c>
      <c r="F20" s="80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0" s="80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2">
        <v>0</v>
      </c>
      <c r="I20">
        <v>30</v>
      </c>
      <c r="J20" s="81" t="s">
        <v>196</v>
      </c>
      <c r="K20" s="90" t="str">
        <f>VLOOKUP(I20,[7]stage_hints!$A:$C,3,FALSE)</f>
        <v>「バグ」の増やし方</v>
      </c>
      <c r="L20" s="91" t="str">
        <f>VLOOKUP(I20,[7]stage_hints!$A:$D,4,FALSE)</f>
        <v>同じユニット同士を強化で合成すると_x000D_「バグ」を増やすことができます</v>
      </c>
      <c r="M20" s="55" t="s">
        <v>208</v>
      </c>
    </row>
    <row r="21" spans="1:13" x14ac:dyDescent="0.15">
      <c r="A21" s="78" t="s">
        <v>198</v>
      </c>
      <c r="B21" s="79">
        <f>floors!$C$2</f>
        <v>41012</v>
      </c>
      <c r="C21" s="80" t="str">
        <f ca="1">VLOOKUP($B21,OFFSET([2]quests!$A$1,0,0,COUNTA([2]quests!$A:$A),MATCH(C$1,[2]quests!$1:$1,0)-MATCH($B$1,[2]quests!$1:$1,0)+1),MATCH(C$1,[2]quests!$1:$1,0)-MATCH($B$1,[2]quests!$1:$1,0)+1,FALSE)</f>
        <v>ショウキ襲来！</v>
      </c>
      <c r="D21" s="80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4">
        <v>2</v>
      </c>
      <c r="F21" s="80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1" s="80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2">
        <v>0</v>
      </c>
      <c r="I21">
        <v>32</v>
      </c>
      <c r="J21" s="81" t="s">
        <v>196</v>
      </c>
      <c r="K21" s="90" t="str">
        <f>VLOOKUP(I21,[7]stage_hints!$A:$C,3,FALSE)</f>
        <v>敵の連続攻撃には</v>
      </c>
      <c r="L21" s="91" t="str">
        <f>VLOOKUP(I21,[7]stage_hints!$A:$D,4,FALSE)</f>
        <v>カウンタースキルを持つユニットがいれば_x000D_ダメージ回数分の反撃ができます</v>
      </c>
      <c r="M21" s="55" t="s">
        <v>208</v>
      </c>
    </row>
    <row r="22" spans="1:13" x14ac:dyDescent="0.15">
      <c r="A22" s="78" t="s">
        <v>198</v>
      </c>
      <c r="B22" s="79">
        <f>floors!$C$2</f>
        <v>41012</v>
      </c>
      <c r="C22" s="80" t="str">
        <f ca="1">VLOOKUP($B22,OFFSET([2]quests!$A$1,0,0,COUNTA([2]quests!$A:$A),MATCH(C$1,[2]quests!$1:$1,0)-MATCH($B$1,[2]quests!$1:$1,0)+1),MATCH(C$1,[2]quests!$1:$1,0)-MATCH($B$1,[2]quests!$1:$1,0)+1,FALSE)</f>
        <v>ショウキ襲来！</v>
      </c>
      <c r="D22" s="80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4">
        <v>2</v>
      </c>
      <c r="F22" s="80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2" s="80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2">
        <v>0</v>
      </c>
      <c r="I22">
        <v>33</v>
      </c>
      <c r="J22" s="81" t="s">
        <v>196</v>
      </c>
      <c r="K22" s="90" t="str">
        <f>VLOOKUP(I22,[7]stage_hints!$A:$C,3,FALSE)</f>
        <v>敵のカウンター攻撃には</v>
      </c>
      <c r="L22" s="91" t="str">
        <f>VLOOKUP(I22,[7]stage_hints!$A:$D,4,FALSE)</f>
        <v>カウンターブレイクスキルを持っていれば_x000D_敵のカウンターを解除して攻撃ができます</v>
      </c>
      <c r="M22" s="55" t="s">
        <v>208</v>
      </c>
    </row>
    <row r="23" spans="1:13" x14ac:dyDescent="0.15">
      <c r="A23" s="78" t="s">
        <v>198</v>
      </c>
      <c r="B23" s="79">
        <f>floors!$C$2</f>
        <v>41012</v>
      </c>
      <c r="C23" s="80" t="str">
        <f ca="1">VLOOKUP($B23,OFFSET([2]quests!$A$1,0,0,COUNTA([2]quests!$A:$A),MATCH(C$1,[2]quests!$1:$1,0)-MATCH($B$1,[2]quests!$1:$1,0)+1),MATCH(C$1,[2]quests!$1:$1,0)-MATCH($B$1,[2]quests!$1:$1,0)+1,FALSE)</f>
        <v>ショウキ襲来！</v>
      </c>
      <c r="D23" s="80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4">
        <v>2</v>
      </c>
      <c r="F23" s="80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3" s="80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2">
        <v>0</v>
      </c>
      <c r="I23">
        <v>34</v>
      </c>
      <c r="J23" s="81" t="s">
        <v>196</v>
      </c>
      <c r="K23" s="90" t="str">
        <f>VLOOKUP(I23,[7]stage_hints!$A:$C,3,FALSE)</f>
        <v>ステータスをスキルで下げられたら</v>
      </c>
      <c r="L23" s="91" t="str">
        <f>VLOOKUP(I23,[7]stage_hints!$A:$D,4,FALSE)</f>
        <v>ステータスダウンのスキルを受けたら_x000D_ステータスアップスキルで上書きしましょう</v>
      </c>
      <c r="M23" s="55" t="s">
        <v>208</v>
      </c>
    </row>
    <row r="24" spans="1:13" x14ac:dyDescent="0.15">
      <c r="A24" s="78" t="s">
        <v>198</v>
      </c>
      <c r="B24" s="79">
        <f>floors!$C$2</f>
        <v>41012</v>
      </c>
      <c r="C24" s="80" t="str">
        <f ca="1">VLOOKUP($B24,OFFSET([2]quests!$A$1,0,0,COUNTA([2]quests!$A:$A),MATCH(C$1,[2]quests!$1:$1,0)-MATCH($B$1,[2]quests!$1:$1,0)+1),MATCH(C$1,[2]quests!$1:$1,0)-MATCH($B$1,[2]quests!$1:$1,0)+1,FALSE)</f>
        <v>ショウキ襲来！</v>
      </c>
      <c r="D24" s="80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4">
        <v>2</v>
      </c>
      <c r="F24" s="80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4" s="80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2">
        <v>0</v>
      </c>
      <c r="I24">
        <v>35</v>
      </c>
      <c r="J24" s="81" t="s">
        <v>196</v>
      </c>
      <c r="K24" s="90" t="str">
        <f>VLOOKUP(I24,[7]stage_hints!$A:$C,3,FALSE)</f>
        <v>敵のステータスがスキルで上がったら</v>
      </c>
      <c r="L24" s="91" t="str">
        <f>VLOOKUP(I24,[7]stage_hints!$A:$D,4,FALSE)</f>
        <v>敵のステータスがスキルでアップしたときは_x000D_ステータスダウンスキルで上書きしましょう</v>
      </c>
      <c r="M24" s="55" t="s">
        <v>208</v>
      </c>
    </row>
    <row r="25" spans="1:13" x14ac:dyDescent="0.15">
      <c r="A25" s="78" t="s">
        <v>198</v>
      </c>
      <c r="B25" s="79">
        <f>floors!$C$2</f>
        <v>41012</v>
      </c>
      <c r="C25" s="80" t="str">
        <f ca="1">VLOOKUP($B25,OFFSET([2]quests!$A$1,0,0,COUNTA([2]quests!$A:$A),MATCH(C$1,[2]quests!$1:$1,0)-MATCH($B$1,[2]quests!$1:$1,0)+1),MATCH(C$1,[2]quests!$1:$1,0)-MATCH($B$1,[2]quests!$1:$1,0)+1,FALSE)</f>
        <v>ショウキ襲来！</v>
      </c>
      <c r="D25" s="80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4">
        <v>2</v>
      </c>
      <c r="F25" s="80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5" s="80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2">
        <v>0</v>
      </c>
      <c r="I25">
        <v>36</v>
      </c>
      <c r="J25" s="81" t="s">
        <v>196</v>
      </c>
      <c r="K25" s="90" t="str">
        <f>VLOOKUP(I25,[7]stage_hints!$A:$C,3,FALSE)</f>
        <v>タワーオブザクイーンのボス</v>
      </c>
      <c r="L25" s="91" t="str">
        <f>VLOOKUP(I25,[7]stage_hints!$A:$D,4,FALSE)</f>
        <v>「タワーオブザクイーン」最上階のボスは_x000D_15階の初回クリア報酬で獲得できるほか_x000D_その階にて低確率でドロップもします</v>
      </c>
      <c r="M25" s="55" t="s">
        <v>208</v>
      </c>
    </row>
    <row r="26" spans="1:13" x14ac:dyDescent="0.15">
      <c r="A26" s="78" t="s">
        <v>198</v>
      </c>
      <c r="B26" s="79">
        <f>floors!$C$2</f>
        <v>41012</v>
      </c>
      <c r="C26" s="80" t="str">
        <f ca="1">VLOOKUP($B26,OFFSET([2]quests!$A$1,0,0,COUNTA([2]quests!$A:$A),MATCH(C$1,[2]quests!$1:$1,0)-MATCH($B$1,[2]quests!$1:$1,0)+1),MATCH(C$1,[2]quests!$1:$1,0)-MATCH($B$1,[2]quests!$1:$1,0)+1,FALSE)</f>
        <v>ショウキ襲来！</v>
      </c>
      <c r="D26" s="80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4">
        <v>2</v>
      </c>
      <c r="F26" s="80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6" s="80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2">
        <v>0</v>
      </c>
      <c r="I26">
        <v>37</v>
      </c>
      <c r="J26" s="81" t="s">
        <v>196</v>
      </c>
      <c r="K26" s="90" t="str">
        <f>VLOOKUP(I26,[7]stage_hints!$A:$C,3,FALSE)</f>
        <v>限界突破値の引き継ぎ</v>
      </c>
      <c r="L26" s="91" t="str">
        <f>VLOOKUP(I26,[7]stage_hints!$A:$D,4,FALSE)</f>
        <v>同じユニットを強化で合成すると_x000D_限界突破値を引き継げます（覚醒前後も可）</v>
      </c>
      <c r="M26" s="55" t="s">
        <v>208</v>
      </c>
    </row>
    <row r="27" spans="1:13" x14ac:dyDescent="0.15">
      <c r="A27" s="78" t="s">
        <v>198</v>
      </c>
      <c r="B27" s="79">
        <f>floors!$C$2</f>
        <v>41012</v>
      </c>
      <c r="C27" s="80" t="str">
        <f ca="1">VLOOKUP($B27,OFFSET([2]quests!$A$1,0,0,COUNTA([2]quests!$A:$A),MATCH(C$1,[2]quests!$1:$1,0)-MATCH($B$1,[2]quests!$1:$1,0)+1),MATCH(C$1,[2]quests!$1:$1,0)-MATCH($B$1,[2]quests!$1:$1,0)+1,FALSE)</f>
        <v>ショウキ襲来！</v>
      </c>
      <c r="D27" s="80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84">
        <v>2</v>
      </c>
      <c r="F27" s="80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7" s="80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82">
        <v>0</v>
      </c>
      <c r="I27">
        <v>39</v>
      </c>
      <c r="J27" s="81" t="s">
        <v>196</v>
      </c>
      <c r="K27" s="90" t="str">
        <f>VLOOKUP(I27,[7]stage_hints!$A:$C,3,FALSE)</f>
        <v>システム適合者を確認</v>
      </c>
      <c r="L27" s="91" t="str">
        <f>VLOOKUP(I27,[7]stage_hints!$A:$D,4,FALSE)</f>
        <v>ALICEが 「アナタ」を呼んでいます</v>
      </c>
      <c r="M27" s="55" t="s">
        <v>208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3"/>
  <sheetViews>
    <sheetView showGridLines="0" workbookViewId="0">
      <pane ySplit="1" topLeftCell="A7" activePane="bottomLeft" state="frozen"/>
      <selection pane="bottomLeft" activeCell="E13" sqref="E13:E23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186</v>
      </c>
      <c r="B1" s="70" t="s">
        <v>148</v>
      </c>
      <c r="C1" s="74" t="s">
        <v>188</v>
      </c>
      <c r="D1" s="74" t="s">
        <v>33</v>
      </c>
      <c r="E1" s="70" t="s">
        <v>189</v>
      </c>
      <c r="F1" s="74" t="s">
        <v>18</v>
      </c>
      <c r="G1" s="74" t="s">
        <v>33</v>
      </c>
      <c r="H1" s="70" t="s">
        <v>191</v>
      </c>
      <c r="I1" s="86" t="s">
        <v>192</v>
      </c>
      <c r="J1" s="88" t="s">
        <v>193</v>
      </c>
      <c r="K1" s="76" t="s">
        <v>124</v>
      </c>
      <c r="L1" s="75" t="s">
        <v>185</v>
      </c>
      <c r="M1" s="89" t="s">
        <v>184</v>
      </c>
      <c r="N1" s="77" t="s">
        <v>194</v>
      </c>
    </row>
    <row r="2" spans="1:14" ht="56" x14ac:dyDescent="0.15">
      <c r="A2" s="78" t="s">
        <v>195</v>
      </c>
      <c r="B2" s="79">
        <v>41012</v>
      </c>
      <c r="C2" s="80" t="str">
        <f ca="1">VLOOKUP($B2,OFFSET([2]quests!$A$1,0,0,COUNTA([2]quests!$A:$A),MATCH(C$1,[2]quests!$1:$1,0)-MATCH($B$1,[2]quests!$1:$1,0)+1),MATCH(C$1,[2]quests!$1:$1,0)-MATCH($B$1,[2]quests!$1:$1,0)+1,FALSE)</f>
        <v>ショウキ襲来！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降臨1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【超絶級】ショウキ襲来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2">
        <v>2</v>
      </c>
      <c r="I2" s="87">
        <f t="shared" ref="I2:I23" si="0">ROW()-1</f>
        <v>1</v>
      </c>
      <c r="J2" s="83" t="str">
        <f t="shared" ref="J2:J12" si="1">B2&amp;TEXT(I2,"00")</f>
        <v>4101201</v>
      </c>
      <c r="K2" s="81" t="s">
        <v>397</v>
      </c>
      <c r="L2" s="84" t="s">
        <v>197</v>
      </c>
      <c r="M2" s="123" t="s">
        <v>385</v>
      </c>
      <c r="N2" s="55" t="s">
        <v>398</v>
      </c>
    </row>
    <row r="3" spans="1:14" ht="70" x14ac:dyDescent="0.15">
      <c r="A3" s="78" t="s">
        <v>195</v>
      </c>
      <c r="B3" s="79">
        <v>41012</v>
      </c>
      <c r="C3" s="80" t="str">
        <f ca="1">VLOOKUP($B3,OFFSET([2]quests!$A$1,0,0,COUNTA([2]quests!$A:$A),MATCH(C$1,[2]quests!$1:$1,0)-MATCH($B$1,[2]quests!$1:$1,0)+1),MATCH(C$1,[2]quests!$1:$1,0)-MATCH($B$1,[2]quests!$1:$1,0)+1,FALSE)</f>
        <v>ショウキ襲来！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降臨1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【超絶級】ショウキ襲来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2">
        <v>3</v>
      </c>
      <c r="I3" s="87">
        <f t="shared" si="0"/>
        <v>2</v>
      </c>
      <c r="J3" s="83" t="str">
        <f t="shared" si="1"/>
        <v>4101202</v>
      </c>
      <c r="K3" s="81" t="s">
        <v>384</v>
      </c>
      <c r="L3" s="84" t="s">
        <v>197</v>
      </c>
      <c r="M3" s="123" t="s">
        <v>387</v>
      </c>
      <c r="N3" s="55" t="s">
        <v>386</v>
      </c>
    </row>
    <row r="4" spans="1:14" ht="56" x14ac:dyDescent="0.15">
      <c r="A4" s="78" t="s">
        <v>195</v>
      </c>
      <c r="B4" s="79">
        <v>41012</v>
      </c>
      <c r="C4" s="80" t="str">
        <f ca="1">VLOOKUP($B4,OFFSET([2]quests!$A$1,0,0,COUNTA([2]quests!$A:$A),MATCH(C$1,[2]quests!$1:$1,0)-MATCH($B$1,[2]quests!$1:$1,0)+1),MATCH(C$1,[2]quests!$1:$1,0)-MATCH($B$1,[2]quests!$1:$1,0)+1,FALSE)</f>
        <v>ショウキ襲来！</v>
      </c>
      <c r="D4" s="80" t="str">
        <f ca="1">VLOOKUP($B4,OFFSET([2]quests!$A$1,0,0,COUNTA([2]quests!$A:$A),MATCH(D$1,[2]quests!$1:$1,0)-MATCH($B$1,[2]quests!$1:$1,0)+1),MATCH(D$1,[2]quests!$1:$1,0)-MATCH($B$1,[2]quests!$1:$1,0)+1,FALSE)</f>
        <v>降臨1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【超絶級】ショウキ襲来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2">
        <v>3</v>
      </c>
      <c r="I4" s="87">
        <f t="shared" si="0"/>
        <v>3</v>
      </c>
      <c r="J4" s="83" t="str">
        <f t="shared" si="1"/>
        <v>4101203</v>
      </c>
      <c r="K4" s="81" t="s">
        <v>384</v>
      </c>
      <c r="L4" s="84" t="s">
        <v>197</v>
      </c>
      <c r="M4" s="123" t="s">
        <v>388</v>
      </c>
      <c r="N4" s="55" t="s">
        <v>386</v>
      </c>
    </row>
    <row r="5" spans="1:14" ht="56" x14ac:dyDescent="0.15">
      <c r="A5" s="78" t="s">
        <v>195</v>
      </c>
      <c r="B5" s="79">
        <v>41012</v>
      </c>
      <c r="C5" s="80" t="str">
        <f ca="1">VLOOKUP($B5,OFFSET([2]quests!$A$1,0,0,COUNTA([2]quests!$A:$A),MATCH(C$1,[2]quests!$1:$1,0)-MATCH($B$1,[2]quests!$1:$1,0)+1),MATCH(C$1,[2]quests!$1:$1,0)-MATCH($B$1,[2]quests!$1:$1,0)+1,FALSE)</f>
        <v>ショウキ襲来！</v>
      </c>
      <c r="D5" s="80" t="str">
        <f ca="1">VLOOKUP($B5,OFFSET([2]quests!$A$1,0,0,COUNTA([2]quests!$A:$A),MATCH(D$1,[2]quests!$1:$1,0)-MATCH($B$1,[2]quests!$1:$1,0)+1),MATCH(D$1,[2]quests!$1:$1,0)-MATCH($B$1,[2]quests!$1:$1,0)+1,FALSE)</f>
        <v>降臨1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【超絶級】ショウキ襲来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2">
        <v>4</v>
      </c>
      <c r="I5" s="87">
        <f t="shared" si="0"/>
        <v>4</v>
      </c>
      <c r="J5" s="83" t="str">
        <f t="shared" si="1"/>
        <v>4101204</v>
      </c>
      <c r="K5" s="81" t="s">
        <v>397</v>
      </c>
      <c r="L5" s="84" t="s">
        <v>197</v>
      </c>
      <c r="M5" s="123" t="s">
        <v>389</v>
      </c>
      <c r="N5" s="55" t="s">
        <v>386</v>
      </c>
    </row>
    <row r="6" spans="1:14" ht="28" x14ac:dyDescent="0.15">
      <c r="A6" s="78" t="s">
        <v>195</v>
      </c>
      <c r="B6" s="79">
        <v>41012</v>
      </c>
      <c r="C6" s="80" t="str">
        <f ca="1">VLOOKUP($B6,OFFSET([2]quests!$A$1,0,0,COUNTA([2]quests!$A:$A),MATCH(C$1,[2]quests!$1:$1,0)-MATCH($B$1,[2]quests!$1:$1,0)+1),MATCH(C$1,[2]quests!$1:$1,0)-MATCH($B$1,[2]quests!$1:$1,0)+1,FALSE)</f>
        <v>ショウキ襲来！</v>
      </c>
      <c r="D6" s="80" t="str">
        <f ca="1">VLOOKUP($B6,OFFSET([2]quests!$A$1,0,0,COUNTA([2]quests!$A:$A),MATCH(D$1,[2]quests!$1:$1,0)-MATCH($B$1,[2]quests!$1:$1,0)+1),MATCH(D$1,[2]quests!$1:$1,0)-MATCH($B$1,[2]quests!$1:$1,0)+1,FALSE)</f>
        <v>降臨1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【超絶級】ショウキ襲来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2">
        <v>4</v>
      </c>
      <c r="I6" s="87">
        <f t="shared" si="0"/>
        <v>5</v>
      </c>
      <c r="J6" s="83" t="str">
        <f t="shared" si="1"/>
        <v>4101205</v>
      </c>
      <c r="K6" s="81" t="s">
        <v>384</v>
      </c>
      <c r="L6" s="84" t="s">
        <v>197</v>
      </c>
      <c r="M6" s="123" t="s">
        <v>390</v>
      </c>
      <c r="N6" s="55" t="s">
        <v>386</v>
      </c>
    </row>
    <row r="7" spans="1:14" ht="28" x14ac:dyDescent="0.15">
      <c r="A7" s="78" t="s">
        <v>195</v>
      </c>
      <c r="B7" s="79">
        <v>41012</v>
      </c>
      <c r="C7" s="80" t="str">
        <f ca="1">VLOOKUP($B7,OFFSET([2]quests!$A$1,0,0,COUNTA([2]quests!$A:$A),MATCH(C$1,[2]quests!$1:$1,0)-MATCH($B$1,[2]quests!$1:$1,0)+1),MATCH(C$1,[2]quests!$1:$1,0)-MATCH($B$1,[2]quests!$1:$1,0)+1,FALSE)</f>
        <v>ショウキ襲来！</v>
      </c>
      <c r="D7" s="80" t="str">
        <f ca="1">VLOOKUP($B7,OFFSET([2]quests!$A$1,0,0,COUNTA([2]quests!$A:$A),MATCH(D$1,[2]quests!$1:$1,0)-MATCH($B$1,[2]quests!$1:$1,0)+1),MATCH(D$1,[2]quests!$1:$1,0)-MATCH($B$1,[2]quests!$1:$1,0)+1,FALSE)</f>
        <v>降臨1</v>
      </c>
      <c r="E7" s="81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【超絶級】ショウキ襲来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2">
        <v>4</v>
      </c>
      <c r="I7" s="87">
        <f t="shared" si="0"/>
        <v>6</v>
      </c>
      <c r="J7" s="83" t="str">
        <f t="shared" si="1"/>
        <v>4101206</v>
      </c>
      <c r="K7" s="81" t="s">
        <v>384</v>
      </c>
      <c r="L7" s="84" t="s">
        <v>197</v>
      </c>
      <c r="M7" s="123" t="s">
        <v>391</v>
      </c>
      <c r="N7" s="55" t="s">
        <v>386</v>
      </c>
    </row>
    <row r="8" spans="1:14" ht="56" x14ac:dyDescent="0.15">
      <c r="A8" s="78" t="s">
        <v>195</v>
      </c>
      <c r="B8" s="79">
        <v>41012</v>
      </c>
      <c r="C8" s="80" t="str">
        <f ca="1">VLOOKUP($B8,OFFSET([2]quests!$A$1,0,0,COUNTA([2]quests!$A:$A),MATCH(C$1,[2]quests!$1:$1,0)-MATCH($B$1,[2]quests!$1:$1,0)+1),MATCH(C$1,[2]quests!$1:$1,0)-MATCH($B$1,[2]quests!$1:$1,0)+1,FALSE)</f>
        <v>ショウキ襲来！</v>
      </c>
      <c r="D8" s="80" t="str">
        <f ca="1">VLOOKUP($B8,OFFSET([2]quests!$A$1,0,0,COUNTA([2]quests!$A:$A),MATCH(D$1,[2]quests!$1:$1,0)-MATCH($B$1,[2]quests!$1:$1,0)+1),MATCH(D$1,[2]quests!$1:$1,0)-MATCH($B$1,[2]quests!$1:$1,0)+1,FALSE)</f>
        <v>降臨1</v>
      </c>
      <c r="E8" s="81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【超絶級】ショウキ襲来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2">
        <v>5</v>
      </c>
      <c r="I8" s="87">
        <f t="shared" si="0"/>
        <v>7</v>
      </c>
      <c r="J8" s="83" t="str">
        <f t="shared" si="1"/>
        <v>4101207</v>
      </c>
      <c r="K8" s="81" t="s">
        <v>384</v>
      </c>
      <c r="L8" s="84" t="s">
        <v>197</v>
      </c>
      <c r="M8" s="123" t="s">
        <v>392</v>
      </c>
      <c r="N8" s="55" t="s">
        <v>386</v>
      </c>
    </row>
    <row r="9" spans="1:14" ht="56" x14ac:dyDescent="0.15">
      <c r="A9" s="78" t="s">
        <v>195</v>
      </c>
      <c r="B9" s="79">
        <v>41012</v>
      </c>
      <c r="C9" s="80" t="str">
        <f ca="1">VLOOKUP($B9,OFFSET([2]quests!$A$1,0,0,COUNTA([2]quests!$A:$A),MATCH(C$1,[2]quests!$1:$1,0)-MATCH($B$1,[2]quests!$1:$1,0)+1),MATCH(C$1,[2]quests!$1:$1,0)-MATCH($B$1,[2]quests!$1:$1,0)+1,FALSE)</f>
        <v>ショウキ襲来！</v>
      </c>
      <c r="D9" s="80" t="str">
        <f ca="1">VLOOKUP($B9,OFFSET([2]quests!$A$1,0,0,COUNTA([2]quests!$A:$A),MATCH(D$1,[2]quests!$1:$1,0)-MATCH($B$1,[2]quests!$1:$1,0)+1),MATCH(D$1,[2]quests!$1:$1,0)-MATCH($B$1,[2]quests!$1:$1,0)+1,FALSE)</f>
        <v>降臨1</v>
      </c>
      <c r="E9" s="81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【超絶級】ショウキ襲来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2">
        <v>5</v>
      </c>
      <c r="I9" s="87">
        <f t="shared" si="0"/>
        <v>8</v>
      </c>
      <c r="J9" s="83" t="str">
        <f t="shared" si="1"/>
        <v>4101208</v>
      </c>
      <c r="K9" s="81" t="s">
        <v>399</v>
      </c>
      <c r="L9" s="84" t="s">
        <v>197</v>
      </c>
      <c r="M9" s="123" t="s">
        <v>393</v>
      </c>
      <c r="N9" s="55" t="s">
        <v>400</v>
      </c>
    </row>
    <row r="10" spans="1:14" ht="56" x14ac:dyDescent="0.15">
      <c r="A10" s="78" t="s">
        <v>195</v>
      </c>
      <c r="B10" s="79">
        <v>41012</v>
      </c>
      <c r="C10" s="80" t="str">
        <f ca="1">VLOOKUP($B10,OFFSET([2]quests!$A$1,0,0,COUNTA([2]quests!$A:$A),MATCH(C$1,[2]quests!$1:$1,0)-MATCH($B$1,[2]quests!$1:$1,0)+1),MATCH(C$1,[2]quests!$1:$1,0)-MATCH($B$1,[2]quests!$1:$1,0)+1,FALSE)</f>
        <v>ショウキ襲来！</v>
      </c>
      <c r="D10" s="80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1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【超絶級】ショウキ襲来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2">
        <v>5</v>
      </c>
      <c r="I10" s="87">
        <f t="shared" si="0"/>
        <v>9</v>
      </c>
      <c r="J10" s="83" t="str">
        <f t="shared" si="1"/>
        <v>4101209</v>
      </c>
      <c r="K10" s="81" t="s">
        <v>384</v>
      </c>
      <c r="L10" s="84" t="s">
        <v>197</v>
      </c>
      <c r="M10" s="123" t="s">
        <v>394</v>
      </c>
      <c r="N10" s="55" t="s">
        <v>386</v>
      </c>
    </row>
    <row r="11" spans="1:14" ht="56" x14ac:dyDescent="0.15">
      <c r="A11" s="78" t="s">
        <v>195</v>
      </c>
      <c r="B11" s="79">
        <v>41012</v>
      </c>
      <c r="C11" s="80" t="str">
        <f ca="1">VLOOKUP($B11,OFFSET([2]quests!$A$1,0,0,COUNTA([2]quests!$A:$A),MATCH(C$1,[2]quests!$1:$1,0)-MATCH($B$1,[2]quests!$1:$1,0)+1),MATCH(C$1,[2]quests!$1:$1,0)-MATCH($B$1,[2]quests!$1:$1,0)+1,FALSE)</f>
        <v>ショウキ襲来！</v>
      </c>
      <c r="D11" s="80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1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【超絶級】ショウキ襲来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2">
        <v>5</v>
      </c>
      <c r="I11" s="87">
        <f t="shared" si="0"/>
        <v>10</v>
      </c>
      <c r="J11" s="83" t="str">
        <f t="shared" si="1"/>
        <v>4101210</v>
      </c>
      <c r="K11" s="81" t="s">
        <v>384</v>
      </c>
      <c r="L11" s="84" t="s">
        <v>197</v>
      </c>
      <c r="M11" s="123" t="s">
        <v>395</v>
      </c>
      <c r="N11" s="55" t="s">
        <v>386</v>
      </c>
    </row>
    <row r="12" spans="1:14" ht="56" x14ac:dyDescent="0.15">
      <c r="A12" s="78" t="s">
        <v>195</v>
      </c>
      <c r="B12" s="79">
        <v>41012</v>
      </c>
      <c r="C12" s="80" t="str">
        <f ca="1">VLOOKUP($B12,OFFSET([2]quests!$A$1,0,0,COUNTA([2]quests!$A:$A),MATCH(C$1,[2]quests!$1:$1,0)-MATCH($B$1,[2]quests!$1:$1,0)+1),MATCH(C$1,[2]quests!$1:$1,0)-MATCH($B$1,[2]quests!$1:$1,0)+1,FALSE)</f>
        <v>ショウキ襲来！</v>
      </c>
      <c r="D12" s="80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1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【超絶級】ショウキ襲来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2">
        <v>5</v>
      </c>
      <c r="I12" s="87">
        <f t="shared" si="0"/>
        <v>11</v>
      </c>
      <c r="J12" s="83" t="str">
        <f t="shared" si="1"/>
        <v>4101211</v>
      </c>
      <c r="K12" s="81" t="s">
        <v>397</v>
      </c>
      <c r="L12" s="84" t="s">
        <v>197</v>
      </c>
      <c r="M12" s="123" t="s">
        <v>396</v>
      </c>
      <c r="N12" s="55" t="s">
        <v>398</v>
      </c>
    </row>
    <row r="13" spans="1:14" ht="56" x14ac:dyDescent="0.15">
      <c r="A13" s="78" t="s">
        <v>195</v>
      </c>
      <c r="B13" s="79">
        <v>41012</v>
      </c>
      <c r="C13" s="80" t="str">
        <f ca="1">VLOOKUP($B13,OFFSET([2]quests!$A$1,0,0,COUNTA([2]quests!$A:$A),MATCH(C$1,[2]quests!$1:$1,0)-MATCH($B$1,[2]quests!$1:$1,0)+1),MATCH(C$1,[2]quests!$1:$1,0)-MATCH($B$1,[2]quests!$1:$1,0)+1,FALSE)</f>
        <v>ショウキ襲来！</v>
      </c>
      <c r="D13" s="80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1">
        <v>2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2">
        <v>2</v>
      </c>
      <c r="I13" s="87">
        <f t="shared" si="0"/>
        <v>12</v>
      </c>
      <c r="J13" s="83" t="str">
        <f t="shared" ref="J13:J23" si="2">B13&amp;TEXT(I13,"00")</f>
        <v>4101212</v>
      </c>
      <c r="K13" s="81" t="s">
        <v>397</v>
      </c>
      <c r="L13" s="84" t="s">
        <v>197</v>
      </c>
      <c r="M13" s="123" t="s">
        <v>385</v>
      </c>
      <c r="N13" s="55" t="s">
        <v>398</v>
      </c>
    </row>
    <row r="14" spans="1:14" ht="70" x14ac:dyDescent="0.15">
      <c r="A14" s="78" t="s">
        <v>195</v>
      </c>
      <c r="B14" s="79">
        <v>41012</v>
      </c>
      <c r="C14" s="80" t="str">
        <f ca="1">VLOOKUP($B14,OFFSET([2]quests!$A$1,0,0,COUNTA([2]quests!$A:$A),MATCH(C$1,[2]quests!$1:$1,0)-MATCH($B$1,[2]quests!$1:$1,0)+1),MATCH(C$1,[2]quests!$1:$1,0)-MATCH($B$1,[2]quests!$1:$1,0)+1,FALSE)</f>
        <v>ショウキ襲来！</v>
      </c>
      <c r="D14" s="80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1">
        <v>2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2">
        <v>3</v>
      </c>
      <c r="I14" s="87">
        <f t="shared" si="0"/>
        <v>13</v>
      </c>
      <c r="J14" s="83" t="str">
        <f t="shared" si="2"/>
        <v>4101213</v>
      </c>
      <c r="K14" s="81" t="s">
        <v>384</v>
      </c>
      <c r="L14" s="84" t="s">
        <v>197</v>
      </c>
      <c r="M14" s="123" t="s">
        <v>387</v>
      </c>
      <c r="N14" s="55" t="s">
        <v>386</v>
      </c>
    </row>
    <row r="15" spans="1:14" ht="56" x14ac:dyDescent="0.15">
      <c r="A15" s="78" t="s">
        <v>195</v>
      </c>
      <c r="B15" s="79">
        <v>41012</v>
      </c>
      <c r="C15" s="80" t="str">
        <f ca="1">VLOOKUP($B15,OFFSET([2]quests!$A$1,0,0,COUNTA([2]quests!$A:$A),MATCH(C$1,[2]quests!$1:$1,0)-MATCH($B$1,[2]quests!$1:$1,0)+1),MATCH(C$1,[2]quests!$1:$1,0)-MATCH($B$1,[2]quests!$1:$1,0)+1,FALSE)</f>
        <v>ショウキ襲来！</v>
      </c>
      <c r="D15" s="80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1">
        <v>2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2">
        <v>3</v>
      </c>
      <c r="I15" s="87">
        <f t="shared" si="0"/>
        <v>14</v>
      </c>
      <c r="J15" s="83" t="str">
        <f t="shared" si="2"/>
        <v>4101214</v>
      </c>
      <c r="K15" s="81" t="s">
        <v>384</v>
      </c>
      <c r="L15" s="84" t="s">
        <v>197</v>
      </c>
      <c r="M15" s="123" t="s">
        <v>388</v>
      </c>
      <c r="N15" s="55" t="s">
        <v>386</v>
      </c>
    </row>
    <row r="16" spans="1:14" ht="56" x14ac:dyDescent="0.15">
      <c r="A16" s="78" t="s">
        <v>195</v>
      </c>
      <c r="B16" s="79">
        <v>41012</v>
      </c>
      <c r="C16" s="80" t="str">
        <f ca="1">VLOOKUP($B16,OFFSET([2]quests!$A$1,0,0,COUNTA([2]quests!$A:$A),MATCH(C$1,[2]quests!$1:$1,0)-MATCH($B$1,[2]quests!$1:$1,0)+1),MATCH(C$1,[2]quests!$1:$1,0)-MATCH($B$1,[2]quests!$1:$1,0)+1,FALSE)</f>
        <v>ショウキ襲来！</v>
      </c>
      <c r="D16" s="80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1">
        <v>2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2">
        <v>4</v>
      </c>
      <c r="I16" s="87">
        <f t="shared" si="0"/>
        <v>15</v>
      </c>
      <c r="J16" s="83" t="str">
        <f t="shared" si="2"/>
        <v>4101215</v>
      </c>
      <c r="K16" s="81" t="s">
        <v>397</v>
      </c>
      <c r="L16" s="84" t="s">
        <v>197</v>
      </c>
      <c r="M16" s="123" t="s">
        <v>389</v>
      </c>
      <c r="N16" s="55" t="s">
        <v>386</v>
      </c>
    </row>
    <row r="17" spans="1:14" ht="28" x14ac:dyDescent="0.15">
      <c r="A17" s="78" t="s">
        <v>195</v>
      </c>
      <c r="B17" s="79">
        <v>41012</v>
      </c>
      <c r="C17" s="80" t="str">
        <f ca="1">VLOOKUP($B17,OFFSET([2]quests!$A$1,0,0,COUNTA([2]quests!$A:$A),MATCH(C$1,[2]quests!$1:$1,0)-MATCH($B$1,[2]quests!$1:$1,0)+1),MATCH(C$1,[2]quests!$1:$1,0)-MATCH($B$1,[2]quests!$1:$1,0)+1,FALSE)</f>
        <v>ショウキ襲来！</v>
      </c>
      <c r="D17" s="80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1">
        <v>2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2">
        <v>4</v>
      </c>
      <c r="I17" s="87">
        <f t="shared" si="0"/>
        <v>16</v>
      </c>
      <c r="J17" s="83" t="str">
        <f t="shared" si="2"/>
        <v>4101216</v>
      </c>
      <c r="K17" s="81" t="s">
        <v>384</v>
      </c>
      <c r="L17" s="84" t="s">
        <v>197</v>
      </c>
      <c r="M17" s="123" t="s">
        <v>390</v>
      </c>
      <c r="N17" s="55" t="s">
        <v>386</v>
      </c>
    </row>
    <row r="18" spans="1:14" ht="28" x14ac:dyDescent="0.15">
      <c r="A18" s="78" t="s">
        <v>195</v>
      </c>
      <c r="B18" s="79">
        <v>41012</v>
      </c>
      <c r="C18" s="80" t="str">
        <f ca="1">VLOOKUP($B18,OFFSET([2]quests!$A$1,0,0,COUNTA([2]quests!$A:$A),MATCH(C$1,[2]quests!$1:$1,0)-MATCH($B$1,[2]quests!$1:$1,0)+1),MATCH(C$1,[2]quests!$1:$1,0)-MATCH($B$1,[2]quests!$1:$1,0)+1,FALSE)</f>
        <v>ショウキ襲来！</v>
      </c>
      <c r="D18" s="80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1">
        <v>2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2">
        <v>4</v>
      </c>
      <c r="I18" s="87">
        <f t="shared" si="0"/>
        <v>17</v>
      </c>
      <c r="J18" s="83" t="str">
        <f t="shared" si="2"/>
        <v>4101217</v>
      </c>
      <c r="K18" s="81" t="s">
        <v>384</v>
      </c>
      <c r="L18" s="84" t="s">
        <v>197</v>
      </c>
      <c r="M18" s="123" t="s">
        <v>391</v>
      </c>
      <c r="N18" s="55" t="s">
        <v>386</v>
      </c>
    </row>
    <row r="19" spans="1:14" ht="56" x14ac:dyDescent="0.15">
      <c r="A19" s="78" t="s">
        <v>195</v>
      </c>
      <c r="B19" s="79">
        <v>41012</v>
      </c>
      <c r="C19" s="80" t="str">
        <f ca="1">VLOOKUP($B19,OFFSET([2]quests!$A$1,0,0,COUNTA([2]quests!$A:$A),MATCH(C$1,[2]quests!$1:$1,0)-MATCH($B$1,[2]quests!$1:$1,0)+1),MATCH(C$1,[2]quests!$1:$1,0)-MATCH($B$1,[2]quests!$1:$1,0)+1,FALSE)</f>
        <v>ショウキ襲来！</v>
      </c>
      <c r="D19" s="80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1">
        <v>2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2">
        <v>5</v>
      </c>
      <c r="I19" s="87">
        <f t="shared" si="0"/>
        <v>18</v>
      </c>
      <c r="J19" s="83" t="str">
        <f t="shared" si="2"/>
        <v>4101218</v>
      </c>
      <c r="K19" s="81" t="s">
        <v>384</v>
      </c>
      <c r="L19" s="84" t="s">
        <v>197</v>
      </c>
      <c r="M19" s="123" t="s">
        <v>392</v>
      </c>
      <c r="N19" s="55" t="s">
        <v>386</v>
      </c>
    </row>
    <row r="20" spans="1:14" ht="56" x14ac:dyDescent="0.15">
      <c r="A20" s="78" t="s">
        <v>195</v>
      </c>
      <c r="B20" s="79">
        <v>41012</v>
      </c>
      <c r="C20" s="80" t="str">
        <f ca="1">VLOOKUP($B20,OFFSET([2]quests!$A$1,0,0,COUNTA([2]quests!$A:$A),MATCH(C$1,[2]quests!$1:$1,0)-MATCH($B$1,[2]quests!$1:$1,0)+1),MATCH(C$1,[2]quests!$1:$1,0)-MATCH($B$1,[2]quests!$1:$1,0)+1,FALSE)</f>
        <v>ショウキ襲来！</v>
      </c>
      <c r="D20" s="80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1">
        <v>2</v>
      </c>
      <c r="F20" s="80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0" s="80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2">
        <v>5</v>
      </c>
      <c r="I20" s="87">
        <f t="shared" si="0"/>
        <v>19</v>
      </c>
      <c r="J20" s="83" t="str">
        <f t="shared" si="2"/>
        <v>4101219</v>
      </c>
      <c r="K20" s="81" t="s">
        <v>399</v>
      </c>
      <c r="L20" s="84" t="s">
        <v>197</v>
      </c>
      <c r="M20" s="123" t="s">
        <v>393</v>
      </c>
      <c r="N20" s="55" t="s">
        <v>400</v>
      </c>
    </row>
    <row r="21" spans="1:14" ht="56" x14ac:dyDescent="0.15">
      <c r="A21" s="78" t="s">
        <v>195</v>
      </c>
      <c r="B21" s="79">
        <v>41012</v>
      </c>
      <c r="C21" s="80" t="str">
        <f ca="1">VLOOKUP($B21,OFFSET([2]quests!$A$1,0,0,COUNTA([2]quests!$A:$A),MATCH(C$1,[2]quests!$1:$1,0)-MATCH($B$1,[2]quests!$1:$1,0)+1),MATCH(C$1,[2]quests!$1:$1,0)-MATCH($B$1,[2]quests!$1:$1,0)+1,FALSE)</f>
        <v>ショウキ襲来！</v>
      </c>
      <c r="D21" s="80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1">
        <v>2</v>
      </c>
      <c r="F21" s="80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1" s="80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2">
        <v>5</v>
      </c>
      <c r="I21" s="87">
        <f t="shared" si="0"/>
        <v>20</v>
      </c>
      <c r="J21" s="83" t="str">
        <f t="shared" si="2"/>
        <v>4101220</v>
      </c>
      <c r="K21" s="81" t="s">
        <v>384</v>
      </c>
      <c r="L21" s="84" t="s">
        <v>197</v>
      </c>
      <c r="M21" s="123" t="s">
        <v>394</v>
      </c>
      <c r="N21" s="55" t="s">
        <v>386</v>
      </c>
    </row>
    <row r="22" spans="1:14" ht="56" x14ac:dyDescent="0.15">
      <c r="A22" s="78" t="s">
        <v>195</v>
      </c>
      <c r="B22" s="79">
        <v>41012</v>
      </c>
      <c r="C22" s="80" t="str">
        <f ca="1">VLOOKUP($B22,OFFSET([2]quests!$A$1,0,0,COUNTA([2]quests!$A:$A),MATCH(C$1,[2]quests!$1:$1,0)-MATCH($B$1,[2]quests!$1:$1,0)+1),MATCH(C$1,[2]quests!$1:$1,0)-MATCH($B$1,[2]quests!$1:$1,0)+1,FALSE)</f>
        <v>ショウキ襲来！</v>
      </c>
      <c r="D22" s="80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1">
        <v>2</v>
      </c>
      <c r="F22" s="80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2" s="80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2">
        <v>5</v>
      </c>
      <c r="I22" s="87">
        <f t="shared" si="0"/>
        <v>21</v>
      </c>
      <c r="J22" s="83" t="str">
        <f t="shared" si="2"/>
        <v>4101221</v>
      </c>
      <c r="K22" s="81" t="s">
        <v>384</v>
      </c>
      <c r="L22" s="84" t="s">
        <v>197</v>
      </c>
      <c r="M22" s="123" t="s">
        <v>395</v>
      </c>
      <c r="N22" s="55" t="s">
        <v>386</v>
      </c>
    </row>
    <row r="23" spans="1:14" ht="56" x14ac:dyDescent="0.15">
      <c r="A23" s="78" t="s">
        <v>195</v>
      </c>
      <c r="B23" s="79">
        <v>41012</v>
      </c>
      <c r="C23" s="80" t="str">
        <f ca="1">VLOOKUP($B23,OFFSET([2]quests!$A$1,0,0,COUNTA([2]quests!$A:$A),MATCH(C$1,[2]quests!$1:$1,0)-MATCH($B$1,[2]quests!$1:$1,0)+1),MATCH(C$1,[2]quests!$1:$1,0)-MATCH($B$1,[2]quests!$1:$1,0)+1,FALSE)</f>
        <v>ショウキ襲来！</v>
      </c>
      <c r="D23" s="80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1">
        <v>2</v>
      </c>
      <c r="F23" s="80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3" s="80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2">
        <v>5</v>
      </c>
      <c r="I23" s="87">
        <f t="shared" si="0"/>
        <v>22</v>
      </c>
      <c r="J23" s="83" t="str">
        <f t="shared" si="2"/>
        <v>4101222</v>
      </c>
      <c r="K23" s="81" t="s">
        <v>397</v>
      </c>
      <c r="L23" s="84" t="s">
        <v>197</v>
      </c>
      <c r="M23" s="123" t="s">
        <v>396</v>
      </c>
      <c r="N23" s="55" t="s">
        <v>398</v>
      </c>
    </row>
  </sheetData>
  <phoneticPr fontId="5"/>
  <dataValidations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topLeftCell="H1" workbookViewId="0">
      <pane ySplit="1" topLeftCell="A2" activePane="bottomLeft" state="frozen"/>
      <selection pane="bottomLeft" activeCell="E3" sqref="E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211</v>
      </c>
      <c r="B1" s="94" t="s">
        <v>212</v>
      </c>
      <c r="C1" s="74" t="s">
        <v>213</v>
      </c>
      <c r="D1" s="74" t="s">
        <v>33</v>
      </c>
      <c r="E1" s="94" t="s">
        <v>214</v>
      </c>
      <c r="F1" s="74" t="s">
        <v>215</v>
      </c>
      <c r="G1" s="74" t="s">
        <v>33</v>
      </c>
      <c r="H1" s="94" t="s">
        <v>216</v>
      </c>
      <c r="I1" s="94" t="s">
        <v>217</v>
      </c>
      <c r="J1" s="94" t="s">
        <v>218</v>
      </c>
      <c r="K1" s="70" t="s">
        <v>219</v>
      </c>
      <c r="L1" s="70" t="s">
        <v>220</v>
      </c>
      <c r="M1" s="70" t="s">
        <v>154</v>
      </c>
      <c r="N1" s="74" t="s">
        <v>16</v>
      </c>
      <c r="O1" s="70" t="s">
        <v>221</v>
      </c>
      <c r="P1" s="70" t="s">
        <v>56</v>
      </c>
      <c r="Q1" s="70" t="s">
        <v>222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223</v>
      </c>
      <c r="X1" s="70" t="s">
        <v>224</v>
      </c>
    </row>
    <row r="2" spans="1:24" x14ac:dyDescent="0.15">
      <c r="A2" s="95" t="str">
        <f>B2&amp;"_"&amp;E2&amp;"_"&amp;H2&amp;"_"&amp;I2&amp;"_"&amp;J2</f>
        <v>41012_2_everyone_no_continue_1</v>
      </c>
      <c r="B2" s="79">
        <v>41012</v>
      </c>
      <c r="C2" s="80" t="str">
        <f ca="1">VLOOKUP($B2,OFFSET([2]quests!$A$1,0,0,COUNTA([2]quests!$A:$A),MATCH(C$1,[2]quests!$1:$1,0)-MATCH($B$1,[2]quests!$1:$1,0)+1),MATCH(C$1,[2]quests!$1:$1,0)-MATCH($B$1,[2]quests!$1:$1,0)+1,FALSE)</f>
        <v>ショウキ襲来！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降臨1</v>
      </c>
      <c r="E2" s="81">
        <v>2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【ウィザード級】ショウキ襲来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2" t="s">
        <v>225</v>
      </c>
      <c r="I2" s="81" t="s">
        <v>229</v>
      </c>
      <c r="J2" s="81">
        <v>1</v>
      </c>
      <c r="K2" s="81">
        <v>1000</v>
      </c>
      <c r="L2" s="81" t="s">
        <v>226</v>
      </c>
      <c r="M2" s="81">
        <v>644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滑瓢 ショウキ</v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7" t="s">
        <v>227</v>
      </c>
      <c r="X2" s="98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2017-03-15T05:27:20Z</dcterms:modified>
</cp:coreProperties>
</file>