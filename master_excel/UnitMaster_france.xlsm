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5940" tabRatio="963" activeTab="9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6" r:id="rId6"/>
    <sheet name="awake_materials" sheetId="57" r:id="rId7"/>
    <sheet name="→base値" sheetId="51" r:id="rId8"/>
    <sheet name="ghosts_label" sheetId="58" r:id="rId9"/>
    <sheet name="コスト" sheetId="13" r:id="rId10"/>
    <sheet name="レベル" sheetId="12" r:id="rId11"/>
    <sheet name="経験値" sheetId="10" r:id="rId12"/>
    <sheet name="RC6SV" sheetId="11" r:id="rId13"/>
    <sheet name="ビット" sheetId="15" r:id="rId14"/>
    <sheet name="チェックシート" sheetId="55" r:id="rId15"/>
  </sheets>
  <externalReferences>
    <externalReference r:id="rId16"/>
    <externalReference r:id="rId17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fork_awake_units!$A$1:$U$4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#REF!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H2" i="23"/>
  <c r="BR2" i="23"/>
  <c r="I58" i="54"/>
  <c r="E58" i="54"/>
  <c r="B58" i="54"/>
  <c r="I53" i="54"/>
  <c r="E53" i="54"/>
  <c r="B53" i="54"/>
  <c r="G7" i="23"/>
  <c r="BC7" i="23"/>
  <c r="BD7" i="23"/>
  <c r="Q7" i="23"/>
  <c r="S7" i="23"/>
  <c r="W7" i="23"/>
  <c r="AA7" i="23"/>
  <c r="I7" i="23"/>
  <c r="J7" i="23"/>
  <c r="BK7" i="23"/>
  <c r="T7" i="23"/>
  <c r="AB7" i="23"/>
  <c r="K7" i="23"/>
  <c r="BL7" i="23"/>
  <c r="I57" i="54"/>
  <c r="E57" i="54"/>
  <c r="B57" i="54"/>
  <c r="I56" i="54"/>
  <c r="E56" i="54"/>
  <c r="B56" i="54"/>
  <c r="I55" i="54"/>
  <c r="E55" i="54"/>
  <c r="B55" i="54"/>
  <c r="I54" i="54"/>
  <c r="E54" i="54"/>
  <c r="B54" i="54"/>
  <c r="I52" i="54"/>
  <c r="E52" i="54"/>
  <c r="B52" i="54"/>
  <c r="I51" i="54"/>
  <c r="E51" i="54"/>
  <c r="B51" i="54"/>
  <c r="I50" i="54"/>
  <c r="E50" i="54"/>
  <c r="B50" i="54"/>
  <c r="E7" i="52"/>
  <c r="E6" i="52"/>
  <c r="J6" i="52"/>
  <c r="J24" i="57"/>
  <c r="J23" i="57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E29" i="54"/>
  <c r="E30" i="54"/>
  <c r="E31" i="54"/>
  <c r="E32" i="54"/>
  <c r="E33" i="54"/>
  <c r="E34" i="54"/>
  <c r="E35" i="54"/>
  <c r="E36" i="54"/>
  <c r="E37" i="54"/>
  <c r="E38" i="54"/>
  <c r="E39" i="54"/>
  <c r="E40" i="54"/>
  <c r="E41" i="54"/>
  <c r="E42" i="54"/>
  <c r="E43" i="54"/>
  <c r="E44" i="54"/>
  <c r="E45" i="54"/>
  <c r="E46" i="54"/>
  <c r="E47" i="54"/>
  <c r="E48" i="54"/>
  <c r="E49" i="54"/>
  <c r="E2" i="54"/>
  <c r="I49" i="54"/>
  <c r="B49" i="54"/>
  <c r="I48" i="54"/>
  <c r="B48" i="54"/>
  <c r="I47" i="54"/>
  <c r="B47" i="54"/>
  <c r="I46" i="54"/>
  <c r="B46" i="54"/>
  <c r="I45" i="54"/>
  <c r="B45" i="54"/>
  <c r="I44" i="54"/>
  <c r="B44" i="54"/>
  <c r="I43" i="54"/>
  <c r="B43" i="54"/>
  <c r="I42" i="54"/>
  <c r="B42" i="54"/>
  <c r="I41" i="54"/>
  <c r="B41" i="54"/>
  <c r="I39" i="54"/>
  <c r="I40" i="54"/>
  <c r="B40" i="54"/>
  <c r="B39" i="54"/>
  <c r="I38" i="54"/>
  <c r="B38" i="54"/>
  <c r="I37" i="54"/>
  <c r="B37" i="54"/>
  <c r="I36" i="54"/>
  <c r="B36" i="54"/>
  <c r="I35" i="54"/>
  <c r="B35" i="54"/>
  <c r="I34" i="54"/>
  <c r="B34" i="54"/>
  <c r="I33" i="54"/>
  <c r="B33" i="54"/>
  <c r="I32" i="54"/>
  <c r="B32" i="54"/>
  <c r="B31" i="54"/>
  <c r="B30" i="54"/>
  <c r="B29" i="54"/>
  <c r="B28" i="54"/>
  <c r="B27" i="54"/>
  <c r="B26" i="54"/>
  <c r="B25" i="54"/>
  <c r="I23" i="54"/>
  <c r="I20" i="54"/>
  <c r="I17" i="54"/>
  <c r="I16" i="54"/>
  <c r="I18" i="54"/>
  <c r="I19" i="54"/>
  <c r="I21" i="54"/>
  <c r="I22" i="54"/>
  <c r="I24" i="54"/>
  <c r="I25" i="54"/>
  <c r="I26" i="54"/>
  <c r="I27" i="54"/>
  <c r="I28" i="54"/>
  <c r="I29" i="54"/>
  <c r="I30" i="54"/>
  <c r="I31" i="54"/>
  <c r="B16" i="54"/>
  <c r="B17" i="54"/>
  <c r="B18" i="54"/>
  <c r="B19" i="54"/>
  <c r="B20" i="54"/>
  <c r="B21" i="54"/>
  <c r="B22" i="54"/>
  <c r="B23" i="54"/>
  <c r="B24" i="54"/>
  <c r="B9" i="54"/>
  <c r="I4" i="54"/>
  <c r="I15" i="54"/>
  <c r="I14" i="54"/>
  <c r="I13" i="54"/>
  <c r="I12" i="54"/>
  <c r="I11" i="54"/>
  <c r="I10" i="54"/>
  <c r="I9" i="54"/>
  <c r="I8" i="54"/>
  <c r="I7" i="54"/>
  <c r="I6" i="54"/>
  <c r="I5" i="54"/>
  <c r="I3" i="54"/>
  <c r="I2" i="54"/>
  <c r="B3" i="54"/>
  <c r="B4" i="54"/>
  <c r="B5" i="54"/>
  <c r="B6" i="54"/>
  <c r="B7" i="54"/>
  <c r="B8" i="54"/>
  <c r="B10" i="54"/>
  <c r="B11" i="54"/>
  <c r="B12" i="54"/>
  <c r="B13" i="54"/>
  <c r="B14" i="54"/>
  <c r="B15" i="54"/>
  <c r="J3" i="52"/>
  <c r="J4" i="52"/>
  <c r="J5" i="52"/>
  <c r="J7" i="52"/>
  <c r="J8" i="52"/>
  <c r="J9" i="52"/>
  <c r="J10" i="52"/>
  <c r="J11" i="52"/>
  <c r="J12" i="52"/>
  <c r="J13" i="52"/>
  <c r="J14" i="52"/>
  <c r="J15" i="52"/>
  <c r="J2" i="52"/>
  <c r="J28" i="57"/>
  <c r="B15" i="23"/>
  <c r="H28" i="57"/>
  <c r="F28" i="57"/>
  <c r="G14" i="23"/>
  <c r="E28" i="57"/>
  <c r="B14" i="23"/>
  <c r="D28" i="57"/>
  <c r="C28" i="57"/>
  <c r="A28" i="57"/>
  <c r="J27" i="57"/>
  <c r="H27" i="57"/>
  <c r="F27" i="57"/>
  <c r="E27" i="57"/>
  <c r="D27" i="57"/>
  <c r="C27" i="57"/>
  <c r="A27" i="57"/>
  <c r="J26" i="57"/>
  <c r="H26" i="57"/>
  <c r="F26" i="57"/>
  <c r="E26" i="57"/>
  <c r="D26" i="57"/>
  <c r="C26" i="57"/>
  <c r="A26" i="57"/>
  <c r="J25" i="57"/>
  <c r="H25" i="57"/>
  <c r="F25" i="57"/>
  <c r="E25" i="57"/>
  <c r="D25" i="57"/>
  <c r="C25" i="57"/>
  <c r="A25" i="57"/>
  <c r="H24" i="57"/>
  <c r="F24" i="57"/>
  <c r="E24" i="57"/>
  <c r="D24" i="57"/>
  <c r="C24" i="57"/>
  <c r="A24" i="57"/>
  <c r="B12" i="23"/>
  <c r="B13" i="23"/>
  <c r="H23" i="57"/>
  <c r="F23" i="57"/>
  <c r="G11" i="23"/>
  <c r="G12" i="23"/>
  <c r="E23" i="57"/>
  <c r="B11" i="23"/>
  <c r="D23" i="57"/>
  <c r="C23" i="57"/>
  <c r="A23" i="57"/>
  <c r="J22" i="57"/>
  <c r="H22" i="57"/>
  <c r="F22" i="57"/>
  <c r="E22" i="57"/>
  <c r="D22" i="57"/>
  <c r="C22" i="57"/>
  <c r="A22" i="57"/>
  <c r="J21" i="57"/>
  <c r="H21" i="57"/>
  <c r="F21" i="57"/>
  <c r="E21" i="57"/>
  <c r="D21" i="57"/>
  <c r="C21" i="57"/>
  <c r="A21" i="57"/>
  <c r="J20" i="57"/>
  <c r="H20" i="57"/>
  <c r="F20" i="57"/>
  <c r="E20" i="57"/>
  <c r="D20" i="57"/>
  <c r="C20" i="57"/>
  <c r="A20" i="57"/>
  <c r="J19" i="57"/>
  <c r="H19" i="57"/>
  <c r="F19" i="57"/>
  <c r="E19" i="57"/>
  <c r="D19" i="57"/>
  <c r="C19" i="57"/>
  <c r="A19" i="57"/>
  <c r="J18" i="57"/>
  <c r="H18" i="57"/>
  <c r="F18" i="57"/>
  <c r="G10" i="23"/>
  <c r="E18" i="57"/>
  <c r="B10" i="23"/>
  <c r="D18" i="57"/>
  <c r="C18" i="57"/>
  <c r="A18" i="57"/>
  <c r="J17" i="57"/>
  <c r="H17" i="57"/>
  <c r="F17" i="57"/>
  <c r="E17" i="57"/>
  <c r="D17" i="57"/>
  <c r="C17" i="57"/>
  <c r="A17" i="57"/>
  <c r="J16" i="57"/>
  <c r="H16" i="57"/>
  <c r="F16" i="57"/>
  <c r="E16" i="57"/>
  <c r="D16" i="57"/>
  <c r="C16" i="57"/>
  <c r="A16" i="57"/>
  <c r="J11" i="57"/>
  <c r="J15" i="57"/>
  <c r="B9" i="23"/>
  <c r="H15" i="57"/>
  <c r="F15" i="57"/>
  <c r="G8" i="23"/>
  <c r="E15" i="57"/>
  <c r="B8" i="23"/>
  <c r="D15" i="57"/>
  <c r="C15" i="57"/>
  <c r="A15" i="57"/>
  <c r="J14" i="57"/>
  <c r="H14" i="57"/>
  <c r="F14" i="57"/>
  <c r="E14" i="57"/>
  <c r="D14" i="57"/>
  <c r="C14" i="57"/>
  <c r="A14" i="57"/>
  <c r="J13" i="57"/>
  <c r="H13" i="57"/>
  <c r="F13" i="57"/>
  <c r="E13" i="57"/>
  <c r="D13" i="57"/>
  <c r="C13" i="57"/>
  <c r="A13" i="57"/>
  <c r="J12" i="57"/>
  <c r="H12" i="57"/>
  <c r="F12" i="57"/>
  <c r="E12" i="57"/>
  <c r="D12" i="57"/>
  <c r="C12" i="57"/>
  <c r="A12" i="57"/>
  <c r="H11" i="57"/>
  <c r="F11" i="57"/>
  <c r="E11" i="57"/>
  <c r="D11" i="57"/>
  <c r="C11" i="57"/>
  <c r="A11" i="57"/>
  <c r="J10" i="57"/>
  <c r="B7" i="23"/>
  <c r="H10" i="57"/>
  <c r="F10" i="57"/>
  <c r="G6" i="23"/>
  <c r="E10" i="57"/>
  <c r="B6" i="23"/>
  <c r="D10" i="57"/>
  <c r="C10" i="57"/>
  <c r="A10" i="57"/>
  <c r="J9" i="57"/>
  <c r="H9" i="57"/>
  <c r="F9" i="57"/>
  <c r="E9" i="57"/>
  <c r="D9" i="57"/>
  <c r="C9" i="57"/>
  <c r="A9" i="57"/>
  <c r="J8" i="57"/>
  <c r="H8" i="57"/>
  <c r="F8" i="57"/>
  <c r="E8" i="57"/>
  <c r="D8" i="57"/>
  <c r="C8" i="57"/>
  <c r="A8" i="57"/>
  <c r="J7" i="57"/>
  <c r="H7" i="57"/>
  <c r="F7" i="57"/>
  <c r="E7" i="57"/>
  <c r="D7" i="57"/>
  <c r="C7" i="57"/>
  <c r="A7" i="57"/>
  <c r="J6" i="57"/>
  <c r="B5" i="23"/>
  <c r="H6" i="57"/>
  <c r="F6" i="57"/>
  <c r="G4" i="23"/>
  <c r="E6" i="57"/>
  <c r="B4" i="23"/>
  <c r="D6" i="57"/>
  <c r="C6" i="57"/>
  <c r="A6" i="57"/>
  <c r="J5" i="57"/>
  <c r="H5" i="57"/>
  <c r="F5" i="57"/>
  <c r="E5" i="57"/>
  <c r="D5" i="57"/>
  <c r="C5" i="57"/>
  <c r="A5" i="57"/>
  <c r="E14" i="52"/>
  <c r="E15" i="52"/>
  <c r="G15" i="23"/>
  <c r="BC15" i="23"/>
  <c r="BD15" i="23"/>
  <c r="Q15" i="23"/>
  <c r="T15" i="23"/>
  <c r="W15" i="23"/>
  <c r="AB15" i="23"/>
  <c r="I15" i="23"/>
  <c r="K15" i="23"/>
  <c r="BL15" i="23"/>
  <c r="A4" i="57"/>
  <c r="A3" i="57"/>
  <c r="A2" i="57"/>
  <c r="J3" i="57"/>
  <c r="G2" i="56"/>
  <c r="G4" i="56"/>
  <c r="G8" i="56"/>
  <c r="G7" i="56"/>
  <c r="G6" i="56"/>
  <c r="G5" i="56"/>
  <c r="G3" i="56"/>
  <c r="E5" i="49"/>
  <c r="E4" i="49"/>
  <c r="E3" i="49"/>
  <c r="J4" i="57"/>
  <c r="J2" i="57"/>
  <c r="F3" i="57"/>
  <c r="F4" i="57"/>
  <c r="F2" i="57"/>
  <c r="G2" i="23"/>
  <c r="E3" i="57"/>
  <c r="E4" i="57"/>
  <c r="E2" i="57"/>
  <c r="B3" i="23"/>
  <c r="H3" i="57"/>
  <c r="H4" i="57"/>
  <c r="H2" i="57"/>
  <c r="B2" i="23"/>
  <c r="D3" i="57"/>
  <c r="D4" i="57"/>
  <c r="D2" i="57"/>
  <c r="S2" i="56"/>
  <c r="R2" i="56"/>
  <c r="R3" i="56"/>
  <c r="R4" i="56"/>
  <c r="R5" i="56"/>
  <c r="R6" i="56"/>
  <c r="R7" i="56"/>
  <c r="R8" i="56"/>
  <c r="B8" i="56"/>
  <c r="O8" i="56"/>
  <c r="N8" i="56"/>
  <c r="M8" i="56"/>
  <c r="L8" i="56"/>
  <c r="J8" i="56"/>
  <c r="K8" i="56"/>
  <c r="I8" i="56"/>
  <c r="H8" i="56"/>
  <c r="F8" i="56"/>
  <c r="E8" i="56"/>
  <c r="D8" i="56"/>
  <c r="C8" i="56"/>
  <c r="B4" i="56"/>
  <c r="B5" i="56"/>
  <c r="B6" i="56"/>
  <c r="B7" i="56"/>
  <c r="O7" i="56"/>
  <c r="N7" i="56"/>
  <c r="M7" i="56"/>
  <c r="L7" i="56"/>
  <c r="J7" i="56"/>
  <c r="K7" i="56"/>
  <c r="I7" i="56"/>
  <c r="H7" i="56"/>
  <c r="F7" i="56"/>
  <c r="E7" i="56"/>
  <c r="D7" i="56"/>
  <c r="C7" i="56"/>
  <c r="O6" i="56"/>
  <c r="N6" i="56"/>
  <c r="M6" i="56"/>
  <c r="L6" i="56"/>
  <c r="J6" i="56"/>
  <c r="K6" i="56"/>
  <c r="I6" i="56"/>
  <c r="H6" i="56"/>
  <c r="F6" i="56"/>
  <c r="E6" i="56"/>
  <c r="D6" i="56"/>
  <c r="C6" i="56"/>
  <c r="O5" i="56"/>
  <c r="N5" i="56"/>
  <c r="M5" i="56"/>
  <c r="L5" i="56"/>
  <c r="J5" i="56"/>
  <c r="K5" i="56"/>
  <c r="I5" i="56"/>
  <c r="H5" i="56"/>
  <c r="F5" i="56"/>
  <c r="E5" i="56"/>
  <c r="D5" i="56"/>
  <c r="C5" i="56"/>
  <c r="C4" i="57"/>
  <c r="C3" i="57"/>
  <c r="C2" i="57"/>
  <c r="O4" i="56"/>
  <c r="N4" i="56"/>
  <c r="M4" i="56"/>
  <c r="L4" i="56"/>
  <c r="J4" i="56"/>
  <c r="K4" i="56"/>
  <c r="I4" i="56"/>
  <c r="H4" i="56"/>
  <c r="F4" i="56"/>
  <c r="E4" i="56"/>
  <c r="D4" i="56"/>
  <c r="C4" i="56"/>
  <c r="O3" i="56"/>
  <c r="N3" i="56"/>
  <c r="M3" i="56"/>
  <c r="L3" i="56"/>
  <c r="J3" i="56"/>
  <c r="K3" i="56"/>
  <c r="I3" i="56"/>
  <c r="H3" i="56"/>
  <c r="F3" i="56"/>
  <c r="E3" i="56"/>
  <c r="D3" i="56"/>
  <c r="C3" i="56"/>
  <c r="B3" i="56"/>
  <c r="O2" i="56"/>
  <c r="N2" i="56"/>
  <c r="M2" i="56"/>
  <c r="L2" i="56"/>
  <c r="J2" i="56"/>
  <c r="K2" i="56"/>
  <c r="I2" i="56"/>
  <c r="H2" i="56"/>
  <c r="F2" i="56"/>
  <c r="E2" i="56"/>
  <c r="D2" i="56"/>
  <c r="C2" i="56"/>
  <c r="B2" i="56"/>
  <c r="AR12" i="23"/>
  <c r="E15" i="53"/>
  <c r="E14" i="53"/>
  <c r="E11" i="53"/>
  <c r="E10" i="53"/>
  <c r="E7" i="53"/>
  <c r="E6" i="53"/>
  <c r="E8" i="53"/>
  <c r="E9" i="53"/>
  <c r="E5" i="53"/>
  <c r="E4" i="53"/>
  <c r="E3" i="53"/>
  <c r="E2" i="53"/>
  <c r="G9" i="13"/>
  <c r="N15" i="23"/>
  <c r="O7" i="23"/>
  <c r="G3" i="53"/>
  <c r="G4" i="53"/>
  <c r="G5" i="53"/>
  <c r="G6" i="53"/>
  <c r="G7" i="53"/>
  <c r="G8" i="53"/>
  <c r="G9" i="53"/>
  <c r="G10" i="53"/>
  <c r="G11" i="53"/>
  <c r="G12" i="53"/>
  <c r="G13" i="53"/>
  <c r="G14" i="53"/>
  <c r="G15" i="53"/>
  <c r="G2" i="53"/>
  <c r="E13" i="53"/>
  <c r="E12" i="53"/>
  <c r="H15" i="52"/>
  <c r="H14" i="52"/>
  <c r="H13" i="52"/>
  <c r="E13" i="52"/>
  <c r="H12" i="52"/>
  <c r="E12" i="52"/>
  <c r="H11" i="52"/>
  <c r="E11" i="52"/>
  <c r="H10" i="52"/>
  <c r="E10" i="52"/>
  <c r="H9" i="52"/>
  <c r="E9" i="52"/>
  <c r="H8" i="52"/>
  <c r="E8" i="52"/>
  <c r="H7" i="52"/>
  <c r="H6" i="52"/>
  <c r="H5" i="52"/>
  <c r="E5" i="52"/>
  <c r="H4" i="52"/>
  <c r="E4" i="52"/>
  <c r="H3" i="52"/>
  <c r="H2" i="52"/>
  <c r="G5" i="23"/>
  <c r="G9" i="23"/>
  <c r="G13" i="23"/>
  <c r="G3" i="23"/>
  <c r="AG10" i="23"/>
  <c r="AG11" i="23"/>
  <c r="AV11" i="23"/>
  <c r="Q11" i="23"/>
  <c r="S11" i="23"/>
  <c r="C4" i="23"/>
  <c r="D4" i="23"/>
  <c r="E4" i="23"/>
  <c r="F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4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L7" i="23"/>
  <c r="M7" i="23"/>
  <c r="G4" i="13"/>
  <c r="N7" i="23"/>
  <c r="P7" i="23"/>
  <c r="R7" i="23"/>
  <c r="U7" i="23"/>
  <c r="V7" i="23"/>
  <c r="X7" i="23"/>
  <c r="Y7" i="23"/>
  <c r="Z7" i="23"/>
  <c r="AC7" i="23"/>
  <c r="AD7" i="23"/>
  <c r="AF7" i="23"/>
  <c r="AG6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G7" i="23"/>
  <c r="BH7" i="23"/>
  <c r="BM7" i="23"/>
  <c r="BI7" i="23"/>
  <c r="BN7" i="23"/>
  <c r="BJ7" i="23"/>
  <c r="C8" i="23"/>
  <c r="D8" i="23"/>
  <c r="E8" i="23"/>
  <c r="F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X8" i="23"/>
  <c r="Y8" i="23"/>
  <c r="Z8" i="23"/>
  <c r="AF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C9" i="23"/>
  <c r="D9" i="23"/>
  <c r="E9" i="23"/>
  <c r="F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X9" i="23"/>
  <c r="Y9" i="23"/>
  <c r="Z9" i="23"/>
  <c r="AF9" i="23"/>
  <c r="AG8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C11" i="23"/>
  <c r="D11" i="23"/>
  <c r="E11" i="23"/>
  <c r="F11" i="23"/>
  <c r="I11" i="23"/>
  <c r="J11" i="23"/>
  <c r="K11" i="23"/>
  <c r="L11" i="23"/>
  <c r="M11" i="23"/>
  <c r="N11" i="23"/>
  <c r="O11" i="23"/>
  <c r="P11" i="23"/>
  <c r="R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H11" i="23"/>
  <c r="AI11" i="23"/>
  <c r="AK11" i="23"/>
  <c r="AL11" i="23"/>
  <c r="AM11" i="23"/>
  <c r="AN11" i="23"/>
  <c r="AQ11" i="23"/>
  <c r="AR11" i="23"/>
  <c r="AS11" i="23"/>
  <c r="AU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C12" i="23"/>
  <c r="D12" i="23"/>
  <c r="E12" i="23"/>
  <c r="F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I12" i="23"/>
  <c r="AK12" i="23"/>
  <c r="AL12" i="23"/>
  <c r="AM12" i="23"/>
  <c r="AN12" i="23"/>
  <c r="AQ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C13" i="23"/>
  <c r="D13" i="23"/>
  <c r="E13" i="23"/>
  <c r="F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2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C14" i="23"/>
  <c r="D14" i="23"/>
  <c r="E14" i="23"/>
  <c r="F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C15" i="23"/>
  <c r="D15" i="23"/>
  <c r="E15" i="23"/>
  <c r="F15" i="23"/>
  <c r="J15" i="23"/>
  <c r="L15" i="23"/>
  <c r="M15" i="23"/>
  <c r="O15" i="23"/>
  <c r="P15" i="23"/>
  <c r="R15" i="23"/>
  <c r="S15" i="23"/>
  <c r="U15" i="23"/>
  <c r="V15" i="23"/>
  <c r="X15" i="23"/>
  <c r="Y15" i="23"/>
  <c r="Z15" i="23"/>
  <c r="AA15" i="23"/>
  <c r="AC15" i="23"/>
  <c r="AD15" i="23"/>
  <c r="AF15" i="23"/>
  <c r="AG14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E15" i="23"/>
  <c r="BF15" i="23"/>
  <c r="BK15" i="23"/>
  <c r="BG15" i="23"/>
  <c r="BH15" i="23"/>
  <c r="BM15" i="23"/>
  <c r="BI15" i="23"/>
  <c r="BN15" i="23"/>
  <c r="BJ15" i="23"/>
  <c r="P3" i="23"/>
  <c r="P2" i="23"/>
  <c r="G10" i="13"/>
  <c r="G8" i="13"/>
  <c r="G3" i="13"/>
  <c r="G2" i="1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2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2" i="54"/>
  <c r="E10" i="49"/>
  <c r="E9" i="49"/>
  <c r="E8" i="49"/>
  <c r="E7" i="49"/>
  <c r="E11" i="49"/>
  <c r="E12" i="49"/>
  <c r="E6" i="49"/>
  <c r="E2" i="49"/>
  <c r="AH4" i="23"/>
  <c r="AH6" i="23"/>
  <c r="AH8" i="23"/>
  <c r="AH10" i="23"/>
  <c r="AH12" i="23"/>
  <c r="AH14" i="23"/>
  <c r="AH2" i="23"/>
  <c r="T2" i="56"/>
  <c r="S3" i="56"/>
  <c r="T3" i="56"/>
  <c r="S4" i="56"/>
  <c r="T4" i="56"/>
  <c r="S5" i="56"/>
  <c r="T5" i="56"/>
  <c r="S6" i="56"/>
  <c r="T6" i="56"/>
  <c r="S7" i="56"/>
  <c r="T7" i="56"/>
  <c r="S8" i="56"/>
  <c r="T8" i="56"/>
</calcChain>
</file>

<file path=xl/sharedStrings.xml><?xml version="1.0" encoding="utf-8"?>
<sst xmlns="http://schemas.openxmlformats.org/spreadsheetml/2006/main" count="1120" uniqueCount="433">
  <si>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</si>
  <si>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</si>
  <si>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</si>
  <si>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</si>
  <si>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</si>
  <si>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</si>
  <si>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</si>
  <si>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</si>
  <si>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</si>
  <si>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</si>
  <si>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</si>
  <si>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</si>
  <si>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</si>
  <si>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</si>
  <si>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</si>
  <si>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</si>
  <si>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</si>
  <si>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</si>
  <si>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</si>
  <si>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</si>
  <si>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</si>
  <si>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</si>
  <si>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</si>
  <si>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</si>
  <si>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</si>
  <si>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</si>
  <si>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</si>
  <si>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</si>
  <si>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</si>
  <si>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</si>
  <si>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</si>
  <si>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</si>
  <si>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</si>
  <si>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</si>
  <si>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</si>
  <si>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</si>
  <si>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</si>
  <si>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</si>
  <si>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awake_price</t>
    <phoneticPr fontId="11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</si>
  <si>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</si>
  <si>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</si>
  <si>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</si>
  <si>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</si>
  <si>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</si>
  <si>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</si>
  <si>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</si>
  <si>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</si>
  <si>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</si>
  <si>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</si>
  <si>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</si>
  <si>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</si>
  <si>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</si>
  <si>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</si>
  <si>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</si>
  <si>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</si>
  <si>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</si>
  <si>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</si>
  <si>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</si>
  <si>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</si>
  <si>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</si>
  <si>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</si>
  <si>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</si>
  <si>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</si>
  <si>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</si>
  <si>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</si>
  <si>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</si>
  <si>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</si>
  <si>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</si>
  <si>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</si>
  <si>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</si>
  <si>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</si>
  <si>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</si>
  <si>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</si>
  <si>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</si>
  <si>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</si>
  <si>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</si>
  <si>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</si>
  <si>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</si>
  <si>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</si>
  <si>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</si>
  <si>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</si>
  <si>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</si>
  <si>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</si>
  <si>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</si>
  <si>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</si>
  <si>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</si>
  <si>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</si>
  <si>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</si>
  <si>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</si>
  <si>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</si>
  <si>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</si>
  <si>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</si>
  <si>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</si>
  <si>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</si>
  <si>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</si>
  <si>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</si>
  <si>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</si>
  <si>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</si>
  <si>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</si>
  <si>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</si>
  <si>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</si>
  <si>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</si>
  <si>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</si>
  <si>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</si>
  <si>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</si>
  <si>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</si>
  <si>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</si>
  <si>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</si>
  <si>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</si>
  <si>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</si>
  <si>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</si>
  <si>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</si>
  <si>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</si>
  <si>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</si>
  <si>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</si>
  <si>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</si>
  <si>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</si>
  <si>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</si>
  <si>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</si>
  <si>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</si>
  <si>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</si>
  <si>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</si>
  <si>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</si>
  <si>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.tmp</t>
    <phoneticPr fontId="22"/>
  </si>
  <si>
    <t>units_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</si>
  <si>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</si>
  <si>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</si>
  <si>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</si>
  <si>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</si>
  <si>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</si>
  <si>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</si>
  <si>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</si>
  <si>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</si>
  <si>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</si>
  <si>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</si>
  <si>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</si>
  <si>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</si>
  <si>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</si>
  <si>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</si>
  <si>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</si>
  <si>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</si>
  <si>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</si>
  <si>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</si>
  <si>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</si>
  <si>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</si>
  <si>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</si>
  <si>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</si>
  <si>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</si>
  <si>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</si>
  <si>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</si>
  <si>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</si>
  <si>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</si>
  <si>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</si>
  <si>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</si>
  <si>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</si>
  <si>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</si>
  <si>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</si>
  <si>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</si>
  <si>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</si>
  <si>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</si>
  <si>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</si>
  <si>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</si>
  <si>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</si>
  <si>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</si>
  <si>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</si>
  <si>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</si>
  <si>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</si>
  <si>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</si>
  <si>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</si>
  <si>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</si>
  <si>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</si>
  <si>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</si>
  <si>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</si>
  <si>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</si>
  <si>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</si>
  <si>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</si>
  <si>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</si>
  <si>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</si>
  <si>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</si>
  <si>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</si>
  <si>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</si>
  <si>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</si>
  <si>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</si>
  <si>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</si>
  <si>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</si>
  <si>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</si>
  <si>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</si>
  <si>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</si>
  <si>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</si>
  <si>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</si>
  <si>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</si>
  <si>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</si>
  <si>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</si>
  <si>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</si>
  <si>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</si>
  <si>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</si>
  <si>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</si>
  <si>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</si>
  <si>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</si>
  <si>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</si>
  <si>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</si>
  <si>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</si>
  <si>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</si>
  <si>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</si>
  <si>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</si>
  <si>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</si>
  <si>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</si>
  <si>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</si>
  <si>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</si>
  <si>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</si>
  <si>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</si>
  <si>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</si>
  <si>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</si>
  <si>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</si>
  <si>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</si>
  <si>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</si>
  <si>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</si>
  <si>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</si>
  <si>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</si>
  <si>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</si>
  <si>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</si>
  <si>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</si>
  <si>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</si>
  <si>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</si>
  <si>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</si>
  <si>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</si>
  <si>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</si>
  <si>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</si>
  <si>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</si>
  <si>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</si>
  <si>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</si>
  <si>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</si>
  <si>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</si>
  <si>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</si>
  <si>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</si>
  <si>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</si>
  <si>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</si>
  <si>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</si>
  <si>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</si>
  <si>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</si>
  <si>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</si>
  <si>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</si>
  <si>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</si>
  <si>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</si>
  <si>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</si>
  <si>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</si>
  <si>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</si>
  <si>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old</t>
    <phoneticPr fontId="22"/>
  </si>
  <si>
    <t>old</t>
    <phoneticPr fontId="22"/>
  </si>
  <si>
    <t>NULL</t>
    <phoneticPr fontId="10"/>
  </si>
  <si>
    <t>france</t>
    <phoneticPr fontId="22"/>
  </si>
  <si>
    <t>全体に大ダメージ</t>
    <rPh sb="0" eb="2">
      <t>ゼンタ</t>
    </rPh>
    <rPh sb="3" eb="4">
      <t>トクダ</t>
    </rPh>
    <phoneticPr fontId="22"/>
  </si>
  <si>
    <t>全体に特大ダメージ</t>
    <rPh sb="0" eb="2">
      <t>ゼンタ</t>
    </rPh>
    <rPh sb="3" eb="5">
      <t>トクダ</t>
    </rPh>
    <phoneticPr fontId="22"/>
  </si>
  <si>
    <t>[effect:damage_anti_tribe, target:enemy_one, tribe:unknown, val1:3.0, val2:1.13,  animation:damage_one_yellow04]</t>
    <phoneticPr fontId="22"/>
  </si>
  <si>
    <t>[effect:force_change_block, new_block:block_green, target:time_bomb, ignore:jammer, ignore02:crash, count:0, val:0, animation:change_block],[effect:force_change_block, new_block:block_green, target:block_yellow, ignore:jammer, ignore02:crash, count:0, val:0, animation:change_block]</t>
    <phoneticPr fontId="22"/>
  </si>
  <si>
    <t>[effect:damage, target:enemy_all, color:green, val:1.0, animation:damage_all_green05]</t>
    <phoneticPr fontId="22"/>
  </si>
  <si>
    <t>[effect:damage, target:enemy_all, color:green, val:1.125, animation:damage_all_green05]</t>
    <phoneticPr fontId="22"/>
  </si>
  <si>
    <t>[effect:damage_anti_tribe, target:enemy_one, tribe:human, val1:3.375, val2:1.3,  animation:damage_one_blue05]</t>
    <phoneticPr fontId="22"/>
  </si>
  <si>
    <t>[effect:force_change_block, new_block:block_green, target:time_bomb, ignore:jammer, ignore02:crash, count:0, val:0, animation:change_block],[effect:force_change_block, new_block:block_green, target:block_yellow, ignore:jammer, ignore02:crash, count:0, val:0, animation:change_block]</t>
    <phoneticPr fontId="22"/>
  </si>
  <si>
    <t>[effect:reduction, target:unit_all, turn:1, color:all, val:0.5, animation:reduction_one03],[effect:change_block, new_block:block_blue, target:block_yellow, count:-1, val:0, animation:change_block],[effect:change_block, new_block:block_blue, target:block_red, count:-1, val:0, animation:change_block]</t>
    <phoneticPr fontId="22"/>
  </si>
  <si>
    <t>1体に中ダメージ+
unknownに効果大</t>
    <phoneticPr fontId="9"/>
  </si>
  <si>
    <t>1体に大ダメージ+
unknownに効果特大</t>
    <rPh sb="20" eb="22">
      <t>トk</t>
    </rPh>
    <phoneticPr fontId="9"/>
  </si>
  <si>
    <t>1体に大ダメージ+
ヒューマンに効果超大</t>
    <rPh sb="1" eb="2">
      <t>タンタイ</t>
    </rPh>
    <rPh sb="3" eb="4">
      <t>ダイダメージ</t>
    </rPh>
    <phoneticPr fontId="22"/>
  </si>
  <si>
    <t>character_id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</si>
  <si>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</si>
  <si>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</si>
  <si>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</si>
  <si>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</si>
  <si>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</si>
  <si>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name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</si>
  <si>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</si>
  <si>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</si>
  <si>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</si>
  <si>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</si>
  <si>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awake_character_id</t>
    <phoneticPr fontId="9"/>
  </si>
  <si>
    <t>base_character_id</t>
    <phoneticPr fontId="9"/>
  </si>
  <si>
    <t>awake_cost</t>
    <phoneticPr fontId="9"/>
  </si>
  <si>
    <t>normal</t>
    <phoneticPr fontId="9"/>
  </si>
  <si>
    <t>temp_awake</t>
    <phoneticPr fontId="9"/>
  </si>
  <si>
    <t>base_character_id</t>
    <phoneticPr fontId="9"/>
  </si>
  <si>
    <t>material_bug</t>
    <phoneticPr fontId="9"/>
  </si>
  <si>
    <t>priority</t>
    <phoneticPr fontId="9"/>
  </si>
  <si>
    <t>old</t>
    <phoneticPr fontId="22"/>
  </si>
  <si>
    <t>fork_awake_units_</t>
    <phoneticPr fontId="22"/>
  </si>
  <si>
    <t>.tmp</t>
    <phoneticPr fontId="22"/>
  </si>
  <si>
    <t>fork_awake_units</t>
    <phoneticPr fontId="22"/>
  </si>
  <si>
    <t>character_id</t>
    <phoneticPr fontId="22"/>
  </si>
  <si>
    <t>awake_character_id</t>
    <phoneticPr fontId="22"/>
  </si>
  <si>
    <t>awake_cost</t>
    <phoneticPr fontId="22"/>
  </si>
  <si>
    <t>awake_type</t>
    <phoneticPr fontId="22"/>
  </si>
  <si>
    <t>awake_materials_</t>
    <phoneticPr fontId="22"/>
  </si>
  <si>
    <t>base_character_id</t>
    <phoneticPr fontId="9"/>
  </si>
  <si>
    <t>material_bug</t>
    <phoneticPr fontId="22"/>
  </si>
  <si>
    <t>fork_awake_materials_</t>
    <phoneticPr fontId="22"/>
  </si>
  <si>
    <t>awake_character_id</t>
    <phoneticPr fontId="22"/>
  </si>
  <si>
    <t>material_character_id</t>
    <phoneticPr fontId="22"/>
  </si>
  <si>
    <t>priority</t>
    <phoneticPr fontId="22"/>
  </si>
  <si>
    <t>1体に大ダメージ</t>
    <phoneticPr fontId="22"/>
  </si>
  <si>
    <t>[effect:damage, target:enemy_one, color:yellow, val:2.0, animation:damage_one_yellow04]</t>
    <phoneticPr fontId="22"/>
  </si>
  <si>
    <t>[effect:damage_anti_tribe, target:enemy_one, tribe:human, val1:3.75, val2:1.3,  animation:damage_one_blue05]</t>
    <phoneticPr fontId="22"/>
  </si>
  <si>
    <t>2ターン自身の攻撃力を超大UP+特大カウンター</t>
    <phoneticPr fontId="22"/>
  </si>
  <si>
    <t>1体に大ダメージ+
1ターン緑属性の防御力UP</t>
    <phoneticPr fontId="22"/>
  </si>
  <si>
    <t>1体に特大ダメージ+
1ターン緑属性の防御力UP</t>
    <phoneticPr fontId="22"/>
  </si>
  <si>
    <t>赤・黄パネルを青パネルに変換+1ターンの間敵からのダメージを50%軽減</t>
    <phoneticPr fontId="22"/>
  </si>
  <si>
    <t>2ターン自身の攻撃力を超大UP+特大カウンター</t>
    <phoneticPr fontId="22"/>
  </si>
  <si>
    <t>黄・時限式ダメージパネルを緑パネルに変換</t>
    <phoneticPr fontId="22"/>
  </si>
  <si>
    <t>[effect:enhance_unit, target:unit_human, turn:2, status:attack, val:0.255, calc:mul, animation:enhance_unit_all_attack03],
[effect:enhance_unit, target:unit_human, turn:2, status:defense, val:1440, calc:add, animation:enhance_unit_all_defense03_unit01],[effect:force_change_block, new_block:block_yellow, target:block_red, ignore:crash, ignore02:crash, count:0, val:0, animation:change_block],[effect:enhance_unit, target:myself, turn:2, status:attack, val:0.255, calc:mul, animation:enhance_unit_all_attack03],[effect:enhance_unit, target:myself, turn:2, status:defense, val:1440, calc:add, animation:enhance_unit_all_defense03_unit01]</t>
    <phoneticPr fontId="22"/>
  </si>
  <si>
    <t>[effect:enhance_unit, target:unit_human, turn:2, status:attack, val:0.255, calc:mul, animation:enhance_unit_all_attack03],
[effect:enhance_unit, target:unit_human, turn:2, status:defense, val:1440, calc:add, animation:enhance_unit_all_defense03_unit01],[effect:force_change_block, new_block:block_yellow, target:block_red, ignore:crash, ignore02:crash, count:0, val:0, animation:change_block],[effect:enhance_unit, target:myself, turn:2, status:attack, val:0.255, calc:mul, animation:enhance_unit_all_attack03],[effect:enhance_unit, target:myself, turn:2, status:defense, val:1440, calc:add, animation:enhance_unit_all_defense03_unit01]</t>
    <phoneticPr fontId="22"/>
  </si>
  <si>
    <t>赤・黄パネルを青パネルに変換+1ターンの間敵からのダメージを50%軽減</t>
    <phoneticPr fontId="22"/>
  </si>
  <si>
    <t>1体に特大ダメージ+
2ターン全ユニットの回復力小UP</t>
    <rPh sb="1" eb="2">
      <t>タンタイ</t>
    </rPh>
    <phoneticPr fontId="22"/>
  </si>
  <si>
    <t>1体に超大ダメージ+
2ターン全ユニットの回復力小UP</t>
    <rPh sb="1" eb="2">
      <t>タンタイ</t>
    </rPh>
    <phoneticPr fontId="22"/>
  </si>
  <si>
    <t>[effect:damage, target:enemy_one, color:red, val:2.25, animation:damage_one_red04],
[effect:enhance_unit, target:unit_all, turn:2, status:heal, val:0.015, calc:mul,animation:enhance_unit_all_heal01_unit01]</t>
    <phoneticPr fontId="22"/>
  </si>
  <si>
    <t>[effect:damage, target:enemy_one, color:red, val:2.5, animation:damage_one_red04],
[effect:enhance_unit, target:unit_all, turn:2, status:heal, val:0.015, calc:mul,animation:enhance_unit_all_heal01_unit01]</t>
    <phoneticPr fontId="22"/>
  </si>
  <si>
    <t>緑パネルを赤パネルに、ランダムで最大1つSCパネル(大)に変換+2ターンの間全ユニットの攻撃力UP(青パネル吸収で効果UP)</t>
    <phoneticPr fontId="22"/>
  </si>
  <si>
    <t>ヴィクトリー･ナックル</t>
  </si>
  <si>
    <t>ヴィクトリー･トーピードゥ</t>
  </si>
  <si>
    <t>キャンドル･メイス</t>
  </si>
  <si>
    <t>シャンデリア･エレクサイズ</t>
  </si>
  <si>
    <t>クリミナル･リストレイン</t>
  </si>
  <si>
    <t>クリミナル･パニッシュメント</t>
  </si>
  <si>
    <t>モルト･グローリア</t>
  </si>
  <si>
    <t>モルト･ベネティクトゥス</t>
  </si>
  <si>
    <t>オ･ルヴォワール･デスティネ</t>
  </si>
  <si>
    <t>オ･ルヴォワール･フルリール</t>
  </si>
  <si>
    <t>革盟の硝炎</t>
  </si>
  <si>
    <t>革盟の劫火</t>
  </si>
  <si>
    <t>蝶舞蜂刺</t>
  </si>
  <si>
    <t>光焔馬丈</t>
  </si>
  <si>
    <t>逢命の鍵斧</t>
  </si>
  <si>
    <t>賭命の双鍵斧</t>
  </si>
  <si>
    <t>遮痛の葬奏刃</t>
  </si>
  <si>
    <t>永昏の鎮魂刃</t>
  </si>
  <si>
    <t>隻腕の閃拳</t>
  </si>
  <si>
    <t>隻腕の翠波拳</t>
  </si>
  <si>
    <t>燭灯の憐杖</t>
  </si>
  <si>
    <t>燭灯の彩断鎌</t>
  </si>
  <si>
    <t>獄々の碧弾</t>
  </si>
  <si>
    <t>獄々の彩砲弾</t>
  </si>
  <si>
    <t>正々堂々やろうじゃないか</t>
  </si>
  <si>
    <t>この称号は飾りじゃないぞ</t>
  </si>
  <si>
    <t>ワシの弾幕は避けれんぞ！</t>
  </si>
  <si>
    <t>giza</t>
    <phoneticPr fontId="22"/>
  </si>
  <si>
    <t>この戦術ならどうだ？</t>
  </si>
  <si>
    <t>降参の準備はできたか？</t>
  </si>
  <si>
    <t>無作法な方はお帰り頂きます</t>
  </si>
  <si>
    <t>消灯時間ですわ！</t>
    <phoneticPr fontId="22"/>
  </si>
  <si>
    <t>気品を重んじなさい！</t>
  </si>
  <si>
    <t>全ては主人のために…！</t>
  </si>
  <si>
    <t>すこーし痛いですわよ？</t>
    <phoneticPr fontId="22"/>
  </si>
  <si>
    <t>消灯時間ですわ</t>
    <phoneticPr fontId="22"/>
  </si>
  <si>
    <t>さあ革命の時間だ！！</t>
  </si>
  <si>
    <t>giza</t>
    <phoneticPr fontId="22"/>
  </si>
  <si>
    <t>kumo</t>
    <phoneticPr fontId="22"/>
  </si>
  <si>
    <t>不可能なんてあるわけないぜ</t>
    <phoneticPr fontId="22"/>
  </si>
  <si>
    <t>オレが状況を作る！！</t>
  </si>
  <si>
    <t>オレは誰にも服従しない！</t>
    <phoneticPr fontId="22"/>
  </si>
  <si>
    <t>想像力が世界を支配する!</t>
  </si>
  <si>
    <t>出来ないことなどない！</t>
  </si>
  <si>
    <t>想像力が世界を支配する！</t>
    <phoneticPr fontId="22"/>
  </si>
  <si>
    <t>私の勝利に賭けますわ！</t>
  </si>
  <si>
    <t>わざとではありませんのよ</t>
  </si>
  <si>
    <t>強情なお方ですのね…</t>
  </si>
  <si>
    <t>賽は投げられましたわ！</t>
  </si>
  <si>
    <t>運は私に味方しますわ！</t>
  </si>
  <si>
    <t>貴方は何を賭けますの？</t>
  </si>
  <si>
    <t>マスターの命令は絶対…</t>
  </si>
  <si>
    <t>砲撃準備完了しました</t>
  </si>
  <si>
    <t>ターゲット補足完了</t>
  </si>
  <si>
    <t>防衛作戦、実行します</t>
  </si>
  <si>
    <t>アナタを拘束します</t>
  </si>
  <si>
    <t>痛みなんて感じさせない</t>
  </si>
  <si>
    <t>一瞬で終わらせてやる</t>
  </si>
  <si>
    <t>死が祝福してるぞ</t>
  </si>
  <si>
    <t>速やかに執行するぞ</t>
  </si>
  <si>
    <t>罪なき命に祈りを…</t>
  </si>
  <si>
    <t>判決が全てだ</t>
  </si>
  <si>
    <t>giza</t>
    <phoneticPr fontId="22"/>
  </si>
  <si>
    <t>maru</t>
    <phoneticPr fontId="22"/>
  </si>
  <si>
    <t>maru</t>
    <phoneticPr fontId="22"/>
  </si>
  <si>
    <t>kumo</t>
    <phoneticPr fontId="22"/>
  </si>
  <si>
    <t>2ターンヒューマンと自身の攻撃力と防御力特大UP+赤パネルを黄パネルに変換</t>
    <phoneticPr fontId="22"/>
  </si>
  <si>
    <t>[effect:counter_new, target:unit_all, invoke_condition:enemy_all, counter_target:attacker, turn:2, val:2, animation:counter_buff03],[effect:enhance_unit, target:myself, turn:2, status:attack, val:0.28, calc:mul, animation:enhance_unit_all_attack03]</t>
    <phoneticPr fontId="22"/>
  </si>
  <si>
    <t>[effect:break_enchance_unit, val:0.005, lowest_val:0.2, count :-1, status:attack, turn:3, block:block_heart, target:myself, calc:mul, animation:enhance_unit_all_attack04],[effect:damage_absorb, target:enemy_one, color:yellow, val:8.16, heal_ratio:0.3, animation:damage_one_yellow06]</t>
    <phoneticPr fontId="22"/>
  </si>
  <si>
    <t>[effect:damage, target:enemy_one, color:green, val:1.2, animation:damage_one_green04],
[effect:enhance_unit, target:unit_green, turn:1, status:defense, val:72, calc:add,animation:enhance_unit_all_deffence02_unit01]</t>
    <phoneticPr fontId="22"/>
  </si>
  <si>
    <t>[effect:damage, target:enemy_one, color:green, val:1.5, animation:damage_one_green04],
[effect:enhance_unit, target:unit_green, turn:1, status:defense, val:72, calc:add,animation:enhance_unit_all_deffence02_unit01]</t>
    <phoneticPr fontId="22"/>
  </si>
  <si>
    <t>hero</t>
    <phoneticPr fontId="10"/>
  </si>
  <si>
    <t>hero</t>
    <phoneticPr fontId="10"/>
  </si>
  <si>
    <t>デスティネ･セリュール</t>
    <phoneticPr fontId="22"/>
  </si>
  <si>
    <t>凱旋の狩銃</t>
    <phoneticPr fontId="22"/>
  </si>
  <si>
    <t>祝勝の狩銃</t>
    <phoneticPr fontId="22"/>
  </si>
  <si>
    <t>1体に特大ダメージ+
1ターン赤属性の回復力小UP</t>
    <phoneticPr fontId="22"/>
  </si>
  <si>
    <t>1体に超大ダメージ+
1ターン赤属性の回復力小UP</t>
    <phoneticPr fontId="22"/>
  </si>
  <si>
    <t>[effect:damage, target:enemy_one, color:red, val:2.25, animation:damage_one_red04],
[effect:enhance_unit, target:unit_red, turn:1, status:heal, val:0.015, calc:mul,animation:enhance_unit_all_heal01_unit01]</t>
    <phoneticPr fontId="22"/>
  </si>
  <si>
    <t>[effect:damage, target:enemy_one, color:red, val:2.5, animation:damage_one_red04],
[effect:enhance_unit, target:unit_red, turn:1, status:heal, val:0.015, calc:mul,animation:enhance_unit_all_heal01_unit01]</t>
    <phoneticPr fontId="22"/>
  </si>
  <si>
    <t>理想の邪魔はさせねぇ！</t>
  </si>
  <si>
    <t>お前の心に鍵を掛けてやるよ</t>
  </si>
  <si>
    <t>狩りの時間だ！</t>
  </si>
  <si>
    <t>自由に生きたいんだよ！</t>
  </si>
  <si>
    <t>全部撃ち落としてやる！</t>
  </si>
  <si>
    <t>まだ希望はあるってか？</t>
  </si>
  <si>
    <t>[effect:break_enchance_unit, val:0.005, lowest_val:0.2, count :-1, status:attack, turn:2, block:block_blue, target:unit_all, calc:mul, animation:enhance_unit_all_attack04],[effect:force_change_block, new_block:block_red, target:block_green, ignore01:block_red, ignore02:crash, count:0, val:0, animation:change_block],[effect:force_change_block, new_block:crash, target:block_all, ignore01:block_red, ignore02:crash,ignore03:block_green,ignore04:block_blue,count:1, val:24, animation:change_block]</t>
    <phoneticPr fontId="22"/>
  </si>
  <si>
    <t>[effect:damage_anti_tribe, target:enemy_one, tribe:unknown, val1:3.375, val2:1.3,  animation:damage_one_yellow04]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</si>
  <si>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</si>
  <si>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</si>
  <si>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</si>
  <si>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</si>
  <si>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</si>
  <si>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</si>
  <si>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</si>
  <si>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</si>
  <si>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</si>
  <si>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</si>
  <si>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</si>
  <si>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</si>
  <si>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</si>
  <si>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</si>
  <si>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</si>
  <si>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</si>
  <si>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</si>
  <si>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</si>
  <si>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</si>
  <si>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</si>
  <si>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</si>
  <si>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</si>
  <si>
    <t>1体に超大ダメージ(与えたダメージの30%でHP回復)+4ターン自身の攻撃力UP(ハートパネルを吸収して効果UP)</t>
    <rPh sb="3" eb="5">
      <t>チョウダイ</t>
    </rPh>
    <phoneticPr fontId="22"/>
  </si>
  <si>
    <t>1体に特大ダメージ(与えたダメージの30%でHP回復)+3ターン自身の攻撃力UP(ハートパネルを吸収して効果UP)</t>
    <phoneticPr fontId="22"/>
  </si>
  <si>
    <t>[effect:force_change_block, new_block:crash, target:block_all, ignore01:jammer, ignore02:crash, ,ignore03:crack_bomb, ignore04:magnet, count:2, val:12, animation:change_block],[effect:force_change_block, new_block:crack_bomb, target:jammer,color:block_red,count:0, val:8, animation:change_block],[effect:force_change_block, new_block:crack_bomb, target:block_all, ignore01:crash, ignore02:crack_bomb, ignore03:color_break, ignore04:magnet, color:red, count:1, val:24, animation:change_block],[effect:cure, bad_status:virus, animation:cure01],[effect:enhance_unit, target:unit_red, turn:1, status:action, val:1, calc:add, animation:enhance_unit_one_action01]</t>
    <phoneticPr fontId="22"/>
  </si>
  <si>
    <t>お邪魔パネルを赤ボムに、ランダムで最大2個SCPに、1個赤ボム(大)に変換+ウィルス解除+1ターン赤属性のタップ回数を1増やす</t>
    <phoneticPr fontId="22"/>
  </si>
  <si>
    <t>1体に超大ダメージ+
1ターン黄属性ユニットの攻撃力小UP</t>
    <phoneticPr fontId="22"/>
  </si>
  <si>
    <t>[effect:break_enchance_unit, val:0.005, lowest_val:0.2, count :-1, status:attack, turn:4, block:block_heart, target:myself, calc:mul, animation:enhance_unit_all_attack04],[effect:damage_absorb, target:enemy_one, color:yellow, val:11.2, heal_ratio:0.3, animation:damage_one_yellow06]</t>
    <phoneticPr fontId="22"/>
  </si>
  <si>
    <t>[effect:damage, target:enemy_one, color:yellow, val:2, animation:damage_one_yellow04],[effect:enhance_unit, target:unit_yellow, turn:1, status:attack, val:0.018, calc:mul, animation:enhance_unit_all_attack01_unit01]</t>
    <phoneticPr fontId="22"/>
  </si>
  <si>
    <t>緑パネルを赤ボムに、ランダムで最大1個SCP(大)に変換+2ターン全ユニットの攻撃力をUP(青・ダメージパネルを吸収し効果UP)</t>
    <phoneticPr fontId="22"/>
  </si>
  <si>
    <t>[effect:force_change_block, new_block:crack_bomb, target:block_green, color:red, count:0, val:12, animation:change_block],[effect:force_change_block, new_block:crash, target:block_all, ignore01:block_red, ignore02:crash,ignore03:block_green,ignore04:block_blue,count:1, val:24, animation:change_block],[effect:break_enchance_unit, val:0.005, lowest_val:0.2, count :-1, status:attack, turn:2, block01:block_blue, block02:damage, target:unit_all, calc:mul, animation:enhance_unit_all_attack04]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</si>
</sst>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4" tint="0.79998168889431442"/>
        <bgColor indexed="59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61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4" xfId="0" applyFill="1" applyBorder="1"/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6" fillId="7" borderId="18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vertical="center" wrapText="1"/>
    </xf>
    <xf numFmtId="0" fontId="16" fillId="15" borderId="0" xfId="0" applyFont="1" applyFill="1" applyAlignment="1">
      <alignment horizontal="left" vertical="center"/>
    </xf>
    <xf numFmtId="0" fontId="14" fillId="26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15" fillId="8" borderId="28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28" xfId="0" applyFont="1" applyFill="1" applyBorder="1" applyAlignment="1">
      <alignment horizontal="left" vertical="center"/>
    </xf>
    <xf numFmtId="0" fontId="12" fillId="7" borderId="28" xfId="0" applyFont="1" applyFill="1" applyBorder="1" applyAlignment="1">
      <alignment horizontal="left" vertical="center"/>
    </xf>
    <xf numFmtId="0" fontId="15" fillId="11" borderId="28" xfId="0" applyFont="1" applyFill="1" applyBorder="1" applyAlignment="1">
      <alignment horizontal="left" vertical="center"/>
    </xf>
    <xf numFmtId="0" fontId="12" fillId="9" borderId="29" xfId="0" applyFont="1" applyFill="1" applyBorder="1" applyAlignment="1">
      <alignment horizontal="left" vertical="center"/>
    </xf>
    <xf numFmtId="0" fontId="15" fillId="8" borderId="30" xfId="0" applyFont="1" applyFill="1" applyBorder="1" applyAlignment="1">
      <alignment horizontal="left" vertical="center"/>
    </xf>
    <xf numFmtId="0" fontId="15" fillId="8" borderId="12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7" borderId="4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>
      <alignment horizontal="center"/>
    </xf>
    <xf numFmtId="0" fontId="12" fillId="29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right" vertical="center" wrapText="1"/>
    </xf>
    <xf numFmtId="0" fontId="16" fillId="0" borderId="4" xfId="0" applyFont="1" applyFill="1" applyBorder="1"/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0" fillId="0" borderId="6" xfId="0" applyFill="1" applyBorder="1"/>
    <xf numFmtId="0" fontId="0" fillId="0" borderId="4" xfId="0" applyBorder="1" applyAlignment="1">
      <alignment wrapText="1"/>
    </xf>
  </cellXfs>
  <cellStyles count="461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Ranking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unit_abilities"/>
      <sheetName val="abilities"/>
      <sheetName val="abilities_old"/>
      <sheetName val="→base値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2"/>
  <sheetViews>
    <sheetView topLeftCell="K1" workbookViewId="0">
      <selection activeCell="R8" sqref="R8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5" t="s">
        <v>122</v>
      </c>
      <c r="B1" s="105" t="s">
        <v>113</v>
      </c>
      <c r="C1" s="105" t="s">
        <v>114</v>
      </c>
      <c r="D1" s="105" t="s">
        <v>115</v>
      </c>
      <c r="E1" s="105" t="s">
        <v>116</v>
      </c>
      <c r="F1" s="105" t="s">
        <v>117</v>
      </c>
      <c r="G1" s="105" t="s">
        <v>118</v>
      </c>
      <c r="H1" s="105"/>
      <c r="I1" s="105"/>
      <c r="J1" s="105"/>
      <c r="K1" s="105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x14ac:dyDescent="0.15">
      <c r="A2" s="107" t="s">
        <v>247</v>
      </c>
      <c r="B2" s="107" t="s">
        <v>124</v>
      </c>
      <c r="C2" s="163" t="s">
        <v>250</v>
      </c>
      <c r="D2" s="107" t="s">
        <v>123</v>
      </c>
      <c r="E2" s="106" t="str">
        <f>B2&amp;C2&amp;D2</f>
        <v>units_france.tmp</v>
      </c>
      <c r="F2" s="107" t="s">
        <v>121</v>
      </c>
      <c r="G2" s="62" t="s">
        <v>17</v>
      </c>
      <c r="H2" s="63" t="s">
        <v>94</v>
      </c>
      <c r="I2" s="63" t="s">
        <v>1</v>
      </c>
      <c r="J2" s="63" t="s">
        <v>3</v>
      </c>
      <c r="K2" s="63" t="s">
        <v>2</v>
      </c>
      <c r="L2" s="63" t="s">
        <v>96</v>
      </c>
      <c r="M2" s="63" t="s">
        <v>20</v>
      </c>
      <c r="N2" s="63" t="s">
        <v>100</v>
      </c>
      <c r="O2" s="63" t="s">
        <v>98</v>
      </c>
      <c r="P2" s="63" t="s">
        <v>38</v>
      </c>
      <c r="Q2" s="63" t="s">
        <v>55</v>
      </c>
      <c r="R2" s="107" t="s">
        <v>422</v>
      </c>
      <c r="S2" s="107"/>
      <c r="T2" s="107"/>
      <c r="U2" s="107"/>
      <c r="V2" s="107"/>
      <c r="W2" s="107"/>
    </row>
    <row r="3" spans="1:23" x14ac:dyDescent="0.15">
      <c r="A3" s="107" t="s">
        <v>282</v>
      </c>
      <c r="B3" s="107" t="s">
        <v>283</v>
      </c>
      <c r="C3" s="163" t="s">
        <v>250</v>
      </c>
      <c r="D3" s="107" t="s">
        <v>284</v>
      </c>
      <c r="E3" s="106" t="str">
        <f>B3&amp;C3&amp;D3</f>
        <v>fork_awake_units_france.tmp</v>
      </c>
      <c r="F3" s="107" t="s">
        <v>285</v>
      </c>
      <c r="G3" s="184" t="s">
        <v>286</v>
      </c>
      <c r="H3" s="185" t="s">
        <v>287</v>
      </c>
      <c r="I3" s="185" t="s">
        <v>288</v>
      </c>
      <c r="J3" s="109" t="s">
        <v>289</v>
      </c>
      <c r="K3" s="186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3" x14ac:dyDescent="0.15">
      <c r="A4" s="107" t="s">
        <v>282</v>
      </c>
      <c r="B4" s="107" t="s">
        <v>290</v>
      </c>
      <c r="C4" s="163" t="s">
        <v>250</v>
      </c>
      <c r="D4" s="107" t="s">
        <v>284</v>
      </c>
      <c r="E4" s="106" t="str">
        <f>B4&amp;C4&amp;D4</f>
        <v>awake_materials_france.tmp</v>
      </c>
      <c r="F4" s="107" t="s">
        <v>120</v>
      </c>
      <c r="G4" s="184" t="s">
        <v>291</v>
      </c>
      <c r="H4" s="185" t="s">
        <v>36</v>
      </c>
      <c r="I4" s="185" t="s">
        <v>37</v>
      </c>
      <c r="J4" s="109" t="s">
        <v>292</v>
      </c>
      <c r="K4" s="186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3" x14ac:dyDescent="0.15">
      <c r="A5" s="107" t="s">
        <v>282</v>
      </c>
      <c r="B5" s="107" t="s">
        <v>293</v>
      </c>
      <c r="C5" s="163" t="s">
        <v>250</v>
      </c>
      <c r="D5" s="107" t="s">
        <v>123</v>
      </c>
      <c r="E5" s="106" t="str">
        <f>B5&amp;C5&amp;D5</f>
        <v>fork_awake_materials_france.tmp</v>
      </c>
      <c r="F5" s="107" t="s">
        <v>120</v>
      </c>
      <c r="G5" s="184" t="s">
        <v>263</v>
      </c>
      <c r="H5" s="185" t="s">
        <v>294</v>
      </c>
      <c r="I5" s="185" t="s">
        <v>295</v>
      </c>
      <c r="J5" s="185" t="s">
        <v>37</v>
      </c>
      <c r="K5" s="109" t="s">
        <v>292</v>
      </c>
      <c r="L5" s="109" t="s">
        <v>296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3" x14ac:dyDescent="0.15">
      <c r="A6" s="107" t="s">
        <v>247</v>
      </c>
      <c r="B6" s="107" t="s">
        <v>125</v>
      </c>
      <c r="C6" s="163" t="s">
        <v>250</v>
      </c>
      <c r="D6" s="107" t="s">
        <v>126</v>
      </c>
      <c r="E6" s="106" t="str">
        <f t="shared" ref="E6" si="0">B6&amp;C6&amp;D6</f>
        <v>unit_levels_calc_france.tmp</v>
      </c>
      <c r="F6" s="107" t="s">
        <v>119</v>
      </c>
      <c r="G6" s="58" t="s">
        <v>17</v>
      </c>
      <c r="H6" s="59" t="s">
        <v>2</v>
      </c>
      <c r="I6" s="60" t="s">
        <v>77</v>
      </c>
      <c r="J6" s="60" t="s">
        <v>78</v>
      </c>
      <c r="K6" s="60" t="s">
        <v>79</v>
      </c>
      <c r="L6" s="60" t="s">
        <v>80</v>
      </c>
      <c r="M6" s="60" t="s">
        <v>85</v>
      </c>
      <c r="N6" s="60" t="s">
        <v>86</v>
      </c>
      <c r="O6" s="60" t="s">
        <v>87</v>
      </c>
      <c r="P6" s="60" t="s">
        <v>88</v>
      </c>
      <c r="Q6" s="60" t="s">
        <v>89</v>
      </c>
      <c r="R6" s="60" t="s">
        <v>92</v>
      </c>
      <c r="S6" s="60" t="s">
        <v>90</v>
      </c>
      <c r="T6" s="60" t="s">
        <v>91</v>
      </c>
      <c r="U6" s="60" t="s">
        <v>81</v>
      </c>
      <c r="V6" s="60" t="s">
        <v>82</v>
      </c>
      <c r="W6" s="60" t="s">
        <v>83</v>
      </c>
    </row>
    <row r="7" spans="1:23" x14ac:dyDescent="0.15">
      <c r="A7" s="107" t="s">
        <v>247</v>
      </c>
      <c r="B7" s="107" t="s">
        <v>137</v>
      </c>
      <c r="C7" s="163" t="s">
        <v>250</v>
      </c>
      <c r="D7" s="107" t="s">
        <v>138</v>
      </c>
      <c r="E7" s="106" t="str">
        <f>B7&amp;C7&amp;D7</f>
        <v>unit_skills_data_france.tmp</v>
      </c>
      <c r="F7" s="107" t="s">
        <v>139</v>
      </c>
      <c r="G7" s="113" t="s">
        <v>20</v>
      </c>
      <c r="H7" s="113" t="s">
        <v>140</v>
      </c>
      <c r="I7" s="113" t="s">
        <v>2</v>
      </c>
      <c r="J7" s="113" t="s">
        <v>141</v>
      </c>
      <c r="K7" s="113" t="s">
        <v>142</v>
      </c>
      <c r="L7" s="113" t="s">
        <v>4</v>
      </c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</row>
    <row r="8" spans="1:23" x14ac:dyDescent="0.15">
      <c r="A8" s="107" t="s">
        <v>248</v>
      </c>
      <c r="B8" s="107" t="s">
        <v>143</v>
      </c>
      <c r="C8" s="163" t="s">
        <v>250</v>
      </c>
      <c r="D8" s="107" t="s">
        <v>123</v>
      </c>
      <c r="E8" s="106" t="str">
        <f>B8&amp;C8&amp;D8</f>
        <v>unit_skills_i18n_france.tmp</v>
      </c>
      <c r="F8" s="107" t="s">
        <v>139</v>
      </c>
      <c r="G8" s="113" t="s">
        <v>144</v>
      </c>
      <c r="H8" s="113" t="s">
        <v>128</v>
      </c>
      <c r="I8" s="113" t="s">
        <v>145</v>
      </c>
      <c r="J8" s="113" t="s">
        <v>146</v>
      </c>
      <c r="K8" s="108"/>
      <c r="L8" s="108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23" x14ac:dyDescent="0.15">
      <c r="A9" s="107" t="s">
        <v>248</v>
      </c>
      <c r="B9" s="107" t="s">
        <v>147</v>
      </c>
      <c r="C9" s="163" t="s">
        <v>250</v>
      </c>
      <c r="D9" s="107" t="s">
        <v>148</v>
      </c>
      <c r="E9" s="106" t="str">
        <f>B9&amp;C9&amp;D9</f>
        <v>crash_skills_data_france.tmp</v>
      </c>
      <c r="F9" s="107" t="s">
        <v>149</v>
      </c>
      <c r="G9" s="113" t="s">
        <v>150</v>
      </c>
      <c r="H9" s="113" t="s">
        <v>142</v>
      </c>
      <c r="I9" s="113" t="s">
        <v>4</v>
      </c>
      <c r="J9" s="108"/>
      <c r="K9" s="108"/>
      <c r="L9" s="108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23" x14ac:dyDescent="0.15">
      <c r="A10" s="107" t="s">
        <v>248</v>
      </c>
      <c r="B10" s="107" t="s">
        <v>151</v>
      </c>
      <c r="C10" s="163" t="s">
        <v>250</v>
      </c>
      <c r="D10" s="107" t="s">
        <v>152</v>
      </c>
      <c r="E10" s="106" t="str">
        <f t="shared" ref="E10" si="1">B10&amp;C10&amp;D10</f>
        <v>crash_skills_i18n_france.tmp</v>
      </c>
      <c r="F10" s="107" t="s">
        <v>149</v>
      </c>
      <c r="G10" s="113" t="s">
        <v>153</v>
      </c>
      <c r="H10" s="113" t="s">
        <v>154</v>
      </c>
      <c r="I10" s="113" t="s">
        <v>155</v>
      </c>
      <c r="J10" s="113" t="s">
        <v>156</v>
      </c>
      <c r="K10" s="114"/>
      <c r="L10" s="114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</row>
    <row r="11" spans="1:23" x14ac:dyDescent="0.15">
      <c r="A11" s="107" t="s">
        <v>248</v>
      </c>
      <c r="B11" s="108" t="s">
        <v>129</v>
      </c>
      <c r="C11" s="163" t="s">
        <v>250</v>
      </c>
      <c r="D11" s="107" t="s">
        <v>152</v>
      </c>
      <c r="E11" s="106" t="str">
        <f t="shared" ref="E11:E12" si="2">B11&amp;C11&amp;D11</f>
        <v>unit_serifs_data_france.tmp</v>
      </c>
      <c r="F11" s="108" t="s">
        <v>131</v>
      </c>
      <c r="G11" s="112" t="s">
        <v>132</v>
      </c>
      <c r="H11" s="113" t="s">
        <v>133</v>
      </c>
      <c r="I11" s="113" t="s">
        <v>127</v>
      </c>
      <c r="J11" s="111" t="s">
        <v>184</v>
      </c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</row>
    <row r="12" spans="1:23" x14ac:dyDescent="0.15">
      <c r="A12" s="107" t="s">
        <v>248</v>
      </c>
      <c r="B12" s="108" t="s">
        <v>130</v>
      </c>
      <c r="C12" s="163" t="s">
        <v>250</v>
      </c>
      <c r="D12" s="107" t="s">
        <v>152</v>
      </c>
      <c r="E12" s="106" t="str">
        <f t="shared" si="2"/>
        <v>unit_serifs_i18n_france.tmp</v>
      </c>
      <c r="F12" s="108" t="s">
        <v>131</v>
      </c>
      <c r="G12" s="112" t="s">
        <v>134</v>
      </c>
      <c r="H12" s="113" t="s">
        <v>135</v>
      </c>
      <c r="I12" s="113" t="s">
        <v>136</v>
      </c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</row>
  </sheetData>
  <phoneticPr fontId="22"/>
  <dataValidations count="1">
    <dataValidation type="list" allowBlank="1" showInputMessage="1" showErrorMessage="1" sqref="A2:A12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5"/>
  <sheetViews>
    <sheetView showGridLines="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G13" sqref="G1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5" bestFit="1" customWidth="1"/>
    <col min="42" max="42" width="14.33203125" style="15" bestFit="1" customWidth="1"/>
    <col min="43" max="43" width="20.83203125" style="13" customWidth="1" collapsed="1"/>
    <col min="44" max="44" width="80.6640625" style="13" hidden="1" customWidth="1" outlineLevel="1"/>
    <col min="45" max="45" width="6.83203125" style="13" customWidth="1"/>
    <col min="46" max="46" width="15.6640625" style="12" bestFit="1" customWidth="1"/>
    <col min="47" max="47" width="43.6640625" style="13" customWidth="1" collapsed="1"/>
    <col min="48" max="48" width="43.6640625" style="13" hidden="1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79" t="s">
        <v>105</v>
      </c>
      <c r="B1" s="81" t="s">
        <v>42</v>
      </c>
      <c r="C1" s="84" t="s">
        <v>27</v>
      </c>
      <c r="D1" s="84" t="s">
        <v>30</v>
      </c>
      <c r="E1" s="84" t="s">
        <v>28</v>
      </c>
      <c r="F1" s="84" t="s">
        <v>29</v>
      </c>
      <c r="G1" s="79" t="s">
        <v>1</v>
      </c>
      <c r="H1" s="82" t="s">
        <v>19</v>
      </c>
      <c r="I1" s="83" t="s">
        <v>0</v>
      </c>
      <c r="J1" s="85" t="s">
        <v>47</v>
      </c>
      <c r="K1" s="85" t="s">
        <v>46</v>
      </c>
      <c r="L1" s="85" t="s">
        <v>48</v>
      </c>
      <c r="M1" s="85" t="s">
        <v>49</v>
      </c>
      <c r="N1" s="79" t="s">
        <v>3</v>
      </c>
      <c r="O1" s="86" t="s">
        <v>2</v>
      </c>
      <c r="P1" s="79" t="s">
        <v>95</v>
      </c>
      <c r="Q1" s="87" t="s">
        <v>18</v>
      </c>
      <c r="R1" s="78" t="s">
        <v>50</v>
      </c>
      <c r="S1" s="88" t="s">
        <v>23</v>
      </c>
      <c r="T1" s="88" t="s">
        <v>24</v>
      </c>
      <c r="U1" s="88" t="s">
        <v>26</v>
      </c>
      <c r="V1" s="88" t="s">
        <v>25</v>
      </c>
      <c r="W1" s="83" t="s">
        <v>32</v>
      </c>
      <c r="X1" s="84" t="s">
        <v>51</v>
      </c>
      <c r="Y1" s="83" t="s">
        <v>33</v>
      </c>
      <c r="Z1" s="84" t="s">
        <v>51</v>
      </c>
      <c r="AA1" s="85" t="s">
        <v>23</v>
      </c>
      <c r="AB1" s="85" t="s">
        <v>24</v>
      </c>
      <c r="AC1" s="85" t="s">
        <v>26</v>
      </c>
      <c r="AD1" s="85" t="s">
        <v>25</v>
      </c>
      <c r="AE1" s="89" t="s">
        <v>97</v>
      </c>
      <c r="AF1" s="78" t="s">
        <v>43</v>
      </c>
      <c r="AG1" s="90" t="s">
        <v>56</v>
      </c>
      <c r="AH1" s="78" t="s">
        <v>43</v>
      </c>
      <c r="AI1" s="90" t="s">
        <v>44</v>
      </c>
      <c r="AJ1" s="80" t="s">
        <v>65</v>
      </c>
      <c r="AK1" s="78" t="s">
        <v>21</v>
      </c>
      <c r="AL1" s="91" t="s">
        <v>66</v>
      </c>
      <c r="AM1" s="92" t="s">
        <v>64</v>
      </c>
      <c r="AN1" s="92" t="s">
        <v>67</v>
      </c>
      <c r="AO1" s="93" t="s">
        <v>31</v>
      </c>
      <c r="AP1" s="89" t="s">
        <v>20</v>
      </c>
      <c r="AQ1" s="94" t="s">
        <v>110</v>
      </c>
      <c r="AR1" s="94" t="s">
        <v>104</v>
      </c>
      <c r="AS1" s="78" t="s">
        <v>101</v>
      </c>
      <c r="AT1" s="89" t="s">
        <v>99</v>
      </c>
      <c r="AU1" s="78" t="s">
        <v>107</v>
      </c>
      <c r="AV1" s="94" t="s">
        <v>104</v>
      </c>
      <c r="AW1" s="78" t="s">
        <v>101</v>
      </c>
      <c r="AX1" s="84" t="s">
        <v>4</v>
      </c>
      <c r="AY1" s="95" t="s">
        <v>52</v>
      </c>
      <c r="AZ1" s="95" t="s">
        <v>53</v>
      </c>
      <c r="BA1" s="95" t="s">
        <v>111</v>
      </c>
      <c r="BB1" s="95" t="s">
        <v>54</v>
      </c>
      <c r="BC1" s="5" t="s">
        <v>22</v>
      </c>
      <c r="BD1" s="98" t="s">
        <v>34</v>
      </c>
      <c r="BE1" s="96" t="s">
        <v>5</v>
      </c>
      <c r="BF1" s="97" t="s">
        <v>6</v>
      </c>
      <c r="BG1" s="99" t="s">
        <v>68</v>
      </c>
      <c r="BH1" s="99" t="s">
        <v>69</v>
      </c>
      <c r="BI1" s="99" t="s">
        <v>70</v>
      </c>
      <c r="BJ1" s="99" t="s">
        <v>71</v>
      </c>
      <c r="BK1" s="100" t="s">
        <v>72</v>
      </c>
      <c r="BL1" s="100" t="s">
        <v>93</v>
      </c>
      <c r="BM1" s="100" t="s">
        <v>73</v>
      </c>
      <c r="BN1" s="100" t="s">
        <v>74</v>
      </c>
      <c r="BO1" s="101" t="s">
        <v>75</v>
      </c>
      <c r="BP1" s="102" t="s">
        <v>76</v>
      </c>
      <c r="BQ1" s="80" t="s">
        <v>84</v>
      </c>
      <c r="BR1" s="10" t="s">
        <v>423</v>
      </c>
    </row>
    <row r="2" spans="1:70" ht="26" customHeight="1" x14ac:dyDescent="0.15">
      <c r="A2" s="12">
        <v>931</v>
      </c>
      <c r="B2" s="56" t="str">
        <f ca="1">VLOOKUP($A2,OFFSET([1]characters!$A$1,0,0,COUNTA([1]characters!$A:$A),MATCH(B$1,[1]characters!$1:$1,0)-MATCH($A$1,[1]characters!$1:$1,0)+1),MATCH(B$1,[1]characters!$1:$1,0)-MATCH($A$1,[1]characters!$1:$1,0)+1,FALSE)</f>
        <v>ネルソン</v>
      </c>
      <c r="C2" s="56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各属性相性良3・黄・R535</v>
      </c>
      <c r="D2" s="56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6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6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6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6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6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7">
        <f ca="1">IF(G2 &gt;= 6, 99,G2*15)</f>
        <v>60</v>
      </c>
      <c r="Q2" s="56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6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6" t="str">
        <f ca="1">VLOOKUP($A2,OFFSET([1]characters!$A$1,0,0,COUNTA([1]characters!$A:$A),MATCH(Y$1,[1]characters!$1:$1,0)-MATCH($A$1,[1]characters!$1:$1,0)+1),MATCH(Y$1,[1]characters!$1:$1,0)-MATCH($A$1,[1]characters!$1:$1,0)+1,FALSE)</f>
        <v>machine</v>
      </c>
      <c r="Z2" s="5" t="str">
        <f ca="1">VLOOKUP(Y2,[1]character_tribe_i18n!$A:$H,3,FALSE)</f>
        <v>マシン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12">
        <v>932</v>
      </c>
      <c r="AF2" s="61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隻眼の英堤 ネルソン</v>
      </c>
      <c r="AG2" s="5">
        <f t="shared" ref="AG2:AG15" ca="1" si="0">IF(ISNA(MATCH(A2,AE:AE,0)),A2,INDIRECT(ADDRESS(MATCH(A2,AE:AE,0),COLUMN())))</f>
        <v>931</v>
      </c>
      <c r="AH2" s="61" t="str">
        <f ca="1">VLOOKUP($AG2,OFFSET([1]characters!$A$1,0,0,COUNTA([1]characters!$A:$A),MATCH(AH$1,[1]characters!$1:$1,0)-MATCH($A$1,[1]characters!$1:$1,0)+1),MATCH(AH$1,[1]characters!$1:$1,0)-MATCH($A$1,[1]characters!$1:$1,0)+1,FALSE)</f>
        <v>ネルソン</v>
      </c>
      <c r="AI2" s="11">
        <f ca="1">IF(AE2="NULL","NULL",VLOOKUP(G2,ビット!$A$2:$B$7,2))</f>
        <v>50000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4"/>
      <c r="AP2" s="166">
        <v>931</v>
      </c>
      <c r="AQ2" s="164" t="str">
        <f ca="1">VLOOKUP($AP2,OFFSET(unit_skills!$A$1,0,0,COUNTA(unit_skills!$A:$A),MATCH(AQ$1,unit_skills!$1:$1,0)-MATCH($AP$1,unit_skills!$1:$1,0)+1),MATCH(AQ$1,unit_skills!$1:$1,0)-MATCH($AP$1,unit_skills!$1:$1,0)+1,FALSE)</f>
        <v>ヴィクトリー･ナックル</v>
      </c>
      <c r="AR2" s="56" t="str">
        <f ca="1">VLOOKUP($AP2,OFFSET(unit_skills!$A$1,0,0,COUNTA(unit_skills!$A:$A),MATCH(AR$1,unit_skills!$1:$1,0)-MATCH($AP$1,unit_skills!$1:$1,0)+1),MATCH(AR$1,unit_skills!$1:$1,0)-MATCH($AP$1,unit_skills!$1:$1,0)+1,FALSE)</f>
        <v>黄・時限式ダメージパネルを緑パネルに変換</v>
      </c>
      <c r="AS2" s="56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66">
        <v>931</v>
      </c>
      <c r="AU2" s="56" t="str">
        <f ca="1">VLOOKUP($AT2,OFFSET(crash_skills!$A$1,0,0,COUNTA(crash_skills!$A:$A),MATCH(AU$1,crash_skills!$1:$1,0)-MATCH($AT$1,crash_skills!$1:$1,0)+1),MATCH(AU$1,crash_skills!$1:$1,0)-MATCH($AT$1,crash_skills!$1:$1,0)+1,FALSE)</f>
        <v>隻腕の閃拳</v>
      </c>
      <c r="AV2" s="56" t="str">
        <f ca="1">VLOOKUP($AT2,OFFSET(crash_skills!$A$1,0,0,COUNTA(crash_skills!$A:$A),MATCH(AV$1,crash_skills!$1:$1,0)-MATCH($AT$1,crash_skills!$1:$1,0)+1),MATCH(AV$1,crash_skills!$1:$1,0)-MATCH($AT$1,crash_skills!$1:$1,0)+1,FALSE)</f>
        <v>全体に大ダメージ</v>
      </c>
      <c r="AW2" s="56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7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6">
        <v>1.1000000000000001</v>
      </c>
      <c r="AZ2" s="66">
        <v>1.2</v>
      </c>
      <c r="BA2" s="66">
        <v>0</v>
      </c>
      <c r="BB2" s="66">
        <v>1.1000000000000001</v>
      </c>
      <c r="BC2" s="11">
        <f ca="1">INDEX('RC6SV'!$A$1:$G$20,MATCH(H2,'RC6SV'!$A$1:$A$20,FALSE),MATCH(G2,'RC6SV'!$A$1:$G$1,FALSE))</f>
        <v>5800</v>
      </c>
      <c r="BD2" s="47">
        <f t="shared" ref="BD2:BD3" ca="1" si="2">ROUND(BC2*IF(AJ2=1,0.95,IF(AJ2=2,1,IF(AJ2,1.05,0))),0)</f>
        <v>5800</v>
      </c>
      <c r="BE2" s="11">
        <f t="shared" ref="BE2:BE15" ca="1" si="3">ROUND(IFERROR(INDIRECT(ADDRESS(MATCH($A2,$AE:$AE,0),MATCH($BC$1,$1:$1,0))),0),0)</f>
        <v>0</v>
      </c>
      <c r="BF2" s="11">
        <f t="shared" ref="BF2:BF15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1377</v>
      </c>
      <c r="BH2" s="16">
        <f ca="1">IF($BE2&lt;=0,ROUND(BL2*0.5,0), ROUND($BE2*T2*AB2*K2*AZ2*0.8*[1]ステータス!$C$2,0))</f>
        <v>912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768</v>
      </c>
      <c r="BK2" s="11">
        <f ca="1">ROUND(BD2*S2*AA2*J2*AY2*[1]ステータス!$B$2,0)</f>
        <v>2753</v>
      </c>
      <c r="BL2" s="11">
        <f ca="1">ROUND(BD2*T2*AB2*K2*AZ2*[1]ステータス!$C$2,0)</f>
        <v>1823</v>
      </c>
      <c r="BM2" s="11">
        <f ca="1">ROUND(BD2*U2*AC2*L2*BA2*[1]ステータス!$D$2,0)</f>
        <v>0</v>
      </c>
      <c r="BN2" s="11">
        <f ca="1">ROUND(BD2*V2*AD2*M2*BB2*[1]ステータス!$E$2,0)</f>
        <v>1536</v>
      </c>
      <c r="BO2" s="10">
        <v>0</v>
      </c>
      <c r="BP2" s="10">
        <v>1</v>
      </c>
      <c r="BQ2" s="10" t="s">
        <v>45</v>
      </c>
      <c r="BR2" s="10">
        <f ca="1">VLOOKUP(H2,ghosts_label!$A$2:$B$19,2,FALSE)</f>
        <v>1</v>
      </c>
    </row>
    <row r="3" spans="1:70" ht="26" customHeight="1" x14ac:dyDescent="0.15">
      <c r="A3" s="12">
        <v>932</v>
      </c>
      <c r="B3" s="56" t="str">
        <f ca="1">VLOOKUP($A3,OFFSET([1]characters!$A$1,0,0,COUNTA([1]characters!$A:$A),MATCH(B$1,[1]characters!$1:$1,0)-MATCH($A$1,[1]characters!$1:$1,0)+1),MATCH(B$1,[1]characters!$1:$1,0)-MATCH($A$1,[1]characters!$1:$1,0)+1,FALSE)</f>
        <v>隻眼の英堤 ネルソン</v>
      </c>
      <c r="C3" s="56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各属性相性良3・黄・R536</v>
      </c>
      <c r="D3" s="56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6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6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6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6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6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7">
        <f t="shared" ref="P3:P4" ca="1" si="5">IF(G3 &gt;= 6, 99,G3*15)</f>
        <v>75</v>
      </c>
      <c r="Q3" s="56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1">
        <f ca="1">VLOOKUP(Q3,[1]character_type_i18n!$A:$H,4,FALSE)</f>
        <v>0.9</v>
      </c>
      <c r="T3" s="11">
        <f ca="1">VLOOKUP(Q3,[1]character_type_i18n!$A:$H,5,FALSE)</f>
        <v>0.9</v>
      </c>
      <c r="U3" s="11">
        <f ca="1">VLOOKUP(Q3,[1]character_type_i18n!$A:$H,6,FALSE)</f>
        <v>1</v>
      </c>
      <c r="V3" s="11">
        <f ca="1">VLOOKUP(Q3,[1]character_type_i18n!$A:$H,7,FALSE)</f>
        <v>0.9</v>
      </c>
      <c r="W3" s="56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6" t="str">
        <f ca="1">VLOOKUP($A3,OFFSET([1]characters!$A$1,0,0,COUNTA([1]characters!$A:$A),MATCH(Y$1,[1]characters!$1:$1,0)-MATCH($A$1,[1]characters!$1:$1,0)+1),MATCH(Y$1,[1]characters!$1:$1,0)-MATCH($A$1,[1]characters!$1:$1,0)+1,FALSE)</f>
        <v>machine</v>
      </c>
      <c r="Z3" s="5" t="str">
        <f ca="1">VLOOKUP(Y3,[1]character_tribe_i18n!$A:$H,3,FALSE)</f>
        <v>マシン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177</v>
      </c>
      <c r="AF3" s="61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931</v>
      </c>
      <c r="AH3" s="61" t="str">
        <f ca="1">VLOOKUP($AG3,OFFSET([1]characters!$A$1,0,0,COUNTA([1]characters!$A:$A),MATCH(AH$1,[1]characters!$1:$1,0)-MATCH($A$1,[1]characters!$1:$1,0)+1),MATCH(AH$1,[1]characters!$1:$1,0)-MATCH($A$1,[1]characters!$1:$1,0)+1,FALSE)</f>
        <v>ネルソン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4"/>
      <c r="AP3" s="166">
        <v>932</v>
      </c>
      <c r="AQ3" s="164" t="str">
        <f ca="1">VLOOKUP($AP3,OFFSET(unit_skills!$A$1,0,0,COUNTA(unit_skills!$A:$A),MATCH(AQ$1,unit_skills!$1:$1,0)-MATCH($AP$1,unit_skills!$1:$1,0)+1),MATCH(AQ$1,unit_skills!$1:$1,0)-MATCH($AP$1,unit_skills!$1:$1,0)+1,FALSE)</f>
        <v>ヴィクトリー･トーピードゥ</v>
      </c>
      <c r="AR3" s="56" t="str">
        <f ca="1">VLOOKUP($AP3,OFFSET(unit_skills!$A$1,0,0,COUNTA(unit_skills!$A:$A),MATCH(AR$1,unit_skills!$1:$1,0)-MATCH($AP$1,unit_skills!$1:$1,0)+1),MATCH(AR$1,unit_skills!$1:$1,0)-MATCH($AP$1,unit_skills!$1:$1,0)+1,FALSE)</f>
        <v>黄・時限式ダメージパネルを緑パネルに変換</v>
      </c>
      <c r="AS3" s="56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66">
        <v>932</v>
      </c>
      <c r="AU3" s="56" t="str">
        <f ca="1">VLOOKUP($AT3,OFFSET(crash_skills!$A$1,0,0,COUNTA(crash_skills!$A:$A),MATCH(AU$1,crash_skills!$1:$1,0)-MATCH($AT$1,crash_skills!$1:$1,0)+1),MATCH(AU$1,crash_skills!$1:$1,0)-MATCH($AT$1,crash_skills!$1:$1,0)+1,FALSE)</f>
        <v>隻腕の翠波拳</v>
      </c>
      <c r="AV3" s="56" t="str">
        <f ca="1">VLOOKUP($AT3,OFFSET(crash_skills!$A$1,0,0,COUNTA(crash_skills!$A:$A),MATCH(AV$1,crash_skills!$1:$1,0)-MATCH($AT$1,crash_skills!$1:$1,0)+1),MATCH(AV$1,crash_skills!$1:$1,0)-MATCH($AT$1,crash_skills!$1:$1,0)+1,FALSE)</f>
        <v>全体に特大ダメージ</v>
      </c>
      <c r="AW3" s="56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7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6">
        <v>1.1000000000000001</v>
      </c>
      <c r="AZ3" s="66">
        <v>1.2</v>
      </c>
      <c r="BA3" s="66">
        <v>0</v>
      </c>
      <c r="BB3" s="66">
        <v>1.1000000000000001</v>
      </c>
      <c r="BC3" s="11">
        <f ca="1">INDEX('RC6SV'!$A$1:$G$20,MATCH(H3,'RC6SV'!$A$1:$A$20,FALSE),MATCH(G3,'RC6SV'!$A$1:$G$1,FALSE))</f>
        <v>7600</v>
      </c>
      <c r="BD3" s="47">
        <f t="shared" ca="1" si="2"/>
        <v>7600</v>
      </c>
      <c r="BE3" s="11">
        <f t="shared" ca="1" si="3"/>
        <v>5800</v>
      </c>
      <c r="BF3" s="11">
        <f t="shared" ca="1" si="4"/>
        <v>1</v>
      </c>
      <c r="BG3" s="16">
        <f ca="1">IF($BE3&lt;=0,ROUND(BK3*0.5,0), ROUND($BE3*S3*AA3*J3*AY3*0.8*[1]ステータス!$B$2,0))</f>
        <v>2202</v>
      </c>
      <c r="BH3" s="16">
        <f ca="1">IF($BE3&lt;=0,ROUND(BL3*0.5,0), ROUND($BE3*T3*AB3*K3*AZ3*0.8*[1]ステータス!$C$2,0))</f>
        <v>1459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1229</v>
      </c>
      <c r="BK3" s="11">
        <f ca="1">ROUND(BD3*S3*AA3*J3*AY3*[1]ステータス!$B$2,0)</f>
        <v>3607</v>
      </c>
      <c r="BL3" s="11">
        <f ca="1">ROUND(BD3*T3*AB3*K3*AZ3*[1]ステータス!$C$2,0)</f>
        <v>2389</v>
      </c>
      <c r="BM3" s="11">
        <f ca="1">ROUND(BD3*U3*AC3*L3*BA3*[1]ステータス!$D$2,0)</f>
        <v>0</v>
      </c>
      <c r="BN3" s="11">
        <f ca="1">ROUND(BD3*V3*AD3*M3*BB3*[1]ステータス!$E$2,0)</f>
        <v>2013</v>
      </c>
      <c r="BO3" s="10">
        <v>0</v>
      </c>
      <c r="BP3" s="10">
        <v>1</v>
      </c>
      <c r="BQ3" s="10" t="s">
        <v>45</v>
      </c>
      <c r="BR3" s="10">
        <f ca="1">VLOOKUP(H3,ghosts_label!$A$2:$B$19,2,FALSE)</f>
        <v>1</v>
      </c>
    </row>
    <row r="4" spans="1:70" ht="26" customHeight="1" x14ac:dyDescent="0.15">
      <c r="A4" s="12">
        <v>933</v>
      </c>
      <c r="B4" s="56" t="str">
        <f ca="1">VLOOKUP($A4,OFFSET([1]characters!$A$1,0,0,COUNTA([1]characters!$A:$A),MATCH(B$1,[1]characters!$1:$1,0)-MATCH($A$1,[1]characters!$1:$1,0)+1),MATCH(B$1,[1]characters!$1:$1,0)-MATCH($A$1,[1]characters!$1:$1,0)+1,FALSE)</f>
        <v>ヴェルサイユ</v>
      </c>
      <c r="C4" s="56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各属性相性良3・黄・R537</v>
      </c>
      <c r="D4" s="56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6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6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6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6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6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7">
        <f t="shared" ca="1" si="5"/>
        <v>60</v>
      </c>
      <c r="Q4" s="56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1">
        <f ca="1">VLOOKUP(Q4,[1]character_type_i18n!$A:$H,4,FALSE)</f>
        <v>1</v>
      </c>
      <c r="T4" s="11">
        <f ca="1">VLOOKUP(Q4,[1]character_type_i18n!$A:$H,5,FALSE)</f>
        <v>1.33</v>
      </c>
      <c r="U4" s="11">
        <f ca="1">VLOOKUP(Q4,[1]character_type_i18n!$A:$H,6,FALSE)</f>
        <v>1</v>
      </c>
      <c r="V4" s="11">
        <f ca="1">VLOOKUP(Q4,[1]character_type_i18n!$A:$H,7,FALSE)</f>
        <v>0.67</v>
      </c>
      <c r="W4" s="56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6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v>934</v>
      </c>
      <c r="AF4" s="61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絢爛たる燈城 ヴェルサイユ</v>
      </c>
      <c r="AG4" s="5">
        <f t="shared" ca="1" si="0"/>
        <v>933</v>
      </c>
      <c r="AH4" s="61" t="str">
        <f ca="1">VLOOKUP($AG4,OFFSET([1]characters!$A$1,0,0,COUNTA([1]characters!$A:$A),MATCH(AH$1,[1]characters!$1:$1,0)-MATCH($A$1,[1]characters!$1:$1,0)+1),MATCH(AH$1,[1]characters!$1:$1,0)-MATCH($A$1,[1]characters!$1:$1,0)+1,FALSE)</f>
        <v>ヴェルサイユ</v>
      </c>
      <c r="AI4" s="11">
        <f ca="1">IF(AE4="NULL","NULL",VLOOKUP(G4,ビット!$A$2:$B$7,2))</f>
        <v>50000</v>
      </c>
      <c r="AJ4" s="6">
        <v>2</v>
      </c>
      <c r="AK4" s="7" t="str">
        <f t="shared" ref="AK4:AK15" si="6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4"/>
      <c r="AP4" s="166">
        <v>933</v>
      </c>
      <c r="AQ4" s="164" t="str">
        <f ca="1">VLOOKUP($AP4,OFFSET(unit_skills!$A$1,0,0,COUNTA(unit_skills!$A:$A),MATCH(AQ$1,unit_skills!$1:$1,0)-MATCH($AP$1,unit_skills!$1:$1,0)+1),MATCH(AQ$1,unit_skills!$1:$1,0)-MATCH($AP$1,unit_skills!$1:$1,0)+1,FALSE)</f>
        <v>キャンドル･メイス</v>
      </c>
      <c r="AR4" s="56" t="str">
        <f ca="1">VLOOKUP($AP4,OFFSET(unit_skills!$A$1,0,0,COUNTA(unit_skills!$A:$A),MATCH(AR$1,unit_skills!$1:$1,0)-MATCH($AP$1,unit_skills!$1:$1,0)+1),MATCH(AR$1,unit_skills!$1:$1,0)-MATCH($AP$1,unit_skills!$1:$1,0)+1,FALSE)</f>
        <v>2ターンヒューマンと自身の攻撃力と防御力特大UP+赤パネルを黄パネルに変換</v>
      </c>
      <c r="AS4" s="56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66">
        <v>933</v>
      </c>
      <c r="AU4" s="56" t="str">
        <f ca="1">VLOOKUP($AT4,OFFSET(crash_skills!$A$1,0,0,COUNTA(crash_skills!$A:$A),MATCH(AU$1,crash_skills!$1:$1,0)-MATCH($AT$1,crash_skills!$1:$1,0)+1),MATCH(AU$1,crash_skills!$1:$1,0)-MATCH($AT$1,crash_skills!$1:$1,0)+1,FALSE)</f>
        <v>燭灯の憐杖</v>
      </c>
      <c r="AV4" s="56" t="str">
        <f ca="1">VLOOKUP($AT4,OFFSET(crash_skills!$A$1,0,0,COUNTA(crash_skills!$A:$A),MATCH(AV$1,crash_skills!$1:$1,0)-MATCH($AT$1,crash_skills!$1:$1,0)+1),MATCH(AV$1,crash_skills!$1:$1,0)-MATCH($AT$1,crash_skills!$1:$1,0)+1,FALSE)</f>
        <v>1体に中ダメージ+_x000D_unknownに効果大</v>
      </c>
      <c r="AW4" s="56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7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6">
        <v>1.1299999999999999</v>
      </c>
      <c r="AZ4" s="66">
        <v>1.2</v>
      </c>
      <c r="BA4" s="66">
        <v>0</v>
      </c>
      <c r="BB4" s="66">
        <v>1.1499999999999999</v>
      </c>
      <c r="BC4" s="11">
        <f ca="1">INDEX('RC6SV'!$A$1:$G$20,MATCH(H4,'RC6SV'!$A$1:$A$20,FALSE),MATCH(G4,'RC6SV'!$A$1:$G$1,FALSE))</f>
        <v>5800</v>
      </c>
      <c r="BD4" s="47">
        <f t="shared" ref="BD4:BD15" ca="1" si="7">ROUND(BC4*IF(AJ4=1,0.95,IF(AJ4=2,1,IF(AJ4,1.05,0))),0)</f>
        <v>5800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1606</v>
      </c>
      <c r="BH4" s="16">
        <f ca="1">IF($BE4&lt;=0,ROUND(BL4*0.5,0), ROUND($BE4*T4*AB4*K4*AZ4*0.8*[1]ステータス!$C$2,0))</f>
        <v>1403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564</v>
      </c>
      <c r="BK4" s="11">
        <f ca="1">ROUND(BD4*S4*AA4*J4*AY4*[1]ステータス!$B$2,0)</f>
        <v>3211</v>
      </c>
      <c r="BL4" s="11">
        <f ca="1">ROUND(BD4*T4*AB4*K4*AZ4*[1]ステータス!$C$2,0)</f>
        <v>2805</v>
      </c>
      <c r="BM4" s="11">
        <f ca="1">ROUND(BD4*U4*AC4*L4*BA4*[1]ステータス!$D$2,0)</f>
        <v>0</v>
      </c>
      <c r="BN4" s="11">
        <f ca="1">ROUND(BD4*V4*AD4*M4*BB4*[1]ステータス!$E$2,0)</f>
        <v>1128</v>
      </c>
      <c r="BO4" s="10">
        <v>0</v>
      </c>
      <c r="BP4" s="10">
        <v>1</v>
      </c>
      <c r="BQ4" s="10" t="s">
        <v>45</v>
      </c>
      <c r="BR4" s="10">
        <f ca="1">VLOOKUP(H4,ghosts_label!$A$2:$B$19,2,FALSE)</f>
        <v>1</v>
      </c>
    </row>
    <row r="5" spans="1:70" ht="26" customHeight="1" x14ac:dyDescent="0.15">
      <c r="A5" s="12">
        <v>934</v>
      </c>
      <c r="B5" s="56" t="str">
        <f ca="1">VLOOKUP($A5,OFFSET([1]characters!$A$1,0,0,COUNTA([1]characters!$A:$A),MATCH(B$1,[1]characters!$1:$1,0)-MATCH($A$1,[1]characters!$1:$1,0)+1),MATCH(B$1,[1]characters!$1:$1,0)-MATCH($A$1,[1]characters!$1:$1,0)+1,FALSE)</f>
        <v>絢爛たる燈城 ヴェルサイユ</v>
      </c>
      <c r="C5" s="56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各属性相性良3・黄・R538</v>
      </c>
      <c r="D5" s="56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6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6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6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6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6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7">
        <f t="shared" ref="P5:P15" ca="1" si="8">IF(G5 &gt;= 6, 99,G5*15)</f>
        <v>75</v>
      </c>
      <c r="Q5" s="56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6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6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177</v>
      </c>
      <c r="AF5" s="61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933</v>
      </c>
      <c r="AH5" s="61" t="str">
        <f ca="1">VLOOKUP($AG5,OFFSET([1]characters!$A$1,0,0,COUNTA([1]characters!$A:$A),MATCH(AH$1,[1]characters!$1:$1,0)-MATCH($A$1,[1]characters!$1:$1,0)+1),MATCH(AH$1,[1]characters!$1:$1,0)-MATCH($A$1,[1]characters!$1:$1,0)+1,FALSE)</f>
        <v>ヴェルサイユ</v>
      </c>
      <c r="AI5" s="11" t="str">
        <f>IF(AE5="NULL","NULL",VLOOKUP(G5,ビット!$A$2:$B$7,2))</f>
        <v>NULL</v>
      </c>
      <c r="AJ5" s="6">
        <v>2</v>
      </c>
      <c r="AK5" s="7" t="str">
        <f t="shared" si="6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4"/>
      <c r="AP5" s="166">
        <v>934</v>
      </c>
      <c r="AQ5" s="164" t="str">
        <f ca="1">VLOOKUP($AP5,OFFSET(unit_skills!$A$1,0,0,COUNTA(unit_skills!$A:$A),MATCH(AQ$1,unit_skills!$1:$1,0)-MATCH($AP$1,unit_skills!$1:$1,0)+1),MATCH(AQ$1,unit_skills!$1:$1,0)-MATCH($AP$1,unit_skills!$1:$1,0)+1,FALSE)</f>
        <v>シャンデリア･エレクサイズ</v>
      </c>
      <c r="AR5" s="56" t="str">
        <f ca="1">VLOOKUP($AP5,OFFSET(unit_skills!$A$1,0,0,COUNTA(unit_skills!$A:$A),MATCH(AR$1,unit_skills!$1:$1,0)-MATCH($AP$1,unit_skills!$1:$1,0)+1),MATCH(AR$1,unit_skills!$1:$1,0)-MATCH($AP$1,unit_skills!$1:$1,0)+1,FALSE)</f>
        <v>2ターンヒューマンと自身の攻撃力と防御力特大UP+赤パネルを黄パネルに変換</v>
      </c>
      <c r="AS5" s="56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66">
        <v>934</v>
      </c>
      <c r="AU5" s="56" t="str">
        <f ca="1">VLOOKUP($AT5,OFFSET(crash_skills!$A$1,0,0,COUNTA(crash_skills!$A:$A),MATCH(AU$1,crash_skills!$1:$1,0)-MATCH($AT$1,crash_skills!$1:$1,0)+1),MATCH(AU$1,crash_skills!$1:$1,0)-MATCH($AT$1,crash_skills!$1:$1,0)+1,FALSE)</f>
        <v>燭灯の彩断鎌</v>
      </c>
      <c r="AV5" s="56" t="str">
        <f ca="1">VLOOKUP($AT5,OFFSET(crash_skills!$A$1,0,0,COUNTA(crash_skills!$A:$A),MATCH(AV$1,crash_skills!$1:$1,0)-MATCH($AT$1,crash_skills!$1:$1,0)+1),MATCH(AV$1,crash_skills!$1:$1,0)-MATCH($AT$1,crash_skills!$1:$1,0)+1,FALSE)</f>
        <v>1体に大ダメージ+_x000D_unknownに効果特大</v>
      </c>
      <c r="AW5" s="56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7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6">
        <v>1.1299999999999999</v>
      </c>
      <c r="AZ5" s="66">
        <v>1.2</v>
      </c>
      <c r="BA5" s="66">
        <v>0</v>
      </c>
      <c r="BB5" s="66">
        <v>1.1499999999999999</v>
      </c>
      <c r="BC5" s="11">
        <f ca="1">INDEX('RC6SV'!$A$1:$G$20,MATCH(H5,'RC6SV'!$A$1:$A$20,FALSE),MATCH(G5,'RC6SV'!$A$1:$G$1,FALSE))</f>
        <v>7600</v>
      </c>
      <c r="BD5" s="47">
        <f t="shared" ca="1" si="7"/>
        <v>7600</v>
      </c>
      <c r="BE5" s="11">
        <f t="shared" ca="1" si="3"/>
        <v>5800</v>
      </c>
      <c r="BF5" s="11">
        <f t="shared" ca="1" si="4"/>
        <v>1</v>
      </c>
      <c r="BG5" s="16">
        <f ca="1">IF($BE5&lt;=0,ROUND(BK5*0.5,0), ROUND($BE5*S5*AA5*J5*AY5*0.8*[1]ステータス!$B$2,0))</f>
        <v>2569</v>
      </c>
      <c r="BH5" s="16">
        <f ca="1">IF($BE5&lt;=0,ROUND(BL5*0.5,0), ROUND($BE5*T5*AB5*K5*AZ5*0.8*[1]ステータス!$C$2,0))</f>
        <v>2244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903</v>
      </c>
      <c r="BK5" s="11">
        <f ca="1">ROUND(BD5*S5*AA5*J5*AY5*[1]ステータス!$B$2,0)</f>
        <v>4208</v>
      </c>
      <c r="BL5" s="11">
        <f ca="1">ROUND(BD5*T5*AB5*K5*AZ5*[1]ステータス!$C$2,0)</f>
        <v>3675</v>
      </c>
      <c r="BM5" s="11">
        <f ca="1">ROUND(BD5*U5*AC5*L5*BA5*[1]ステータス!$D$2,0)</f>
        <v>0</v>
      </c>
      <c r="BN5" s="11">
        <f ca="1">ROUND(BD5*V5*AD5*M5*BB5*[1]ステータス!$E$2,0)</f>
        <v>1479</v>
      </c>
      <c r="BO5" s="10">
        <v>0</v>
      </c>
      <c r="BP5" s="10">
        <v>1</v>
      </c>
      <c r="BQ5" s="10" t="s">
        <v>45</v>
      </c>
      <c r="BR5" s="10">
        <f ca="1">VLOOKUP(H5,ghosts_label!$A$2:$B$19,2,FALSE)</f>
        <v>1</v>
      </c>
    </row>
    <row r="6" spans="1:70" ht="26" customHeight="1" x14ac:dyDescent="0.15">
      <c r="A6" s="12">
        <v>935</v>
      </c>
      <c r="B6" s="56" t="str">
        <f ca="1">VLOOKUP($A6,OFFSET([1]characters!$A$1,0,0,COUNTA([1]characters!$A:$A),MATCH(B$1,[1]characters!$1:$1,0)-MATCH($A$1,[1]characters!$1:$1,0)+1),MATCH(B$1,[1]characters!$1:$1,0)-MATCH($A$1,[1]characters!$1:$1,0)+1,FALSE)</f>
        <v>ルイ16世</v>
      </c>
      <c r="C6" s="56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各属性相性良3・黄・R539</v>
      </c>
      <c r="D6" s="56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6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6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6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6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6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INDEX(コスト!$A$1:$I$20,MATCH(H6,コスト!$A$1:$A$20,FALSE),MATCH(G6,コスト!$A$1:$I$1,FALSE))</f>
        <v>30</v>
      </c>
      <c r="O6" s="11">
        <f ca="1">INDEX(レベル!$A$1:$I$21,MATCH(H6,レベル!$A$1:$A$21,FALSE),MATCH(G6,レベル!$A$1:$I$1,FALSE))</f>
        <v>80</v>
      </c>
      <c r="P6" s="47">
        <f t="shared" ca="1" si="8"/>
        <v>75</v>
      </c>
      <c r="Q6" s="56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6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6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>
        <v>936</v>
      </c>
      <c r="AF6" s="61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憲誓の煉王 ルイ16世</v>
      </c>
      <c r="AG6" s="5">
        <f t="shared" ca="1" si="0"/>
        <v>935</v>
      </c>
      <c r="AH6" s="61" t="str">
        <f ca="1">VLOOKUP($AG6,OFFSET([1]characters!$A$1,0,0,COUNTA([1]characters!$A:$A),MATCH(AH$1,[1]characters!$1:$1,0)-MATCH($A$1,[1]characters!$1:$1,0)+1),MATCH(AH$1,[1]characters!$1:$1,0)-MATCH($A$1,[1]characters!$1:$1,0)+1,FALSE)</f>
        <v>ルイ16世</v>
      </c>
      <c r="AI6" s="11">
        <f ca="1">IF(AE6="NULL","NULL",VLOOKUP(G6,ビット!$A$2:$B$7,2))</f>
        <v>200000</v>
      </c>
      <c r="AJ6" s="6">
        <v>2</v>
      </c>
      <c r="AK6" s="7" t="str">
        <f t="shared" si="6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4"/>
      <c r="AP6" s="166">
        <v>935</v>
      </c>
      <c r="AQ6" s="164" t="str">
        <f ca="1">VLOOKUP($AP6,OFFSET(unit_skills!$A$1,0,0,COUNTA(unit_skills!$A:$A),MATCH(AQ$1,unit_skills!$1:$1,0)-MATCH($AP$1,unit_skills!$1:$1,0)+1),MATCH(AQ$1,unit_skills!$1:$1,0)-MATCH($AP$1,unit_skills!$1:$1,0)+1,FALSE)</f>
        <v>デスティネ･セリュール</v>
      </c>
      <c r="AR6" s="56" t="str">
        <f ca="1">VLOOKUP($AP6,OFFSET(unit_skills!$A$1,0,0,COUNTA(unit_skills!$A:$A),MATCH(AR$1,unit_skills!$1:$1,0)-MATCH($AP$1,unit_skills!$1:$1,0)+1),MATCH(AR$1,unit_skills!$1:$1,0)-MATCH($AP$1,unit_skills!$1:$1,0)+1,FALSE)</f>
        <v>お邪魔パネルを赤ボムに、ランダムで最大2個SCPに、1個赤ボム(大)に変換+ウィルス解除+1ターン赤属性のタップ回数を1増やす</v>
      </c>
      <c r="AS6" s="56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166">
        <v>935</v>
      </c>
      <c r="AU6" s="56" t="str">
        <f ca="1">VLOOKUP($AT6,OFFSET(crash_skills!$A$1,0,0,COUNTA(crash_skills!$A:$A),MATCH(AU$1,crash_skills!$1:$1,0)-MATCH($AT$1,crash_skills!$1:$1,0)+1),MATCH(AU$1,crash_skills!$1:$1,0)-MATCH($AT$1,crash_skills!$1:$1,0)+1,FALSE)</f>
        <v>凱旋の狩銃</v>
      </c>
      <c r="AV6" s="56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1体に特大ダメージ+_x000D_1ターン赤属性の回復力小UP</v>
      </c>
      <c r="AW6" s="56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7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6">
        <v>0.96</v>
      </c>
      <c r="AZ6" s="66">
        <v>1</v>
      </c>
      <c r="BA6" s="66">
        <v>0</v>
      </c>
      <c r="BB6" s="66">
        <v>0.94</v>
      </c>
      <c r="BC6" s="11">
        <f ca="1">INDEX('RC6SV'!$A$1:$G$20,MATCH(H6,'RC6SV'!$A$1:$A$20,FALSE),MATCH(G6,'RC6SV'!$A$1:$G$1,FALSE))</f>
        <v>9000</v>
      </c>
      <c r="BD6" s="47">
        <f t="shared" ca="1" si="7"/>
        <v>9000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2031</v>
      </c>
      <c r="BH6" s="16">
        <f ca="1">IF($BE6&lt;=0,ROUND(BL6*0.5,0), ROUND($BE6*T6*AB6*K6*AZ6*0.8*[1]ステータス!$C$2,0))</f>
        <v>1363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1109</v>
      </c>
      <c r="BK6" s="11">
        <f ca="1">ROUND(BD6*S6*AA6*J6*AY6*[1]ステータス!$B$2,0)</f>
        <v>4061</v>
      </c>
      <c r="BL6" s="11">
        <f ca="1">ROUND(BD6*T6*AB6*K6*AZ6*[1]ステータス!$C$2,0)</f>
        <v>2726</v>
      </c>
      <c r="BM6" s="11">
        <f ca="1">ROUND(BD6*U6*AC6*L6*BA6*[1]ステータス!$D$2,0)</f>
        <v>0</v>
      </c>
      <c r="BN6" s="11">
        <f ca="1">ROUND(BD6*V6*AD6*M6*BB6*[1]ステータス!$E$2,0)</f>
        <v>2218</v>
      </c>
      <c r="BO6" s="10">
        <v>0</v>
      </c>
      <c r="BP6" s="10">
        <v>1</v>
      </c>
      <c r="BQ6" s="10" t="s">
        <v>45</v>
      </c>
      <c r="BR6" s="10">
        <f ca="1">VLOOKUP(H6,ghosts_label!$A$2:$B$19,2,FALSE)</f>
        <v>1</v>
      </c>
    </row>
    <row r="7" spans="1:70" ht="26" customHeight="1" x14ac:dyDescent="0.15">
      <c r="A7" s="12">
        <v>936</v>
      </c>
      <c r="B7" s="56" t="str">
        <f ca="1">VLOOKUP($A7,OFFSET([1]characters!$A$1,0,0,COUNTA([1]characters!$A:$A),MATCH(B$1,[1]characters!$1:$1,0)-MATCH($A$1,[1]characters!$1:$1,0)+1),MATCH(B$1,[1]characters!$1:$1,0)-MATCH($A$1,[1]characters!$1:$1,0)+1,FALSE)</f>
        <v>憲誓の煉王 ルイ16世</v>
      </c>
      <c r="C7" s="56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各属性相性良3・黄・R540</v>
      </c>
      <c r="D7" s="56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6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6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6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6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6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45</v>
      </c>
      <c r="O7" s="11">
        <f ca="1">INDEX(レベル!$A$1:$I$21,MATCH(H7,レベル!$A$1:$A$21,FALSE),MATCH(G7,レベル!$A$1:$I$1,FALSE))</f>
        <v>99</v>
      </c>
      <c r="P7" s="47">
        <f t="shared" ca="1" si="8"/>
        <v>99</v>
      </c>
      <c r="Q7" s="56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6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6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177</v>
      </c>
      <c r="AF7" s="61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935</v>
      </c>
      <c r="AH7" s="61" t="str">
        <f ca="1">VLOOKUP($AG7,OFFSET([1]characters!$A$1,0,0,COUNTA([1]characters!$A:$A),MATCH(AH$1,[1]characters!$1:$1,0)-MATCH($A$1,[1]characters!$1:$1,0)+1),MATCH(AH$1,[1]characters!$1:$1,0)-MATCH($A$1,[1]characters!$1:$1,0)+1,FALSE)</f>
        <v>ルイ16世</v>
      </c>
      <c r="AI7" s="11" t="str">
        <f>IF(AE7="NULL","NULL",VLOOKUP(G7,ビット!$A$2:$B$7,2))</f>
        <v>NULL</v>
      </c>
      <c r="AJ7" s="6">
        <v>2</v>
      </c>
      <c r="AK7" s="7" t="str">
        <f t="shared" si="6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4"/>
      <c r="AP7" s="166">
        <v>936</v>
      </c>
      <c r="AQ7" s="164" t="str">
        <f ca="1">VLOOKUP($AP7,OFFSET(unit_skills!$A$1,0,0,COUNTA(unit_skills!$A:$A),MATCH(AQ$1,unit_skills!$1:$1,0)-MATCH($AP$1,unit_skills!$1:$1,0)+1),MATCH(AQ$1,unit_skills!$1:$1,0)-MATCH($AP$1,unit_skills!$1:$1,0)+1,FALSE)</f>
        <v>デスティネ･セリュール</v>
      </c>
      <c r="AR7" s="56" t="str">
        <f ca="1">VLOOKUP($AP7,OFFSET(unit_skills!$A$1,0,0,COUNTA(unit_skills!$A:$A),MATCH(AR$1,unit_skills!$1:$1,0)-MATCH($AP$1,unit_skills!$1:$1,0)+1),MATCH(AR$1,unit_skills!$1:$1,0)-MATCH($AP$1,unit_skills!$1:$1,0)+1,FALSE)</f>
        <v>お邪魔パネルを赤ボムに、ランダムで最大2個SCPに、1個赤ボム(大)に変換+ウィルス解除+1ターン赤属性のタップ回数を1増やす</v>
      </c>
      <c r="AS7" s="56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166">
        <v>936</v>
      </c>
      <c r="AU7" s="56" t="str">
        <f ca="1">VLOOKUP($AT7,OFFSET(crash_skills!$A$1,0,0,COUNTA(crash_skills!$A:$A),MATCH(AU$1,crash_skills!$1:$1,0)-MATCH($AT$1,crash_skills!$1:$1,0)+1),MATCH(AU$1,crash_skills!$1:$1,0)-MATCH($AT$1,crash_skills!$1:$1,0)+1,FALSE)</f>
        <v>祝勝の狩銃</v>
      </c>
      <c r="AV7" s="56" t="str">
        <f ca="1">VLOOKUP($AT7,OFFSET(crash_skills!$A$1,0,0,COUNTA(crash_skills!$A:$A),MATCH(AV$1,crash_skills!$1:$1,0)-MATCH($AT$1,crash_skills!$1:$1,0)+1),MATCH(AV$1,crash_skills!$1:$1,0)-MATCH($AT$1,crash_skills!$1:$1,0)+1,FALSE)</f>
        <v>1体に超大ダメージ+_x000D_1ターン赤属性の回復力小UP</v>
      </c>
      <c r="AW7" s="56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7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6">
        <v>1.0854999999999999</v>
      </c>
      <c r="AZ7" s="66">
        <v>1.1040000000000001</v>
      </c>
      <c r="BA7" s="66">
        <v>0</v>
      </c>
      <c r="BB7" s="66">
        <v>0.98</v>
      </c>
      <c r="BC7" s="11">
        <f ca="1">INDEX('RC6SV'!$A$1:$G$20,MATCH(H7,'RC6SV'!$A$1:$A$20,FALSE),MATCH(G7,'RC6SV'!$A$1:$G$1,FALSE))</f>
        <v>12000</v>
      </c>
      <c r="BD7" s="47">
        <f t="shared" ca="1" si="7"/>
        <v>12000</v>
      </c>
      <c r="BE7" s="11">
        <f t="shared" ca="1" si="3"/>
        <v>9000</v>
      </c>
      <c r="BF7" s="11">
        <f t="shared" ca="1" si="4"/>
        <v>1</v>
      </c>
      <c r="BG7" s="16">
        <f ca="1">IF($BE7&lt;=0,ROUND(BK7*0.5,0), ROUND($BE7*S7*AA7*J7*AY7*0.8*[1]ステータス!$B$2,0))</f>
        <v>3673</v>
      </c>
      <c r="BH7" s="16">
        <f ca="1">IF($BE7&lt;=0,ROUND(BL7*0.5,0), ROUND($BE7*T7*AB7*K7*AZ7*0.8*[1]ステータス!$C$2,0))</f>
        <v>2408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1850</v>
      </c>
      <c r="BK7" s="11">
        <f ca="1">ROUND(BD7*S7*AA7*J7*AY7*[1]ステータス!$B$2,0)</f>
        <v>6122</v>
      </c>
      <c r="BL7" s="11">
        <f ca="1">ROUND(BD7*T7*AB7*K7*AZ7*[1]ステータス!$C$2,0)</f>
        <v>4013</v>
      </c>
      <c r="BM7" s="11">
        <f ca="1">ROUND(BD7*U7*AC7*L7*BA7*[1]ステータス!$D$2,0)</f>
        <v>0</v>
      </c>
      <c r="BN7" s="11">
        <f ca="1">ROUND(BD7*V7*AD7*M7*BB7*[1]ステータス!$E$2,0)</f>
        <v>3083</v>
      </c>
      <c r="BO7" s="10">
        <v>0</v>
      </c>
      <c r="BP7" s="10">
        <v>1</v>
      </c>
      <c r="BQ7" s="10" t="s">
        <v>45</v>
      </c>
      <c r="BR7" s="10">
        <f ca="1">VLOOKUP(H7,ghosts_label!$A$2:$B$19,2,FALSE)</f>
        <v>1</v>
      </c>
    </row>
    <row r="8" spans="1:70" ht="26" customHeight="1" x14ac:dyDescent="0.15">
      <c r="A8" s="12">
        <v>937</v>
      </c>
      <c r="B8" s="56" t="str">
        <f ca="1">VLOOKUP($A8,OFFSET([1]characters!$A$1,0,0,COUNTA([1]characters!$A:$A),MATCH(B$1,[1]characters!$1:$1,0)-MATCH($A$1,[1]characters!$1:$1,0)+1),MATCH(B$1,[1]characters!$1:$1,0)-MATCH($A$1,[1]characters!$1:$1,0)+1,FALSE)</f>
        <v>ナポレオン</v>
      </c>
      <c r="C8" s="56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各属性相性良3・黄・R541</v>
      </c>
      <c r="D8" s="56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6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6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6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6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6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35</v>
      </c>
      <c r="O8" s="11">
        <f ca="1">INDEX(レベル!$A$1:$I$21,MATCH(H8,レベル!$A$1:$A$21,FALSE),MATCH(G8,レベル!$A$1:$I$1,FALSE))</f>
        <v>80</v>
      </c>
      <c r="P8" s="47">
        <f t="shared" ca="1" si="8"/>
        <v>75</v>
      </c>
      <c r="Q8" s="56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6" t="s">
        <v>385</v>
      </c>
      <c r="X8" s="5" t="str">
        <f>VLOOKUP(W8,[1]character_tribe_i18n!$A:$H,3,FALSE)</f>
        <v>ヒーロー</v>
      </c>
      <c r="Y8" s="56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v>1</v>
      </c>
      <c r="AB8" s="11">
        <v>1</v>
      </c>
      <c r="AC8" s="11">
        <v>1</v>
      </c>
      <c r="AD8" s="11">
        <v>1</v>
      </c>
      <c r="AE8" s="9">
        <v>938</v>
      </c>
      <c r="AF8" s="61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炎焔宿す革命皇 ナポレオン</v>
      </c>
      <c r="AG8" s="5">
        <f t="shared" ca="1" si="0"/>
        <v>937</v>
      </c>
      <c r="AH8" s="61" t="str">
        <f ca="1">VLOOKUP($AG8,OFFSET([1]characters!$A$1,0,0,COUNTA([1]characters!$A:$A),MATCH(AH$1,[1]characters!$1:$1,0)-MATCH($A$1,[1]characters!$1:$1,0)+1),MATCH(AH$1,[1]characters!$1:$1,0)-MATCH($A$1,[1]characters!$1:$1,0)+1,FALSE)</f>
        <v>ナポレオン</v>
      </c>
      <c r="AI8" s="11">
        <f ca="1">IF(AE8="NULL","NULL",VLOOKUP(G8,ビット!$A$2:$B$7,2))</f>
        <v>200000</v>
      </c>
      <c r="AJ8" s="6">
        <v>2</v>
      </c>
      <c r="AK8" s="7" t="str">
        <f t="shared" si="6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4"/>
      <c r="AP8" s="166">
        <v>937</v>
      </c>
      <c r="AQ8" s="164" t="str">
        <f ca="1">VLOOKUP($AP8,OFFSET(unit_skills!$A$1,0,0,COUNTA(unit_skills!$A:$A),MATCH(AQ$1,unit_skills!$1:$1,0)-MATCH($AP$1,unit_skills!$1:$1,0)+1),MATCH(AQ$1,unit_skills!$1:$1,0)-MATCH($AP$1,unit_skills!$1:$1,0)+1,FALSE)</f>
        <v>革盟の硝炎</v>
      </c>
      <c r="AR8" s="56" t="str">
        <f ca="1">VLOOKUP($AP8,OFFSET(unit_skills!$A$1,0,0,COUNTA(unit_skills!$A:$A),MATCH(AR$1,unit_skills!$1:$1,0)-MATCH($AP$1,unit_skills!$1:$1,0)+1),MATCH(AR$1,unit_skills!$1:$1,0)-MATCH($AP$1,unit_skills!$1:$1,0)+1,FALSE)</f>
        <v>緑パネルを赤パネルに、ランダムで最大1つSCパネル(大)に変換+2ターンの間全ユニットの攻撃力UP(青パネル吸収で効果UP)</v>
      </c>
      <c r="AS8" s="56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166">
        <v>937</v>
      </c>
      <c r="AU8" s="56" t="str">
        <f ca="1">VLOOKUP($AT8,OFFSET(crash_skills!$A$1,0,0,COUNTA(crash_skills!$A:$A),MATCH(AU$1,crash_skills!$1:$1,0)-MATCH($AT$1,crash_skills!$1:$1,0)+1),MATCH(AU$1,crash_skills!$1:$1,0)-MATCH($AT$1,crash_skills!$1:$1,0)+1,FALSE)</f>
        <v>蝶舞蜂刺</v>
      </c>
      <c r="AV8" s="56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1体に特大ダメージ+_x000D_2ターン全ユニットの回復力小UP</v>
      </c>
      <c r="AW8" s="56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7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6">
        <v>1</v>
      </c>
      <c r="AZ8" s="66">
        <v>1.04</v>
      </c>
      <c r="BA8" s="66">
        <v>0</v>
      </c>
      <c r="BB8" s="66">
        <v>1</v>
      </c>
      <c r="BC8" s="11">
        <f ca="1">INDEX('RC6SV'!$A$1:$G$20,MATCH(H8,'RC6SV'!$A$1:$A$20,FALSE),MATCH(G8,'RC6SV'!$A$1:$G$1,FALSE))</f>
        <v>9500</v>
      </c>
      <c r="BD8" s="47">
        <f t="shared" ca="1" si="7"/>
        <v>9500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2375</v>
      </c>
      <c r="BH8" s="16">
        <f ca="1">IF($BE8&lt;=0,ROUND(BL8*0.5,0), ROUND($BE8*T8*AB8*K8*AZ8*0.8*[1]ステータス!$C$2,0))</f>
        <v>1512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1164</v>
      </c>
      <c r="BK8" s="11">
        <f ca="1">ROUND(BD8*S8*AA8*J8*AY8*[1]ステータス!$B$2,0)</f>
        <v>4750</v>
      </c>
      <c r="BL8" s="11">
        <f ca="1">ROUND(BD8*T8*AB8*K8*AZ8*[1]ステータス!$C$2,0)</f>
        <v>3023</v>
      </c>
      <c r="BM8" s="11">
        <f ca="1">ROUND(BD8*U8*AC8*L8*BA8*[1]ステータス!$D$2,0)</f>
        <v>0</v>
      </c>
      <c r="BN8" s="11">
        <f ca="1">ROUND(BD8*V8*AD8*M8*BB8*[1]ステータス!$E$2,0)</f>
        <v>2328</v>
      </c>
      <c r="BO8" s="10">
        <v>0</v>
      </c>
      <c r="BP8" s="10">
        <v>1</v>
      </c>
      <c r="BQ8" s="10" t="s">
        <v>45</v>
      </c>
      <c r="BR8" s="10">
        <f ca="1">VLOOKUP(H8,ghosts_label!$A$2:$B$19,2,FALSE)</f>
        <v>5500</v>
      </c>
    </row>
    <row r="9" spans="1:70" ht="26" customHeight="1" x14ac:dyDescent="0.15">
      <c r="A9" s="12">
        <v>938</v>
      </c>
      <c r="B9" s="56" t="str">
        <f ca="1">VLOOKUP($A9,OFFSET([1]characters!$A$1,0,0,COUNTA([1]characters!$A:$A),MATCH(B$1,[1]characters!$1:$1,0)-MATCH($A$1,[1]characters!$1:$1,0)+1),MATCH(B$1,[1]characters!$1:$1,0)-MATCH($A$1,[1]characters!$1:$1,0)+1,FALSE)</f>
        <v>炎焔宿す革命皇 ナポレオン</v>
      </c>
      <c r="C9" s="56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各属性相性良3・黄・R542</v>
      </c>
      <c r="D9" s="56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6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6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6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6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6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50</v>
      </c>
      <c r="O9" s="11">
        <f ca="1">INDEX(レベル!$A$1:$I$21,MATCH(H9,レベル!$A$1:$A$21,FALSE),MATCH(G9,レベル!$A$1:$I$1,FALSE))</f>
        <v>99</v>
      </c>
      <c r="P9" s="47">
        <f t="shared" ca="1" si="8"/>
        <v>99</v>
      </c>
      <c r="Q9" s="56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6" t="s">
        <v>386</v>
      </c>
      <c r="X9" s="5" t="str">
        <f>VLOOKUP(W9,[1]character_tribe_i18n!$A:$H,3,FALSE)</f>
        <v>ヒーロー</v>
      </c>
      <c r="Y9" s="56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v>1</v>
      </c>
      <c r="AB9" s="11">
        <v>1</v>
      </c>
      <c r="AC9" s="11">
        <v>1</v>
      </c>
      <c r="AD9" s="11">
        <v>1</v>
      </c>
      <c r="AE9" s="9" t="s">
        <v>177</v>
      </c>
      <c r="AF9" s="61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937</v>
      </c>
      <c r="AH9" s="61" t="str">
        <f ca="1">VLOOKUP($AG9,OFFSET([1]characters!$A$1,0,0,COUNTA([1]characters!$A:$A),MATCH(AH$1,[1]characters!$1:$1,0)-MATCH($A$1,[1]characters!$1:$1,0)+1),MATCH(AH$1,[1]characters!$1:$1,0)-MATCH($A$1,[1]characters!$1:$1,0)+1,FALSE)</f>
        <v>ナポレオン</v>
      </c>
      <c r="AI9" s="11" t="str">
        <f>IF(AE9="NULL","NULL",VLOOKUP(G9,ビット!$A$2:$B$7,2))</f>
        <v>NULL</v>
      </c>
      <c r="AJ9" s="6">
        <v>2</v>
      </c>
      <c r="AK9" s="7" t="str">
        <f t="shared" si="6"/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4"/>
      <c r="AP9" s="166">
        <v>938</v>
      </c>
      <c r="AQ9" s="164" t="str">
        <f ca="1">VLOOKUP($AP9,OFFSET(unit_skills!$A$1,0,0,COUNTA(unit_skills!$A:$A),MATCH(AQ$1,unit_skills!$1:$1,0)-MATCH($AP$1,unit_skills!$1:$1,0)+1),MATCH(AQ$1,unit_skills!$1:$1,0)-MATCH($AP$1,unit_skills!$1:$1,0)+1,FALSE)</f>
        <v>革盟の劫火</v>
      </c>
      <c r="AR9" s="56" t="str">
        <f ca="1">VLOOKUP($AP9,OFFSET(unit_skills!$A$1,0,0,COUNTA(unit_skills!$A:$A),MATCH(AR$1,unit_skills!$1:$1,0)-MATCH($AP$1,unit_skills!$1:$1,0)+1),MATCH(AR$1,unit_skills!$1:$1,0)-MATCH($AP$1,unit_skills!$1:$1,0)+1,FALSE)</f>
        <v>緑パネルを赤ボムに、ランダムで最大1個SCP(大)に変換+2ターン全ユニットの攻撃力をUP(青・ダメージパネルを吸収し効果UP)</v>
      </c>
      <c r="AS9" s="56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166">
        <v>938</v>
      </c>
      <c r="AU9" s="56" t="str">
        <f ca="1">VLOOKUP($AT9,OFFSET(crash_skills!$A$1,0,0,COUNTA(crash_skills!$A:$A),MATCH(AU$1,crash_skills!$1:$1,0)-MATCH($AT$1,crash_skills!$1:$1,0)+1),MATCH(AU$1,crash_skills!$1:$1,0)-MATCH($AT$1,crash_skills!$1:$1,0)+1,FALSE)</f>
        <v>光焔馬丈</v>
      </c>
      <c r="AV9" s="56" t="str">
        <f ca="1">VLOOKUP($AT9,OFFSET(crash_skills!$A$1,0,0,COUNTA(crash_skills!$A:$A),MATCH(AV$1,crash_skills!$1:$1,0)-MATCH($AT$1,crash_skills!$1:$1,0)+1),MATCH(AV$1,crash_skills!$1:$1,0)-MATCH($AT$1,crash_skills!$1:$1,0)+1,FALSE)</f>
        <v>1体に超大ダメージ+_x000D_2ターン全ユニットの回復力小UP</v>
      </c>
      <c r="AW9" s="56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7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6">
        <v>1</v>
      </c>
      <c r="AZ9" s="66">
        <v>1.091</v>
      </c>
      <c r="BA9" s="66">
        <v>0</v>
      </c>
      <c r="BB9" s="66">
        <v>1</v>
      </c>
      <c r="BC9" s="11">
        <f ca="1">INDEX('RC6SV'!$A$1:$G$20,MATCH(H9,'RC6SV'!$A$1:$A$20,FALSE),MATCH(G9,'RC6SV'!$A$1:$G$1,FALSE))</f>
        <v>13000</v>
      </c>
      <c r="BD9" s="47">
        <f t="shared" ca="1" si="7"/>
        <v>13000</v>
      </c>
      <c r="BE9" s="11">
        <f t="shared" ca="1" si="3"/>
        <v>9500</v>
      </c>
      <c r="BF9" s="11">
        <f t="shared" ca="1" si="4"/>
        <v>1</v>
      </c>
      <c r="BG9" s="16">
        <f ca="1">IF($BE9&lt;=0,ROUND(BK9*0.5,0), ROUND($BE9*S9*AA9*J9*AY9*0.8*[1]ステータス!$B$2,0))</f>
        <v>3800</v>
      </c>
      <c r="BH9" s="16">
        <f ca="1">IF($BE9&lt;=0,ROUND(BL9*0.5,0), ROUND($BE9*T9*AB9*K9*AZ9*0.8*[1]ステータス!$C$2,0))</f>
        <v>2537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1862</v>
      </c>
      <c r="BK9" s="11">
        <f ca="1">ROUND(BD9*S9*AA9*J9*AY9*[1]ステータス!$B$2,0)</f>
        <v>6500</v>
      </c>
      <c r="BL9" s="11">
        <f ca="1">ROUND(BD9*T9*AB9*K9*AZ9*[1]ステータス!$C$2,0)</f>
        <v>4340</v>
      </c>
      <c r="BM9" s="11">
        <f ca="1">ROUND(BD9*U9*AC9*L9*BA9*[1]ステータス!$D$2,0)</f>
        <v>0</v>
      </c>
      <c r="BN9" s="11">
        <f ca="1">ROUND(BD9*V9*AD9*M9*BB9*[1]ステータス!$E$2,0)</f>
        <v>3185</v>
      </c>
      <c r="BO9" s="10">
        <v>0</v>
      </c>
      <c r="BP9" s="10">
        <v>1</v>
      </c>
      <c r="BQ9" s="10" t="s">
        <v>45</v>
      </c>
      <c r="BR9" s="10">
        <f ca="1">VLOOKUP(H9,ghosts_label!$A$2:$B$19,2,FALSE)</f>
        <v>5500</v>
      </c>
    </row>
    <row r="10" spans="1:70" ht="26" customHeight="1" x14ac:dyDescent="0.15">
      <c r="A10" s="12">
        <v>939</v>
      </c>
      <c r="B10" s="56" t="str">
        <f ca="1">VLOOKUP($A10,OFFSET([1]characters!$A$1,0,0,COUNTA([1]characters!$A:$A),MATCH(B$1,[1]characters!$1:$1,0)-MATCH($A$1,[1]characters!$1:$1,0)+1),MATCH(B$1,[1]characters!$1:$1,0)-MATCH($A$1,[1]characters!$1:$1,0)+1,FALSE)</f>
        <v>バスティーユ</v>
      </c>
      <c r="C10" s="56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各属性相性良3・黄・R543</v>
      </c>
      <c r="D10" s="56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6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6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6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6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6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1">
        <f ca="1">VLOOKUP(I10,[1]属性!$A:$E,2,FALSE)</f>
        <v>1.02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</v>
      </c>
      <c r="N10" s="11">
        <f ca="1">INDEX(コスト!$A$1:$I$20,MATCH(H10,コスト!$A$1:$A$20,FALSE),MATCH(G10,コスト!$A$1:$I$1,FALSE))</f>
        <v>20</v>
      </c>
      <c r="O10" s="11">
        <f ca="1">INDEX(レベル!$A$1:$I$21,MATCH(H10,レベル!$A$1:$A$21,FALSE),MATCH(G10,レベル!$A$1:$I$1,FALSE))</f>
        <v>60</v>
      </c>
      <c r="P10" s="47">
        <f t="shared" ca="1" si="8"/>
        <v>60</v>
      </c>
      <c r="Q10" s="56" t="str">
        <f ca="1">VLOOKUP($A10,OFFSET([1]characters!$A$1,0,0,COUNTA([1]characters!$A:$A),MATCH(Q$1,[1]characters!$1:$1,0)-MATCH($A$1,[1]characters!$1:$1,0)+1),MATCH(Q$1,[1]characters!$1:$1,0)-MATCH($A$1,[1]characters!$1:$1,0)+1,FALSE)</f>
        <v>hp</v>
      </c>
      <c r="R10" s="5" t="str">
        <f ca="1">VLOOKUP(Q10,[1]character_type_i18n!$A:$H,3,FALSE)</f>
        <v>体力タイプ</v>
      </c>
      <c r="S10" s="11">
        <f ca="1">VLOOKUP(Q10,[1]character_type_i18n!$A:$H,4,FALSE)</f>
        <v>1.45</v>
      </c>
      <c r="T10" s="11">
        <f ca="1">VLOOKUP(Q10,[1]character_type_i18n!$A:$H,5,FALSE)</f>
        <v>0.85</v>
      </c>
      <c r="U10" s="11">
        <f ca="1">VLOOKUP(Q10,[1]character_type_i18n!$A:$H,6,FALSE)</f>
        <v>1</v>
      </c>
      <c r="V10" s="11">
        <f ca="1">VLOOKUP(Q10,[1]character_type_i18n!$A:$H,7,FALSE)</f>
        <v>0.7</v>
      </c>
      <c r="W10" s="56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6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v>940</v>
      </c>
      <c r="AF10" s="61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不壊の大要塞 バスティーユ</v>
      </c>
      <c r="AG10" s="5">
        <f t="shared" ca="1" si="0"/>
        <v>939</v>
      </c>
      <c r="AH10" s="61" t="str">
        <f ca="1">VLOOKUP($AG10,OFFSET([1]characters!$A$1,0,0,COUNTA([1]characters!$A:$A),MATCH(AH$1,[1]characters!$1:$1,0)-MATCH($A$1,[1]characters!$1:$1,0)+1),MATCH(AH$1,[1]characters!$1:$1,0)-MATCH($A$1,[1]characters!$1:$1,0)+1,FALSE)</f>
        <v>バスティーユ</v>
      </c>
      <c r="AI10" s="11">
        <f ca="1">IF(AE10="NULL","NULL",VLOOKUP(G10,ビット!$A$2:$B$7,2))</f>
        <v>50000</v>
      </c>
      <c r="AJ10" s="6">
        <v>2</v>
      </c>
      <c r="AK10" s="7" t="str">
        <f t="shared" si="6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4"/>
      <c r="AP10" s="166">
        <v>939</v>
      </c>
      <c r="AQ10" s="164" t="str">
        <f ca="1">VLOOKUP($AP10,OFFSET(unit_skills!$A$1,0,0,COUNTA(unit_skills!$A:$A),MATCH(AQ$1,unit_skills!$1:$1,0)-MATCH($AP$1,unit_skills!$1:$1,0)+1),MATCH(AQ$1,unit_skills!$1:$1,0)-MATCH($AP$1,unit_skills!$1:$1,0)+1,FALSE)</f>
        <v>クリミナル･リストレイン</v>
      </c>
      <c r="AR10" s="56" t="str">
        <f ca="1">VLOOKUP($AP10,OFFSET(unit_skills!$A$1,0,0,COUNTA(unit_skills!$A:$A),MATCH(AR$1,unit_skills!$1:$1,0)-MATCH($AP$1,unit_skills!$1:$1,0)+1),MATCH(AR$1,unit_skills!$1:$1,0)-MATCH($AP$1,unit_skills!$1:$1,0)+1,FALSE)</f>
        <v>2ターン自身の攻撃力を超大UP+特大カウンター</v>
      </c>
      <c r="AS10" s="56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166">
        <v>939</v>
      </c>
      <c r="AU10" s="56" t="str">
        <f ca="1">VLOOKUP($AT10,OFFSET(crash_skills!$A$1,0,0,COUNTA(crash_skills!$A:$A),MATCH(AU$1,crash_skills!$1:$1,0)-MATCH($AT$1,crash_skills!$1:$1,0)+1),MATCH(AU$1,crash_skills!$1:$1,0)-MATCH($AT$1,crash_skills!$1:$1,0)+1,FALSE)</f>
        <v>獄々の碧弾</v>
      </c>
      <c r="AV10" s="56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1体に大ダメージ+_x000D_1ターン緑属性の防御力UP</v>
      </c>
      <c r="AW10" s="56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7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6">
        <v>0.98</v>
      </c>
      <c r="AZ10" s="66">
        <v>1</v>
      </c>
      <c r="BA10" s="66">
        <v>0</v>
      </c>
      <c r="BB10" s="66">
        <v>0.95</v>
      </c>
      <c r="BC10" s="11">
        <f ca="1">INDEX('RC6SV'!$A$1:$G$20,MATCH(H10,'RC6SV'!$A$1:$A$20,FALSE),MATCH(G10,'RC6SV'!$A$1:$G$1,FALSE))</f>
        <v>7000</v>
      </c>
      <c r="BD10" s="47">
        <f t="shared" ca="1" si="7"/>
        <v>7000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2537</v>
      </c>
      <c r="BH10" s="16">
        <f ca="1">IF($BE10&lt;=0,ROUND(BL10*0.5,0), ROUND($BE10*T10*AB10*K10*AZ10*0.8*[1]ステータス!$C$2,0))</f>
        <v>875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582</v>
      </c>
      <c r="BK10" s="11">
        <f ca="1">ROUND(BD10*S10*AA10*J10*AY10*[1]ステータス!$B$2,0)</f>
        <v>5073</v>
      </c>
      <c r="BL10" s="11">
        <f ca="1">ROUND(BD10*T10*AB10*K10*AZ10*[1]ステータス!$C$2,0)</f>
        <v>1749</v>
      </c>
      <c r="BM10" s="11">
        <f ca="1">ROUND(BD10*U10*AC10*L10*BA10*[1]ステータス!$D$2,0)</f>
        <v>0</v>
      </c>
      <c r="BN10" s="11">
        <f ca="1">ROUND(BD10*V10*AD10*M10*BB10*[1]ステータス!$E$2,0)</f>
        <v>1164</v>
      </c>
      <c r="BO10" s="10">
        <v>0</v>
      </c>
      <c r="BP10" s="10">
        <v>1</v>
      </c>
      <c r="BQ10" s="10" t="s">
        <v>45</v>
      </c>
      <c r="BR10" s="10">
        <f ca="1">VLOOKUP(H10,ghosts_label!$A$2:$B$19,2,FALSE)</f>
        <v>700</v>
      </c>
    </row>
    <row r="11" spans="1:70" ht="26" customHeight="1" x14ac:dyDescent="0.15">
      <c r="A11" s="12">
        <v>940</v>
      </c>
      <c r="B11" s="56" t="str">
        <f ca="1">VLOOKUP($A11,OFFSET([1]characters!$A$1,0,0,COUNTA([1]characters!$A:$A),MATCH(B$1,[1]characters!$1:$1,0)-MATCH($A$1,[1]characters!$1:$1,0)+1),MATCH(B$1,[1]characters!$1:$1,0)-MATCH($A$1,[1]characters!$1:$1,0)+1,FALSE)</f>
        <v>不壊の大要塞 バスティーユ</v>
      </c>
      <c r="C11" s="56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各属性相性良3・黄・R544</v>
      </c>
      <c r="D11" s="56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6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6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6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6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6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INDEX(コスト!$A$1:$I$20,MATCH(H11,コスト!$A$1:$A$20,FALSE),MATCH(G11,コスト!$A$1:$I$1,FALSE))</f>
        <v>30</v>
      </c>
      <c r="O11" s="11">
        <f ca="1">INDEX(レベル!$A$1:$I$21,MATCH(H11,レベル!$A$1:$A$21,FALSE),MATCH(G11,レベル!$A$1:$I$1,FALSE))</f>
        <v>80</v>
      </c>
      <c r="P11" s="47">
        <f t="shared" ca="1" si="8"/>
        <v>75</v>
      </c>
      <c r="Q11" s="56" t="str">
        <f ca="1">VLOOKUP($A11,OFFSET([1]characters!$A$1,0,0,COUNTA([1]characters!$A:$A),MATCH(Q$1,[1]characters!$1:$1,0)-MATCH($A$1,[1]characters!$1:$1,0)+1),MATCH(Q$1,[1]characters!$1:$1,0)-MATCH($A$1,[1]characters!$1:$1,0)+1,FALSE)</f>
        <v>hp</v>
      </c>
      <c r="R11" s="5" t="str">
        <f ca="1">VLOOKUP(Q11,[1]character_type_i18n!$A:$H,3,FALSE)</f>
        <v>体力タイプ</v>
      </c>
      <c r="S11" s="11">
        <f ca="1">VLOOKUP(Q11,[1]character_type_i18n!$A:$H,4,FALSE)</f>
        <v>1.45</v>
      </c>
      <c r="T11" s="11">
        <f ca="1">VLOOKUP(Q11,[1]character_type_i18n!$A:$H,5,FALSE)</f>
        <v>0.85</v>
      </c>
      <c r="U11" s="11">
        <f ca="1">VLOOKUP(Q11,[1]character_type_i18n!$A:$H,6,FALSE)</f>
        <v>1</v>
      </c>
      <c r="V11" s="11">
        <f ca="1">VLOOKUP(Q11,[1]character_type_i18n!$A:$H,7,FALSE)</f>
        <v>0.7</v>
      </c>
      <c r="W11" s="56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6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177</v>
      </c>
      <c r="AF11" s="61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939</v>
      </c>
      <c r="AH11" s="61" t="str">
        <f ca="1">VLOOKUP($AG11,OFFSET([1]characters!$A$1,0,0,COUNTA([1]characters!$A:$A),MATCH(AH$1,[1]characters!$1:$1,0)-MATCH($A$1,[1]characters!$1:$1,0)+1),MATCH(AH$1,[1]characters!$1:$1,0)-MATCH($A$1,[1]characters!$1:$1,0)+1,FALSE)</f>
        <v>バスティーユ</v>
      </c>
      <c r="AI11" s="11" t="str">
        <f>IF(AE11="NULL","NULL",VLOOKUP(G11,ビット!$A$2:$B$7,2))</f>
        <v>NULL</v>
      </c>
      <c r="AJ11" s="6">
        <v>2</v>
      </c>
      <c r="AK11" s="7" t="str">
        <f t="shared" si="6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4"/>
      <c r="AP11" s="166">
        <v>940</v>
      </c>
      <c r="AQ11" s="164" t="str">
        <f ca="1">VLOOKUP($AP11,OFFSET(unit_skills!$A$1,0,0,COUNTA(unit_skills!$A:$A),MATCH(AQ$1,unit_skills!$1:$1,0)-MATCH($AP$1,unit_skills!$1:$1,0)+1),MATCH(AQ$1,unit_skills!$1:$1,0)-MATCH($AP$1,unit_skills!$1:$1,0)+1,FALSE)</f>
        <v>クリミナル･パニッシュメント</v>
      </c>
      <c r="AR11" s="56" t="str">
        <f ca="1">VLOOKUP($AP11,OFFSET(unit_skills!$A$1,0,0,COUNTA(unit_skills!$A:$A),MATCH(AR$1,unit_skills!$1:$1,0)-MATCH($AP$1,unit_skills!$1:$1,0)+1),MATCH(AR$1,unit_skills!$1:$1,0)-MATCH($AP$1,unit_skills!$1:$1,0)+1,FALSE)</f>
        <v>2ターン自身の攻撃力を超大UP+特大カウンター</v>
      </c>
      <c r="AS11" s="56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166">
        <v>940</v>
      </c>
      <c r="AU11" s="56" t="str">
        <f ca="1">VLOOKUP($AT11,OFFSET(crash_skills!$A$1,0,0,COUNTA(crash_skills!$A:$A),MATCH(AU$1,crash_skills!$1:$1,0)-MATCH($AT$1,crash_skills!$1:$1,0)+1),MATCH(AU$1,crash_skills!$1:$1,0)-MATCH($AT$1,crash_skills!$1:$1,0)+1,FALSE)</f>
        <v>獄々の彩砲弾</v>
      </c>
      <c r="AV11" s="56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1体に特大ダメージ+_x000D_1ターン緑属性の防御力UP</v>
      </c>
      <c r="AW11" s="56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7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6">
        <v>0.98</v>
      </c>
      <c r="AZ11" s="66">
        <v>1</v>
      </c>
      <c r="BA11" s="66">
        <v>0</v>
      </c>
      <c r="BB11" s="66">
        <v>0.95</v>
      </c>
      <c r="BC11" s="11">
        <f ca="1">INDEX('RC6SV'!$A$1:$G$20,MATCH(H11,'RC6SV'!$A$1:$A$20,FALSE),MATCH(G11,'RC6SV'!$A$1:$G$1,FALSE))</f>
        <v>9000</v>
      </c>
      <c r="BD11" s="47">
        <f t="shared" ca="1" si="7"/>
        <v>9000</v>
      </c>
      <c r="BE11" s="11">
        <f t="shared" ca="1" si="3"/>
        <v>7000</v>
      </c>
      <c r="BF11" s="11">
        <f t="shared" ca="1" si="4"/>
        <v>1</v>
      </c>
      <c r="BG11" s="16">
        <f ca="1">IF($BE11&lt;=0,ROUND(BK11*0.5,0), ROUND($BE11*S11*AA11*J11*AY11*0.8*[1]ステータス!$B$2,0))</f>
        <v>4058</v>
      </c>
      <c r="BH11" s="16">
        <f ca="1">IF($BE11&lt;=0,ROUND(BL11*0.5,0), ROUND($BE11*T11*AB11*K11*AZ11*0.8*[1]ステータス!$C$2,0))</f>
        <v>1399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931</v>
      </c>
      <c r="BK11" s="11">
        <f ca="1">ROUND(BD11*S11*AA11*J11*AY11*[1]ステータス!$B$2,0)</f>
        <v>6522</v>
      </c>
      <c r="BL11" s="11">
        <f ca="1">ROUND(BD11*T11*AB11*K11*AZ11*[1]ステータス!$C$2,0)</f>
        <v>2249</v>
      </c>
      <c r="BM11" s="11">
        <f ca="1">ROUND(BD11*U11*AC11*L11*BA11*[1]ステータス!$D$2,0)</f>
        <v>0</v>
      </c>
      <c r="BN11" s="11">
        <f ca="1">ROUND(BD11*V11*AD11*M11*BB11*[1]ステータス!$E$2,0)</f>
        <v>1496</v>
      </c>
      <c r="BO11" s="10">
        <v>0</v>
      </c>
      <c r="BP11" s="10">
        <v>1</v>
      </c>
      <c r="BQ11" s="10" t="s">
        <v>45</v>
      </c>
      <c r="BR11" s="10">
        <f ca="1">VLOOKUP(H11,ghosts_label!$A$2:$B$19,2,FALSE)</f>
        <v>700</v>
      </c>
    </row>
    <row r="12" spans="1:70" ht="26" customHeight="1" x14ac:dyDescent="0.15">
      <c r="A12" s="12">
        <v>941</v>
      </c>
      <c r="B12" s="56" t="str">
        <f ca="1">VLOOKUP($A12,OFFSET([1]characters!$A$1,0,0,COUNTA([1]characters!$A:$A),MATCH(B$1,[1]characters!$1:$1,0)-MATCH($A$1,[1]characters!$1:$1,0)+1),MATCH(B$1,[1]characters!$1:$1,0)-MATCH($A$1,[1]characters!$1:$1,0)+1,FALSE)</f>
        <v>アントワネット</v>
      </c>
      <c r="C12" s="56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各属性相性良3・黄・R545</v>
      </c>
      <c r="D12" s="56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6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6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6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6" t="str">
        <f ca="1">VLOOKUP($A12,OFFSET([1]characters!$A$1,0,0,COUNTA([1]characters!$A:$A),MATCH(H$1,[1]characters!$1:$1,0)-MATCH($A$1,[1]characters!$1:$1,0)+1),MATCH(H$1,[1]characters!$1:$1,0)-MATCH($A$1,[1]characters!$1:$1,0)+1,FALSE)</f>
        <v>PremiumSS</v>
      </c>
      <c r="I12" s="56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INDEX(コスト!$A$1:$I$20,MATCH(H12,コスト!$A$1:$A$20,FALSE),MATCH(G12,コスト!$A$1:$I$1,FALSE))</f>
        <v>35</v>
      </c>
      <c r="O12" s="11">
        <f ca="1">INDEX(レベル!$A$1:$I$21,MATCH(H12,レベル!$A$1:$A$21,FALSE),MATCH(G12,レベル!$A$1:$I$1,FALSE))</f>
        <v>80</v>
      </c>
      <c r="P12" s="47">
        <f t="shared" ca="1" si="8"/>
        <v>75</v>
      </c>
      <c r="Q12" s="56" t="str">
        <f ca="1">VLOOKUP($A12,OFFSET([1]characters!$A$1,0,0,COUNTA([1]characters!$A:$A),MATCH(Q$1,[1]characters!$1:$1,0)-MATCH($A$1,[1]characters!$1:$1,0)+1),MATCH(Q$1,[1]characters!$1:$1,0)-MATCH($A$1,[1]characters!$1:$1,0)+1,FALSE)</f>
        <v>technical</v>
      </c>
      <c r="R12" s="5" t="str">
        <f ca="1">VLOOKUP(Q12,[1]character_type_i18n!$A:$H,3,FALSE)</f>
        <v>テクニカルタイプ</v>
      </c>
      <c r="S12" s="11">
        <f ca="1">VLOOKUP(Q12,[1]character_type_i18n!$A:$H,4,FALSE)</f>
        <v>0.9</v>
      </c>
      <c r="T12" s="11">
        <f ca="1">VLOOKUP(Q12,[1]character_type_i18n!$A:$H,5,FALSE)</f>
        <v>0.9</v>
      </c>
      <c r="U12" s="11">
        <f ca="1">VLOOKUP(Q12,[1]character_type_i18n!$A:$H,6,FALSE)</f>
        <v>1</v>
      </c>
      <c r="V12" s="11">
        <f ca="1">VLOOKUP(Q12,[1]character_type_i18n!$A:$H,7,FALSE)</f>
        <v>0.9</v>
      </c>
      <c r="W12" s="56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6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>
        <v>942</v>
      </c>
      <c r="AF12" s="61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華戯たる傲妃 アントワネット</v>
      </c>
      <c r="AG12" s="5">
        <f t="shared" ca="1" si="0"/>
        <v>941</v>
      </c>
      <c r="AH12" s="61" t="str">
        <f ca="1">VLOOKUP($AG12,OFFSET([1]characters!$A$1,0,0,COUNTA([1]characters!$A:$A),MATCH(AH$1,[1]characters!$1:$1,0)-MATCH($A$1,[1]characters!$1:$1,0)+1),MATCH(AH$1,[1]characters!$1:$1,0)-MATCH($A$1,[1]characters!$1:$1,0)+1,FALSE)</f>
        <v>アントワネット</v>
      </c>
      <c r="AI12" s="11">
        <f ca="1">IF(AE12="NULL","NULL",VLOOKUP(G12,ビット!$A$2:$B$7,2))</f>
        <v>200000</v>
      </c>
      <c r="AJ12" s="6">
        <v>2</v>
      </c>
      <c r="AK12" s="7" t="str">
        <f t="shared" si="6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6400</v>
      </c>
      <c r="AN12" s="17">
        <f ca="1">VLOOKUP(G12,ビット!$G$2:$H$7,2)</f>
        <v>900</v>
      </c>
      <c r="AO12" s="44"/>
      <c r="AP12" s="166">
        <v>941</v>
      </c>
      <c r="AQ12" s="164" t="str">
        <f ca="1">VLOOKUP($AP12,OFFSET(unit_skills!$A$1,0,0,COUNTA(unit_skills!$A:$A),MATCH(AQ$1,unit_skills!$1:$1,0)-MATCH($AP$1,unit_skills!$1:$1,0)+1),MATCH(AQ$1,unit_skills!$1:$1,0)-MATCH($AP$1,unit_skills!$1:$1,0)+1,FALSE)</f>
        <v>オ･ルヴォワール･デスティネ</v>
      </c>
      <c r="AR12" s="56" t="str">
        <f ca="1">VLOOKUP($AP12,OFFSET(unit_skills!$A$1,0,0,COUNTA(unit_skills!$A:$A),MATCH(AR$1,unit_skills!$1:$1,0)-MATCH($AP$1,unit_skills!$1:$1,0)+1),MATCH(AR$1,unit_skills!$1:$1,0)-MATCH($AP$1,unit_skills!$1:$1,0)+1,FALSE)</f>
        <v>赤・黄パネルを青パネルに変換+1ターンの間敵からのダメージを50%軽減</v>
      </c>
      <c r="AS12" s="56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166">
        <v>941</v>
      </c>
      <c r="AU12" s="56" t="str">
        <f ca="1">VLOOKUP($AT12,OFFSET(crash_skills!$A$1,0,0,COUNTA(crash_skills!$A:$A),MATCH(AU$1,crash_skills!$1:$1,0)-MATCH($AT$1,crash_skills!$1:$1,0)+1),MATCH(AU$1,crash_skills!$1:$1,0)-MATCH($AT$1,crash_skills!$1:$1,0)+1,FALSE)</f>
        <v>逢命の鍵斧</v>
      </c>
      <c r="AV12" s="56" t="str">
        <f ca="1">VLOOKUP($AT12,OFFSET(crash_skills!$A$1,0,0,COUNTA(crash_skills!$A:$A),MATCH(AV$1,crash_skills!$1:$1,0)-MATCH($AT$1,crash_skills!$1:$1,0)+1),MATCH(AV$1,crash_skills!$1:$1,0)-MATCH($AT$1,crash_skills!$1:$1,0)+1,FALSE)</f>
        <v>1体に大ダメージ+_x000D_ヒューマンに効果超大</v>
      </c>
      <c r="AW12" s="56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7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6">
        <v>1.1399999999999999</v>
      </c>
      <c r="AZ12" s="66">
        <v>1.18</v>
      </c>
      <c r="BA12" s="66">
        <v>0</v>
      </c>
      <c r="BB12" s="66">
        <v>1</v>
      </c>
      <c r="BC12" s="11">
        <f ca="1">INDEX('RC6SV'!$A$1:$G$20,MATCH(H12,'RC6SV'!$A$1:$A$20,FALSE),MATCH(G12,'RC6SV'!$A$1:$G$1,FALSE))</f>
        <v>9500</v>
      </c>
      <c r="BD12" s="47">
        <f t="shared" ca="1" si="7"/>
        <v>9500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2291</v>
      </c>
      <c r="BH12" s="16">
        <f ca="1">IF($BE12&lt;=0,ROUND(BL12*0.5,0), ROUND($BE12*T12*AB12*K12*AZ12*0.8*[1]ステータス!$C$2,0))</f>
        <v>1469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1167</v>
      </c>
      <c r="BK12" s="11">
        <f ca="1">ROUND(BD12*S12*AA12*J12*AY12*[1]ステータス!$B$2,0)</f>
        <v>4581</v>
      </c>
      <c r="BL12" s="11">
        <f ca="1">ROUND(BD12*T12*AB12*K12*AZ12*[1]ステータス!$C$2,0)</f>
        <v>2937</v>
      </c>
      <c r="BM12" s="11">
        <f ca="1">ROUND(BD12*U12*AC12*L12*BA12*[1]ステータス!$D$2,0)</f>
        <v>0</v>
      </c>
      <c r="BN12" s="11">
        <f ca="1">ROUND(BD12*V12*AD12*M12*BB12*[1]ステータス!$E$2,0)</f>
        <v>2333</v>
      </c>
      <c r="BO12" s="10">
        <v>0</v>
      </c>
      <c r="BP12" s="10">
        <v>1</v>
      </c>
      <c r="BQ12" s="10" t="s">
        <v>45</v>
      </c>
      <c r="BR12" s="10">
        <f ca="1">VLOOKUP(H12,ghosts_label!$A$2:$B$19,2,FALSE)</f>
        <v>5500</v>
      </c>
    </row>
    <row r="13" spans="1:70" ht="26" customHeight="1" x14ac:dyDescent="0.15">
      <c r="A13" s="12">
        <v>942</v>
      </c>
      <c r="B13" s="56" t="str">
        <f ca="1">VLOOKUP($A13,OFFSET([1]characters!$A$1,0,0,COUNTA([1]characters!$A:$A),MATCH(B$1,[1]characters!$1:$1,0)-MATCH($A$1,[1]characters!$1:$1,0)+1),MATCH(B$1,[1]characters!$1:$1,0)-MATCH($A$1,[1]characters!$1:$1,0)+1,FALSE)</f>
        <v>華戯たる傲妃 アントワネット</v>
      </c>
      <c r="C13" s="56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各属性相性良3・黄・R546</v>
      </c>
      <c r="D13" s="56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6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6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6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6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6" t="str">
        <f ca="1">VLOOKUP($A13,OFFSET([1]characters!$A$1,0,0,COUNTA([1]characters!$A:$A),MATCH(I$1,[1]characters!$1:$1,0)-MATCH($A$1,[1]characters!$1:$1,0)+1),MATCH(I$1,[1]characters!$1:$1,0)-MATCH($A$1,[1]characters!$1:$1,0)+1,FALSE)</f>
        <v>blue</v>
      </c>
      <c r="J13" s="11">
        <f ca="1">VLOOKUP(I13,[1]属性!$A:$E,2,FALSE)</f>
        <v>1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1.02</v>
      </c>
      <c r="N13" s="11">
        <f ca="1">INDEX(コスト!$A$1:$I$20,MATCH(H13,コスト!$A$1:$A$20,FALSE),MATCH(G13,コスト!$A$1:$I$1,FALSE))</f>
        <v>50</v>
      </c>
      <c r="O13" s="11">
        <f ca="1">INDEX(レベル!$A$1:$I$21,MATCH(H13,レベル!$A$1:$A$21,FALSE),MATCH(G13,レベル!$A$1:$I$1,FALSE))</f>
        <v>99</v>
      </c>
      <c r="P13" s="47">
        <f t="shared" ca="1" si="8"/>
        <v>99</v>
      </c>
      <c r="Q13" s="56" t="str">
        <f ca="1">VLOOKUP($A13,OFFSET([1]characters!$A$1,0,0,COUNTA([1]characters!$A:$A),MATCH(Q$1,[1]characters!$1:$1,0)-MATCH($A$1,[1]characters!$1:$1,0)+1),MATCH(Q$1,[1]characters!$1:$1,0)-MATCH($A$1,[1]characters!$1:$1,0)+1,FALSE)</f>
        <v>technical</v>
      </c>
      <c r="R13" s="5" t="str">
        <f ca="1">VLOOKUP(Q13,[1]character_type_i18n!$A:$H,3,FALSE)</f>
        <v>テクニカルタイプ</v>
      </c>
      <c r="S13" s="11">
        <f ca="1">VLOOKUP(Q13,[1]character_type_i18n!$A:$H,4,FALSE)</f>
        <v>0.9</v>
      </c>
      <c r="T13" s="11">
        <f ca="1">VLOOKUP(Q13,[1]character_type_i18n!$A:$H,5,FALSE)</f>
        <v>0.9</v>
      </c>
      <c r="U13" s="11">
        <f ca="1">VLOOKUP(Q13,[1]character_type_i18n!$A:$H,6,FALSE)</f>
        <v>1</v>
      </c>
      <c r="V13" s="11">
        <f ca="1">VLOOKUP(Q13,[1]character_type_i18n!$A:$H,7,FALSE)</f>
        <v>0.9</v>
      </c>
      <c r="W13" s="56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6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 t="s">
        <v>249</v>
      </c>
      <c r="AF13" s="61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941</v>
      </c>
      <c r="AH13" s="61" t="str">
        <f ca="1">VLOOKUP($AG13,OFFSET([1]characters!$A$1,0,0,COUNTA([1]characters!$A:$A),MATCH(AH$1,[1]characters!$1:$1,0)-MATCH($A$1,[1]characters!$1:$1,0)+1),MATCH(AH$1,[1]characters!$1:$1,0)-MATCH($A$1,[1]characters!$1:$1,0)+1,FALSE)</f>
        <v>アントワネット</v>
      </c>
      <c r="AI13" s="11" t="str">
        <f>IF(AE13="NULL","NULL",VLOOKUP(G13,ビット!$A$2:$B$7,2))</f>
        <v>NULL</v>
      </c>
      <c r="AJ13" s="6">
        <v>2</v>
      </c>
      <c r="AK13" s="7" t="str">
        <f t="shared" si="6"/>
        <v>普通</v>
      </c>
      <c r="AL13" s="11" t="str">
        <f ca="1">INDEX(経験値!$A$1:$I$20,MATCH(H13,経験値!$A$1:$A$20,FALSE),MATCH(G13,経験値!$A$1:$I$1,FALSE))</f>
        <v>required_exp_250</v>
      </c>
      <c r="AM13" s="8">
        <f ca="1">VLOOKUP(G13,経験値!$A$27:$B$31,2)</f>
        <v>6400</v>
      </c>
      <c r="AN13" s="17">
        <f ca="1">VLOOKUP(G13,ビット!$G$2:$H$7,2)</f>
        <v>900</v>
      </c>
      <c r="AO13" s="44"/>
      <c r="AP13" s="166">
        <v>942</v>
      </c>
      <c r="AQ13" s="164" t="str">
        <f ca="1">VLOOKUP($AP13,OFFSET(unit_skills!$A$1,0,0,COUNTA(unit_skills!$A:$A),MATCH(AQ$1,unit_skills!$1:$1,0)-MATCH($AP$1,unit_skills!$1:$1,0)+1),MATCH(AQ$1,unit_skills!$1:$1,0)-MATCH($AP$1,unit_skills!$1:$1,0)+1,FALSE)</f>
        <v>オ･ルヴォワール･フルリール</v>
      </c>
      <c r="AR13" s="56" t="str">
        <f ca="1">VLOOKUP($AP13,OFFSET(unit_skills!$A$1,0,0,COUNTA(unit_skills!$A:$A),MATCH(AR$1,unit_skills!$1:$1,0)-MATCH($AP$1,unit_skills!$1:$1,0)+1),MATCH(AR$1,unit_skills!$1:$1,0)-MATCH($AP$1,unit_skills!$1:$1,0)+1,FALSE)</f>
        <v>赤・黄パネルを青パネルに変換+1ターンの間敵からのダメージを50%軽減</v>
      </c>
      <c r="AS13" s="56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166">
        <v>942</v>
      </c>
      <c r="AU13" s="56" t="str">
        <f ca="1">VLOOKUP($AT13,OFFSET(crash_skills!$A$1,0,0,COUNTA(crash_skills!$A:$A),MATCH(AU$1,crash_skills!$1:$1,0)-MATCH($AT$1,crash_skills!$1:$1,0)+1),MATCH(AU$1,crash_skills!$1:$1,0)-MATCH($AT$1,crash_skills!$1:$1,0)+1,FALSE)</f>
        <v>賭命の双鍵斧</v>
      </c>
      <c r="AV13" s="56" t="str">
        <f ca="1">VLOOKUP($AT13,OFFSET(crash_skills!$A$1,0,0,COUNTA(crash_skills!$A:$A),MATCH(AV$1,crash_skills!$1:$1,0)-MATCH($AT$1,crash_skills!$1:$1,0)+1),MATCH(AV$1,crash_skills!$1:$1,0)-MATCH($AT$1,crash_skills!$1:$1,0)+1,FALSE)</f>
        <v>1体に大ダメージ+_x000D_ヒューマンに効果超大</v>
      </c>
      <c r="AW13" s="56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7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6">
        <v>1.1399999999999999</v>
      </c>
      <c r="AZ13" s="66">
        <v>1.18</v>
      </c>
      <c r="BA13" s="66">
        <v>0</v>
      </c>
      <c r="BB13" s="66">
        <v>1</v>
      </c>
      <c r="BC13" s="11">
        <f ca="1">INDEX('RC6SV'!$A$1:$G$20,MATCH(H13,'RC6SV'!$A$1:$A$20,FALSE),MATCH(G13,'RC6SV'!$A$1:$G$1,FALSE))</f>
        <v>13000</v>
      </c>
      <c r="BD13" s="47">
        <f t="shared" ca="1" si="7"/>
        <v>13000</v>
      </c>
      <c r="BE13" s="11">
        <f t="shared" ca="1" si="3"/>
        <v>9500</v>
      </c>
      <c r="BF13" s="11">
        <f t="shared" ca="1" si="4"/>
        <v>1</v>
      </c>
      <c r="BG13" s="16">
        <f ca="1">IF($BE13&lt;=0,ROUND(BK13*0.5,0), ROUND($BE13*S13*AA13*J13*AY13*0.8*[1]ステータス!$B$2,0))</f>
        <v>3665</v>
      </c>
      <c r="BH13" s="16">
        <f ca="1">IF($BE13&lt;=0,ROUND(BL13*0.5,0), ROUND($BE13*T13*AB13*K13*AZ13*0.8*[1]ステータス!$C$2,0))</f>
        <v>2349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1866</v>
      </c>
      <c r="BK13" s="11">
        <f ca="1">ROUND(BD13*S13*AA13*J13*AY13*[1]ステータス!$B$2,0)</f>
        <v>6269</v>
      </c>
      <c r="BL13" s="11">
        <f ca="1">ROUND(BD13*T13*AB13*K13*AZ13*[1]ステータス!$C$2,0)</f>
        <v>4018</v>
      </c>
      <c r="BM13" s="11">
        <f ca="1">ROUND(BD13*U13*AC13*L13*BA13*[1]ステータス!$D$2,0)</f>
        <v>0</v>
      </c>
      <c r="BN13" s="11">
        <f ca="1">ROUND(BD13*V13*AD13*M13*BB13*[1]ステータス!$E$2,0)</f>
        <v>3192</v>
      </c>
      <c r="BO13" s="10">
        <v>0</v>
      </c>
      <c r="BP13" s="10">
        <v>1</v>
      </c>
      <c r="BQ13" s="10" t="s">
        <v>45</v>
      </c>
      <c r="BR13" s="10">
        <f ca="1">VLOOKUP(H13,ghosts_label!$A$2:$B$19,2,FALSE)</f>
        <v>5500</v>
      </c>
    </row>
    <row r="14" spans="1:70" ht="26" customHeight="1" x14ac:dyDescent="0.15">
      <c r="A14" s="12">
        <v>943</v>
      </c>
      <c r="B14" s="56" t="str">
        <f ca="1">VLOOKUP($A14,OFFSET([1]characters!$A$1,0,0,COUNTA([1]characters!$A:$A),MATCH(B$1,[1]characters!$1:$1,0)-MATCH($A$1,[1]characters!$1:$1,0)+1),MATCH(B$1,[1]characters!$1:$1,0)-MATCH($A$1,[1]characters!$1:$1,0)+1,FALSE)</f>
        <v>サンソン</v>
      </c>
      <c r="C14" s="56" t="str">
        <f ca="1">VLOOKUP($A14,OFFSET([1]characters!$A$1,0,0,COUNTA([1]characters!$A:$A),MATCH(C$1,[1]characters!$1:$1,0)-MATCH($A$1,[1]characters!$1:$1,0)+1),MATCH(C$1,[1]characters!$1:$1,0)-MATCH($A$1,[1]characters!$1:$1,0)+1,FALSE)</f>
        <v>各属性相性良3・黄・R547</v>
      </c>
      <c r="D14" s="56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6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6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6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6" t="str">
        <f ca="1">VLOOKUP($A14,OFFSET([1]characters!$A$1,0,0,COUNTA([1]characters!$A:$A),MATCH(H$1,[1]characters!$1:$1,0)-MATCH($A$1,[1]characters!$1:$1,0)+1),MATCH(H$1,[1]characters!$1:$1,0)-MATCH($A$1,[1]characters!$1:$1,0)+1,FALSE)</f>
        <v>PremiumSS</v>
      </c>
      <c r="I14" s="56" t="str">
        <f ca="1">VLOOKUP($A14,OFFSET([1]characters!$A$1,0,0,COUNTA([1]characters!$A:$A),MATCH(I$1,[1]characters!$1:$1,0)-MATCH($A$1,[1]characters!$1:$1,0)+1),MATCH(I$1,[1]characters!$1:$1,0)-MATCH($A$1,[1]characters!$1:$1,0)+1,FALSE)</f>
        <v>yellow</v>
      </c>
      <c r="J14" s="11">
        <f ca="1">VLOOKUP(I14,[1]属性!$A:$E,2,FALSE)</f>
        <v>0.98</v>
      </c>
      <c r="K14" s="11">
        <f ca="1">VLOOKUP(I14,[1]属性!$A:$E,3,FALSE)</f>
        <v>1.01</v>
      </c>
      <c r="L14" s="11">
        <f ca="1">VLOOKUP(I14,[1]属性!$A:$E,4,FALSE)</f>
        <v>1</v>
      </c>
      <c r="M14" s="11">
        <f ca="1">VLOOKUP(I14,[1]属性!$A:$E,5,FALSE)</f>
        <v>1.01</v>
      </c>
      <c r="N14" s="11">
        <f ca="1">INDEX(コスト!$A$1:$I$20,MATCH(H14,コスト!$A$1:$A$20,FALSE),MATCH(G14,コスト!$A$1:$I$1,FALSE))</f>
        <v>35</v>
      </c>
      <c r="O14" s="11">
        <f ca="1">INDEX(レベル!$A$1:$I$21,MATCH(H14,レベル!$A$1:$A$21,FALSE),MATCH(G14,レベル!$A$1:$I$1,FALSE))</f>
        <v>80</v>
      </c>
      <c r="P14" s="47">
        <f t="shared" ca="1" si="8"/>
        <v>75</v>
      </c>
      <c r="Q14" s="56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6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6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>
        <v>944</v>
      </c>
      <c r="AF14" s="61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王敬の執行者 サンソン</v>
      </c>
      <c r="AG14" s="5">
        <f t="shared" ca="1" si="0"/>
        <v>943</v>
      </c>
      <c r="AH14" s="61" t="str">
        <f ca="1">VLOOKUP($AG14,OFFSET([1]characters!$A$1,0,0,COUNTA([1]characters!$A:$A),MATCH(AH$1,[1]characters!$1:$1,0)-MATCH($A$1,[1]characters!$1:$1,0)+1),MATCH(AH$1,[1]characters!$1:$1,0)-MATCH($A$1,[1]characters!$1:$1,0)+1,FALSE)</f>
        <v>サンソン</v>
      </c>
      <c r="AI14" s="11">
        <f ca="1">IF(AE14="NULL","NULL",VLOOKUP(G14,ビット!$A$2:$B$7,2))</f>
        <v>200000</v>
      </c>
      <c r="AJ14" s="6">
        <v>2</v>
      </c>
      <c r="AK14" s="7" t="str">
        <f t="shared" si="6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6400</v>
      </c>
      <c r="AN14" s="17">
        <f ca="1">VLOOKUP(G14,ビット!$G$2:$H$7,2)</f>
        <v>900</v>
      </c>
      <c r="AO14" s="44"/>
      <c r="AP14" s="166">
        <v>943</v>
      </c>
      <c r="AQ14" s="164" t="str">
        <f ca="1">VLOOKUP($AP14,OFFSET(unit_skills!$A$1,0,0,COUNTA(unit_skills!$A:$A),MATCH(AQ$1,unit_skills!$1:$1,0)-MATCH($AP$1,unit_skills!$1:$1,0)+1),MATCH(AQ$1,unit_skills!$1:$1,0)-MATCH($AP$1,unit_skills!$1:$1,0)+1,FALSE)</f>
        <v>モルト･グローリア</v>
      </c>
      <c r="AR14" s="56" t="str">
        <f ca="1">VLOOKUP($AP14,OFFSET(unit_skills!$A$1,0,0,COUNTA(unit_skills!$A:$A),MATCH(AR$1,unit_skills!$1:$1,0)-MATCH($AP$1,unit_skills!$1:$1,0)+1),MATCH(AR$1,unit_skills!$1:$1,0)-MATCH($AP$1,unit_skills!$1:$1,0)+1,FALSE)</f>
        <v>1体に特大ダメージ(与えたダメージの30%でHP回復)+3ターン自身の攻撃力UP(ハートパネルを吸収して効果UP)</v>
      </c>
      <c r="AS14" s="56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166">
        <v>943</v>
      </c>
      <c r="AU14" s="56" t="str">
        <f ca="1">VLOOKUP($AT14,OFFSET(crash_skills!$A$1,0,0,COUNTA(crash_skills!$A:$A),MATCH(AU$1,crash_skills!$1:$1,0)-MATCH($AT$1,crash_skills!$1:$1,0)+1),MATCH(AU$1,crash_skills!$1:$1,0)-MATCH($AT$1,crash_skills!$1:$1,0)+1,FALSE)</f>
        <v>遮痛の葬奏刃</v>
      </c>
      <c r="AV14" s="56" t="str">
        <f ca="1">VLOOKUP($AT14,OFFSET(crash_skills!$A$1,0,0,COUNTA(crash_skills!$A:$A),MATCH(AV$1,crash_skills!$1:$1,0)-MATCH($AT$1,crash_skills!$1:$1,0)+1),MATCH(AV$1,crash_skills!$1:$1,0)-MATCH($AT$1,crash_skills!$1:$1,0)+1,FALSE)</f>
        <v>1体に大ダメージ</v>
      </c>
      <c r="AW14" s="56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7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6">
        <v>1.02</v>
      </c>
      <c r="AZ14" s="66">
        <v>1.04</v>
      </c>
      <c r="BA14" s="66">
        <v>0</v>
      </c>
      <c r="BB14" s="66">
        <v>0.74</v>
      </c>
      <c r="BC14" s="11">
        <f ca="1">INDEX('RC6SV'!$A$1:$G$20,MATCH(H14,'RC6SV'!$A$1:$A$20,FALSE),MATCH(G14,'RC6SV'!$A$1:$G$1,FALSE))</f>
        <v>9500</v>
      </c>
      <c r="BD14" s="47">
        <f t="shared" ca="1" si="7"/>
        <v>9500</v>
      </c>
      <c r="BE14" s="11">
        <f t="shared" ca="1" si="3"/>
        <v>0</v>
      </c>
      <c r="BF14" s="11">
        <f t="shared" ca="1" si="4"/>
        <v>1</v>
      </c>
      <c r="BG14" s="16">
        <f ca="1">IF($BE14&lt;=0,ROUND(BK14*0.5,0), ROUND($BE14*S14*AA14*J14*AY14*0.8*[1]ステータス!$B$2,0))</f>
        <v>2232</v>
      </c>
      <c r="BH14" s="16">
        <f ca="1">IF($BE14&lt;=0,ROUND(BL14*0.5,0), ROUND($BE14*T14*AB14*K14*AZ14*0.8*[1]ステータス!$C$2,0))</f>
        <v>1971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637</v>
      </c>
      <c r="BK14" s="11">
        <f ca="1">ROUND(BD14*S14*AA14*J14*AY14*[1]ステータス!$B$2,0)</f>
        <v>4463</v>
      </c>
      <c r="BL14" s="11">
        <f ca="1">ROUND(BD14*T14*AB14*K14*AZ14*[1]ステータス!$C$2,0)</f>
        <v>3942</v>
      </c>
      <c r="BM14" s="11">
        <f ca="1">ROUND(BD14*U14*AC14*L14*BA14*[1]ステータス!$D$2,0)</f>
        <v>0</v>
      </c>
      <c r="BN14" s="11">
        <f ca="1">ROUND(BD14*V14*AD14*M14*BB14*[1]ステータス!$E$2,0)</f>
        <v>1273</v>
      </c>
      <c r="BO14" s="10">
        <v>0</v>
      </c>
      <c r="BP14" s="10">
        <v>1</v>
      </c>
      <c r="BQ14" s="10" t="s">
        <v>45</v>
      </c>
      <c r="BR14" s="10">
        <f ca="1">VLOOKUP(H14,ghosts_label!$A$2:$B$19,2,FALSE)</f>
        <v>5500</v>
      </c>
    </row>
    <row r="15" spans="1:70" ht="26" customHeight="1" x14ac:dyDescent="0.15">
      <c r="A15" s="12">
        <v>944</v>
      </c>
      <c r="B15" s="56" t="str">
        <f ca="1">VLOOKUP($A15,OFFSET([1]characters!$A$1,0,0,COUNTA([1]characters!$A:$A),MATCH(B$1,[1]characters!$1:$1,0)-MATCH($A$1,[1]characters!$1:$1,0)+1),MATCH(B$1,[1]characters!$1:$1,0)-MATCH($A$1,[1]characters!$1:$1,0)+1,FALSE)</f>
        <v>王敬の執行者 サンソン</v>
      </c>
      <c r="C15" s="56" t="str">
        <f ca="1">VLOOKUP($A15,OFFSET([1]characters!$A$1,0,0,COUNTA([1]characters!$A:$A),MATCH(C$1,[1]characters!$1:$1,0)-MATCH($A$1,[1]characters!$1:$1,0)+1),MATCH(C$1,[1]characters!$1:$1,0)-MATCH($A$1,[1]characters!$1:$1,0)+1,FALSE)</f>
        <v>各属性相性良3・黄・R548</v>
      </c>
      <c r="D15" s="56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6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6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6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6" t="str">
        <f ca="1">VLOOKUP($A15,OFFSET([1]characters!$A$1,0,0,COUNTA([1]characters!$A:$A),MATCH(H$1,[1]characters!$1:$1,0)-MATCH($A$1,[1]characters!$1:$1,0)+1),MATCH(H$1,[1]characters!$1:$1,0)-MATCH($A$1,[1]characters!$1:$1,0)+1,FALSE)</f>
        <v>PremiumSS</v>
      </c>
      <c r="I15" s="56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INDEX(コスト!$A$1:$I$20,MATCH(H15,コスト!$A$1:$A$20,FALSE),MATCH(G15,コスト!$A$1:$I$1,FALSE))</f>
        <v>50</v>
      </c>
      <c r="O15" s="11">
        <f ca="1">INDEX(レベル!$A$1:$I$21,MATCH(H15,レベル!$A$1:$A$21,FALSE),MATCH(G15,レベル!$A$1:$I$1,FALSE))</f>
        <v>99</v>
      </c>
      <c r="P15" s="47">
        <f t="shared" ca="1" si="8"/>
        <v>99</v>
      </c>
      <c r="Q15" s="56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6" t="str">
        <f ca="1">VLOOKUP($A15,OFFSET([1]characters!$A$1,0,0,COUNTA([1]characters!$A:$A),MATCH(W$1,[1]characters!$1:$1,0)-MATCH($A$1,[1]characters!$1:$1,0)+1),MATCH(W$1,[1]characters!$1:$1,0)-MATCH($A$1,[1]characters!$1:$1,0)+1,FALSE)</f>
        <v>human</v>
      </c>
      <c r="X15" s="5" t="str">
        <f ca="1">VLOOKUP(W15,[1]character_tribe_i18n!$A:$H,3,FALSE)</f>
        <v>ヒューマン</v>
      </c>
      <c r="Y15" s="56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0.94</v>
      </c>
      <c r="AB15" s="11">
        <f ca="1">VLOOKUP(W15,[1]character_tribe_i18n!$A:$H,5,FALSE)</f>
        <v>0.99</v>
      </c>
      <c r="AC15" s="11">
        <f ca="1">VLOOKUP(W15,[1]character_tribe_i18n!$A:$H,6,FALSE)</f>
        <v>1</v>
      </c>
      <c r="AD15" s="11">
        <f ca="1">VLOOKUP(W15,[1]character_tribe_i18n!$A:$H,7,FALSE)</f>
        <v>1.07</v>
      </c>
      <c r="AE15" s="9" t="s">
        <v>177</v>
      </c>
      <c r="AF15" s="61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0"/>
        <v>943</v>
      </c>
      <c r="AH15" s="61" t="str">
        <f ca="1">VLOOKUP($AG15,OFFSET([1]characters!$A$1,0,0,COUNTA([1]characters!$A:$A),MATCH(AH$1,[1]characters!$1:$1,0)-MATCH($A$1,[1]characters!$1:$1,0)+1),MATCH(AH$1,[1]characters!$1:$1,0)-MATCH($A$1,[1]characters!$1:$1,0)+1,FALSE)</f>
        <v>サンソン</v>
      </c>
      <c r="AI15" s="11" t="str">
        <f>IF(AE15="NULL","NULL",VLOOKUP(G15,ビット!$A$2:$B$7,2))</f>
        <v>NULL</v>
      </c>
      <c r="AJ15" s="6">
        <v>2</v>
      </c>
      <c r="AK15" s="7" t="str">
        <f t="shared" si="6"/>
        <v>普通</v>
      </c>
      <c r="AL15" s="11" t="str">
        <f ca="1">INDEX(経験値!$A$1:$I$20,MATCH(H15,経験値!$A$1:$A$20,FALSE),MATCH(G15,経験値!$A$1:$I$1,FALSE))</f>
        <v>required_exp_250</v>
      </c>
      <c r="AM15" s="8">
        <f ca="1">VLOOKUP(G15,経験値!$A$27:$B$31,2)</f>
        <v>6400</v>
      </c>
      <c r="AN15" s="17">
        <f ca="1">VLOOKUP(G15,ビット!$G$2:$H$7,2)</f>
        <v>900</v>
      </c>
      <c r="AO15" s="44"/>
      <c r="AP15" s="166">
        <v>944</v>
      </c>
      <c r="AQ15" s="164" t="str">
        <f ca="1">VLOOKUP($AP15,OFFSET(unit_skills!$A$1,0,0,COUNTA(unit_skills!$A:$A),MATCH(AQ$1,unit_skills!$1:$1,0)-MATCH($AP$1,unit_skills!$1:$1,0)+1),MATCH(AQ$1,unit_skills!$1:$1,0)-MATCH($AP$1,unit_skills!$1:$1,0)+1,FALSE)</f>
        <v>モルト･ベネティクトゥス</v>
      </c>
      <c r="AR15" s="56" t="str">
        <f ca="1">VLOOKUP($AP15,OFFSET(unit_skills!$A$1,0,0,COUNTA(unit_skills!$A:$A),MATCH(AR$1,unit_skills!$1:$1,0)-MATCH($AP$1,unit_skills!$1:$1,0)+1),MATCH(AR$1,unit_skills!$1:$1,0)-MATCH($AP$1,unit_skills!$1:$1,0)+1,FALSE)</f>
        <v>1体に超大ダメージ(与えたダメージの30%でHP回復)+4ターン自身の攻撃力UP(ハートパネルを吸収して効果UP)</v>
      </c>
      <c r="AS15" s="56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166">
        <v>944</v>
      </c>
      <c r="AU15" s="56" t="str">
        <f ca="1">VLOOKUP($AT15,OFFSET(crash_skills!$A$1,0,0,COUNTA(crash_skills!$A:$A),MATCH(AU$1,crash_skills!$1:$1,0)-MATCH($AT$1,crash_skills!$1:$1,0)+1),MATCH(AU$1,crash_skills!$1:$1,0)-MATCH($AT$1,crash_skills!$1:$1,0)+1,FALSE)</f>
        <v>永昏の鎮魂刃</v>
      </c>
      <c r="AV15" s="56" t="str">
        <f ca="1">VLOOKUP($AT15,OFFSET(crash_skills!$A$1,0,0,COUNTA(crash_skills!$A:$A),MATCH(AV$1,crash_skills!$1:$1,0)-MATCH($AT$1,crash_skills!$1:$1,0)+1),MATCH(AV$1,crash_skills!$1:$1,0)-MATCH($AT$1,crash_skills!$1:$1,0)+1,FALSE)</f>
        <v>1体に超大ダメージ+_x000D_1ターン黄属性ユニットの攻撃力小UP</v>
      </c>
      <c r="AW15" s="56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7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6">
        <v>1.1704000000000001</v>
      </c>
      <c r="AZ15" s="66">
        <v>1.1185</v>
      </c>
      <c r="BA15" s="66">
        <v>0</v>
      </c>
      <c r="BB15" s="66">
        <v>0.74</v>
      </c>
      <c r="BC15" s="11">
        <f ca="1">INDEX('RC6SV'!$A$1:$G$20,MATCH(H15,'RC6SV'!$A$1:$A$20,FALSE),MATCH(G15,'RC6SV'!$A$1:$G$1,FALSE))</f>
        <v>13000</v>
      </c>
      <c r="BD15" s="47">
        <f t="shared" ca="1" si="7"/>
        <v>13000</v>
      </c>
      <c r="BE15" s="11">
        <f t="shared" ca="1" si="3"/>
        <v>9500</v>
      </c>
      <c r="BF15" s="11">
        <f t="shared" ca="1" si="4"/>
        <v>1</v>
      </c>
      <c r="BG15" s="16">
        <f ca="1">IF($BE15&lt;=0,ROUND(BK15*0.5,0), ROUND($BE15*S15*AA15*J15*AY15*0.8*[1]ステータス!$B$2,0))</f>
        <v>4097</v>
      </c>
      <c r="BH15" s="16">
        <f ca="1">IF($BE15&lt;=0,ROUND(BL15*0.5,0), ROUND($BE15*T15*AB15*K15*AZ15*0.8*[1]ステータス!$C$2,0))</f>
        <v>3391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1018</v>
      </c>
      <c r="BK15" s="11">
        <f ca="1">ROUND(BD15*S15*AA15*J15*AY15*[1]ステータス!$B$2,0)</f>
        <v>7008</v>
      </c>
      <c r="BL15" s="11">
        <f ca="1">ROUND(BD15*T15*AB15*K15*AZ15*[1]ステータス!$C$2,0)</f>
        <v>5801</v>
      </c>
      <c r="BM15" s="11">
        <f ca="1">ROUND(BD15*U15*AC15*L15*BA15*[1]ステータス!$D$2,0)</f>
        <v>0</v>
      </c>
      <c r="BN15" s="11">
        <f ca="1">ROUND(BD15*V15*AD15*M15*BB15*[1]ステータス!$E$2,0)</f>
        <v>1741</v>
      </c>
      <c r="BO15" s="10">
        <v>0</v>
      </c>
      <c r="BP15" s="10">
        <v>1</v>
      </c>
      <c r="BQ15" s="10" t="s">
        <v>45</v>
      </c>
      <c r="BR15" s="10">
        <f ca="1">VLOOKUP(H15,ghosts_label!$A$2:$B$19,2,FALSE)</f>
        <v>5500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5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2" defaultColWidth="13" defaultRowHeight="21" customHeight="1" outlineLevelCol="1" x14ac:dyDescent="0.15"/>
  <cols>
    <col min="1" max="1" width="16.1640625" style="127" bestFit="1" customWidth="1"/>
    <col min="2" max="2" width="13" style="127" bestFit="1" customWidth="1"/>
    <col min="3" max="3" width="21.83203125" style="127" customWidth="1"/>
    <col min="4" max="4" width="41.83203125" style="127" customWidth="1"/>
    <col min="5" max="5" width="9" style="127" customWidth="1"/>
    <col min="6" max="6" width="7.83203125" style="127" bestFit="1" customWidth="1"/>
    <col min="7" max="7" width="8.1640625" style="127" bestFit="1" customWidth="1"/>
    <col min="8" max="8" width="13.6640625" style="127" bestFit="1" customWidth="1"/>
    <col min="9" max="10" width="51.6640625" style="127" customWidth="1"/>
    <col min="11" max="11" width="10.83203125" style="127" customWidth="1" outlineLevel="1"/>
    <col min="12" max="17" width="9.5" style="126" customWidth="1" outlineLevel="1"/>
    <col min="18" max="18" width="20.33203125" style="127" customWidth="1" outlineLevel="1"/>
    <col min="19" max="19" width="10.33203125" style="127" bestFit="1" customWidth="1"/>
    <col min="20" max="16384" width="13" style="127"/>
  </cols>
  <sheetData>
    <row r="1" spans="1:19" s="126" customFormat="1" ht="21" customHeight="1" x14ac:dyDescent="0.15">
      <c r="A1" s="115" t="s">
        <v>20</v>
      </c>
      <c r="B1" s="116" t="s">
        <v>128</v>
      </c>
      <c r="C1" s="117" t="s">
        <v>39</v>
      </c>
      <c r="D1" s="118" t="s">
        <v>157</v>
      </c>
      <c r="E1" s="118" t="s">
        <v>158</v>
      </c>
      <c r="F1" s="115" t="s">
        <v>140</v>
      </c>
      <c r="G1" s="119" t="s">
        <v>2</v>
      </c>
      <c r="H1" s="119" t="s">
        <v>159</v>
      </c>
      <c r="I1" s="119" t="s">
        <v>160</v>
      </c>
      <c r="J1" s="120" t="s">
        <v>178</v>
      </c>
      <c r="K1" s="119" t="s">
        <v>4</v>
      </c>
      <c r="L1" s="121" t="s">
        <v>161</v>
      </c>
      <c r="M1" s="122" t="s">
        <v>162</v>
      </c>
      <c r="N1" s="122" t="s">
        <v>163</v>
      </c>
      <c r="O1" s="122" t="s">
        <v>164</v>
      </c>
      <c r="P1" s="122" t="s">
        <v>165</v>
      </c>
      <c r="Q1" s="123" t="s">
        <v>166</v>
      </c>
      <c r="R1" s="124" t="s">
        <v>167</v>
      </c>
      <c r="S1" s="125" t="s">
        <v>168</v>
      </c>
    </row>
    <row r="2" spans="1:19" ht="21" customHeight="1" x14ac:dyDescent="0.15">
      <c r="A2" s="12">
        <v>931</v>
      </c>
      <c r="B2" s="130" t="s">
        <v>179</v>
      </c>
      <c r="C2" s="131" t="s">
        <v>314</v>
      </c>
      <c r="D2" s="131" t="s">
        <v>305</v>
      </c>
      <c r="E2" s="132">
        <v>10</v>
      </c>
      <c r="F2" s="114">
        <v>10</v>
      </c>
      <c r="G2" s="114">
        <v>5</v>
      </c>
      <c r="H2" s="133">
        <f>2001</f>
        <v>2001</v>
      </c>
      <c r="I2" s="133" t="s">
        <v>258</v>
      </c>
      <c r="J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ネルソン</v>
      </c>
      <c r="K2" s="134">
        <v>3</v>
      </c>
      <c r="L2" s="135"/>
      <c r="M2" s="136"/>
      <c r="N2" s="136"/>
      <c r="O2" s="136"/>
      <c r="P2" s="136"/>
      <c r="Q2" s="136"/>
      <c r="R2" s="131"/>
      <c r="S2" s="137"/>
    </row>
    <row r="3" spans="1:19" ht="21" customHeight="1" x14ac:dyDescent="0.15">
      <c r="A3" s="12">
        <v>932</v>
      </c>
      <c r="B3" s="130" t="s">
        <v>179</v>
      </c>
      <c r="C3" s="131" t="s">
        <v>315</v>
      </c>
      <c r="D3" s="131" t="s">
        <v>305</v>
      </c>
      <c r="E3" s="132">
        <v>10</v>
      </c>
      <c r="F3" s="114">
        <v>10</v>
      </c>
      <c r="G3" s="114">
        <v>5</v>
      </c>
      <c r="H3" s="133">
        <f>2001</f>
        <v>2001</v>
      </c>
      <c r="I3" s="133" t="s">
        <v>254</v>
      </c>
      <c r="J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隻眼の英堤 ネルソン</v>
      </c>
      <c r="K3" s="134">
        <v>3</v>
      </c>
      <c r="L3" s="135"/>
      <c r="M3" s="136"/>
      <c r="N3" s="136"/>
      <c r="O3" s="136"/>
      <c r="P3" s="136"/>
      <c r="Q3" s="136"/>
      <c r="R3" s="131"/>
      <c r="S3" s="137"/>
    </row>
    <row r="4" spans="1:19" ht="21" customHeight="1" x14ac:dyDescent="0.15">
      <c r="A4" s="12">
        <v>933</v>
      </c>
      <c r="B4" s="130" t="s">
        <v>179</v>
      </c>
      <c r="C4" s="131" t="s">
        <v>316</v>
      </c>
      <c r="D4" s="131" t="s">
        <v>380</v>
      </c>
      <c r="E4" s="132">
        <f t="shared" ref="E4:E13" si="0">LEN(D4)</f>
        <v>37</v>
      </c>
      <c r="F4" s="114">
        <v>14</v>
      </c>
      <c r="G4" s="114">
        <v>5</v>
      </c>
      <c r="H4" s="133">
        <f>2001</f>
        <v>2001</v>
      </c>
      <c r="I4" s="133" t="s">
        <v>306</v>
      </c>
      <c r="J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ヴェルサイユ</v>
      </c>
      <c r="K4" s="134">
        <v>3</v>
      </c>
      <c r="L4" s="135"/>
      <c r="M4" s="136"/>
      <c r="N4" s="136"/>
      <c r="O4" s="136"/>
      <c r="P4" s="136"/>
      <c r="Q4" s="136"/>
      <c r="R4" s="131"/>
      <c r="S4" s="137"/>
    </row>
    <row r="5" spans="1:19" ht="21" customHeight="1" x14ac:dyDescent="0.15">
      <c r="A5" s="12">
        <v>934</v>
      </c>
      <c r="B5" s="130" t="s">
        <v>179</v>
      </c>
      <c r="C5" s="131" t="s">
        <v>317</v>
      </c>
      <c r="D5" s="131" t="s">
        <v>380</v>
      </c>
      <c r="E5" s="132">
        <f t="shared" si="0"/>
        <v>37</v>
      </c>
      <c r="F5" s="114">
        <v>13</v>
      </c>
      <c r="G5" s="114">
        <v>5</v>
      </c>
      <c r="H5" s="133">
        <f>2001</f>
        <v>2001</v>
      </c>
      <c r="I5" s="133" t="s">
        <v>307</v>
      </c>
      <c r="J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絢爛たる燈城 ヴェルサイユ</v>
      </c>
      <c r="K5" s="134">
        <v>3</v>
      </c>
      <c r="L5" s="135"/>
      <c r="M5" s="136"/>
      <c r="N5" s="136"/>
      <c r="O5" s="136"/>
      <c r="P5" s="136"/>
      <c r="Q5" s="136"/>
      <c r="R5" s="131"/>
      <c r="S5" s="137"/>
    </row>
    <row r="6" spans="1:19" ht="24" customHeight="1" x14ac:dyDescent="0.15">
      <c r="A6" s="12">
        <v>935</v>
      </c>
      <c r="B6" s="130" t="s">
        <v>179</v>
      </c>
      <c r="C6" s="131" t="s">
        <v>387</v>
      </c>
      <c r="D6" s="131" t="s">
        <v>427</v>
      </c>
      <c r="E6" s="132">
        <f>LEN(D6)</f>
        <v>63</v>
      </c>
      <c r="F6" s="114">
        <v>11</v>
      </c>
      <c r="G6" s="114">
        <v>5</v>
      </c>
      <c r="H6" s="133">
        <f>2001</f>
        <v>2001</v>
      </c>
      <c r="I6" s="133" t="s">
        <v>426</v>
      </c>
      <c r="J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ルイ16世</v>
      </c>
      <c r="K6" s="134">
        <v>3</v>
      </c>
      <c r="L6" s="135"/>
      <c r="M6" s="136"/>
      <c r="N6" s="136"/>
      <c r="O6" s="136"/>
      <c r="P6" s="136"/>
      <c r="Q6" s="136"/>
      <c r="R6" s="131"/>
      <c r="S6" s="137"/>
    </row>
    <row r="7" spans="1:19" ht="21" customHeight="1" x14ac:dyDescent="0.15">
      <c r="A7" s="12">
        <v>936</v>
      </c>
      <c r="B7" s="130" t="s">
        <v>179</v>
      </c>
      <c r="C7" s="131" t="s">
        <v>387</v>
      </c>
      <c r="D7" s="131" t="s">
        <v>427</v>
      </c>
      <c r="E7" s="132">
        <f>LEN(D7)</f>
        <v>63</v>
      </c>
      <c r="F7" s="114">
        <v>11</v>
      </c>
      <c r="G7" s="114">
        <v>5</v>
      </c>
      <c r="H7" s="133">
        <f>2001</f>
        <v>2001</v>
      </c>
      <c r="I7" s="133" t="s">
        <v>426</v>
      </c>
      <c r="J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憲誓の煉王 ルイ16世</v>
      </c>
      <c r="K7" s="134">
        <v>3</v>
      </c>
      <c r="L7" s="135"/>
      <c r="M7" s="136"/>
      <c r="N7" s="136"/>
      <c r="O7" s="136"/>
      <c r="P7" s="136"/>
      <c r="Q7" s="136"/>
      <c r="R7" s="131"/>
      <c r="S7" s="137"/>
    </row>
    <row r="8" spans="1:19" ht="21" customHeight="1" x14ac:dyDescent="0.15">
      <c r="A8" s="12">
        <v>937</v>
      </c>
      <c r="B8" s="130" t="s">
        <v>179</v>
      </c>
      <c r="C8" s="131" t="s">
        <v>324</v>
      </c>
      <c r="D8" s="131" t="s">
        <v>313</v>
      </c>
      <c r="E8" s="132">
        <f t="shared" si="0"/>
        <v>62</v>
      </c>
      <c r="F8" s="114">
        <v>12</v>
      </c>
      <c r="G8" s="114">
        <v>5</v>
      </c>
      <c r="H8" s="133">
        <f>2001</f>
        <v>2001</v>
      </c>
      <c r="I8" s="133" t="s">
        <v>400</v>
      </c>
      <c r="J8" s="56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ナポレオン</v>
      </c>
      <c r="K8" s="134">
        <v>3</v>
      </c>
      <c r="L8" s="135"/>
      <c r="M8" s="136"/>
      <c r="N8" s="136"/>
      <c r="O8" s="136"/>
      <c r="P8" s="136"/>
      <c r="Q8" s="136"/>
      <c r="R8" s="131"/>
      <c r="S8" s="137"/>
    </row>
    <row r="9" spans="1:19" ht="21" customHeight="1" x14ac:dyDescent="0.15">
      <c r="A9" s="12">
        <v>938</v>
      </c>
      <c r="B9" s="130" t="s">
        <v>179</v>
      </c>
      <c r="C9" s="131" t="s">
        <v>325</v>
      </c>
      <c r="D9" s="131" t="s">
        <v>431</v>
      </c>
      <c r="E9" s="132">
        <f t="shared" si="0"/>
        <v>64</v>
      </c>
      <c r="F9" s="114">
        <v>11</v>
      </c>
      <c r="G9" s="114">
        <v>5</v>
      </c>
      <c r="H9" s="133">
        <f>2001</f>
        <v>2001</v>
      </c>
      <c r="I9" s="133" t="s">
        <v>432</v>
      </c>
      <c r="J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炎焔宿す革命皇 ナポレオン</v>
      </c>
      <c r="K9" s="134">
        <v>3</v>
      </c>
      <c r="L9" s="135"/>
      <c r="M9" s="136"/>
      <c r="N9" s="136"/>
      <c r="O9" s="136"/>
      <c r="P9" s="136"/>
      <c r="Q9" s="136"/>
      <c r="R9" s="131"/>
      <c r="S9" s="137"/>
    </row>
    <row r="10" spans="1:19" ht="21" customHeight="1" x14ac:dyDescent="0.15">
      <c r="A10" s="12">
        <v>939</v>
      </c>
      <c r="B10" s="130" t="s">
        <v>179</v>
      </c>
      <c r="C10" s="131" t="s">
        <v>318</v>
      </c>
      <c r="D10" s="131" t="s">
        <v>300</v>
      </c>
      <c r="E10" s="132">
        <f>LEN(D10)</f>
        <v>23</v>
      </c>
      <c r="F10" s="114">
        <v>13</v>
      </c>
      <c r="G10" s="114">
        <v>5</v>
      </c>
      <c r="H10" s="133">
        <f>2001</f>
        <v>2001</v>
      </c>
      <c r="I10" s="133" t="s">
        <v>381</v>
      </c>
      <c r="J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バスティーユ</v>
      </c>
      <c r="K10" s="134">
        <v>3</v>
      </c>
      <c r="L10" s="135"/>
      <c r="M10" s="136"/>
      <c r="N10" s="136"/>
      <c r="O10" s="136"/>
      <c r="P10" s="136"/>
      <c r="Q10" s="136"/>
      <c r="R10" s="131"/>
      <c r="S10" s="137"/>
    </row>
    <row r="11" spans="1:19" ht="21" customHeight="1" x14ac:dyDescent="0.15">
      <c r="A11" s="12">
        <v>940</v>
      </c>
      <c r="B11" s="130" t="s">
        <v>179</v>
      </c>
      <c r="C11" s="131" t="s">
        <v>319</v>
      </c>
      <c r="D11" s="131" t="s">
        <v>304</v>
      </c>
      <c r="E11" s="132">
        <f>LEN(D11)</f>
        <v>23</v>
      </c>
      <c r="F11" s="114">
        <v>13</v>
      </c>
      <c r="G11" s="114">
        <v>5</v>
      </c>
      <c r="H11" s="133">
        <f>2001</f>
        <v>2001</v>
      </c>
      <c r="I11" s="133" t="s">
        <v>381</v>
      </c>
      <c r="J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不壊の大要塞 バスティーユ</v>
      </c>
      <c r="K11" s="134">
        <v>3</v>
      </c>
      <c r="L11" s="135"/>
      <c r="M11" s="136"/>
      <c r="N11" s="136"/>
      <c r="O11" s="136"/>
      <c r="P11" s="136"/>
      <c r="Q11" s="136"/>
      <c r="R11" s="131"/>
      <c r="S11" s="137"/>
    </row>
    <row r="12" spans="1:19" ht="21" customHeight="1" x14ac:dyDescent="0.15">
      <c r="A12" s="12">
        <v>941</v>
      </c>
      <c r="B12" s="130" t="s">
        <v>179</v>
      </c>
      <c r="C12" s="131" t="s">
        <v>322</v>
      </c>
      <c r="D12" s="131" t="s">
        <v>303</v>
      </c>
      <c r="E12" s="132">
        <f>LEN(D12)</f>
        <v>35</v>
      </c>
      <c r="F12" s="114">
        <v>11</v>
      </c>
      <c r="G12" s="114">
        <v>5</v>
      </c>
      <c r="H12" s="133">
        <f>2001</f>
        <v>2001</v>
      </c>
      <c r="I12" s="133" t="s">
        <v>259</v>
      </c>
      <c r="J12" s="56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アントワネット</v>
      </c>
      <c r="K12" s="134">
        <v>3</v>
      </c>
      <c r="L12" s="135"/>
      <c r="M12" s="136"/>
      <c r="N12" s="136"/>
      <c r="O12" s="136"/>
      <c r="P12" s="136"/>
      <c r="Q12" s="136"/>
      <c r="R12" s="131"/>
      <c r="S12" s="137"/>
    </row>
    <row r="13" spans="1:19" ht="21" customHeight="1" x14ac:dyDescent="0.15">
      <c r="A13" s="12">
        <v>942</v>
      </c>
      <c r="B13" s="130" t="s">
        <v>179</v>
      </c>
      <c r="C13" s="131" t="s">
        <v>323</v>
      </c>
      <c r="D13" s="131" t="s">
        <v>308</v>
      </c>
      <c r="E13" s="132">
        <f t="shared" si="0"/>
        <v>35</v>
      </c>
      <c r="F13" s="114">
        <v>10</v>
      </c>
      <c r="G13" s="114">
        <v>5</v>
      </c>
      <c r="H13" s="133">
        <f>2001</f>
        <v>2001</v>
      </c>
      <c r="I13" s="133" t="s">
        <v>259</v>
      </c>
      <c r="J13" s="56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華戯たる傲妃 アントワネット</v>
      </c>
      <c r="K13" s="134">
        <v>3</v>
      </c>
      <c r="L13" s="135"/>
      <c r="M13" s="136"/>
      <c r="N13" s="136"/>
      <c r="O13" s="136"/>
      <c r="P13" s="136"/>
      <c r="Q13" s="136"/>
      <c r="R13" s="131"/>
      <c r="S13" s="137"/>
    </row>
    <row r="14" spans="1:19" ht="21" customHeight="1" x14ac:dyDescent="0.15">
      <c r="A14" s="12">
        <v>943</v>
      </c>
      <c r="B14" s="130" t="s">
        <v>179</v>
      </c>
      <c r="C14" s="131" t="s">
        <v>320</v>
      </c>
      <c r="D14" s="131" t="s">
        <v>425</v>
      </c>
      <c r="E14" s="132">
        <f>LEN(D14)</f>
        <v>57</v>
      </c>
      <c r="F14" s="114">
        <v>13</v>
      </c>
      <c r="G14" s="114">
        <v>5</v>
      </c>
      <c r="H14" s="133">
        <f>2001</f>
        <v>2001</v>
      </c>
      <c r="I14" s="133" t="s">
        <v>382</v>
      </c>
      <c r="J14" s="56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サンソン</v>
      </c>
      <c r="K14" s="134">
        <v>3</v>
      </c>
      <c r="L14" s="135"/>
      <c r="M14" s="136"/>
      <c r="N14" s="136"/>
      <c r="O14" s="136"/>
      <c r="P14" s="136"/>
      <c r="Q14" s="136"/>
      <c r="R14" s="131"/>
      <c r="S14" s="137"/>
    </row>
    <row r="15" spans="1:19" ht="21" customHeight="1" x14ac:dyDescent="0.15">
      <c r="A15" s="12">
        <v>944</v>
      </c>
      <c r="B15" s="130" t="s">
        <v>179</v>
      </c>
      <c r="C15" s="131" t="s">
        <v>321</v>
      </c>
      <c r="D15" s="131" t="s">
        <v>424</v>
      </c>
      <c r="E15" s="132">
        <f>LEN(D15)</f>
        <v>57</v>
      </c>
      <c r="F15" s="114">
        <v>12</v>
      </c>
      <c r="G15" s="114">
        <v>5</v>
      </c>
      <c r="H15" s="133">
        <f>2001</f>
        <v>2001</v>
      </c>
      <c r="I15" s="133" t="s">
        <v>429</v>
      </c>
      <c r="J15" s="56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王敬の執行者 サンソン</v>
      </c>
      <c r="K15" s="134">
        <v>3</v>
      </c>
      <c r="L15" s="135"/>
      <c r="M15" s="136"/>
      <c r="N15" s="136"/>
      <c r="O15" s="136"/>
      <c r="P15" s="136"/>
      <c r="Q15" s="136"/>
      <c r="R15" s="131"/>
      <c r="S15" s="137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6:E1048576">
    <cfRule type="cellIs" dxfId="34" priority="12" operator="greaterThan">
      <formula>41</formula>
    </cfRule>
  </conditionalFormatting>
  <conditionalFormatting sqref="E2:E15">
    <cfRule type="cellIs" dxfId="33" priority="2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23" sqref="F23"/>
    </sheetView>
  </sheetViews>
  <sheetFormatPr baseColWidth="12" defaultColWidth="13" defaultRowHeight="21" customHeight="1" x14ac:dyDescent="0.15"/>
  <cols>
    <col min="1" max="2" width="12.1640625" style="127" customWidth="1"/>
    <col min="3" max="3" width="48.83203125" style="128" customWidth="1"/>
    <col min="4" max="4" width="23.83203125" style="128" customWidth="1"/>
    <col min="5" max="5" width="10.5" style="128" customWidth="1"/>
    <col min="6" max="7" width="59.1640625" style="128" customWidth="1"/>
    <col min="8" max="8" width="6.83203125" style="127" bestFit="1" customWidth="1"/>
    <col min="9" max="9" width="20.33203125" style="127" customWidth="1"/>
    <col min="10" max="10" width="5" style="127" bestFit="1" customWidth="1"/>
    <col min="11" max="16384" width="13" style="127"/>
  </cols>
  <sheetData>
    <row r="1" spans="1:19" ht="21" customHeight="1" x14ac:dyDescent="0.15">
      <c r="A1" s="115" t="s">
        <v>176</v>
      </c>
      <c r="B1" s="116" t="s">
        <v>175</v>
      </c>
      <c r="C1" s="117" t="s">
        <v>174</v>
      </c>
      <c r="D1" s="118" t="s">
        <v>173</v>
      </c>
      <c r="E1" s="118" t="s">
        <v>172</v>
      </c>
      <c r="F1" s="119" t="s">
        <v>171</v>
      </c>
      <c r="G1" s="120" t="s">
        <v>178</v>
      </c>
      <c r="H1" s="119" t="s">
        <v>170</v>
      </c>
      <c r="I1" s="120" t="s">
        <v>169</v>
      </c>
      <c r="J1" s="124" t="s">
        <v>168</v>
      </c>
    </row>
    <row r="2" spans="1:19" ht="21" customHeight="1" x14ac:dyDescent="0.15">
      <c r="A2" s="12">
        <v>931</v>
      </c>
      <c r="B2" s="130" t="s">
        <v>180</v>
      </c>
      <c r="C2" s="131" t="s">
        <v>332</v>
      </c>
      <c r="D2" s="131" t="s">
        <v>251</v>
      </c>
      <c r="E2" s="132">
        <f t="shared" ref="E2:E6" si="0">LEN(D2)</f>
        <v>8</v>
      </c>
      <c r="F2" s="114" t="s">
        <v>255</v>
      </c>
      <c r="G2" s="56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ネルソン</v>
      </c>
      <c r="H2" s="133">
        <v>3</v>
      </c>
      <c r="I2" s="133"/>
      <c r="J2" s="138"/>
      <c r="K2" s="134">
        <v>1</v>
      </c>
      <c r="L2" s="135"/>
      <c r="M2" s="136"/>
      <c r="N2" s="136"/>
      <c r="O2" s="136"/>
      <c r="P2" s="136"/>
      <c r="Q2" s="136"/>
      <c r="R2" s="131"/>
      <c r="S2" s="137"/>
    </row>
    <row r="3" spans="1:19" ht="21" customHeight="1" x14ac:dyDescent="0.15">
      <c r="A3" s="12">
        <v>932</v>
      </c>
      <c r="B3" s="130" t="s">
        <v>180</v>
      </c>
      <c r="C3" s="131" t="s">
        <v>333</v>
      </c>
      <c r="D3" s="131" t="s">
        <v>252</v>
      </c>
      <c r="E3" s="132">
        <f t="shared" si="0"/>
        <v>9</v>
      </c>
      <c r="F3" s="114" t="s">
        <v>256</v>
      </c>
      <c r="G3" s="56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隻眼の英堤 ネルソン</v>
      </c>
      <c r="H3" s="133">
        <v>3</v>
      </c>
      <c r="I3" s="133"/>
      <c r="J3" s="138"/>
      <c r="K3" s="134">
        <v>1</v>
      </c>
      <c r="L3" s="135"/>
      <c r="M3" s="136"/>
      <c r="N3" s="136"/>
      <c r="O3" s="136"/>
      <c r="P3" s="136"/>
      <c r="Q3" s="136"/>
      <c r="R3" s="131"/>
      <c r="S3" s="137"/>
    </row>
    <row r="4" spans="1:19" ht="21" customHeight="1" x14ac:dyDescent="0.15">
      <c r="A4" s="12">
        <v>933</v>
      </c>
      <c r="B4" s="130" t="s">
        <v>180</v>
      </c>
      <c r="C4" s="131" t="s">
        <v>334</v>
      </c>
      <c r="D4" s="167" t="s">
        <v>260</v>
      </c>
      <c r="E4" s="132">
        <f t="shared" si="0"/>
        <v>21</v>
      </c>
      <c r="F4" s="168" t="s">
        <v>253</v>
      </c>
      <c r="G4" s="56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ヴェルサイユ</v>
      </c>
      <c r="H4" s="133">
        <v>3</v>
      </c>
      <c r="I4" s="133"/>
      <c r="J4" s="138"/>
      <c r="K4" s="134">
        <v>1</v>
      </c>
      <c r="L4" s="135"/>
      <c r="M4" s="136"/>
      <c r="N4" s="136"/>
      <c r="O4" s="136"/>
      <c r="P4" s="136"/>
      <c r="Q4" s="136"/>
      <c r="R4" s="131"/>
      <c r="S4" s="137"/>
    </row>
    <row r="5" spans="1:19" ht="21" customHeight="1" x14ac:dyDescent="0.15">
      <c r="A5" s="12">
        <v>934</v>
      </c>
      <c r="B5" s="130" t="s">
        <v>180</v>
      </c>
      <c r="C5" s="131" t="s">
        <v>335</v>
      </c>
      <c r="D5" s="167" t="s">
        <v>261</v>
      </c>
      <c r="E5" s="132">
        <f t="shared" si="0"/>
        <v>22</v>
      </c>
      <c r="F5" s="168" t="s">
        <v>401</v>
      </c>
      <c r="G5" s="56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絢爛たる燈城 ヴェルサイユ</v>
      </c>
      <c r="H5" s="133">
        <v>3</v>
      </c>
      <c r="I5" s="133"/>
      <c r="J5" s="138"/>
      <c r="K5" s="134">
        <v>1</v>
      </c>
      <c r="L5" s="135"/>
      <c r="M5" s="136"/>
      <c r="N5" s="136"/>
      <c r="O5" s="136"/>
      <c r="P5" s="136"/>
      <c r="Q5" s="136"/>
      <c r="R5" s="131"/>
      <c r="S5" s="137"/>
    </row>
    <row r="6" spans="1:19" ht="21" customHeight="1" x14ac:dyDescent="0.15">
      <c r="A6" s="12">
        <v>935</v>
      </c>
      <c r="B6" s="130" t="s">
        <v>180</v>
      </c>
      <c r="C6" s="131" t="s">
        <v>388</v>
      </c>
      <c r="D6" s="131" t="s">
        <v>390</v>
      </c>
      <c r="E6" s="132">
        <f t="shared" si="0"/>
        <v>25</v>
      </c>
      <c r="F6" s="165" t="s">
        <v>392</v>
      </c>
      <c r="G6" s="56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ルイ16世</v>
      </c>
      <c r="H6" s="133">
        <v>3</v>
      </c>
      <c r="I6" s="133"/>
      <c r="J6" s="138"/>
      <c r="K6" s="134">
        <v>1</v>
      </c>
      <c r="L6" s="135"/>
      <c r="M6" s="136"/>
      <c r="N6" s="136"/>
      <c r="O6" s="136"/>
      <c r="P6" s="136"/>
      <c r="Q6" s="136"/>
      <c r="R6" s="131"/>
      <c r="S6" s="137"/>
    </row>
    <row r="7" spans="1:19" ht="21" customHeight="1" x14ac:dyDescent="0.15">
      <c r="A7" s="12">
        <v>936</v>
      </c>
      <c r="B7" s="130" t="s">
        <v>180</v>
      </c>
      <c r="C7" s="131" t="s">
        <v>389</v>
      </c>
      <c r="D7" s="131" t="s">
        <v>391</v>
      </c>
      <c r="E7" s="132">
        <f t="shared" ref="E7" si="1">LEN(D7)</f>
        <v>25</v>
      </c>
      <c r="F7" s="165" t="s">
        <v>393</v>
      </c>
      <c r="G7" s="56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憲誓の煉王 ルイ16世</v>
      </c>
      <c r="H7" s="133">
        <v>3</v>
      </c>
      <c r="I7" s="133"/>
      <c r="J7" s="138"/>
      <c r="K7" s="134">
        <v>1</v>
      </c>
      <c r="L7" s="135"/>
      <c r="M7" s="136"/>
      <c r="N7" s="136"/>
      <c r="O7" s="136"/>
      <c r="P7" s="136"/>
      <c r="Q7" s="136"/>
      <c r="R7" s="131"/>
      <c r="S7" s="137"/>
    </row>
    <row r="8" spans="1:19" ht="21" customHeight="1" x14ac:dyDescent="0.15">
      <c r="A8" s="12">
        <v>937</v>
      </c>
      <c r="B8" s="130" t="s">
        <v>180</v>
      </c>
      <c r="C8" s="131" t="s">
        <v>326</v>
      </c>
      <c r="D8" s="131" t="s">
        <v>309</v>
      </c>
      <c r="E8" s="132">
        <f t="shared" ref="E8:E15" si="2">LEN(D8)</f>
        <v>27</v>
      </c>
      <c r="F8" s="165" t="s">
        <v>311</v>
      </c>
      <c r="G8" s="56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ナポレオン</v>
      </c>
      <c r="H8" s="133">
        <v>3</v>
      </c>
      <c r="I8" s="133"/>
      <c r="J8" s="138"/>
      <c r="K8" s="134">
        <v>1</v>
      </c>
      <c r="L8" s="135"/>
      <c r="M8" s="136"/>
      <c r="N8" s="136"/>
      <c r="O8" s="136"/>
      <c r="P8" s="136"/>
      <c r="Q8" s="136"/>
      <c r="R8" s="131"/>
      <c r="S8" s="137"/>
    </row>
    <row r="9" spans="1:19" ht="21" customHeight="1" x14ac:dyDescent="0.15">
      <c r="A9" s="12">
        <v>938</v>
      </c>
      <c r="B9" s="130" t="s">
        <v>180</v>
      </c>
      <c r="C9" s="131" t="s">
        <v>327</v>
      </c>
      <c r="D9" s="131" t="s">
        <v>310</v>
      </c>
      <c r="E9" s="132">
        <f t="shared" si="2"/>
        <v>27</v>
      </c>
      <c r="F9" s="165" t="s">
        <v>312</v>
      </c>
      <c r="G9" s="56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炎焔宿す革命皇 ナポレオン</v>
      </c>
      <c r="H9" s="133">
        <v>3</v>
      </c>
      <c r="I9" s="133"/>
      <c r="J9" s="138"/>
      <c r="K9" s="134">
        <v>1</v>
      </c>
      <c r="L9" s="135"/>
      <c r="M9" s="136"/>
      <c r="N9" s="136"/>
      <c r="O9" s="136"/>
      <c r="P9" s="136"/>
      <c r="Q9" s="136"/>
      <c r="R9" s="131"/>
      <c r="S9" s="137"/>
    </row>
    <row r="10" spans="1:19" ht="21" customHeight="1" x14ac:dyDescent="0.15">
      <c r="A10" s="12">
        <v>939</v>
      </c>
      <c r="B10" s="130" t="s">
        <v>180</v>
      </c>
      <c r="C10" s="131" t="s">
        <v>336</v>
      </c>
      <c r="D10" s="131" t="s">
        <v>301</v>
      </c>
      <c r="E10" s="132">
        <f t="shared" si="2"/>
        <v>23</v>
      </c>
      <c r="F10" s="165" t="s">
        <v>383</v>
      </c>
      <c r="G10" s="56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バスティーユ</v>
      </c>
      <c r="H10" s="133">
        <v>3</v>
      </c>
      <c r="I10" s="133"/>
      <c r="J10" s="138"/>
      <c r="K10" s="134">
        <v>1</v>
      </c>
      <c r="L10" s="135"/>
      <c r="M10" s="136"/>
      <c r="N10" s="136"/>
      <c r="O10" s="136"/>
      <c r="P10" s="136"/>
      <c r="Q10" s="136"/>
      <c r="R10" s="131"/>
      <c r="S10" s="137"/>
    </row>
    <row r="11" spans="1:19" ht="21" customHeight="1" x14ac:dyDescent="0.15">
      <c r="A11" s="12">
        <v>940</v>
      </c>
      <c r="B11" s="130" t="s">
        <v>180</v>
      </c>
      <c r="C11" s="131" t="s">
        <v>337</v>
      </c>
      <c r="D11" s="131" t="s">
        <v>302</v>
      </c>
      <c r="E11" s="132">
        <f t="shared" si="2"/>
        <v>24</v>
      </c>
      <c r="F11" s="165" t="s">
        <v>384</v>
      </c>
      <c r="G11" s="56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不壊の大要塞 バスティーユ</v>
      </c>
      <c r="H11" s="133">
        <v>3</v>
      </c>
      <c r="I11" s="133"/>
      <c r="J11" s="138"/>
      <c r="K11" s="134">
        <v>1</v>
      </c>
      <c r="L11" s="135"/>
      <c r="M11" s="136"/>
      <c r="N11" s="136"/>
      <c r="O11" s="136"/>
      <c r="P11" s="136"/>
      <c r="Q11" s="136"/>
      <c r="R11" s="131"/>
      <c r="S11" s="137"/>
    </row>
    <row r="12" spans="1:19" ht="21" customHeight="1" x14ac:dyDescent="0.15">
      <c r="A12" s="12">
        <v>941</v>
      </c>
      <c r="B12" s="130" t="s">
        <v>180</v>
      </c>
      <c r="C12" s="131" t="s">
        <v>328</v>
      </c>
      <c r="D12" s="131" t="s">
        <v>262</v>
      </c>
      <c r="E12" s="132">
        <f t="shared" si="2"/>
        <v>20</v>
      </c>
      <c r="F12" s="165" t="s">
        <v>257</v>
      </c>
      <c r="G12" s="56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アントワネット</v>
      </c>
      <c r="H12" s="133">
        <v>3</v>
      </c>
      <c r="I12" s="133"/>
      <c r="J12" s="138"/>
      <c r="K12" s="134">
        <v>1</v>
      </c>
      <c r="L12" s="135"/>
      <c r="M12" s="136"/>
      <c r="N12" s="136"/>
      <c r="O12" s="136"/>
      <c r="P12" s="136"/>
      <c r="Q12" s="136"/>
      <c r="R12" s="131"/>
      <c r="S12" s="137"/>
    </row>
    <row r="13" spans="1:19" ht="21" customHeight="1" x14ac:dyDescent="0.15">
      <c r="A13" s="12">
        <v>942</v>
      </c>
      <c r="B13" s="130" t="s">
        <v>180</v>
      </c>
      <c r="C13" s="131" t="s">
        <v>329</v>
      </c>
      <c r="D13" s="131" t="s">
        <v>262</v>
      </c>
      <c r="E13" s="132">
        <f t="shared" si="2"/>
        <v>20</v>
      </c>
      <c r="F13" s="165" t="s">
        <v>299</v>
      </c>
      <c r="G13" s="56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華戯たる傲妃 アントワネット</v>
      </c>
      <c r="H13" s="133">
        <v>3</v>
      </c>
      <c r="I13" s="133"/>
      <c r="J13" s="138"/>
      <c r="K13" s="134">
        <v>1</v>
      </c>
      <c r="L13" s="135"/>
      <c r="M13" s="136"/>
      <c r="N13" s="136"/>
      <c r="O13" s="136"/>
      <c r="P13" s="136"/>
      <c r="Q13" s="136"/>
      <c r="R13" s="131"/>
      <c r="S13" s="137"/>
    </row>
    <row r="14" spans="1:19" ht="21" customHeight="1" x14ac:dyDescent="0.15">
      <c r="A14" s="12">
        <v>943</v>
      </c>
      <c r="B14" s="130" t="s">
        <v>180</v>
      </c>
      <c r="C14" s="131" t="s">
        <v>330</v>
      </c>
      <c r="D14" s="131" t="s">
        <v>297</v>
      </c>
      <c r="E14" s="132">
        <f t="shared" si="2"/>
        <v>8</v>
      </c>
      <c r="F14" s="114" t="s">
        <v>298</v>
      </c>
      <c r="G14" s="56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サンソン</v>
      </c>
      <c r="H14" s="133">
        <v>3</v>
      </c>
      <c r="I14" s="133"/>
      <c r="J14" s="138"/>
      <c r="K14" s="134">
        <v>1</v>
      </c>
      <c r="L14" s="135"/>
      <c r="M14" s="136"/>
      <c r="N14" s="136"/>
      <c r="O14" s="136"/>
      <c r="P14" s="136"/>
      <c r="Q14" s="136"/>
      <c r="R14" s="131"/>
      <c r="S14" s="137"/>
    </row>
    <row r="15" spans="1:19" ht="21" customHeight="1" x14ac:dyDescent="0.15">
      <c r="A15" s="12">
        <v>944</v>
      </c>
      <c r="B15" s="130" t="s">
        <v>180</v>
      </c>
      <c r="C15" s="131" t="s">
        <v>331</v>
      </c>
      <c r="D15" s="131" t="s">
        <v>428</v>
      </c>
      <c r="E15" s="132">
        <f t="shared" si="2"/>
        <v>29</v>
      </c>
      <c r="F15" s="114" t="s">
        <v>430</v>
      </c>
      <c r="G15" s="56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王敬の執行者 サンソン</v>
      </c>
      <c r="H15" s="133">
        <v>3</v>
      </c>
      <c r="I15" s="133"/>
      <c r="J15" s="138"/>
      <c r="K15" s="134">
        <v>1</v>
      </c>
      <c r="L15" s="135"/>
      <c r="M15" s="136"/>
      <c r="N15" s="136"/>
      <c r="O15" s="136"/>
      <c r="P15" s="136"/>
      <c r="Q15" s="136"/>
      <c r="R15" s="131"/>
      <c r="S15" s="137"/>
    </row>
  </sheetData>
  <sheetProtection selectLockedCells="1" selectUnlockedCells="1"/>
  <autoFilter ref="A1:J1"/>
  <phoneticPr fontId="22"/>
  <conditionalFormatting sqref="E8 E12">
    <cfRule type="cellIs" dxfId="32" priority="9" operator="greaterThan">
      <formula>41</formula>
    </cfRule>
  </conditionalFormatting>
  <conditionalFormatting sqref="E9 E13">
    <cfRule type="cellIs" dxfId="31" priority="8" operator="greaterThan">
      <formula>41</formula>
    </cfRule>
  </conditionalFormatting>
  <conditionalFormatting sqref="E2:E3">
    <cfRule type="cellIs" dxfId="30" priority="5" operator="greaterThan">
      <formula>41</formula>
    </cfRule>
  </conditionalFormatting>
  <conditionalFormatting sqref="E4:E5">
    <cfRule type="cellIs" dxfId="29" priority="4" operator="greaterThan">
      <formula>41</formula>
    </cfRule>
  </conditionalFormatting>
  <conditionalFormatting sqref="E6:E7">
    <cfRule type="cellIs" dxfId="28" priority="3" operator="greaterThan">
      <formula>41</formula>
    </cfRule>
  </conditionalFormatting>
  <conditionalFormatting sqref="E10:E11">
    <cfRule type="cellIs" dxfId="27" priority="2" operator="greaterThan">
      <formula>41</formula>
    </cfRule>
  </conditionalFormatting>
  <conditionalFormatting sqref="E14:E15">
    <cfRule type="cellIs" dxfId="26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I58"/>
  <sheetViews>
    <sheetView topLeftCell="A26" workbookViewId="0">
      <selection activeCell="K53" sqref="K53"/>
    </sheetView>
  </sheetViews>
  <sheetFormatPr baseColWidth="12" defaultRowHeight="15" outlineLevelCol="1" x14ac:dyDescent="0.15"/>
  <cols>
    <col min="2" max="2" width="12.83203125" style="140"/>
    <col min="4" max="4" width="12.83203125" style="140" customWidth="1" outlineLevel="1"/>
    <col min="5" max="5" width="12.83203125" style="140"/>
    <col min="8" max="8" width="36" customWidth="1"/>
  </cols>
  <sheetData>
    <row r="1" spans="1:9" x14ac:dyDescent="0.15">
      <c r="A1" s="111" t="s">
        <v>181</v>
      </c>
      <c r="B1" s="139" t="s">
        <v>182</v>
      </c>
      <c r="C1" s="111" t="s">
        <v>183</v>
      </c>
      <c r="D1" s="139" t="s">
        <v>185</v>
      </c>
      <c r="E1" s="139" t="s">
        <v>186</v>
      </c>
      <c r="F1" s="109" t="s">
        <v>187</v>
      </c>
      <c r="G1" s="111" t="s">
        <v>184</v>
      </c>
      <c r="H1" s="109" t="s">
        <v>188</v>
      </c>
    </row>
    <row r="2" spans="1:9" x14ac:dyDescent="0.15">
      <c r="A2" s="107">
        <v>931</v>
      </c>
      <c r="B2" s="139" t="str">
        <f>VLOOKUP(A2,[1]characters!$A:$C,3,FALSE)</f>
        <v>ネルソン</v>
      </c>
      <c r="C2" s="107" t="s">
        <v>189</v>
      </c>
      <c r="D2" s="139"/>
      <c r="E2" s="139" t="str">
        <f>A2&amp;+(COUNTIF(A$2:A2,A2)-1)</f>
        <v>9310</v>
      </c>
      <c r="F2" s="107" t="s">
        <v>191</v>
      </c>
      <c r="G2" s="107" t="s">
        <v>190</v>
      </c>
      <c r="H2" s="187" t="s">
        <v>338</v>
      </c>
      <c r="I2">
        <f>LEN(H2)</f>
        <v>12</v>
      </c>
    </row>
    <row r="3" spans="1:9" x14ac:dyDescent="0.15">
      <c r="A3" s="107">
        <v>931</v>
      </c>
      <c r="B3" s="139" t="str">
        <f>VLOOKUP(A3,[1]characters!$A:$C,3,FALSE)</f>
        <v>ネルソン</v>
      </c>
      <c r="C3" s="107" t="s">
        <v>192</v>
      </c>
      <c r="D3" s="139"/>
      <c r="E3" s="139" t="str">
        <f>A3&amp;+(COUNTIF(A$2:A3,A3)-1)</f>
        <v>9311</v>
      </c>
      <c r="F3" s="107" t="s">
        <v>191</v>
      </c>
      <c r="G3" s="107" t="s">
        <v>190</v>
      </c>
      <c r="H3" s="187" t="s">
        <v>342</v>
      </c>
      <c r="I3">
        <f t="shared" ref="I3:I49" si="0">LEN(H3)</f>
        <v>10</v>
      </c>
    </row>
    <row r="4" spans="1:9" x14ac:dyDescent="0.15">
      <c r="A4" s="107">
        <v>931</v>
      </c>
      <c r="B4" s="139" t="str">
        <f>VLOOKUP(A4,[1]characters!$A:$C,3,FALSE)</f>
        <v>ネルソン</v>
      </c>
      <c r="C4" s="107" t="s">
        <v>192</v>
      </c>
      <c r="D4" s="139"/>
      <c r="E4" s="139" t="str">
        <f>A4&amp;+(COUNTIF(A$2:A4,A4)-1)</f>
        <v>9312</v>
      </c>
      <c r="F4" s="107" t="s">
        <v>191</v>
      </c>
      <c r="G4" s="107" t="s">
        <v>190</v>
      </c>
      <c r="H4" s="187" t="s">
        <v>343</v>
      </c>
      <c r="I4">
        <f>LEN(H4)</f>
        <v>11</v>
      </c>
    </row>
    <row r="5" spans="1:9" x14ac:dyDescent="0.15">
      <c r="A5" s="107">
        <v>932</v>
      </c>
      <c r="B5" s="139" t="str">
        <f>VLOOKUP(A5,[1]characters!$A:$C,3,FALSE)</f>
        <v>隻眼の英堤 ネルソン</v>
      </c>
      <c r="C5" s="107" t="s">
        <v>189</v>
      </c>
      <c r="D5" s="139"/>
      <c r="E5" s="139" t="str">
        <f>A5&amp;+(COUNTIF(A$2:A5,A5)-1)</f>
        <v>9320</v>
      </c>
      <c r="F5" s="107" t="s">
        <v>191</v>
      </c>
      <c r="G5" s="107" t="s">
        <v>190</v>
      </c>
      <c r="H5" s="187" t="s">
        <v>339</v>
      </c>
      <c r="I5">
        <f t="shared" si="0"/>
        <v>12</v>
      </c>
    </row>
    <row r="6" spans="1:9" x14ac:dyDescent="0.15">
      <c r="A6" s="107">
        <v>932</v>
      </c>
      <c r="B6" s="139" t="str">
        <f>VLOOKUP(A6,[1]characters!$A:$C,3,FALSE)</f>
        <v>隻眼の英堤 ネルソン</v>
      </c>
      <c r="C6" s="107" t="s">
        <v>192</v>
      </c>
      <c r="D6" s="139"/>
      <c r="E6" s="139" t="str">
        <f>A6&amp;+(COUNTIF(A$2:A6,A6)-1)</f>
        <v>9321</v>
      </c>
      <c r="F6" s="107" t="s">
        <v>191</v>
      </c>
      <c r="G6" s="107" t="s">
        <v>341</v>
      </c>
      <c r="H6" s="187" t="s">
        <v>340</v>
      </c>
      <c r="I6">
        <f t="shared" si="0"/>
        <v>12</v>
      </c>
    </row>
    <row r="7" spans="1:9" x14ac:dyDescent="0.15">
      <c r="A7" s="107">
        <v>932</v>
      </c>
      <c r="B7" s="139" t="str">
        <f>VLOOKUP(A7,[1]characters!$A:$C,3,FALSE)</f>
        <v>隻眼の英堤 ネルソン</v>
      </c>
      <c r="C7" s="107" t="s">
        <v>192</v>
      </c>
      <c r="D7" s="139"/>
      <c r="E7" s="139" t="str">
        <f>A7&amp;+(COUNTIF(A$2:A7,A7)-1)</f>
        <v>9322</v>
      </c>
      <c r="F7" s="107" t="s">
        <v>191</v>
      </c>
      <c r="G7" s="107" t="s">
        <v>190</v>
      </c>
      <c r="H7" s="187" t="s">
        <v>342</v>
      </c>
      <c r="I7">
        <f t="shared" si="0"/>
        <v>10</v>
      </c>
    </row>
    <row r="8" spans="1:9" x14ac:dyDescent="0.15">
      <c r="A8" s="107">
        <v>932</v>
      </c>
      <c r="B8" s="139" t="str">
        <f>VLOOKUP(A8,[1]characters!$A:$C,3,FALSE)</f>
        <v>隻眼の英堤 ネルソン</v>
      </c>
      <c r="C8" s="107" t="s">
        <v>192</v>
      </c>
      <c r="D8" s="139"/>
      <c r="E8" s="139" t="str">
        <f>A8&amp;+(COUNTIF(A$2:A8,A8)-1)</f>
        <v>9323</v>
      </c>
      <c r="F8" s="107" t="s">
        <v>191</v>
      </c>
      <c r="G8" s="107" t="s">
        <v>190</v>
      </c>
      <c r="H8" s="187" t="s">
        <v>343</v>
      </c>
      <c r="I8">
        <f t="shared" si="0"/>
        <v>11</v>
      </c>
    </row>
    <row r="9" spans="1:9" x14ac:dyDescent="0.15">
      <c r="A9" s="107">
        <v>933</v>
      </c>
      <c r="B9" s="139" t="str">
        <f>VLOOKUP(A9,[1]characters!$A:$C,3,FALSE)</f>
        <v>ヴェルサイユ</v>
      </c>
      <c r="C9" s="107" t="s">
        <v>189</v>
      </c>
      <c r="D9" s="139"/>
      <c r="E9" s="139" t="str">
        <f>A9&amp;+(COUNTIF(A$2:A9,A9)-1)</f>
        <v>9330</v>
      </c>
      <c r="F9" s="107" t="s">
        <v>191</v>
      </c>
      <c r="G9" s="107" t="s">
        <v>190</v>
      </c>
      <c r="H9" s="187" t="s">
        <v>348</v>
      </c>
      <c r="I9">
        <f t="shared" si="0"/>
        <v>11</v>
      </c>
    </row>
    <row r="10" spans="1:9" x14ac:dyDescent="0.15">
      <c r="A10" s="107">
        <v>933</v>
      </c>
      <c r="B10" s="139" t="str">
        <f>VLOOKUP(A10,[1]characters!$A:$C,3,FALSE)</f>
        <v>ヴェルサイユ</v>
      </c>
      <c r="C10" s="107" t="s">
        <v>192</v>
      </c>
      <c r="D10" s="139"/>
      <c r="E10" s="139" t="str">
        <f>A10&amp;+(COUNTIF(A$2:A10,A10)-1)</f>
        <v>9331</v>
      </c>
      <c r="F10" s="107" t="s">
        <v>191</v>
      </c>
      <c r="G10" s="107" t="s">
        <v>190</v>
      </c>
      <c r="H10" s="187" t="s">
        <v>345</v>
      </c>
      <c r="I10">
        <f t="shared" si="0"/>
        <v>8</v>
      </c>
    </row>
    <row r="11" spans="1:9" x14ac:dyDescent="0.15">
      <c r="A11" s="107">
        <v>933</v>
      </c>
      <c r="B11" s="139" t="str">
        <f>VLOOKUP(A11,[1]characters!$A:$C,3,FALSE)</f>
        <v>ヴェルサイユ</v>
      </c>
      <c r="C11" s="107" t="s">
        <v>192</v>
      </c>
      <c r="D11" s="139"/>
      <c r="E11" s="139" t="str">
        <f>A11&amp;+(COUNTIF(A$2:A11,A11)-1)</f>
        <v>9332</v>
      </c>
      <c r="F11" s="107" t="s">
        <v>191</v>
      </c>
      <c r="G11" s="107" t="s">
        <v>190</v>
      </c>
      <c r="H11" s="187" t="s">
        <v>346</v>
      </c>
      <c r="I11">
        <f t="shared" si="0"/>
        <v>10</v>
      </c>
    </row>
    <row r="12" spans="1:9" x14ac:dyDescent="0.15">
      <c r="A12" s="107">
        <v>934</v>
      </c>
      <c r="B12" s="139" t="str">
        <f>VLOOKUP(A12,[1]characters!$A:$C,3,FALSE)</f>
        <v>絢爛たる燈城 ヴェルサイユ</v>
      </c>
      <c r="C12" s="107" t="s">
        <v>189</v>
      </c>
      <c r="D12" s="139"/>
      <c r="E12" s="139" t="str">
        <f>A12&amp;+(COUNTIF(A$2:A12,A12)-1)</f>
        <v>9340</v>
      </c>
      <c r="F12" s="107" t="s">
        <v>191</v>
      </c>
      <c r="G12" s="107" t="s">
        <v>190</v>
      </c>
      <c r="H12" s="187" t="s">
        <v>344</v>
      </c>
      <c r="I12">
        <f t="shared" si="0"/>
        <v>13</v>
      </c>
    </row>
    <row r="13" spans="1:9" x14ac:dyDescent="0.15">
      <c r="A13" s="107">
        <v>934</v>
      </c>
      <c r="B13" s="139" t="str">
        <f>VLOOKUP(A13,[1]characters!$A:$C,3,FALSE)</f>
        <v>絢爛たる燈城 ヴェルサイユ</v>
      </c>
      <c r="C13" s="107" t="s">
        <v>192</v>
      </c>
      <c r="D13" s="139"/>
      <c r="E13" s="139" t="str">
        <f>A13&amp;+(COUNTIF(A$2:A13,A13)-1)</f>
        <v>9341</v>
      </c>
      <c r="F13" s="107" t="s">
        <v>191</v>
      </c>
      <c r="G13" s="107" t="s">
        <v>352</v>
      </c>
      <c r="H13" s="187" t="s">
        <v>349</v>
      </c>
      <c r="I13">
        <f t="shared" si="0"/>
        <v>7</v>
      </c>
    </row>
    <row r="14" spans="1:9" x14ac:dyDescent="0.15">
      <c r="A14" s="107">
        <v>934</v>
      </c>
      <c r="B14" s="139" t="str">
        <f>VLOOKUP(A14,[1]characters!$A:$C,3,FALSE)</f>
        <v>絢爛たる燈城 ヴェルサイユ</v>
      </c>
      <c r="C14" s="107" t="s">
        <v>192</v>
      </c>
      <c r="D14" s="139"/>
      <c r="E14" s="139" t="str">
        <f>A14&amp;+(COUNTIF(A$2:A14,A14)-1)</f>
        <v>9342</v>
      </c>
      <c r="F14" s="107" t="s">
        <v>191</v>
      </c>
      <c r="G14" s="107" t="s">
        <v>190</v>
      </c>
      <c r="H14" s="187" t="s">
        <v>346</v>
      </c>
      <c r="I14">
        <f t="shared" si="0"/>
        <v>10</v>
      </c>
    </row>
    <row r="15" spans="1:9" x14ac:dyDescent="0.15">
      <c r="A15" s="107">
        <v>934</v>
      </c>
      <c r="B15" s="139" t="str">
        <f>VLOOKUP(A15,[1]characters!$A:$C,3,FALSE)</f>
        <v>絢爛たる燈城 ヴェルサイユ</v>
      </c>
      <c r="C15" s="107" t="s">
        <v>192</v>
      </c>
      <c r="D15" s="139"/>
      <c r="E15" s="139" t="str">
        <f>A15&amp;+(COUNTIF(A$2:A15,A15)-1)</f>
        <v>9343</v>
      </c>
      <c r="F15" s="107" t="s">
        <v>191</v>
      </c>
      <c r="G15" s="107" t="s">
        <v>351</v>
      </c>
      <c r="H15" s="187" t="s">
        <v>347</v>
      </c>
      <c r="I15">
        <f t="shared" si="0"/>
        <v>11</v>
      </c>
    </row>
    <row r="16" spans="1:9" x14ac:dyDescent="0.15">
      <c r="A16" s="107">
        <v>937</v>
      </c>
      <c r="B16" s="139" t="str">
        <f>VLOOKUP(A16,[1]characters!$A:$C,3,FALSE)</f>
        <v>ナポレオン</v>
      </c>
      <c r="C16" s="107" t="s">
        <v>189</v>
      </c>
      <c r="D16" s="139"/>
      <c r="E16" s="139" t="str">
        <f>A16&amp;+(COUNTIF(A$2:A16,A16)-1)</f>
        <v>9370</v>
      </c>
      <c r="F16" s="107" t="s">
        <v>191</v>
      </c>
      <c r="G16" s="107" t="s">
        <v>351</v>
      </c>
      <c r="H16" s="187" t="s">
        <v>350</v>
      </c>
      <c r="I16">
        <f>LEN(H16)</f>
        <v>10</v>
      </c>
    </row>
    <row r="17" spans="1:9" x14ac:dyDescent="0.15">
      <c r="A17" s="107">
        <v>937</v>
      </c>
      <c r="B17" s="139" t="str">
        <f>VLOOKUP(A17,[1]characters!$A:$C,3,FALSE)</f>
        <v>ナポレオン</v>
      </c>
      <c r="C17" s="107" t="s">
        <v>192</v>
      </c>
      <c r="D17" s="139"/>
      <c r="E17" s="139" t="str">
        <f>A17&amp;+(COUNTIF(A$2:A17,A17)-1)</f>
        <v>9371</v>
      </c>
      <c r="F17" s="107" t="s">
        <v>191</v>
      </c>
      <c r="G17" s="107" t="s">
        <v>351</v>
      </c>
      <c r="H17" s="187" t="s">
        <v>354</v>
      </c>
      <c r="I17">
        <f>LEN(H17)</f>
        <v>10</v>
      </c>
    </row>
    <row r="18" spans="1:9" x14ac:dyDescent="0.15">
      <c r="A18" s="107">
        <v>937</v>
      </c>
      <c r="B18" s="139" t="str">
        <f>VLOOKUP(A18,[1]characters!$A:$C,3,FALSE)</f>
        <v>ナポレオン</v>
      </c>
      <c r="C18" s="107" t="s">
        <v>192</v>
      </c>
      <c r="D18" s="139"/>
      <c r="E18" s="139" t="str">
        <f>A18&amp;+(COUNTIF(A$2:A18,A18)-1)</f>
        <v>9372</v>
      </c>
      <c r="F18" s="107" t="s">
        <v>191</v>
      </c>
      <c r="G18" s="107" t="s">
        <v>351</v>
      </c>
      <c r="H18" s="187" t="s">
        <v>355</v>
      </c>
      <c r="I18">
        <f t="shared" si="0"/>
        <v>12</v>
      </c>
    </row>
    <row r="19" spans="1:9" x14ac:dyDescent="0.15">
      <c r="A19" s="107">
        <v>937</v>
      </c>
      <c r="B19" s="139" t="str">
        <f>VLOOKUP(A19,[1]characters!$A:$C,3,FALSE)</f>
        <v>ナポレオン</v>
      </c>
      <c r="C19" s="107" t="s">
        <v>192</v>
      </c>
      <c r="D19" s="139"/>
      <c r="E19" s="139" t="str">
        <f>A19&amp;+(COUNTIF(A$2:A19,A19)-1)</f>
        <v>9373</v>
      </c>
      <c r="F19" s="107" t="s">
        <v>191</v>
      </c>
      <c r="G19" s="107" t="s">
        <v>351</v>
      </c>
      <c r="H19" s="187" t="s">
        <v>356</v>
      </c>
      <c r="I19">
        <f t="shared" si="0"/>
        <v>12</v>
      </c>
    </row>
    <row r="20" spans="1:9" x14ac:dyDescent="0.15">
      <c r="A20" s="107">
        <v>938</v>
      </c>
      <c r="B20" s="139" t="str">
        <f>VLOOKUP(A20,[1]characters!$A:$C,3,FALSE)</f>
        <v>炎焔宿す革命皇 ナポレオン</v>
      </c>
      <c r="C20" s="107" t="s">
        <v>189</v>
      </c>
      <c r="D20" s="139"/>
      <c r="E20" s="139" t="str">
        <f>A20&amp;+(COUNTIF(A$2:A20,A20)-1)</f>
        <v>9380</v>
      </c>
      <c r="F20" s="107" t="s">
        <v>191</v>
      </c>
      <c r="G20" s="107" t="s">
        <v>190</v>
      </c>
      <c r="H20" s="187" t="s">
        <v>353</v>
      </c>
      <c r="I20">
        <f>LEN(H20)</f>
        <v>13</v>
      </c>
    </row>
    <row r="21" spans="1:9" x14ac:dyDescent="0.15">
      <c r="A21" s="107">
        <v>938</v>
      </c>
      <c r="B21" s="139" t="str">
        <f>VLOOKUP(A21,[1]characters!$A:$C,3,FALSE)</f>
        <v>炎焔宿す革命皇 ナポレオン</v>
      </c>
      <c r="C21" s="107" t="s">
        <v>192</v>
      </c>
      <c r="D21" s="139"/>
      <c r="E21" s="139" t="str">
        <f>A21&amp;+(COUNTIF(A$2:A21,A21)-1)</f>
        <v>9381</v>
      </c>
      <c r="F21" s="107" t="s">
        <v>191</v>
      </c>
      <c r="G21" s="107" t="s">
        <v>351</v>
      </c>
      <c r="H21" s="187" t="s">
        <v>354</v>
      </c>
      <c r="I21">
        <f t="shared" si="0"/>
        <v>10</v>
      </c>
    </row>
    <row r="22" spans="1:9" x14ac:dyDescent="0.15">
      <c r="A22" s="107">
        <v>938</v>
      </c>
      <c r="B22" s="139" t="str">
        <f>VLOOKUP(A22,[1]characters!$A:$C,3,FALSE)</f>
        <v>炎焔宿す革命皇 ナポレオン</v>
      </c>
      <c r="C22" s="107" t="s">
        <v>192</v>
      </c>
      <c r="D22" s="139"/>
      <c r="E22" s="139" t="str">
        <f>A22&amp;+(COUNTIF(A$2:A22,A22)-1)</f>
        <v>9382</v>
      </c>
      <c r="F22" s="107" t="s">
        <v>191</v>
      </c>
      <c r="G22" s="107" t="s">
        <v>351</v>
      </c>
      <c r="H22" s="187" t="s">
        <v>355</v>
      </c>
      <c r="I22">
        <f t="shared" si="0"/>
        <v>12</v>
      </c>
    </row>
    <row r="23" spans="1:9" x14ac:dyDescent="0.15">
      <c r="A23" s="107">
        <v>938</v>
      </c>
      <c r="B23" s="139" t="str">
        <f>VLOOKUP(A23,[1]characters!$A:$C,3,FALSE)</f>
        <v>炎焔宿す革命皇 ナポレオン</v>
      </c>
      <c r="C23" s="107" t="s">
        <v>192</v>
      </c>
      <c r="D23" s="139"/>
      <c r="E23" s="139" t="str">
        <f>A23&amp;+(COUNTIF(A$2:A23,A23)-1)</f>
        <v>9383</v>
      </c>
      <c r="F23" s="107" t="s">
        <v>191</v>
      </c>
      <c r="G23" s="107" t="s">
        <v>351</v>
      </c>
      <c r="H23" s="187" t="s">
        <v>358</v>
      </c>
      <c r="I23">
        <f>LEN(H23)</f>
        <v>12</v>
      </c>
    </row>
    <row r="24" spans="1:9" x14ac:dyDescent="0.15">
      <c r="A24" s="107">
        <v>938</v>
      </c>
      <c r="B24" s="139" t="str">
        <f>VLOOKUP(A24,[1]characters!$A:$C,3,FALSE)</f>
        <v>炎焔宿す革命皇 ナポレオン</v>
      </c>
      <c r="C24" s="107" t="s">
        <v>192</v>
      </c>
      <c r="D24" s="139"/>
      <c r="E24" s="139" t="str">
        <f>A24&amp;+(COUNTIF(A$2:A24,A24)-1)</f>
        <v>9384</v>
      </c>
      <c r="F24" s="107" t="s">
        <v>191</v>
      </c>
      <c r="G24" s="107" t="s">
        <v>351</v>
      </c>
      <c r="H24" s="187" t="s">
        <v>357</v>
      </c>
      <c r="I24">
        <f t="shared" si="0"/>
        <v>11</v>
      </c>
    </row>
    <row r="25" spans="1:9" x14ac:dyDescent="0.15">
      <c r="A25" s="107">
        <v>939</v>
      </c>
      <c r="B25" s="139" t="str">
        <f>VLOOKUP(A25,[1]characters!$A:$C,3,FALSE)</f>
        <v>バスティーユ</v>
      </c>
      <c r="C25" s="107" t="s">
        <v>189</v>
      </c>
      <c r="D25" s="139"/>
      <c r="E25" s="139" t="str">
        <f>A25&amp;+(COUNTIF(A$2:A25,A25)-1)</f>
        <v>9390</v>
      </c>
      <c r="F25" s="107" t="s">
        <v>191</v>
      </c>
      <c r="G25" s="107" t="s">
        <v>190</v>
      </c>
      <c r="H25" s="187" t="s">
        <v>365</v>
      </c>
      <c r="I25">
        <f t="shared" si="0"/>
        <v>11</v>
      </c>
    </row>
    <row r="26" spans="1:9" x14ac:dyDescent="0.15">
      <c r="A26" s="107">
        <v>939</v>
      </c>
      <c r="B26" s="139" t="str">
        <f>VLOOKUP(A26,[1]characters!$A:$C,3,FALSE)</f>
        <v>バスティーユ</v>
      </c>
      <c r="C26" s="107" t="s">
        <v>192</v>
      </c>
      <c r="D26" s="139"/>
      <c r="E26" s="139" t="str">
        <f>A26&amp;+(COUNTIF(A$2:A26,A26)-1)</f>
        <v>9391</v>
      </c>
      <c r="F26" s="107" t="s">
        <v>191</v>
      </c>
      <c r="G26" s="107" t="s">
        <v>190</v>
      </c>
      <c r="H26" s="187" t="s">
        <v>366</v>
      </c>
      <c r="I26">
        <f t="shared" si="0"/>
        <v>10</v>
      </c>
    </row>
    <row r="27" spans="1:9" x14ac:dyDescent="0.15">
      <c r="A27" s="107">
        <v>939</v>
      </c>
      <c r="B27" s="139" t="str">
        <f>VLOOKUP(A27,[1]characters!$A:$C,3,FALSE)</f>
        <v>バスティーユ</v>
      </c>
      <c r="C27" s="107" t="s">
        <v>192</v>
      </c>
      <c r="D27" s="139"/>
      <c r="E27" s="139" t="str">
        <f>A27&amp;+(COUNTIF(A$2:A27,A27)-1)</f>
        <v>9392</v>
      </c>
      <c r="F27" s="107" t="s">
        <v>191</v>
      </c>
      <c r="G27" s="107" t="s">
        <v>190</v>
      </c>
      <c r="H27" s="187" t="s">
        <v>367</v>
      </c>
      <c r="I27">
        <f t="shared" si="0"/>
        <v>9</v>
      </c>
    </row>
    <row r="28" spans="1:9" x14ac:dyDescent="0.15">
      <c r="A28" s="107">
        <v>940</v>
      </c>
      <c r="B28" s="139" t="str">
        <f>VLOOKUP(A28,[1]characters!$A:$C,3,FALSE)</f>
        <v>不壊の大要塞 バスティーユ</v>
      </c>
      <c r="C28" s="107" t="s">
        <v>189</v>
      </c>
      <c r="D28" s="139"/>
      <c r="E28" s="139" t="str">
        <f>A28&amp;+(COUNTIF(A$2:A28,A28)-1)</f>
        <v>9400</v>
      </c>
      <c r="F28" s="107" t="s">
        <v>191</v>
      </c>
      <c r="G28" s="107" t="s">
        <v>190</v>
      </c>
      <c r="H28" s="187" t="s">
        <v>368</v>
      </c>
      <c r="I28">
        <f t="shared" si="0"/>
        <v>10</v>
      </c>
    </row>
    <row r="29" spans="1:9" x14ac:dyDescent="0.15">
      <c r="A29" s="107">
        <v>940</v>
      </c>
      <c r="B29" s="139" t="str">
        <f>VLOOKUP(A29,[1]characters!$A:$C,3,FALSE)</f>
        <v>不壊の大要塞 バスティーユ</v>
      </c>
      <c r="C29" s="107" t="s">
        <v>192</v>
      </c>
      <c r="D29" s="139"/>
      <c r="E29" s="139" t="str">
        <f>A29&amp;+(COUNTIF(A$2:A29,A29)-1)</f>
        <v>9401</v>
      </c>
      <c r="F29" s="107" t="s">
        <v>191</v>
      </c>
      <c r="G29" s="107" t="s">
        <v>190</v>
      </c>
      <c r="H29" s="187" t="s">
        <v>369</v>
      </c>
      <c r="I29">
        <f t="shared" si="0"/>
        <v>9</v>
      </c>
    </row>
    <row r="30" spans="1:9" x14ac:dyDescent="0.15">
      <c r="A30" s="107">
        <v>940</v>
      </c>
      <c r="B30" s="139" t="str">
        <f>VLOOKUP(A30,[1]characters!$A:$C,3,FALSE)</f>
        <v>不壊の大要塞 バスティーユ</v>
      </c>
      <c r="C30" s="107" t="s">
        <v>192</v>
      </c>
      <c r="D30" s="139"/>
      <c r="E30" s="139" t="str">
        <f>A30&amp;+(COUNTIF(A$2:A30,A30)-1)</f>
        <v>9402</v>
      </c>
      <c r="F30" s="107" t="s">
        <v>191</v>
      </c>
      <c r="G30" s="107" t="s">
        <v>190</v>
      </c>
      <c r="H30" s="187" t="s">
        <v>366</v>
      </c>
      <c r="I30">
        <f t="shared" si="0"/>
        <v>10</v>
      </c>
    </row>
    <row r="31" spans="1:9" x14ac:dyDescent="0.15">
      <c r="A31" s="107">
        <v>940</v>
      </c>
      <c r="B31" s="139" t="str">
        <f>VLOOKUP(A31,[1]characters!$A:$C,3,FALSE)</f>
        <v>不壊の大要塞 バスティーユ</v>
      </c>
      <c r="C31" s="107" t="s">
        <v>192</v>
      </c>
      <c r="D31" s="139"/>
      <c r="E31" s="139" t="str">
        <f>A31&amp;+(COUNTIF(A$2:A31,A31)-1)</f>
        <v>9403</v>
      </c>
      <c r="F31" s="107" t="s">
        <v>191</v>
      </c>
      <c r="G31" s="107" t="s">
        <v>190</v>
      </c>
      <c r="H31" s="187" t="s">
        <v>367</v>
      </c>
      <c r="I31">
        <f t="shared" si="0"/>
        <v>9</v>
      </c>
    </row>
    <row r="32" spans="1:9" x14ac:dyDescent="0.15">
      <c r="A32" s="107">
        <v>941</v>
      </c>
      <c r="B32" s="139" t="str">
        <f>VLOOKUP(A32,[1]characters!$A:$C,3,FALSE)</f>
        <v>アントワネット</v>
      </c>
      <c r="C32" s="107" t="s">
        <v>189</v>
      </c>
      <c r="D32" s="139"/>
      <c r="E32" s="139" t="str">
        <f>A32&amp;+(COUNTIF(A$2:A32,A32)-1)</f>
        <v>9410</v>
      </c>
      <c r="F32" s="107" t="s">
        <v>191</v>
      </c>
      <c r="G32" s="107" t="s">
        <v>377</v>
      </c>
      <c r="H32" s="187" t="s">
        <v>360</v>
      </c>
      <c r="I32">
        <f t="shared" si="0"/>
        <v>12</v>
      </c>
    </row>
    <row r="33" spans="1:9" x14ac:dyDescent="0.15">
      <c r="A33" s="107">
        <v>941</v>
      </c>
      <c r="B33" s="139" t="str">
        <f>VLOOKUP(A33,[1]characters!$A:$C,3,FALSE)</f>
        <v>アントワネット</v>
      </c>
      <c r="C33" s="107" t="s">
        <v>192</v>
      </c>
      <c r="D33" s="139"/>
      <c r="E33" s="139" t="str">
        <f>A33&amp;+(COUNTIF(A$2:A33,A33)-1)</f>
        <v>9411</v>
      </c>
      <c r="F33" s="107" t="s">
        <v>191</v>
      </c>
      <c r="G33" s="107" t="s">
        <v>190</v>
      </c>
      <c r="H33" s="187" t="s">
        <v>361</v>
      </c>
      <c r="I33">
        <f t="shared" si="0"/>
        <v>10</v>
      </c>
    </row>
    <row r="34" spans="1:9" x14ac:dyDescent="0.15">
      <c r="A34" s="107">
        <v>941</v>
      </c>
      <c r="B34" s="139" t="str">
        <f>VLOOKUP(A34,[1]characters!$A:$C,3,FALSE)</f>
        <v>アントワネット</v>
      </c>
      <c r="C34" s="107" t="s">
        <v>192</v>
      </c>
      <c r="D34" s="139"/>
      <c r="E34" s="139" t="str">
        <f>A34&amp;+(COUNTIF(A$2:A34,A34)-1)</f>
        <v>9412</v>
      </c>
      <c r="F34" s="107" t="s">
        <v>191</v>
      </c>
      <c r="G34" s="107" t="s">
        <v>376</v>
      </c>
      <c r="H34" s="187" t="s">
        <v>362</v>
      </c>
      <c r="I34">
        <f t="shared" si="0"/>
        <v>11</v>
      </c>
    </row>
    <row r="35" spans="1:9" x14ac:dyDescent="0.15">
      <c r="A35" s="107">
        <v>941</v>
      </c>
      <c r="B35" s="139" t="str">
        <f>VLOOKUP(A35,[1]characters!$A:$C,3,FALSE)</f>
        <v>アントワネット</v>
      </c>
      <c r="C35" s="107" t="s">
        <v>192</v>
      </c>
      <c r="D35" s="139"/>
      <c r="E35" s="139" t="str">
        <f>A35&amp;+(COUNTIF(A$2:A35,A35)-1)</f>
        <v>9413</v>
      </c>
      <c r="F35" s="107" t="s">
        <v>191</v>
      </c>
      <c r="G35" s="107" t="s">
        <v>376</v>
      </c>
      <c r="H35" s="187" t="s">
        <v>363</v>
      </c>
      <c r="I35">
        <f t="shared" si="0"/>
        <v>11</v>
      </c>
    </row>
    <row r="36" spans="1:9" x14ac:dyDescent="0.15">
      <c r="A36" s="107">
        <v>942</v>
      </c>
      <c r="B36" s="139" t="str">
        <f>VLOOKUP(A36,[1]characters!$A:$C,3,FALSE)</f>
        <v>華戯たる傲妃 アントワネット</v>
      </c>
      <c r="C36" s="107" t="s">
        <v>189</v>
      </c>
      <c r="D36" s="139"/>
      <c r="E36" s="139" t="str">
        <f>A36&amp;+(COUNTIF(A$2:A36,A36)-1)</f>
        <v>9420</v>
      </c>
      <c r="F36" s="107" t="s">
        <v>191</v>
      </c>
      <c r="G36" s="107" t="s">
        <v>351</v>
      </c>
      <c r="H36" s="187" t="s">
        <v>359</v>
      </c>
      <c r="I36">
        <f t="shared" si="0"/>
        <v>11</v>
      </c>
    </row>
    <row r="37" spans="1:9" x14ac:dyDescent="0.15">
      <c r="A37" s="107">
        <v>942</v>
      </c>
      <c r="B37" s="139" t="str">
        <f>VLOOKUP(A37,[1]characters!$A:$C,3,FALSE)</f>
        <v>華戯たる傲妃 アントワネット</v>
      </c>
      <c r="C37" s="107" t="s">
        <v>192</v>
      </c>
      <c r="D37" s="139"/>
      <c r="E37" s="139" t="str">
        <f>A37&amp;+(COUNTIF(A$2:A37,A37)-1)</f>
        <v>9421</v>
      </c>
      <c r="F37" s="107" t="s">
        <v>191</v>
      </c>
      <c r="G37" s="107" t="s">
        <v>378</v>
      </c>
      <c r="H37" s="187" t="s">
        <v>361</v>
      </c>
      <c r="I37">
        <f t="shared" si="0"/>
        <v>10</v>
      </c>
    </row>
    <row r="38" spans="1:9" x14ac:dyDescent="0.15">
      <c r="A38" s="107">
        <v>942</v>
      </c>
      <c r="B38" s="139" t="str">
        <f>VLOOKUP(A38,[1]characters!$A:$C,3,FALSE)</f>
        <v>華戯たる傲妃 アントワネット</v>
      </c>
      <c r="C38" s="107" t="s">
        <v>192</v>
      </c>
      <c r="D38" s="139"/>
      <c r="E38" s="139" t="str">
        <f>A38&amp;+(COUNTIF(A$2:A38,A38)-1)</f>
        <v>9422</v>
      </c>
      <c r="F38" s="107" t="s">
        <v>191</v>
      </c>
      <c r="G38" s="107" t="s">
        <v>351</v>
      </c>
      <c r="H38" s="187" t="s">
        <v>362</v>
      </c>
      <c r="I38">
        <f t="shared" si="0"/>
        <v>11</v>
      </c>
    </row>
    <row r="39" spans="1:9" x14ac:dyDescent="0.15">
      <c r="A39" s="107">
        <v>942</v>
      </c>
      <c r="B39" s="139" t="str">
        <f>VLOOKUP(A39,[1]characters!$A:$C,3,FALSE)</f>
        <v>華戯たる傲妃 アントワネット</v>
      </c>
      <c r="C39" s="107" t="s">
        <v>192</v>
      </c>
      <c r="D39" s="139"/>
      <c r="E39" s="139" t="str">
        <f>A39&amp;+(COUNTIF(A$2:A39,A39)-1)</f>
        <v>9423</v>
      </c>
      <c r="F39" s="107" t="s">
        <v>191</v>
      </c>
      <c r="G39" s="107" t="s">
        <v>351</v>
      </c>
      <c r="H39" s="187" t="s">
        <v>363</v>
      </c>
      <c r="I39">
        <f t="shared" si="0"/>
        <v>11</v>
      </c>
    </row>
    <row r="40" spans="1:9" x14ac:dyDescent="0.15">
      <c r="A40" s="107">
        <v>942</v>
      </c>
      <c r="B40" s="139" t="str">
        <f>VLOOKUP(A40,[1]characters!$A:$C,3,FALSE)</f>
        <v>華戯たる傲妃 アントワネット</v>
      </c>
      <c r="C40" s="107" t="s">
        <v>192</v>
      </c>
      <c r="D40" s="139"/>
      <c r="E40" s="139" t="str">
        <f>A40&amp;+(COUNTIF(A$2:A40,A40)-1)</f>
        <v>9424</v>
      </c>
      <c r="F40" s="107" t="s">
        <v>191</v>
      </c>
      <c r="G40" s="107" t="s">
        <v>379</v>
      </c>
      <c r="H40" s="187" t="s">
        <v>364</v>
      </c>
      <c r="I40">
        <f t="shared" si="0"/>
        <v>11</v>
      </c>
    </row>
    <row r="41" spans="1:9" x14ac:dyDescent="0.15">
      <c r="A41" s="107">
        <v>943</v>
      </c>
      <c r="B41" s="139" t="str">
        <f>VLOOKUP(A41,[1]characters!$A:$C,3,FALSE)</f>
        <v>サンソン</v>
      </c>
      <c r="C41" s="107" t="s">
        <v>189</v>
      </c>
      <c r="D41" s="139"/>
      <c r="E41" s="139" t="str">
        <f>A41&amp;+(COUNTIF(A$2:A41,A41)-1)</f>
        <v>9430</v>
      </c>
      <c r="F41" s="107" t="s">
        <v>191</v>
      </c>
      <c r="G41" s="107" t="s">
        <v>190</v>
      </c>
      <c r="H41" s="187" t="s">
        <v>371</v>
      </c>
      <c r="I41">
        <f t="shared" si="0"/>
        <v>10</v>
      </c>
    </row>
    <row r="42" spans="1:9" x14ac:dyDescent="0.15">
      <c r="A42" s="107">
        <v>943</v>
      </c>
      <c r="B42" s="139" t="str">
        <f>VLOOKUP(A42,[1]characters!$A:$C,3,FALSE)</f>
        <v>サンソン</v>
      </c>
      <c r="C42" s="107" t="s">
        <v>192</v>
      </c>
      <c r="D42" s="139"/>
      <c r="E42" s="139" t="str">
        <f>A42&amp;+(COUNTIF(A$2:A42,A42)-1)</f>
        <v>9431</v>
      </c>
      <c r="F42" s="107" t="s">
        <v>191</v>
      </c>
      <c r="G42" s="107" t="s">
        <v>190</v>
      </c>
      <c r="H42" s="187" t="s">
        <v>372</v>
      </c>
      <c r="I42">
        <f t="shared" si="0"/>
        <v>8</v>
      </c>
    </row>
    <row r="43" spans="1:9" x14ac:dyDescent="0.15">
      <c r="A43" s="107">
        <v>943</v>
      </c>
      <c r="B43" s="139" t="str">
        <f>VLOOKUP(A43,[1]characters!$A:$C,3,FALSE)</f>
        <v>サンソン</v>
      </c>
      <c r="C43" s="107" t="s">
        <v>192</v>
      </c>
      <c r="D43" s="139"/>
      <c r="E43" s="139" t="str">
        <f>A43&amp;+(COUNTIF(A$2:A43,A43)-1)</f>
        <v>9432</v>
      </c>
      <c r="F43" s="107" t="s">
        <v>191</v>
      </c>
      <c r="G43" s="107" t="s">
        <v>190</v>
      </c>
      <c r="H43" s="187" t="s">
        <v>373</v>
      </c>
      <c r="I43">
        <f t="shared" si="0"/>
        <v>9</v>
      </c>
    </row>
    <row r="44" spans="1:9" x14ac:dyDescent="0.15">
      <c r="A44" s="107">
        <v>943</v>
      </c>
      <c r="B44" s="139" t="str">
        <f>VLOOKUP(A44,[1]characters!$A:$C,3,FALSE)</f>
        <v>サンソン</v>
      </c>
      <c r="C44" s="107" t="s">
        <v>192</v>
      </c>
      <c r="D44" s="139"/>
      <c r="E44" s="139" t="str">
        <f>A44&amp;+(COUNTIF(A$2:A44,A44)-1)</f>
        <v>9433</v>
      </c>
      <c r="F44" s="107" t="s">
        <v>191</v>
      </c>
      <c r="G44" s="107" t="s">
        <v>190</v>
      </c>
      <c r="H44" s="187" t="s">
        <v>375</v>
      </c>
      <c r="I44">
        <f t="shared" si="0"/>
        <v>6</v>
      </c>
    </row>
    <row r="45" spans="1:9" x14ac:dyDescent="0.15">
      <c r="A45" s="107">
        <v>944</v>
      </c>
      <c r="B45" s="139" t="str">
        <f>VLOOKUP(A45,[1]characters!$A:$C,3,FALSE)</f>
        <v>王敬の執行者 サンソン</v>
      </c>
      <c r="C45" s="107" t="s">
        <v>189</v>
      </c>
      <c r="D45" s="139"/>
      <c r="E45" s="139" t="str">
        <f>A45&amp;+(COUNTIF(A$2:A45,A45)-1)</f>
        <v>9440</v>
      </c>
      <c r="F45" s="107" t="s">
        <v>191</v>
      </c>
      <c r="G45" s="107" t="s">
        <v>190</v>
      </c>
      <c r="H45" s="187" t="s">
        <v>370</v>
      </c>
      <c r="I45">
        <f t="shared" si="0"/>
        <v>11</v>
      </c>
    </row>
    <row r="46" spans="1:9" x14ac:dyDescent="0.15">
      <c r="A46" s="107">
        <v>944</v>
      </c>
      <c r="B46" s="139" t="str">
        <f>VLOOKUP(A46,[1]characters!$A:$C,3,FALSE)</f>
        <v>王敬の執行者 サンソン</v>
      </c>
      <c r="C46" s="107" t="s">
        <v>192</v>
      </c>
      <c r="D46" s="139"/>
      <c r="E46" s="139" t="str">
        <f>A46&amp;+(COUNTIF(A$2:A46,A46)-1)</f>
        <v>9441</v>
      </c>
      <c r="F46" s="107" t="s">
        <v>191</v>
      </c>
      <c r="G46" s="107" t="s">
        <v>190</v>
      </c>
      <c r="H46" s="187" t="s">
        <v>374</v>
      </c>
      <c r="I46">
        <f t="shared" si="0"/>
        <v>9</v>
      </c>
    </row>
    <row r="47" spans="1:9" x14ac:dyDescent="0.15">
      <c r="A47" s="107">
        <v>944</v>
      </c>
      <c r="B47" s="139" t="str">
        <f>VLOOKUP(A47,[1]characters!$A:$C,3,FALSE)</f>
        <v>王敬の執行者 サンソン</v>
      </c>
      <c r="C47" s="107" t="s">
        <v>192</v>
      </c>
      <c r="D47" s="139"/>
      <c r="E47" s="139" t="str">
        <f>A47&amp;+(COUNTIF(A$2:A47,A47)-1)</f>
        <v>9442</v>
      </c>
      <c r="F47" s="107" t="s">
        <v>191</v>
      </c>
      <c r="G47" s="107" t="s">
        <v>190</v>
      </c>
      <c r="H47" s="187" t="s">
        <v>372</v>
      </c>
      <c r="I47">
        <f t="shared" si="0"/>
        <v>8</v>
      </c>
    </row>
    <row r="48" spans="1:9" x14ac:dyDescent="0.15">
      <c r="A48" s="107">
        <v>944</v>
      </c>
      <c r="B48" s="139" t="str">
        <f>VLOOKUP(A48,[1]characters!$A:$C,3,FALSE)</f>
        <v>王敬の執行者 サンソン</v>
      </c>
      <c r="C48" s="107" t="s">
        <v>192</v>
      </c>
      <c r="D48" s="139"/>
      <c r="E48" s="139" t="str">
        <f>A48&amp;+(COUNTIF(A$2:A48,A48)-1)</f>
        <v>9443</v>
      </c>
      <c r="F48" s="107" t="s">
        <v>191</v>
      </c>
      <c r="G48" s="107" t="s">
        <v>190</v>
      </c>
      <c r="H48" s="187" t="s">
        <v>373</v>
      </c>
      <c r="I48">
        <f t="shared" si="0"/>
        <v>9</v>
      </c>
    </row>
    <row r="49" spans="1:9" x14ac:dyDescent="0.15">
      <c r="A49" s="107">
        <v>944</v>
      </c>
      <c r="B49" s="139" t="str">
        <f>VLOOKUP(A49,[1]characters!$A:$C,3,FALSE)</f>
        <v>王敬の執行者 サンソン</v>
      </c>
      <c r="C49" s="107" t="s">
        <v>192</v>
      </c>
      <c r="D49" s="139"/>
      <c r="E49" s="139" t="str">
        <f>A49&amp;+(COUNTIF(A$2:A49,A49)-1)</f>
        <v>9444</v>
      </c>
      <c r="F49" s="107" t="s">
        <v>191</v>
      </c>
      <c r="G49" s="107" t="s">
        <v>190</v>
      </c>
      <c r="H49" s="187" t="s">
        <v>375</v>
      </c>
      <c r="I49">
        <f t="shared" si="0"/>
        <v>6</v>
      </c>
    </row>
    <row r="50" spans="1:9" x14ac:dyDescent="0.15">
      <c r="A50" s="107">
        <v>935</v>
      </c>
      <c r="B50" s="139" t="str">
        <f>VLOOKUP(A50,[1]characters!$A:$C,3,FALSE)</f>
        <v>ルイ16世</v>
      </c>
      <c r="C50" s="107" t="s">
        <v>189</v>
      </c>
      <c r="D50" s="139"/>
      <c r="E50" s="139" t="str">
        <f>A50&amp;+(COUNTIF(A$2:A50,A50)-1)</f>
        <v>9350</v>
      </c>
      <c r="F50" s="107" t="s">
        <v>191</v>
      </c>
      <c r="G50" s="107" t="s">
        <v>190</v>
      </c>
      <c r="H50" s="187" t="s">
        <v>395</v>
      </c>
      <c r="I50">
        <f t="shared" ref="I50:I57" si="1">LEN(H50)</f>
        <v>13</v>
      </c>
    </row>
    <row r="51" spans="1:9" x14ac:dyDescent="0.15">
      <c r="A51" s="107">
        <v>935</v>
      </c>
      <c r="B51" s="139" t="str">
        <f>VLOOKUP(A51,[1]characters!$A:$C,3,FALSE)</f>
        <v>ルイ16世</v>
      </c>
      <c r="C51" s="107" t="s">
        <v>192</v>
      </c>
      <c r="D51" s="139"/>
      <c r="E51" s="139" t="str">
        <f>A51&amp;+(COUNTIF(A$2:A51,A51)-1)</f>
        <v>9351</v>
      </c>
      <c r="F51" s="107" t="s">
        <v>191</v>
      </c>
      <c r="G51" s="107" t="s">
        <v>351</v>
      </c>
      <c r="H51" s="187" t="s">
        <v>396</v>
      </c>
      <c r="I51">
        <f t="shared" si="1"/>
        <v>7</v>
      </c>
    </row>
    <row r="52" spans="1:9" x14ac:dyDescent="0.15">
      <c r="A52" s="107">
        <v>935</v>
      </c>
      <c r="B52" s="139" t="str">
        <f>VLOOKUP(A52,[1]characters!$A:$C,3,FALSE)</f>
        <v>ルイ16世</v>
      </c>
      <c r="C52" s="107" t="s">
        <v>192</v>
      </c>
      <c r="D52" s="139"/>
      <c r="E52" s="139" t="str">
        <f>A52&amp;+(COUNTIF(A$2:A52,A52)-1)</f>
        <v>9352</v>
      </c>
      <c r="F52" s="107" t="s">
        <v>191</v>
      </c>
      <c r="G52" s="107" t="s">
        <v>351</v>
      </c>
      <c r="H52" s="187" t="s">
        <v>397</v>
      </c>
      <c r="I52">
        <f t="shared" si="1"/>
        <v>11</v>
      </c>
    </row>
    <row r="53" spans="1:9" x14ac:dyDescent="0.15">
      <c r="A53" s="107">
        <v>935</v>
      </c>
      <c r="B53" s="139" t="str">
        <f>VLOOKUP(A53,[1]characters!$A:$C,3,FALSE)</f>
        <v>ルイ16世</v>
      </c>
      <c r="C53" s="107" t="s">
        <v>192</v>
      </c>
      <c r="D53" s="139"/>
      <c r="E53" s="139" t="str">
        <f>A53&amp;+(COUNTIF(A$2:A53,A53)-1)</f>
        <v>9353</v>
      </c>
      <c r="F53" s="107" t="s">
        <v>191</v>
      </c>
      <c r="G53" s="107" t="s">
        <v>351</v>
      </c>
      <c r="H53" s="187" t="s">
        <v>398</v>
      </c>
      <c r="I53">
        <f t="shared" ref="I53" si="2">LEN(H53)</f>
        <v>11</v>
      </c>
    </row>
    <row r="54" spans="1:9" x14ac:dyDescent="0.15">
      <c r="A54" s="107">
        <v>936</v>
      </c>
      <c r="B54" s="139" t="str">
        <f>VLOOKUP(A54,[1]characters!$A:$C,3,FALSE)</f>
        <v>憲誓の煉王 ルイ16世</v>
      </c>
      <c r="C54" s="107" t="s">
        <v>189</v>
      </c>
      <c r="D54" s="139"/>
      <c r="E54" s="139" t="str">
        <f>A54&amp;+(COUNTIF(A$2:A54,A54)-1)</f>
        <v>9360</v>
      </c>
      <c r="F54" s="107" t="s">
        <v>191</v>
      </c>
      <c r="G54" s="107" t="s">
        <v>351</v>
      </c>
      <c r="H54" s="187" t="s">
        <v>394</v>
      </c>
      <c r="I54">
        <f t="shared" si="1"/>
        <v>11</v>
      </c>
    </row>
    <row r="55" spans="1:9" x14ac:dyDescent="0.15">
      <c r="A55" s="107">
        <v>936</v>
      </c>
      <c r="B55" s="139" t="str">
        <f>VLOOKUP(A55,[1]characters!$A:$C,3,FALSE)</f>
        <v>憲誓の煉王 ルイ16世</v>
      </c>
      <c r="C55" s="107" t="s">
        <v>192</v>
      </c>
      <c r="D55" s="139"/>
      <c r="E55" s="139" t="str">
        <f>A55&amp;+(COUNTIF(A$2:A55,A55)-1)</f>
        <v>9361</v>
      </c>
      <c r="F55" s="107" t="s">
        <v>191</v>
      </c>
      <c r="G55" s="107" t="s">
        <v>351</v>
      </c>
      <c r="H55" s="187" t="s">
        <v>396</v>
      </c>
      <c r="I55">
        <f t="shared" si="1"/>
        <v>7</v>
      </c>
    </row>
    <row r="56" spans="1:9" x14ac:dyDescent="0.15">
      <c r="A56" s="107">
        <v>936</v>
      </c>
      <c r="B56" s="139" t="str">
        <f>VLOOKUP(A56,[1]characters!$A:$C,3,FALSE)</f>
        <v>憲誓の煉王 ルイ16世</v>
      </c>
      <c r="C56" s="107" t="s">
        <v>192</v>
      </c>
      <c r="D56" s="139"/>
      <c r="E56" s="139" t="str">
        <f>A56&amp;+(COUNTIF(A$2:A56,A56)-1)</f>
        <v>9362</v>
      </c>
      <c r="F56" s="107" t="s">
        <v>191</v>
      </c>
      <c r="G56" s="107" t="s">
        <v>351</v>
      </c>
      <c r="H56" s="187" t="s">
        <v>397</v>
      </c>
      <c r="I56">
        <f t="shared" si="1"/>
        <v>11</v>
      </c>
    </row>
    <row r="57" spans="1:9" x14ac:dyDescent="0.15">
      <c r="A57" s="107">
        <v>936</v>
      </c>
      <c r="B57" s="139" t="str">
        <f>VLOOKUP(A57,[1]characters!$A:$C,3,FALSE)</f>
        <v>憲誓の煉王 ルイ16世</v>
      </c>
      <c r="C57" s="107" t="s">
        <v>192</v>
      </c>
      <c r="D57" s="139"/>
      <c r="E57" s="139" t="str">
        <f>A57&amp;+(COUNTIF(A$2:A57,A57)-1)</f>
        <v>9363</v>
      </c>
      <c r="F57" s="107" t="s">
        <v>191</v>
      </c>
      <c r="G57" s="107" t="s">
        <v>351</v>
      </c>
      <c r="H57" s="187" t="s">
        <v>398</v>
      </c>
      <c r="I57">
        <f t="shared" si="1"/>
        <v>11</v>
      </c>
    </row>
    <row r="58" spans="1:9" x14ac:dyDescent="0.15">
      <c r="A58" s="107">
        <v>936</v>
      </c>
      <c r="B58" s="139" t="str">
        <f>VLOOKUP(A58,[1]characters!$A:$C,3,FALSE)</f>
        <v>憲誓の煉王 ルイ16世</v>
      </c>
      <c r="C58" s="107" t="s">
        <v>192</v>
      </c>
      <c r="D58" s="139"/>
      <c r="E58" s="139" t="str">
        <f>A58&amp;+(COUNTIF(A$2:A58,A58)-1)</f>
        <v>9364</v>
      </c>
      <c r="F58" s="107" t="s">
        <v>191</v>
      </c>
      <c r="G58" s="107" t="s">
        <v>190</v>
      </c>
      <c r="H58" s="187" t="s">
        <v>399</v>
      </c>
      <c r="I58">
        <f t="shared" ref="I58" si="3">LEN(H58)</f>
        <v>11</v>
      </c>
    </row>
  </sheetData>
  <phoneticPr fontId="22"/>
  <dataValidations count="2">
    <dataValidation type="list" allowBlank="1" showInputMessage="1" showErrorMessage="1" sqref="C2:C58">
      <formula1>"skill,cskill"</formula1>
    </dataValidation>
    <dataValidation type="list" allowBlank="1" showInputMessage="1" showErrorMessage="1" sqref="G2:G58">
      <formula1>"maru,giza,kumo"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V8"/>
  <sheetViews>
    <sheetView showGridLines="0" workbookViewId="0">
      <pane xSplit="9" ySplit="1" topLeftCell="P2" activePane="bottomRight" state="frozen"/>
      <selection activeCell="U2" sqref="U2"/>
      <selection pane="topRight" activeCell="U2" sqref="U2"/>
      <selection pane="bottomLeft" activeCell="U2" sqref="U2"/>
      <selection pane="bottomRight" activeCell="Q7" sqref="Q7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2" ht="21" customHeight="1" x14ac:dyDescent="0.15">
      <c r="A1" s="169" t="s">
        <v>263</v>
      </c>
      <c r="B1" s="170" t="s">
        <v>39</v>
      </c>
      <c r="C1" s="171" t="s">
        <v>264</v>
      </c>
      <c r="D1" s="171" t="s">
        <v>265</v>
      </c>
      <c r="E1" s="171" t="s">
        <v>266</v>
      </c>
      <c r="F1" s="171" t="s">
        <v>267</v>
      </c>
      <c r="G1" s="171" t="s">
        <v>1</v>
      </c>
      <c r="H1" s="172" t="s">
        <v>19</v>
      </c>
      <c r="I1" s="171" t="s">
        <v>0</v>
      </c>
      <c r="J1" s="173" t="s">
        <v>268</v>
      </c>
      <c r="K1" s="171" t="s">
        <v>269</v>
      </c>
      <c r="L1" s="174" t="s">
        <v>47</v>
      </c>
      <c r="M1" s="174" t="s">
        <v>46</v>
      </c>
      <c r="N1" s="174" t="s">
        <v>270</v>
      </c>
      <c r="O1" s="174" t="s">
        <v>271</v>
      </c>
      <c r="P1" s="175" t="s">
        <v>272</v>
      </c>
      <c r="Q1" s="176" t="s">
        <v>274</v>
      </c>
      <c r="R1" s="177" t="s">
        <v>269</v>
      </c>
      <c r="S1" s="175" t="s">
        <v>275</v>
      </c>
      <c r="T1" s="177" t="s">
        <v>269</v>
      </c>
      <c r="U1" s="175" t="s">
        <v>276</v>
      </c>
    </row>
    <row r="2" spans="1:22" ht="21" customHeight="1" x14ac:dyDescent="0.15">
      <c r="A2" s="108">
        <v>931</v>
      </c>
      <c r="B2" s="5" t="str">
        <f ca="1">VLOOKUP($A2,OFFSET([1]characters!$A$1,0,0,COUNTA([1]characters!$A:$A),MATCH(B$1,[1]characters!$1:$1,0)-MATCH($A$1,[1]characters!$1:$1,0)+1),MATCH(B$1,[1]characters!$1:$1,0)-MATCH($A$1,[1]characters!$1:$1,0)+1,FALSE)</f>
        <v>ネルソン</v>
      </c>
      <c r="C2" s="5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各属性相性良3・黄・R535</v>
      </c>
      <c r="D2" s="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" t="str">
        <f ca="1">VLOOKUP($A2,OFFSET([1]characters!$A$1,0,0,COUNTA([1]characters!$A:$A),MATCH(J$1,[1]characters!$1:$1,0)-MATCH($A$1,[1]characters!$1:$1,0)+1),MATCH(J$1,[1]characters!$1:$1,0)-MATCH($A$1,[1]characters!$1:$1,0)+1,FALSE)</f>
        <v>machine</v>
      </c>
      <c r="K2" s="5" t="str">
        <f ca="1">VLOOKUP(J2,[1]character_tribe_i18n!$A:$H,3,FALSE)</f>
        <v>マシン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78" t="s">
        <v>277</v>
      </c>
      <c r="Q2" s="108">
        <v>932</v>
      </c>
      <c r="R2" s="5" t="str">
        <f ca="1">IF(Q2="NULL","",VLOOKUP($Q2,OFFSET([1]characters!$A$1,0,0,COUNTA([1]characters!$A:$A),MATCH(R$1,[1]characters!$1:$1,0)-MATCH($A$1,[1]characters!$1:$1,0)+1),MATCH(R$1,[1]characters!$1:$1,0)-MATCH($A$1,[1]characters!$1:$1,0)+1,FALSE))</f>
        <v>隻眼の英堤 ネルソン</v>
      </c>
      <c r="S2" s="5">
        <f t="shared" ref="S2:S8" ca="1" si="0">IF(ISNA(MATCH(A2,Q:Q,0)),A2,INDIRECT(ADDRESS(MATCH(A2,Q:Q,0),COLUMN())))</f>
        <v>931</v>
      </c>
      <c r="T2" s="5" t="str">
        <f ca="1">VLOOKUP($S2,OFFSET([1]characters!$A$1,0,0,COUNTA([1]characters!$A:$A),MATCH(T$1,[1]characters!$1:$1,0)-MATCH($A$1,[1]characters!$1:$1,0)+1),MATCH(T$1,[1]characters!$1:$1,0)-MATCH($A$1,[1]characters!$1:$1,0)+1,FALSE)</f>
        <v>ネルソン</v>
      </c>
      <c r="U2" s="11">
        <v>50000</v>
      </c>
      <c r="V2"/>
    </row>
    <row r="3" spans="1:22" ht="21" customHeight="1" x14ac:dyDescent="0.15">
      <c r="A3" s="108">
        <v>933</v>
      </c>
      <c r="B3" s="5" t="str">
        <f ca="1">VLOOKUP($A3,OFFSET([1]characters!$A$1,0,0,COUNTA([1]characters!$A:$A),MATCH(B$1,[1]characters!$1:$1,0)-MATCH($A$1,[1]characters!$1:$1,0)+1),MATCH(B$1,[1]characters!$1:$1,0)-MATCH($A$1,[1]characters!$1:$1,0)+1,FALSE)</f>
        <v>ヴェルサイユ</v>
      </c>
      <c r="C3" s="5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各属性相性良3・黄・R537</v>
      </c>
      <c r="D3" s="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78" t="s">
        <v>277</v>
      </c>
      <c r="Q3" s="108">
        <v>934</v>
      </c>
      <c r="R3" s="5" t="str">
        <f ca="1">IF(Q3="NULL","",VLOOKUP($Q3,OFFSET([1]characters!$A$1,0,0,COUNTA([1]characters!$A:$A),MATCH(R$1,[1]characters!$1:$1,0)-MATCH($A$1,[1]characters!$1:$1,0)+1),MATCH(R$1,[1]characters!$1:$1,0)-MATCH($A$1,[1]characters!$1:$1,0)+1,FALSE))</f>
        <v>絢爛たる燈城 ヴェルサイユ</v>
      </c>
      <c r="S3" s="5">
        <f t="shared" ca="1" si="0"/>
        <v>933</v>
      </c>
      <c r="T3" s="5" t="str">
        <f ca="1">VLOOKUP($S3,OFFSET([1]characters!$A$1,0,0,COUNTA([1]characters!$A:$A),MATCH(T$1,[1]characters!$1:$1,0)-MATCH($A$1,[1]characters!$1:$1,0)+1),MATCH(T$1,[1]characters!$1:$1,0)-MATCH($A$1,[1]characters!$1:$1,0)+1,FALSE)</f>
        <v>ヴェルサイユ</v>
      </c>
      <c r="U3" s="11">
        <v>50000</v>
      </c>
      <c r="V3"/>
    </row>
    <row r="4" spans="1:22" ht="21" customHeight="1" x14ac:dyDescent="0.15">
      <c r="A4" s="108">
        <v>935</v>
      </c>
      <c r="B4" s="5" t="str">
        <f ca="1">VLOOKUP($A4,OFFSET([1]characters!$A$1,0,0,COUNTA([1]characters!$A:$A),MATCH(B$1,[1]characters!$1:$1,0)-MATCH($A$1,[1]characters!$1:$1,0)+1),MATCH(B$1,[1]characters!$1:$1,0)-MATCH($A$1,[1]characters!$1:$1,0)+1,FALSE)</f>
        <v>ルイ16世</v>
      </c>
      <c r="C4" s="5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各属性相性良3・黄・R539</v>
      </c>
      <c r="D4" s="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5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78" t="s">
        <v>277</v>
      </c>
      <c r="Q4" s="108">
        <v>936</v>
      </c>
      <c r="R4" s="5" t="str">
        <f ca="1">IF(Q4="NULL","",VLOOKUP($Q4,OFFSET([1]characters!$A$1,0,0,COUNTA([1]characters!$A:$A),MATCH(R$1,[1]characters!$1:$1,0)-MATCH($A$1,[1]characters!$1:$1,0)+1),MATCH(R$1,[1]characters!$1:$1,0)-MATCH($A$1,[1]characters!$1:$1,0)+1,FALSE))</f>
        <v>憲誓の煉王 ルイ16世</v>
      </c>
      <c r="S4" s="5">
        <f t="shared" ca="1" si="0"/>
        <v>935</v>
      </c>
      <c r="T4" s="5" t="str">
        <f ca="1">VLOOKUP($S4,OFFSET([1]characters!$A$1,0,0,COUNTA([1]characters!$A:$A),MATCH(T$1,[1]characters!$1:$1,0)-MATCH($A$1,[1]characters!$1:$1,0)+1),MATCH(T$1,[1]characters!$1:$1,0)-MATCH($A$1,[1]characters!$1:$1,0)+1,FALSE)</f>
        <v>ルイ16世</v>
      </c>
      <c r="U4" s="11">
        <v>200000</v>
      </c>
      <c r="V4"/>
    </row>
    <row r="5" spans="1:22" ht="21" customHeight="1" x14ac:dyDescent="0.15">
      <c r="A5" s="108">
        <v>937</v>
      </c>
      <c r="B5" s="5" t="str">
        <f ca="1">VLOOKUP($A5,OFFSET([1]characters!$A$1,0,0,COUNTA([1]characters!$A:$A),MATCH(B$1,[1]characters!$1:$1,0)-MATCH($A$1,[1]characters!$1:$1,0)+1),MATCH(B$1,[1]characters!$1:$1,0)-MATCH($A$1,[1]characters!$1:$1,0)+1,FALSE)</f>
        <v>ナポレオン</v>
      </c>
      <c r="C5" s="5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各属性相性良3・黄・R541</v>
      </c>
      <c r="D5" s="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78" t="s">
        <v>277</v>
      </c>
      <c r="Q5" s="108">
        <v>938</v>
      </c>
      <c r="R5" s="5" t="str">
        <f ca="1">IF(Q5="NULL","",VLOOKUP($Q5,OFFSET([1]characters!$A$1,0,0,COUNTA([1]characters!$A:$A),MATCH(R$1,[1]characters!$1:$1,0)-MATCH($A$1,[1]characters!$1:$1,0)+1),MATCH(R$1,[1]characters!$1:$1,0)-MATCH($A$1,[1]characters!$1:$1,0)+1,FALSE))</f>
        <v>炎焔宿す革命皇 ナポレオン</v>
      </c>
      <c r="S5" s="5">
        <f t="shared" ca="1" si="0"/>
        <v>937</v>
      </c>
      <c r="T5" s="5" t="str">
        <f ca="1">VLOOKUP($S5,OFFSET([1]characters!$A$1,0,0,COUNTA([1]characters!$A:$A),MATCH(T$1,[1]characters!$1:$1,0)-MATCH($A$1,[1]characters!$1:$1,0)+1),MATCH(T$1,[1]characters!$1:$1,0)-MATCH($A$1,[1]characters!$1:$1,0)+1,FALSE)</f>
        <v>ナポレオン</v>
      </c>
      <c r="U5" s="11">
        <v>200000</v>
      </c>
      <c r="V5"/>
    </row>
    <row r="6" spans="1:22" ht="21" customHeight="1" x14ac:dyDescent="0.15">
      <c r="A6" s="108">
        <v>939</v>
      </c>
      <c r="B6" s="5" t="str">
        <f ca="1">VLOOKUP($A6,OFFSET([1]characters!$A$1,0,0,COUNTA([1]characters!$A:$A),MATCH(B$1,[1]characters!$1:$1,0)-MATCH($A$1,[1]characters!$1:$1,0)+1),MATCH(B$1,[1]characters!$1:$1,0)-MATCH($A$1,[1]characters!$1:$1,0)+1,FALSE)</f>
        <v>バスティーユ</v>
      </c>
      <c r="C6" s="5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各属性相性良3・黄・R543</v>
      </c>
      <c r="D6" s="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5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78" t="s">
        <v>277</v>
      </c>
      <c r="Q6" s="108">
        <v>940</v>
      </c>
      <c r="R6" s="5" t="str">
        <f ca="1">IF(Q6="NULL","",VLOOKUP($Q6,OFFSET([1]characters!$A$1,0,0,COUNTA([1]characters!$A:$A),MATCH(R$1,[1]characters!$1:$1,0)-MATCH($A$1,[1]characters!$1:$1,0)+1),MATCH(R$1,[1]characters!$1:$1,0)-MATCH($A$1,[1]characters!$1:$1,0)+1,FALSE))</f>
        <v>不壊の大要塞 バスティーユ</v>
      </c>
      <c r="S6" s="5">
        <f t="shared" ca="1" si="0"/>
        <v>939</v>
      </c>
      <c r="T6" s="5" t="str">
        <f ca="1">VLOOKUP($S6,OFFSET([1]characters!$A$1,0,0,COUNTA([1]characters!$A:$A),MATCH(T$1,[1]characters!$1:$1,0)-MATCH($A$1,[1]characters!$1:$1,0)+1),MATCH(T$1,[1]characters!$1:$1,0)-MATCH($A$1,[1]characters!$1:$1,0)+1,FALSE)</f>
        <v>バスティーユ</v>
      </c>
      <c r="U6" s="11">
        <v>50000</v>
      </c>
      <c r="V6"/>
    </row>
    <row r="7" spans="1:22" ht="21" customHeight="1" x14ac:dyDescent="0.15">
      <c r="A7" s="108">
        <v>941</v>
      </c>
      <c r="B7" s="5" t="str">
        <f ca="1">VLOOKUP($A7,OFFSET([1]characters!$A$1,0,0,COUNTA([1]characters!$A:$A),MATCH(B$1,[1]characters!$1:$1,0)-MATCH($A$1,[1]characters!$1:$1,0)+1),MATCH(B$1,[1]characters!$1:$1,0)-MATCH($A$1,[1]characters!$1:$1,0)+1,FALSE)</f>
        <v>アントワネット</v>
      </c>
      <c r="C7" s="5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各属性相性良3・黄・R545</v>
      </c>
      <c r="D7" s="5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5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1" t="e">
        <f>VLOOKUP(#REF!,[1]character_tribe_i18n!$A:$H,4,FALSE)</f>
        <v>#REF!</v>
      </c>
      <c r="M7" s="11" t="e">
        <f>VLOOKUP(#REF!,[1]character_tribe_i18n!$A:$H,5,FALSE)</f>
        <v>#REF!</v>
      </c>
      <c r="N7" s="11" t="e">
        <f>VLOOKUP(#REF!,[1]character_tribe_i18n!$A:$H,6,FALSE)</f>
        <v>#REF!</v>
      </c>
      <c r="O7" s="11" t="e">
        <f>VLOOKUP(#REF!,[1]character_tribe_i18n!$A:$H,7,FALSE)</f>
        <v>#REF!</v>
      </c>
      <c r="P7" s="178" t="s">
        <v>277</v>
      </c>
      <c r="Q7" s="108">
        <v>942</v>
      </c>
      <c r="R7" s="5" t="str">
        <f ca="1">IF(Q7="NULL","",VLOOKUP($Q7,OFFSET([1]characters!$A$1,0,0,COUNTA([1]characters!$A:$A),MATCH(R$1,[1]characters!$1:$1,0)-MATCH($A$1,[1]characters!$1:$1,0)+1),MATCH(R$1,[1]characters!$1:$1,0)-MATCH($A$1,[1]characters!$1:$1,0)+1,FALSE))</f>
        <v>華戯たる傲妃 アントワネット</v>
      </c>
      <c r="S7" s="5">
        <f t="shared" ca="1" si="0"/>
        <v>941</v>
      </c>
      <c r="T7" s="5" t="str">
        <f ca="1">VLOOKUP($S7,OFFSET([1]characters!$A$1,0,0,COUNTA([1]characters!$A:$A),MATCH(T$1,[1]characters!$1:$1,0)-MATCH($A$1,[1]characters!$1:$1,0)+1),MATCH(T$1,[1]characters!$1:$1,0)-MATCH($A$1,[1]characters!$1:$1,0)+1,FALSE)</f>
        <v>アントワネット</v>
      </c>
      <c r="U7" s="11">
        <v>200000</v>
      </c>
      <c r="V7"/>
    </row>
    <row r="8" spans="1:22" ht="21" customHeight="1" x14ac:dyDescent="0.15">
      <c r="A8" s="108">
        <v>943</v>
      </c>
      <c r="B8" s="5" t="str">
        <f ca="1">VLOOKUP($A8,OFFSET([1]characters!$A$1,0,0,COUNTA([1]characters!$A:$A),MATCH(B$1,[1]characters!$1:$1,0)-MATCH($A$1,[1]characters!$1:$1,0)+1),MATCH(B$1,[1]characters!$1:$1,0)-MATCH($A$1,[1]characters!$1:$1,0)+1,FALSE)</f>
        <v>サンソン</v>
      </c>
      <c r="C8" s="5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各属性相性良3・黄・R547</v>
      </c>
      <c r="D8" s="5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5" t="str">
        <f ca="1">VLOOKUP($A8,OFFSET([1]characters!$A$1,0,0,COUNTA([1]characters!$A:$A),MATCH(J$1,[1]characters!$1:$1,0)-MATCH($A$1,[1]characters!$1:$1,0)+1),MATCH(J$1,[1]characters!$1:$1,0)-MATCH($A$1,[1]characters!$1:$1,0)+1,FALSE)</f>
        <v>none</v>
      </c>
      <c r="K8" s="5" t="str">
        <f ca="1">VLOOKUP(J8,[1]character_tribe_i18n!$A:$H,3,FALSE)</f>
        <v>種族なし</v>
      </c>
      <c r="L8" s="11" t="e">
        <f>VLOOKUP(#REF!,[1]character_tribe_i18n!$A:$H,4,FALSE)</f>
        <v>#REF!</v>
      </c>
      <c r="M8" s="11" t="e">
        <f>VLOOKUP(#REF!,[1]character_tribe_i18n!$A:$H,5,FALSE)</f>
        <v>#REF!</v>
      </c>
      <c r="N8" s="11" t="e">
        <f>VLOOKUP(#REF!,[1]character_tribe_i18n!$A:$H,6,FALSE)</f>
        <v>#REF!</v>
      </c>
      <c r="O8" s="11" t="e">
        <f>VLOOKUP(#REF!,[1]character_tribe_i18n!$A:$H,7,FALSE)</f>
        <v>#REF!</v>
      </c>
      <c r="P8" s="178" t="s">
        <v>277</v>
      </c>
      <c r="Q8" s="108">
        <v>944</v>
      </c>
      <c r="R8" s="5" t="str">
        <f ca="1">IF(Q8="NULL","",VLOOKUP($Q8,OFFSET([1]characters!$A$1,0,0,COUNTA([1]characters!$A:$A),MATCH(R$1,[1]characters!$1:$1,0)-MATCH($A$1,[1]characters!$1:$1,0)+1),MATCH(R$1,[1]characters!$1:$1,0)-MATCH($A$1,[1]characters!$1:$1,0)+1,FALSE))</f>
        <v>王敬の執行者 サンソン</v>
      </c>
      <c r="S8" s="5">
        <f t="shared" ca="1" si="0"/>
        <v>943</v>
      </c>
      <c r="T8" s="5" t="str">
        <f ca="1">VLOOKUP($S8,OFFSET([1]characters!$A$1,0,0,COUNTA([1]characters!$A:$A),MATCH(T$1,[1]characters!$1:$1,0)-MATCH($A$1,[1]characters!$1:$1,0)+1),MATCH(T$1,[1]characters!$1:$1,0)-MATCH($A$1,[1]characters!$1:$1,0)+1,FALSE)</f>
        <v>サンソン</v>
      </c>
      <c r="U8" s="11">
        <v>200000</v>
      </c>
      <c r="V8"/>
    </row>
  </sheetData>
  <autoFilter ref="A1:U4"/>
  <phoneticPr fontId="22"/>
  <conditionalFormatting sqref="W1:W4 W9:W1048576">
    <cfRule type="cellIs" dxfId="25" priority="3" operator="equal">
      <formula>"FALSE"</formula>
    </cfRule>
  </conditionalFormatting>
  <conditionalFormatting sqref="W5:W7">
    <cfRule type="cellIs" dxfId="24" priority="2" operator="equal">
      <formula>"FALSE"</formula>
    </cfRule>
  </conditionalFormatting>
  <conditionalFormatting sqref="W8">
    <cfRule type="cellIs" dxfId="23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indexed="12"/>
  </sheetPr>
  <dimension ref="A1:M28"/>
  <sheetViews>
    <sheetView showGridLines="0" workbookViewId="0">
      <pane ySplit="1" topLeftCell="A14" activePane="bottomLeft" state="frozen"/>
      <selection activeCell="U2" sqref="U2"/>
      <selection pane="bottomLeft" activeCell="G23" sqref="G23"/>
    </sheetView>
  </sheetViews>
  <sheetFormatPr baseColWidth="12" defaultColWidth="13" defaultRowHeight="15" x14ac:dyDescent="0.15"/>
  <cols>
    <col min="1" max="1" width="11.5" style="64" bestFit="1" customWidth="1"/>
    <col min="2" max="2" width="19.1640625" style="3" bestFit="1" customWidth="1"/>
    <col min="3" max="3" width="15.1640625" style="3" bestFit="1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83203125" style="2" bestFit="1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64" t="s">
        <v>278</v>
      </c>
      <c r="B1" s="41" t="s">
        <v>279</v>
      </c>
      <c r="C1" s="179" t="s">
        <v>263</v>
      </c>
      <c r="D1" s="20" t="s">
        <v>39</v>
      </c>
      <c r="E1" s="20" t="s">
        <v>40</v>
      </c>
      <c r="F1" s="20" t="s">
        <v>41</v>
      </c>
      <c r="G1" s="180" t="s">
        <v>273</v>
      </c>
      <c r="H1" s="20" t="s">
        <v>39</v>
      </c>
      <c r="I1" s="42" t="s">
        <v>36</v>
      </c>
      <c r="J1" s="20" t="s">
        <v>39</v>
      </c>
      <c r="K1" s="19" t="s">
        <v>37</v>
      </c>
      <c r="L1" s="181" t="s">
        <v>280</v>
      </c>
      <c r="M1" s="180" t="s">
        <v>281</v>
      </c>
    </row>
    <row r="2" spans="1:13" ht="21" customHeight="1" x14ac:dyDescent="0.15">
      <c r="A2" s="64" t="str">
        <f t="shared" ref="A2:A28" si="0">B2&amp;"_"&amp;I2</f>
        <v>931_931</v>
      </c>
      <c r="B2" s="43">
        <v>931</v>
      </c>
      <c r="C2" s="182">
        <f>B2</f>
        <v>931</v>
      </c>
      <c r="D2" s="21" t="str">
        <f ca="1">VLOOKUP(B2,units!A:B,2)</f>
        <v>ネルソン</v>
      </c>
      <c r="E2" s="21">
        <f ca="1">VLOOKUP($B2,OFFSET(units!$A$1,0,0,COUNTA(units!$A:$A),MATCH(E$1,units!$1:$1,0)-COLUMN(INDIRECT("character_id"))+1),MATCH(E$1,[2]units!$1:$1,0)-COLUMN(INDIRECT("character_id"))+1,FALSE)</f>
        <v>4</v>
      </c>
      <c r="F2" s="21" t="str">
        <f ca="1">VLOOKUP($B2,OFFSET(units!$A$1,0,0,COUNTA(units!$A:$A),MATCH(F$1,units!$1:$1,0)-COLUMN(INDIRECT("character_id"))+1),MATCH(F$1,[2]units!$1:$1,0)-COLUMN(INDIRECT("character_id"))+1,FALSE)</f>
        <v>Drop2N</v>
      </c>
      <c r="G2" s="183">
        <v>932</v>
      </c>
      <c r="H2" s="21" t="str">
        <f ca="1">VLOOKUP($G2,OFFSET(units!$A$1,0,0,COUNTA(units!$A:$A),MATCH(H$1,units!$1:$1,0)-COLUMN(INDIRECT("character_id"))+1),MATCH(H$1,[2]units!$1:$1,0)-COLUMN(INDIRECT("character_id"))+1,FALSE)</f>
        <v>隻眼の英堤 ネルソン</v>
      </c>
      <c r="I2" s="43">
        <v>931</v>
      </c>
      <c r="J2" s="21" t="str">
        <f>VLOOKUP(I2,[1]characters!$A:$C,3,FALSE)</f>
        <v>ネルソン</v>
      </c>
      <c r="K2" s="18">
        <v>1</v>
      </c>
      <c r="L2" s="110">
        <v>10</v>
      </c>
      <c r="M2" s="110">
        <v>100</v>
      </c>
    </row>
    <row r="3" spans="1:13" ht="21" customHeight="1" x14ac:dyDescent="0.15">
      <c r="A3" s="64" t="str">
        <f t="shared" si="0"/>
        <v>933_113</v>
      </c>
      <c r="B3" s="43">
        <v>933</v>
      </c>
      <c r="C3" s="182">
        <f t="shared" ref="C3:C4" si="1">B3</f>
        <v>933</v>
      </c>
      <c r="D3" s="21" t="str">
        <f ca="1">VLOOKUP(B3,units!A:B,2)</f>
        <v>ヴェルサイユ</v>
      </c>
      <c r="E3" s="21">
        <f ca="1">VLOOKUP($B3,OFFSET(units!$A$1,0,0,COUNTA(units!$A:$A),MATCH(E$1,units!$1:$1,0)-COLUMN(INDIRECT("character_id"))+1),MATCH(E$1,[2]units!$1:$1,0)-COLUMN(INDIRECT("character_id"))+1,FALSE)</f>
        <v>4</v>
      </c>
      <c r="F3" s="21" t="str">
        <f ca="1">VLOOKUP($B3,OFFSET(units!$A$1,0,0,COUNTA(units!$A:$A),MATCH(F$1,units!$1:$1,0)-COLUMN(INDIRECT("character_id"))+1),MATCH(F$1,[2]units!$1:$1,0)-COLUMN(INDIRECT("character_id"))+1,FALSE)</f>
        <v>Drop2N</v>
      </c>
      <c r="G3" s="183">
        <v>934</v>
      </c>
      <c r="H3" s="21" t="str">
        <f ca="1">VLOOKUP($G3,OFFSET(units!$A$1,0,0,COUNTA(units!$A:$A),MATCH(H$1,units!$1:$1,0)-COLUMN(INDIRECT("character_id"))+1),MATCH(H$1,[2]units!$1:$1,0)-COLUMN(INDIRECT("character_id"))+1,FALSE)</f>
        <v>絢爛たる燈城 ヴェルサイユ</v>
      </c>
      <c r="I3" s="43">
        <v>113</v>
      </c>
      <c r="J3" s="21" t="str">
        <f>VLOOKUP(I3,[1]characters!$A:$C,3,FALSE)</f>
        <v>イエローチェシャ</v>
      </c>
      <c r="K3" s="18">
        <v>1</v>
      </c>
      <c r="L3" s="110">
        <v>1</v>
      </c>
      <c r="M3" s="110">
        <v>10</v>
      </c>
    </row>
    <row r="4" spans="1:13" ht="21" customHeight="1" x14ac:dyDescent="0.15">
      <c r="A4" s="64" t="str">
        <f t="shared" si="0"/>
        <v>933_114</v>
      </c>
      <c r="B4" s="43">
        <v>933</v>
      </c>
      <c r="C4" s="182">
        <f t="shared" si="1"/>
        <v>933</v>
      </c>
      <c r="D4" s="21" t="str">
        <f ca="1">VLOOKUP(B4,units!A:B,2)</f>
        <v>ヴェルサイユ</v>
      </c>
      <c r="E4" s="21">
        <f ca="1">VLOOKUP($B4,OFFSET(units!$A$1,0,0,COUNTA(units!$A:$A),MATCH(E$1,units!$1:$1,0)-COLUMN(INDIRECT("character_id"))+1),MATCH(E$1,[2]units!$1:$1,0)-COLUMN(INDIRECT("character_id"))+1,FALSE)</f>
        <v>4</v>
      </c>
      <c r="F4" s="21" t="str">
        <f ca="1">VLOOKUP($B4,OFFSET(units!$A$1,0,0,COUNTA(units!$A:$A),MATCH(F$1,units!$1:$1,0)-COLUMN(INDIRECT("character_id"))+1),MATCH(F$1,[2]units!$1:$1,0)-COLUMN(INDIRECT("character_id"))+1,FALSE)</f>
        <v>Drop2N</v>
      </c>
      <c r="G4" s="183">
        <v>934</v>
      </c>
      <c r="H4" s="21" t="str">
        <f ca="1">VLOOKUP($G4,OFFSET(units!$A$1,0,0,COUNTA(units!$A:$A),MATCH(H$1,units!$1:$1,0)-COLUMN(INDIRECT("character_id"))+1),MATCH(H$1,[2]units!$1:$1,0)-COLUMN(INDIRECT("character_id"))+1,FALSE)</f>
        <v>絢爛たる燈城 ヴェルサイユ</v>
      </c>
      <c r="I4" s="43">
        <v>114</v>
      </c>
      <c r="J4" s="21" t="str">
        <f>VLOOKUP(I4,[1]characters!$A:$C,3,FALSE)</f>
        <v>イエローラビット</v>
      </c>
      <c r="K4" s="18">
        <v>2</v>
      </c>
      <c r="L4" s="110">
        <v>1</v>
      </c>
      <c r="M4" s="110">
        <v>10</v>
      </c>
    </row>
    <row r="5" spans="1:13" ht="21" customHeight="1" x14ac:dyDescent="0.15">
      <c r="A5" s="64" t="str">
        <f t="shared" si="0"/>
        <v>933_115</v>
      </c>
      <c r="B5" s="43">
        <v>933</v>
      </c>
      <c r="C5" s="182">
        <f t="shared" ref="C5:C8" si="2">B5</f>
        <v>933</v>
      </c>
      <c r="D5" s="21" t="str">
        <f ca="1">VLOOKUP(B5,units!A:B,2)</f>
        <v>ヴェルサイユ</v>
      </c>
      <c r="E5" s="21">
        <f ca="1">VLOOKUP($B5,OFFSET(units!$A$1,0,0,COUNTA(units!$A:$A),MATCH(E$1,units!$1:$1,0)-COLUMN(INDIRECT("character_id"))+1),MATCH(E$1,[2]units!$1:$1,0)-COLUMN(INDIRECT("character_id"))+1,FALSE)</f>
        <v>4</v>
      </c>
      <c r="F5" s="21" t="str">
        <f ca="1">VLOOKUP($B5,OFFSET(units!$A$1,0,0,COUNTA(units!$A:$A),MATCH(F$1,units!$1:$1,0)-COLUMN(INDIRECT("character_id"))+1),MATCH(F$1,[2]units!$1:$1,0)-COLUMN(INDIRECT("character_id"))+1,FALSE)</f>
        <v>Drop2N</v>
      </c>
      <c r="G5" s="183">
        <v>934</v>
      </c>
      <c r="H5" s="21" t="str">
        <f ca="1">VLOOKUP($G5,OFFSET(units!$A$1,0,0,COUNTA(units!$A:$A),MATCH(H$1,units!$1:$1,0)-COLUMN(INDIRECT("character_id"))+1),MATCH(H$1,[2]units!$1:$1,0)-COLUMN(INDIRECT("character_id"))+1,FALSE)</f>
        <v>絢爛たる燈城 ヴェルサイユ</v>
      </c>
      <c r="I5" s="43">
        <v>115</v>
      </c>
      <c r="J5" s="21" t="str">
        <f>VLOOKUP(I5,[1]characters!$A:$C,3,FALSE)</f>
        <v>イエローキャタップ</v>
      </c>
      <c r="K5" s="18">
        <v>1</v>
      </c>
      <c r="L5" s="110">
        <v>1</v>
      </c>
      <c r="M5" s="110">
        <v>10</v>
      </c>
    </row>
    <row r="6" spans="1:13" ht="21" customHeight="1" x14ac:dyDescent="0.15">
      <c r="A6" s="64" t="str">
        <f t="shared" si="0"/>
        <v>933_116</v>
      </c>
      <c r="B6" s="43">
        <v>933</v>
      </c>
      <c r="C6" s="182">
        <f t="shared" si="2"/>
        <v>933</v>
      </c>
      <c r="D6" s="21" t="str">
        <f ca="1">VLOOKUP(B6,units!A:B,2)</f>
        <v>ヴェルサイユ</v>
      </c>
      <c r="E6" s="21">
        <f ca="1">VLOOKUP($B6,OFFSET(units!$A$1,0,0,COUNTA(units!$A:$A),MATCH(E$1,units!$1:$1,0)-COLUMN(INDIRECT("character_id"))+1),MATCH(E$1,[2]units!$1:$1,0)-COLUMN(INDIRECT("character_id"))+1,FALSE)</f>
        <v>4</v>
      </c>
      <c r="F6" s="21" t="str">
        <f ca="1">VLOOKUP($B6,OFFSET(units!$A$1,0,0,COUNTA(units!$A:$A),MATCH(F$1,units!$1:$1,0)-COLUMN(INDIRECT("character_id"))+1),MATCH(F$1,[2]units!$1:$1,0)-COLUMN(INDIRECT("character_id"))+1,FALSE)</f>
        <v>Drop2N</v>
      </c>
      <c r="G6" s="183">
        <v>934</v>
      </c>
      <c r="H6" s="21" t="str">
        <f ca="1">VLOOKUP($G6,OFFSET(units!$A$1,0,0,COUNTA(units!$A:$A),MATCH(H$1,units!$1:$1,0)-COLUMN(INDIRECT("character_id"))+1),MATCH(H$1,[2]units!$1:$1,0)-COLUMN(INDIRECT("character_id"))+1,FALSE)</f>
        <v>絢爛たる燈城 ヴェルサイユ</v>
      </c>
      <c r="I6" s="43">
        <v>116</v>
      </c>
      <c r="J6" s="21" t="str">
        <f>VLOOKUP(I6,[1]characters!$A:$C,3,FALSE)</f>
        <v>雷のマッドハッター</v>
      </c>
      <c r="K6" s="18">
        <v>1</v>
      </c>
      <c r="L6" s="110">
        <v>1</v>
      </c>
      <c r="M6" s="110">
        <v>10</v>
      </c>
    </row>
    <row r="7" spans="1:13" ht="21" customHeight="1" x14ac:dyDescent="0.15">
      <c r="A7" s="64" t="str">
        <f t="shared" si="0"/>
        <v>935_931</v>
      </c>
      <c r="B7" s="43">
        <v>935</v>
      </c>
      <c r="C7" s="182">
        <f t="shared" si="2"/>
        <v>935</v>
      </c>
      <c r="D7" s="21" t="str">
        <f ca="1">VLOOKUP(B7,units!A:B,2)</f>
        <v>ルイ16世</v>
      </c>
      <c r="E7" s="21">
        <f ca="1">VLOOKUP($B7,OFFSET(units!$A$1,0,0,COUNTA(units!$A:$A),MATCH(E$1,units!$1:$1,0)-COLUMN(INDIRECT("character_id"))+1),MATCH(E$1,[2]units!$1:$1,0)-COLUMN(INDIRECT("character_id"))+1,FALSE)</f>
        <v>5</v>
      </c>
      <c r="F7" s="21" t="str">
        <f ca="1">VLOOKUP($B7,OFFSET(units!$A$1,0,0,COUNTA(units!$A:$A),MATCH(F$1,units!$1:$1,0)-COLUMN(INDIRECT("character_id"))+1),MATCH(F$1,[2]units!$1:$1,0)-COLUMN(INDIRECT("character_id"))+1,FALSE)</f>
        <v>DropWizS</v>
      </c>
      <c r="G7" s="183">
        <v>936</v>
      </c>
      <c r="H7" s="21" t="str">
        <f ca="1">VLOOKUP($G7,OFFSET(units!$A$1,0,0,COUNTA(units!$A:$A),MATCH(H$1,units!$1:$1,0)-COLUMN(INDIRECT("character_id"))+1),MATCH(H$1,[2]units!$1:$1,0)-COLUMN(INDIRECT("character_id"))+1,FALSE)</f>
        <v>憲誓の煉王 ルイ16世</v>
      </c>
      <c r="I7" s="183">
        <v>931</v>
      </c>
      <c r="J7" s="21" t="str">
        <f>VLOOKUP(I7,[1]characters!$A:$C,3,FALSE)</f>
        <v>ネルソン</v>
      </c>
      <c r="K7" s="18">
        <v>1</v>
      </c>
      <c r="L7" s="110">
        <v>3</v>
      </c>
      <c r="M7" s="110">
        <v>10</v>
      </c>
    </row>
    <row r="8" spans="1:13" ht="21" customHeight="1" x14ac:dyDescent="0.15">
      <c r="A8" s="64" t="str">
        <f t="shared" si="0"/>
        <v>935_933</v>
      </c>
      <c r="B8" s="43">
        <v>935</v>
      </c>
      <c r="C8" s="182">
        <f t="shared" si="2"/>
        <v>935</v>
      </c>
      <c r="D8" s="21" t="str">
        <f ca="1">VLOOKUP(B8,units!A:B,2)</f>
        <v>ルイ16世</v>
      </c>
      <c r="E8" s="21">
        <f ca="1">VLOOKUP($B8,OFFSET(units!$A$1,0,0,COUNTA(units!$A:$A),MATCH(E$1,units!$1:$1,0)-COLUMN(INDIRECT("character_id"))+1),MATCH(E$1,[2]units!$1:$1,0)-COLUMN(INDIRECT("character_id"))+1,FALSE)</f>
        <v>5</v>
      </c>
      <c r="F8" s="21" t="str">
        <f ca="1">VLOOKUP($B8,OFFSET(units!$A$1,0,0,COUNTA(units!$A:$A),MATCH(F$1,units!$1:$1,0)-COLUMN(INDIRECT("character_id"))+1),MATCH(F$1,[2]units!$1:$1,0)-COLUMN(INDIRECT("character_id"))+1,FALSE)</f>
        <v>DropWizS</v>
      </c>
      <c r="G8" s="183">
        <v>936</v>
      </c>
      <c r="H8" s="21" t="str">
        <f ca="1">VLOOKUP($G8,OFFSET(units!$A$1,0,0,COUNTA(units!$A:$A),MATCH(H$1,units!$1:$1,0)-COLUMN(INDIRECT("character_id"))+1),MATCH(H$1,[2]units!$1:$1,0)-COLUMN(INDIRECT("character_id"))+1,FALSE)</f>
        <v>憲誓の煉王 ルイ16世</v>
      </c>
      <c r="I8" s="183">
        <v>933</v>
      </c>
      <c r="J8" s="21" t="str">
        <f>VLOOKUP(I8,[1]characters!$A:$C,3,FALSE)</f>
        <v>ヴェルサイユ</v>
      </c>
      <c r="K8" s="18">
        <v>1</v>
      </c>
      <c r="L8" s="110">
        <v>2</v>
      </c>
      <c r="M8" s="110">
        <v>10</v>
      </c>
    </row>
    <row r="9" spans="1:13" ht="21" customHeight="1" x14ac:dyDescent="0.15">
      <c r="A9" s="64" t="str">
        <f t="shared" si="0"/>
        <v>935_837</v>
      </c>
      <c r="B9" s="43">
        <v>935</v>
      </c>
      <c r="C9" s="182">
        <f t="shared" ref="C9:C13" si="3">B9</f>
        <v>935</v>
      </c>
      <c r="D9" s="21" t="str">
        <f ca="1">VLOOKUP(B9,units!A:B,2)</f>
        <v>ルイ16世</v>
      </c>
      <c r="E9" s="21">
        <f ca="1">VLOOKUP($B9,OFFSET(units!$A$1,0,0,COUNTA(units!$A:$A),MATCH(E$1,units!$1:$1,0)-COLUMN(INDIRECT("character_id"))+1),MATCH(E$1,[2]units!$1:$1,0)-COLUMN(INDIRECT("character_id"))+1,FALSE)</f>
        <v>5</v>
      </c>
      <c r="F9" s="21" t="str">
        <f ca="1">VLOOKUP($B9,OFFSET(units!$A$1,0,0,COUNTA(units!$A:$A),MATCH(F$1,units!$1:$1,0)-COLUMN(INDIRECT("character_id"))+1),MATCH(F$1,[2]units!$1:$1,0)-COLUMN(INDIRECT("character_id"))+1,FALSE)</f>
        <v>DropWizS</v>
      </c>
      <c r="G9" s="183">
        <v>936</v>
      </c>
      <c r="H9" s="21" t="str">
        <f ca="1">VLOOKUP($G9,OFFSET(units!$A$1,0,0,COUNTA(units!$A:$A),MATCH(H$1,units!$1:$1,0)-COLUMN(INDIRECT("character_id"))+1),MATCH(H$1,[2]units!$1:$1,0)-COLUMN(INDIRECT("character_id"))+1,FALSE)</f>
        <v>憲誓の煉王 ルイ16世</v>
      </c>
      <c r="I9" s="183">
        <v>837</v>
      </c>
      <c r="J9" s="21" t="str">
        <f>VLOOKUP(I9,[1]characters!$A:$C,3,FALSE)</f>
        <v>リトルハンプティ</v>
      </c>
      <c r="K9" s="18">
        <v>1</v>
      </c>
      <c r="L9" s="110">
        <v>1</v>
      </c>
      <c r="M9" s="110">
        <v>100</v>
      </c>
    </row>
    <row r="10" spans="1:13" ht="21" customHeight="1" x14ac:dyDescent="0.15">
      <c r="A10" s="64" t="str">
        <f t="shared" si="0"/>
        <v>935_104</v>
      </c>
      <c r="B10" s="43">
        <v>935</v>
      </c>
      <c r="C10" s="182">
        <f t="shared" si="3"/>
        <v>935</v>
      </c>
      <c r="D10" s="21" t="str">
        <f ca="1">VLOOKUP(B10,units!A:B,2)</f>
        <v>ルイ16世</v>
      </c>
      <c r="E10" s="21">
        <f ca="1">VLOOKUP($B10,OFFSET(units!$A$1,0,0,COUNTA(units!$A:$A),MATCH(E$1,units!$1:$1,0)-COLUMN(INDIRECT("character_id"))+1),MATCH(E$1,[2]units!$1:$1,0)-COLUMN(INDIRECT("character_id"))+1,FALSE)</f>
        <v>5</v>
      </c>
      <c r="F10" s="21" t="str">
        <f ca="1">VLOOKUP($B10,OFFSET(units!$A$1,0,0,COUNTA(units!$A:$A),MATCH(F$1,units!$1:$1,0)-COLUMN(INDIRECT("character_id"))+1),MATCH(F$1,[2]units!$1:$1,0)-COLUMN(INDIRECT("character_id"))+1,FALSE)</f>
        <v>DropWizS</v>
      </c>
      <c r="G10" s="183">
        <v>936</v>
      </c>
      <c r="H10" s="21" t="str">
        <f ca="1">VLOOKUP($G10,OFFSET(units!$A$1,0,0,COUNTA(units!$A:$A),MATCH(H$1,units!$1:$1,0)-COLUMN(INDIRECT("character_id"))+1),MATCH(H$1,[2]units!$1:$1,0)-COLUMN(INDIRECT("character_id"))+1,FALSE)</f>
        <v>憲誓の煉王 ルイ16世</v>
      </c>
      <c r="I10" s="183">
        <v>104</v>
      </c>
      <c r="J10" s="21" t="str">
        <f>VLOOKUP(I10,[1]characters!$A:$C,3,FALSE)</f>
        <v>炎のマッドハッター</v>
      </c>
      <c r="K10" s="18">
        <v>1</v>
      </c>
      <c r="L10" s="110">
        <v>1</v>
      </c>
      <c r="M10" s="110">
        <v>10</v>
      </c>
    </row>
    <row r="11" spans="1:13" ht="21" customHeight="1" x14ac:dyDescent="0.15">
      <c r="A11" s="64" t="str">
        <f t="shared" si="0"/>
        <v>937_103</v>
      </c>
      <c r="B11" s="43">
        <v>937</v>
      </c>
      <c r="C11" s="182">
        <f t="shared" si="3"/>
        <v>937</v>
      </c>
      <c r="D11" s="21" t="str">
        <f ca="1">VLOOKUP(B11,units!A:B,2)</f>
        <v>ナポレオン</v>
      </c>
      <c r="E11" s="21">
        <f ca="1">VLOOKUP($B11,OFFSET(units!$A$1,0,0,COUNTA(units!$A:$A),MATCH(E$1,units!$1:$1,0)-COLUMN(INDIRECT("character_id"))+1),MATCH(E$1,[2]units!$1:$1,0)-COLUMN(INDIRECT("character_id"))+1,FALSE)</f>
        <v>5</v>
      </c>
      <c r="F11" s="21" t="str">
        <f ca="1">VLOOKUP($B11,OFFSET(units!$A$1,0,0,COUNTA(units!$A:$A),MATCH(F$1,units!$1:$1,0)-COLUMN(INDIRECT("character_id"))+1),MATCH(F$1,[2]units!$1:$1,0)-COLUMN(INDIRECT("character_id"))+1,FALSE)</f>
        <v>PremiumSS</v>
      </c>
      <c r="G11" s="183">
        <v>938</v>
      </c>
      <c r="H11" s="21" t="str">
        <f ca="1">VLOOKUP($G11,OFFSET(units!$A$1,0,0,COUNTA(units!$A:$A),MATCH(H$1,units!$1:$1,0)-COLUMN(INDIRECT("character_id"))+1),MATCH(H$1,[2]units!$1:$1,0)-COLUMN(INDIRECT("character_id"))+1,FALSE)</f>
        <v>炎焔宿す革命皇 ナポレオン</v>
      </c>
      <c r="I11" s="43">
        <v>103</v>
      </c>
      <c r="J11" s="21" t="str">
        <f>VLOOKUP(I11,[1]characters!$A:$C,3,FALSE)</f>
        <v>レッドキャタップ</v>
      </c>
      <c r="K11" s="18">
        <v>1</v>
      </c>
      <c r="L11" s="110">
        <v>1</v>
      </c>
      <c r="M11" s="110">
        <v>10</v>
      </c>
    </row>
    <row r="12" spans="1:13" ht="21" customHeight="1" x14ac:dyDescent="0.15">
      <c r="A12" s="64" t="str">
        <f t="shared" si="0"/>
        <v>937_931</v>
      </c>
      <c r="B12" s="43">
        <v>937</v>
      </c>
      <c r="C12" s="182">
        <f t="shared" si="3"/>
        <v>937</v>
      </c>
      <c r="D12" s="21" t="str">
        <f ca="1">VLOOKUP(B12,units!A:B,2)</f>
        <v>ナポレオン</v>
      </c>
      <c r="E12" s="21">
        <f ca="1">VLOOKUP($B12,OFFSET(units!$A$1,0,0,COUNTA(units!$A:$A),MATCH(E$1,units!$1:$1,0)-COLUMN(INDIRECT("character_id"))+1),MATCH(E$1,[2]units!$1:$1,0)-COLUMN(INDIRECT("character_id"))+1,FALSE)</f>
        <v>5</v>
      </c>
      <c r="F12" s="21" t="str">
        <f ca="1">VLOOKUP($B12,OFFSET(units!$A$1,0,0,COUNTA(units!$A:$A),MATCH(F$1,units!$1:$1,0)-COLUMN(INDIRECT("character_id"))+1),MATCH(F$1,[2]units!$1:$1,0)-COLUMN(INDIRECT("character_id"))+1,FALSE)</f>
        <v>PremiumSS</v>
      </c>
      <c r="G12" s="183">
        <v>938</v>
      </c>
      <c r="H12" s="21" t="str">
        <f ca="1">VLOOKUP($G12,OFFSET(units!$A$1,0,0,COUNTA(units!$A:$A),MATCH(H$1,units!$1:$1,0)-COLUMN(INDIRECT("character_id"))+1),MATCH(H$1,[2]units!$1:$1,0)-COLUMN(INDIRECT("character_id"))+1,FALSE)</f>
        <v>炎焔宿す革命皇 ナポレオン</v>
      </c>
      <c r="I12" s="183">
        <v>931</v>
      </c>
      <c r="J12" s="21" t="str">
        <f>VLOOKUP(I12,[1]characters!$A:$C,3,FALSE)</f>
        <v>ネルソン</v>
      </c>
      <c r="K12" s="18">
        <v>1</v>
      </c>
      <c r="L12" s="110">
        <v>3</v>
      </c>
      <c r="M12" s="110">
        <v>10</v>
      </c>
    </row>
    <row r="13" spans="1:13" ht="21" customHeight="1" x14ac:dyDescent="0.15">
      <c r="A13" s="64" t="str">
        <f t="shared" si="0"/>
        <v>937_933</v>
      </c>
      <c r="B13" s="43">
        <v>937</v>
      </c>
      <c r="C13" s="182">
        <f t="shared" si="3"/>
        <v>937</v>
      </c>
      <c r="D13" s="21" t="str">
        <f ca="1">VLOOKUP(B13,units!A:B,2)</f>
        <v>ナポレオン</v>
      </c>
      <c r="E13" s="21">
        <f ca="1">VLOOKUP($B13,OFFSET(units!$A$1,0,0,COUNTA(units!$A:$A),MATCH(E$1,units!$1:$1,0)-COLUMN(INDIRECT("character_id"))+1),MATCH(E$1,[2]units!$1:$1,0)-COLUMN(INDIRECT("character_id"))+1,FALSE)</f>
        <v>5</v>
      </c>
      <c r="F13" s="21" t="str">
        <f ca="1">VLOOKUP($B13,OFFSET(units!$A$1,0,0,COUNTA(units!$A:$A),MATCH(F$1,units!$1:$1,0)-COLUMN(INDIRECT("character_id"))+1),MATCH(F$1,[2]units!$1:$1,0)-COLUMN(INDIRECT("character_id"))+1,FALSE)</f>
        <v>PremiumSS</v>
      </c>
      <c r="G13" s="183">
        <v>938</v>
      </c>
      <c r="H13" s="21" t="str">
        <f ca="1">VLOOKUP($G13,OFFSET(units!$A$1,0,0,COUNTA(units!$A:$A),MATCH(H$1,units!$1:$1,0)-COLUMN(INDIRECT("character_id"))+1),MATCH(H$1,[2]units!$1:$1,0)-COLUMN(INDIRECT("character_id"))+1,FALSE)</f>
        <v>炎焔宿す革命皇 ナポレオン</v>
      </c>
      <c r="I13" s="183">
        <v>933</v>
      </c>
      <c r="J13" s="21" t="str">
        <f>VLOOKUP(I13,[1]characters!$A:$C,3,FALSE)</f>
        <v>ヴェルサイユ</v>
      </c>
      <c r="K13" s="18">
        <v>1</v>
      </c>
      <c r="L13" s="110">
        <v>2</v>
      </c>
      <c r="M13" s="110">
        <v>10</v>
      </c>
    </row>
    <row r="14" spans="1:13" ht="21" customHeight="1" x14ac:dyDescent="0.15">
      <c r="A14" s="64" t="str">
        <f t="shared" si="0"/>
        <v>937_837</v>
      </c>
      <c r="B14" s="43">
        <v>937</v>
      </c>
      <c r="C14" s="182">
        <f t="shared" ref="C14:C16" si="4">B14</f>
        <v>937</v>
      </c>
      <c r="D14" s="21" t="str">
        <f ca="1">VLOOKUP(B14,units!A:B,2)</f>
        <v>ナポレオン</v>
      </c>
      <c r="E14" s="21">
        <f ca="1">VLOOKUP($B14,OFFSET(units!$A$1,0,0,COUNTA(units!$A:$A),MATCH(E$1,units!$1:$1,0)-COLUMN(INDIRECT("character_id"))+1),MATCH(E$1,[2]units!$1:$1,0)-COLUMN(INDIRECT("character_id"))+1,FALSE)</f>
        <v>5</v>
      </c>
      <c r="F14" s="21" t="str">
        <f ca="1">VLOOKUP($B14,OFFSET(units!$A$1,0,0,COUNTA(units!$A:$A),MATCH(F$1,units!$1:$1,0)-COLUMN(INDIRECT("character_id"))+1),MATCH(F$1,[2]units!$1:$1,0)-COLUMN(INDIRECT("character_id"))+1,FALSE)</f>
        <v>PremiumSS</v>
      </c>
      <c r="G14" s="183">
        <v>938</v>
      </c>
      <c r="H14" s="21" t="str">
        <f ca="1">VLOOKUP($G14,OFFSET(units!$A$1,0,0,COUNTA(units!$A:$A),MATCH(H$1,units!$1:$1,0)-COLUMN(INDIRECT("character_id"))+1),MATCH(H$1,[2]units!$1:$1,0)-COLUMN(INDIRECT("character_id"))+1,FALSE)</f>
        <v>炎焔宿す革命皇 ナポレオン</v>
      </c>
      <c r="I14" s="183">
        <v>837</v>
      </c>
      <c r="J14" s="21" t="str">
        <f>VLOOKUP(I14,[1]characters!$A:$C,3,FALSE)</f>
        <v>リトルハンプティ</v>
      </c>
      <c r="K14" s="18">
        <v>1</v>
      </c>
      <c r="L14" s="110">
        <v>1</v>
      </c>
      <c r="M14" s="110">
        <v>100</v>
      </c>
    </row>
    <row r="15" spans="1:13" ht="21" customHeight="1" x14ac:dyDescent="0.15">
      <c r="A15" s="64" t="str">
        <f t="shared" si="0"/>
        <v>937_104</v>
      </c>
      <c r="B15" s="43">
        <v>937</v>
      </c>
      <c r="C15" s="182">
        <f t="shared" si="4"/>
        <v>937</v>
      </c>
      <c r="D15" s="21" t="str">
        <f ca="1">VLOOKUP(B15,units!A:B,2)</f>
        <v>ナポレオン</v>
      </c>
      <c r="E15" s="21">
        <f ca="1">VLOOKUP($B15,OFFSET(units!$A$1,0,0,COUNTA(units!$A:$A),MATCH(E$1,units!$1:$1,0)-COLUMN(INDIRECT("character_id"))+1),MATCH(E$1,[2]units!$1:$1,0)-COLUMN(INDIRECT("character_id"))+1,FALSE)</f>
        <v>5</v>
      </c>
      <c r="F15" s="21" t="str">
        <f ca="1">VLOOKUP($B15,OFFSET(units!$A$1,0,0,COUNTA(units!$A:$A),MATCH(F$1,units!$1:$1,0)-COLUMN(INDIRECT("character_id"))+1),MATCH(F$1,[2]units!$1:$1,0)-COLUMN(INDIRECT("character_id"))+1,FALSE)</f>
        <v>PremiumSS</v>
      </c>
      <c r="G15" s="183">
        <v>938</v>
      </c>
      <c r="H15" s="21" t="str">
        <f ca="1">VLOOKUP($G15,OFFSET(units!$A$1,0,0,COUNTA(units!$A:$A),MATCH(H$1,units!$1:$1,0)-COLUMN(INDIRECT("character_id"))+1),MATCH(H$1,[2]units!$1:$1,0)-COLUMN(INDIRECT("character_id"))+1,FALSE)</f>
        <v>炎焔宿す革命皇 ナポレオン</v>
      </c>
      <c r="I15" s="183">
        <v>104</v>
      </c>
      <c r="J15" s="21" t="str">
        <f>VLOOKUP(I15,[1]characters!$A:$C,3,FALSE)</f>
        <v>炎のマッドハッター</v>
      </c>
      <c r="K15" s="18">
        <v>1</v>
      </c>
      <c r="L15" s="110">
        <v>1</v>
      </c>
      <c r="M15" s="110">
        <v>10</v>
      </c>
    </row>
    <row r="16" spans="1:13" ht="21" customHeight="1" x14ac:dyDescent="0.15">
      <c r="A16" s="64" t="str">
        <f t="shared" si="0"/>
        <v>939_108</v>
      </c>
      <c r="B16" s="43">
        <v>939</v>
      </c>
      <c r="C16" s="182">
        <f t="shared" si="4"/>
        <v>939</v>
      </c>
      <c r="D16" s="21" t="str">
        <f ca="1">VLOOKUP(B16,units!A:B,2)</f>
        <v>バスティーユ</v>
      </c>
      <c r="E16" s="21">
        <f ca="1">VLOOKUP($B16,OFFSET(units!$A$1,0,0,COUNTA(units!$A:$A),MATCH(E$1,units!$1:$1,0)-COLUMN(INDIRECT("character_id"))+1),MATCH(E$1,[2]units!$1:$1,0)-COLUMN(INDIRECT("character_id"))+1,FALSE)</f>
        <v>4</v>
      </c>
      <c r="F16" s="21" t="str">
        <f ca="1">VLOOKUP($B16,OFFSET(units!$A$1,0,0,COUNTA(units!$A:$A),MATCH(F$1,units!$1:$1,0)-COLUMN(INDIRECT("character_id"))+1),MATCH(F$1,[2]units!$1:$1,0)-COLUMN(INDIRECT("character_id"))+1,FALSE)</f>
        <v>PremiumS</v>
      </c>
      <c r="G16" s="183">
        <v>940</v>
      </c>
      <c r="H16" s="21" t="str">
        <f ca="1">VLOOKUP($G16,OFFSET(units!$A$1,0,0,COUNTA(units!$A:$A),MATCH(H$1,units!$1:$1,0)-COLUMN(INDIRECT("character_id"))+1),MATCH(H$1,[2]units!$1:$1,0)-COLUMN(INDIRECT("character_id"))+1,FALSE)</f>
        <v>不壊の大要塞 バスティーユ</v>
      </c>
      <c r="I16" s="183">
        <v>108</v>
      </c>
      <c r="J16" s="21" t="str">
        <f>VLOOKUP(I16,[1]characters!$A:$C,3,FALSE)</f>
        <v>森のマッドハッター</v>
      </c>
      <c r="K16" s="18">
        <v>2</v>
      </c>
      <c r="L16" s="110">
        <v>1</v>
      </c>
      <c r="M16" s="110">
        <v>10</v>
      </c>
    </row>
    <row r="17" spans="1:13" ht="21" customHeight="1" x14ac:dyDescent="0.15">
      <c r="A17" s="64" t="str">
        <f t="shared" si="0"/>
        <v>939_107</v>
      </c>
      <c r="B17" s="43">
        <v>939</v>
      </c>
      <c r="C17" s="182">
        <f t="shared" ref="C17:C23" si="5">B17</f>
        <v>939</v>
      </c>
      <c r="D17" s="21" t="str">
        <f ca="1">VLOOKUP(B17,units!A:B,2)</f>
        <v>バスティーユ</v>
      </c>
      <c r="E17" s="21">
        <f ca="1">VLOOKUP($B17,OFFSET(units!$A$1,0,0,COUNTA(units!$A:$A),MATCH(E$1,units!$1:$1,0)-COLUMN(INDIRECT("character_id"))+1),MATCH(E$1,[2]units!$1:$1,0)-COLUMN(INDIRECT("character_id"))+1,FALSE)</f>
        <v>4</v>
      </c>
      <c r="F17" s="21" t="str">
        <f ca="1">VLOOKUP($B17,OFFSET(units!$A$1,0,0,COUNTA(units!$A:$A),MATCH(F$1,units!$1:$1,0)-COLUMN(INDIRECT("character_id"))+1),MATCH(F$1,[2]units!$1:$1,0)-COLUMN(INDIRECT("character_id"))+1,FALSE)</f>
        <v>PremiumS</v>
      </c>
      <c r="G17" s="183">
        <v>940</v>
      </c>
      <c r="H17" s="21" t="str">
        <f ca="1">VLOOKUP($G17,OFFSET(units!$A$1,0,0,COUNTA(units!$A:$A),MATCH(H$1,units!$1:$1,0)-COLUMN(INDIRECT("character_id"))+1),MATCH(H$1,[2]units!$1:$1,0)-COLUMN(INDIRECT("character_id"))+1,FALSE)</f>
        <v>不壊の大要塞 バスティーユ</v>
      </c>
      <c r="I17" s="183">
        <v>107</v>
      </c>
      <c r="J17" s="21" t="str">
        <f>VLOOKUP(I17,[1]characters!$A:$C,3,FALSE)</f>
        <v>グリーンキャタップ</v>
      </c>
      <c r="K17" s="18">
        <v>2</v>
      </c>
      <c r="L17" s="110">
        <v>1</v>
      </c>
      <c r="M17" s="110">
        <v>10</v>
      </c>
    </row>
    <row r="18" spans="1:13" ht="21" customHeight="1" x14ac:dyDescent="0.15">
      <c r="A18" s="64" t="str">
        <f t="shared" si="0"/>
        <v>939_106</v>
      </c>
      <c r="B18" s="43">
        <v>939</v>
      </c>
      <c r="C18" s="182">
        <f t="shared" si="5"/>
        <v>939</v>
      </c>
      <c r="D18" s="21" t="str">
        <f ca="1">VLOOKUP(B18,units!A:B,2)</f>
        <v>バスティーユ</v>
      </c>
      <c r="E18" s="21">
        <f ca="1">VLOOKUP($B18,OFFSET(units!$A$1,0,0,COUNTA(units!$A:$A),MATCH(E$1,units!$1:$1,0)-COLUMN(INDIRECT("character_id"))+1),MATCH(E$1,[2]units!$1:$1,0)-COLUMN(INDIRECT("character_id"))+1,FALSE)</f>
        <v>4</v>
      </c>
      <c r="F18" s="21" t="str">
        <f ca="1">VLOOKUP($B18,OFFSET(units!$A$1,0,0,COUNTA(units!$A:$A),MATCH(F$1,units!$1:$1,0)-COLUMN(INDIRECT("character_id"))+1),MATCH(F$1,[2]units!$1:$1,0)-COLUMN(INDIRECT("character_id"))+1,FALSE)</f>
        <v>PremiumS</v>
      </c>
      <c r="G18" s="183">
        <v>940</v>
      </c>
      <c r="H18" s="21" t="str">
        <f ca="1">VLOOKUP($G18,OFFSET(units!$A$1,0,0,COUNTA(units!$A:$A),MATCH(H$1,units!$1:$1,0)-COLUMN(INDIRECT("character_id"))+1),MATCH(H$1,[2]units!$1:$1,0)-COLUMN(INDIRECT("character_id"))+1,FALSE)</f>
        <v>不壊の大要塞 バスティーユ</v>
      </c>
      <c r="I18" s="183">
        <v>106</v>
      </c>
      <c r="J18" s="21" t="str">
        <f>VLOOKUP(I18,[1]characters!$A:$C,3,FALSE)</f>
        <v>グリーンラビット</v>
      </c>
      <c r="K18" s="18">
        <v>1</v>
      </c>
      <c r="L18" s="110">
        <v>1</v>
      </c>
      <c r="M18" s="110">
        <v>10</v>
      </c>
    </row>
    <row r="19" spans="1:13" ht="21" customHeight="1" x14ac:dyDescent="0.15">
      <c r="A19" s="64" t="str">
        <f t="shared" si="0"/>
        <v>941_111</v>
      </c>
      <c r="B19" s="43">
        <v>941</v>
      </c>
      <c r="C19" s="182">
        <f t="shared" si="5"/>
        <v>941</v>
      </c>
      <c r="D19" s="21" t="str">
        <f ca="1">VLOOKUP(B19,units!A:B,2)</f>
        <v>アントワネット</v>
      </c>
      <c r="E19" s="21">
        <f ca="1">VLOOKUP($B19,OFFSET(units!$A$1,0,0,COUNTA(units!$A:$A),MATCH(E$1,units!$1:$1,0)-COLUMN(INDIRECT("character_id"))+1),MATCH(E$1,[2]units!$1:$1,0)-COLUMN(INDIRECT("character_id"))+1,FALSE)</f>
        <v>5</v>
      </c>
      <c r="F19" s="21" t="str">
        <f ca="1">VLOOKUP($B19,OFFSET(units!$A$1,0,0,COUNTA(units!$A:$A),MATCH(F$1,units!$1:$1,0)-COLUMN(INDIRECT("character_id"))+1),MATCH(F$1,[2]units!$1:$1,0)-COLUMN(INDIRECT("character_id"))+1,FALSE)</f>
        <v>PremiumSS</v>
      </c>
      <c r="G19" s="183">
        <v>942</v>
      </c>
      <c r="H19" s="21" t="str">
        <f ca="1">VLOOKUP($G19,OFFSET(units!$A$1,0,0,COUNTA(units!$A:$A),MATCH(H$1,units!$1:$1,0)-COLUMN(INDIRECT("character_id"))+1),MATCH(H$1,[2]units!$1:$1,0)-COLUMN(INDIRECT("character_id"))+1,FALSE)</f>
        <v>華戯たる傲妃 アントワネット</v>
      </c>
      <c r="I19" s="43">
        <v>111</v>
      </c>
      <c r="J19" s="21" t="str">
        <f>VLOOKUP(I19,[1]characters!$A:$C,3,FALSE)</f>
        <v>ブルーキャタップ</v>
      </c>
      <c r="K19" s="18">
        <v>1</v>
      </c>
      <c r="L19" s="110">
        <v>1</v>
      </c>
      <c r="M19" s="110">
        <v>10</v>
      </c>
    </row>
    <row r="20" spans="1:13" ht="21" customHeight="1" x14ac:dyDescent="0.15">
      <c r="A20" s="64" t="str">
        <f t="shared" si="0"/>
        <v>941_646</v>
      </c>
      <c r="B20" s="43">
        <v>941</v>
      </c>
      <c r="C20" s="182">
        <f t="shared" si="5"/>
        <v>941</v>
      </c>
      <c r="D20" s="21" t="str">
        <f ca="1">VLOOKUP(B20,units!A:B,2)</f>
        <v>アントワネット</v>
      </c>
      <c r="E20" s="21">
        <f ca="1">VLOOKUP($B20,OFFSET(units!$A$1,0,0,COUNTA(units!$A:$A),MATCH(E$1,units!$1:$1,0)-COLUMN(INDIRECT("character_id"))+1),MATCH(E$1,[2]units!$1:$1,0)-COLUMN(INDIRECT("character_id"))+1,FALSE)</f>
        <v>5</v>
      </c>
      <c r="F20" s="21" t="str">
        <f ca="1">VLOOKUP($B20,OFFSET(units!$A$1,0,0,COUNTA(units!$A:$A),MATCH(F$1,units!$1:$1,0)-COLUMN(INDIRECT("character_id"))+1),MATCH(F$1,[2]units!$1:$1,0)-COLUMN(INDIRECT("character_id"))+1,FALSE)</f>
        <v>PremiumSS</v>
      </c>
      <c r="G20" s="183">
        <v>942</v>
      </c>
      <c r="H20" s="21" t="str">
        <f ca="1">VLOOKUP($G20,OFFSET(units!$A$1,0,0,COUNTA(units!$A:$A),MATCH(H$1,units!$1:$1,0)-COLUMN(INDIRECT("character_id"))+1),MATCH(H$1,[2]units!$1:$1,0)-COLUMN(INDIRECT("character_id"))+1,FALSE)</f>
        <v>華戯たる傲妃 アントワネット</v>
      </c>
      <c r="I20" s="183">
        <v>646</v>
      </c>
      <c r="J20" s="21" t="str">
        <f>VLOOKUP(I20,[1]characters!$A:$C,3,FALSE)</f>
        <v>雪女 ユキ</v>
      </c>
      <c r="K20" s="18">
        <v>1</v>
      </c>
      <c r="L20" s="110">
        <v>1</v>
      </c>
      <c r="M20" s="110">
        <v>10</v>
      </c>
    </row>
    <row r="21" spans="1:13" ht="21" customHeight="1" x14ac:dyDescent="0.15">
      <c r="A21" s="64" t="str">
        <f t="shared" si="0"/>
        <v>941_933</v>
      </c>
      <c r="B21" s="43">
        <v>941</v>
      </c>
      <c r="C21" s="182">
        <f t="shared" si="5"/>
        <v>941</v>
      </c>
      <c r="D21" s="21" t="str">
        <f ca="1">VLOOKUP(B21,units!A:B,2)</f>
        <v>アントワネット</v>
      </c>
      <c r="E21" s="21">
        <f ca="1">VLOOKUP($B21,OFFSET(units!$A$1,0,0,COUNTA(units!$A:$A),MATCH(E$1,units!$1:$1,0)-COLUMN(INDIRECT("character_id"))+1),MATCH(E$1,[2]units!$1:$1,0)-COLUMN(INDIRECT("character_id"))+1,FALSE)</f>
        <v>5</v>
      </c>
      <c r="F21" s="21" t="str">
        <f ca="1">VLOOKUP($B21,OFFSET(units!$A$1,0,0,COUNTA(units!$A:$A),MATCH(F$1,units!$1:$1,0)-COLUMN(INDIRECT("character_id"))+1),MATCH(F$1,[2]units!$1:$1,0)-COLUMN(INDIRECT("character_id"))+1,FALSE)</f>
        <v>PremiumSS</v>
      </c>
      <c r="G21" s="183">
        <v>942</v>
      </c>
      <c r="H21" s="21" t="str">
        <f ca="1">VLOOKUP($G21,OFFSET(units!$A$1,0,0,COUNTA(units!$A:$A),MATCH(H$1,units!$1:$1,0)-COLUMN(INDIRECT("character_id"))+1),MATCH(H$1,[2]units!$1:$1,0)-COLUMN(INDIRECT("character_id"))+1,FALSE)</f>
        <v>華戯たる傲妃 アントワネット</v>
      </c>
      <c r="I21" s="183">
        <v>933</v>
      </c>
      <c r="J21" s="21" t="str">
        <f>VLOOKUP(I21,[1]characters!$A:$C,3,FALSE)</f>
        <v>ヴェルサイユ</v>
      </c>
      <c r="K21" s="18">
        <v>1</v>
      </c>
      <c r="L21" s="110">
        <v>1</v>
      </c>
      <c r="M21" s="110">
        <v>10</v>
      </c>
    </row>
    <row r="22" spans="1:13" ht="21" customHeight="1" x14ac:dyDescent="0.15">
      <c r="A22" s="64" t="str">
        <f t="shared" si="0"/>
        <v>941_837</v>
      </c>
      <c r="B22" s="43">
        <v>941</v>
      </c>
      <c r="C22" s="182">
        <f t="shared" si="5"/>
        <v>941</v>
      </c>
      <c r="D22" s="21" t="str">
        <f ca="1">VLOOKUP(B22,units!A:B,2)</f>
        <v>アントワネット</v>
      </c>
      <c r="E22" s="21">
        <f ca="1">VLOOKUP($B22,OFFSET(units!$A$1,0,0,COUNTA(units!$A:$A),MATCH(E$1,units!$1:$1,0)-COLUMN(INDIRECT("character_id"))+1),MATCH(E$1,[2]units!$1:$1,0)-COLUMN(INDIRECT("character_id"))+1,FALSE)</f>
        <v>5</v>
      </c>
      <c r="F22" s="21" t="str">
        <f ca="1">VLOOKUP($B22,OFFSET(units!$A$1,0,0,COUNTA(units!$A:$A),MATCH(F$1,units!$1:$1,0)-COLUMN(INDIRECT("character_id"))+1),MATCH(F$1,[2]units!$1:$1,0)-COLUMN(INDIRECT("character_id"))+1,FALSE)</f>
        <v>PremiumSS</v>
      </c>
      <c r="G22" s="183">
        <v>942</v>
      </c>
      <c r="H22" s="21" t="str">
        <f ca="1">VLOOKUP($G22,OFFSET(units!$A$1,0,0,COUNTA(units!$A:$A),MATCH(H$1,units!$1:$1,0)-COLUMN(INDIRECT("character_id"))+1),MATCH(H$1,[2]units!$1:$1,0)-COLUMN(INDIRECT("character_id"))+1,FALSE)</f>
        <v>華戯たる傲妃 アントワネット</v>
      </c>
      <c r="I22" s="183">
        <v>837</v>
      </c>
      <c r="J22" s="21" t="str">
        <f>VLOOKUP(I22,[1]characters!$A:$C,3,FALSE)</f>
        <v>リトルハンプティ</v>
      </c>
      <c r="K22" s="18">
        <v>1</v>
      </c>
      <c r="L22" s="110">
        <v>1</v>
      </c>
      <c r="M22" s="110">
        <v>100</v>
      </c>
    </row>
    <row r="23" spans="1:13" ht="21" customHeight="1" x14ac:dyDescent="0.15">
      <c r="A23" s="64" t="str">
        <f t="shared" si="0"/>
        <v>941_112</v>
      </c>
      <c r="B23" s="43">
        <v>941</v>
      </c>
      <c r="C23" s="182">
        <f t="shared" si="5"/>
        <v>941</v>
      </c>
      <c r="D23" s="21" t="str">
        <f ca="1">VLOOKUP(B23,units!A:B,2)</f>
        <v>アントワネット</v>
      </c>
      <c r="E23" s="21">
        <f ca="1">VLOOKUP($B23,OFFSET(units!$A$1,0,0,COUNTA(units!$A:$A),MATCH(E$1,units!$1:$1,0)-COLUMN(INDIRECT("character_id"))+1),MATCH(E$1,[2]units!$1:$1,0)-COLUMN(INDIRECT("character_id"))+1,FALSE)</f>
        <v>5</v>
      </c>
      <c r="F23" s="21" t="str">
        <f ca="1">VLOOKUP($B23,OFFSET(units!$A$1,0,0,COUNTA(units!$A:$A),MATCH(F$1,units!$1:$1,0)-COLUMN(INDIRECT("character_id"))+1),MATCH(F$1,[2]units!$1:$1,0)-COLUMN(INDIRECT("character_id"))+1,FALSE)</f>
        <v>PremiumSS</v>
      </c>
      <c r="G23" s="183">
        <v>942</v>
      </c>
      <c r="H23" s="21" t="str">
        <f ca="1">VLOOKUP($G23,OFFSET(units!$A$1,0,0,COUNTA(units!$A:$A),MATCH(H$1,units!$1:$1,0)-COLUMN(INDIRECT("character_id"))+1),MATCH(H$1,[2]units!$1:$1,0)-COLUMN(INDIRECT("character_id"))+1,FALSE)</f>
        <v>華戯たる傲妃 アントワネット</v>
      </c>
      <c r="I23" s="183">
        <v>112</v>
      </c>
      <c r="J23" s="21" t="str">
        <f>VLOOKUP(I23,[1]characters!$A:$C,3,FALSE)</f>
        <v>水のマッドハッター</v>
      </c>
      <c r="K23" s="18">
        <v>1</v>
      </c>
      <c r="L23" s="110">
        <v>1</v>
      </c>
      <c r="M23" s="110">
        <v>10</v>
      </c>
    </row>
    <row r="24" spans="1:13" ht="21" customHeight="1" x14ac:dyDescent="0.15">
      <c r="A24" s="64" t="str">
        <f t="shared" si="0"/>
        <v>943_115</v>
      </c>
      <c r="B24" s="43">
        <v>943</v>
      </c>
      <c r="C24" s="182">
        <f t="shared" ref="C24:C28" si="6">B24</f>
        <v>943</v>
      </c>
      <c r="D24" s="21" t="str">
        <f ca="1">VLOOKUP(B24,units!A:B,2)</f>
        <v>サンソン</v>
      </c>
      <c r="E24" s="21">
        <f ca="1">VLOOKUP($B24,OFFSET(units!$A$1,0,0,COUNTA(units!$A:$A),MATCH(E$1,units!$1:$1,0)-COLUMN(INDIRECT("character_id"))+1),MATCH(E$1,[2]units!$1:$1,0)-COLUMN(INDIRECT("character_id"))+1,FALSE)</f>
        <v>5</v>
      </c>
      <c r="F24" s="21" t="str">
        <f ca="1">VLOOKUP($B24,OFFSET(units!$A$1,0,0,COUNTA(units!$A:$A),MATCH(F$1,units!$1:$1,0)-COLUMN(INDIRECT("character_id"))+1),MATCH(F$1,[2]units!$1:$1,0)-COLUMN(INDIRECT("character_id"))+1,FALSE)</f>
        <v>PremiumSS</v>
      </c>
      <c r="G24" s="183">
        <v>944</v>
      </c>
      <c r="H24" s="21" t="str">
        <f ca="1">VLOOKUP($G24,OFFSET(units!$A$1,0,0,COUNTA(units!$A:$A),MATCH(H$1,units!$1:$1,0)-COLUMN(INDIRECT("character_id"))+1),MATCH(H$1,[2]units!$1:$1,0)-COLUMN(INDIRECT("character_id"))+1,FALSE)</f>
        <v>王敬の執行者 サンソン</v>
      </c>
      <c r="I24" s="43">
        <v>115</v>
      </c>
      <c r="J24" s="21" t="str">
        <f>VLOOKUP(I24,[1]characters!$A:$C,3,FALSE)</f>
        <v>イエローキャタップ</v>
      </c>
      <c r="K24" s="18">
        <v>1</v>
      </c>
      <c r="L24" s="110">
        <v>1</v>
      </c>
      <c r="M24" s="110">
        <v>10</v>
      </c>
    </row>
    <row r="25" spans="1:13" ht="21" customHeight="1" x14ac:dyDescent="0.15">
      <c r="A25" s="64" t="str">
        <f t="shared" si="0"/>
        <v>943_931</v>
      </c>
      <c r="B25" s="43">
        <v>943</v>
      </c>
      <c r="C25" s="182">
        <f t="shared" si="6"/>
        <v>943</v>
      </c>
      <c r="D25" s="21" t="str">
        <f ca="1">VLOOKUP(B25,units!A:B,2)</f>
        <v>サンソン</v>
      </c>
      <c r="E25" s="21">
        <f ca="1">VLOOKUP($B25,OFFSET(units!$A$1,0,0,COUNTA(units!$A:$A),MATCH(E$1,units!$1:$1,0)-COLUMN(INDIRECT("character_id"))+1),MATCH(E$1,[2]units!$1:$1,0)-COLUMN(INDIRECT("character_id"))+1,FALSE)</f>
        <v>5</v>
      </c>
      <c r="F25" s="21" t="str">
        <f ca="1">VLOOKUP($B25,OFFSET(units!$A$1,0,0,COUNTA(units!$A:$A),MATCH(F$1,units!$1:$1,0)-COLUMN(INDIRECT("character_id"))+1),MATCH(F$1,[2]units!$1:$1,0)-COLUMN(INDIRECT("character_id"))+1,FALSE)</f>
        <v>PremiumSS</v>
      </c>
      <c r="G25" s="183">
        <v>944</v>
      </c>
      <c r="H25" s="21" t="str">
        <f ca="1">VLOOKUP($G25,OFFSET(units!$A$1,0,0,COUNTA(units!$A:$A),MATCH(H$1,units!$1:$1,0)-COLUMN(INDIRECT("character_id"))+1),MATCH(H$1,[2]units!$1:$1,0)-COLUMN(INDIRECT("character_id"))+1,FALSE)</f>
        <v>王敬の執行者 サンソン</v>
      </c>
      <c r="I25" s="183">
        <v>931</v>
      </c>
      <c r="J25" s="21" t="str">
        <f>VLOOKUP(I25,[1]characters!$A:$C,3,FALSE)</f>
        <v>ネルソン</v>
      </c>
      <c r="K25" s="18">
        <v>1</v>
      </c>
      <c r="L25" s="110">
        <v>1</v>
      </c>
      <c r="M25" s="110">
        <v>10</v>
      </c>
    </row>
    <row r="26" spans="1:13" ht="21" customHeight="1" x14ac:dyDescent="0.15">
      <c r="A26" s="64" t="str">
        <f t="shared" si="0"/>
        <v>943_300</v>
      </c>
      <c r="B26" s="43">
        <v>943</v>
      </c>
      <c r="C26" s="182">
        <f t="shared" si="6"/>
        <v>943</v>
      </c>
      <c r="D26" s="21" t="str">
        <f ca="1">VLOOKUP(B26,units!A:B,2)</f>
        <v>サンソン</v>
      </c>
      <c r="E26" s="21">
        <f ca="1">VLOOKUP($B26,OFFSET(units!$A$1,0,0,COUNTA(units!$A:$A),MATCH(E$1,units!$1:$1,0)-COLUMN(INDIRECT("character_id"))+1),MATCH(E$1,[2]units!$1:$1,0)-COLUMN(INDIRECT("character_id"))+1,FALSE)</f>
        <v>5</v>
      </c>
      <c r="F26" s="21" t="str">
        <f ca="1">VLOOKUP($B26,OFFSET(units!$A$1,0,0,COUNTA(units!$A:$A),MATCH(F$1,units!$1:$1,0)-COLUMN(INDIRECT("character_id"))+1),MATCH(F$1,[2]units!$1:$1,0)-COLUMN(INDIRECT("character_id"))+1,FALSE)</f>
        <v>PremiumSS</v>
      </c>
      <c r="G26" s="183">
        <v>944</v>
      </c>
      <c r="H26" s="21" t="str">
        <f ca="1">VLOOKUP($G26,OFFSET(units!$A$1,0,0,COUNTA(units!$A:$A),MATCH(H$1,units!$1:$1,0)-COLUMN(INDIRECT("character_id"))+1),MATCH(H$1,[2]units!$1:$1,0)-COLUMN(INDIRECT("character_id"))+1,FALSE)</f>
        <v>王敬の執行者 サンソン</v>
      </c>
      <c r="I26" s="183">
        <v>300</v>
      </c>
      <c r="J26" s="21" t="str">
        <f>VLOOKUP(I26,[1]characters!$A:$C,3,FALSE)</f>
        <v>毒殺のチカ</v>
      </c>
      <c r="K26" s="18">
        <v>1</v>
      </c>
      <c r="L26" s="110">
        <v>1</v>
      </c>
      <c r="M26" s="110">
        <v>10</v>
      </c>
    </row>
    <row r="27" spans="1:13" ht="21" customHeight="1" x14ac:dyDescent="0.15">
      <c r="A27" s="64" t="str">
        <f t="shared" si="0"/>
        <v>943_837</v>
      </c>
      <c r="B27" s="43">
        <v>943</v>
      </c>
      <c r="C27" s="182">
        <f t="shared" si="6"/>
        <v>943</v>
      </c>
      <c r="D27" s="21" t="str">
        <f ca="1">VLOOKUP(B27,units!A:B,2)</f>
        <v>サンソン</v>
      </c>
      <c r="E27" s="21">
        <f ca="1">VLOOKUP($B27,OFFSET(units!$A$1,0,0,COUNTA(units!$A:$A),MATCH(E$1,units!$1:$1,0)-COLUMN(INDIRECT("character_id"))+1),MATCH(E$1,[2]units!$1:$1,0)-COLUMN(INDIRECT("character_id"))+1,FALSE)</f>
        <v>5</v>
      </c>
      <c r="F27" s="21" t="str">
        <f ca="1">VLOOKUP($B27,OFFSET(units!$A$1,0,0,COUNTA(units!$A:$A),MATCH(F$1,units!$1:$1,0)-COLUMN(INDIRECT("character_id"))+1),MATCH(F$1,[2]units!$1:$1,0)-COLUMN(INDIRECT("character_id"))+1,FALSE)</f>
        <v>PremiumSS</v>
      </c>
      <c r="G27" s="183">
        <v>944</v>
      </c>
      <c r="H27" s="21" t="str">
        <f ca="1">VLOOKUP($G27,OFFSET(units!$A$1,0,0,COUNTA(units!$A:$A),MATCH(H$1,units!$1:$1,0)-COLUMN(INDIRECT("character_id"))+1),MATCH(H$1,[2]units!$1:$1,0)-COLUMN(INDIRECT("character_id"))+1,FALSE)</f>
        <v>王敬の執行者 サンソン</v>
      </c>
      <c r="I27" s="183">
        <v>837</v>
      </c>
      <c r="J27" s="21" t="str">
        <f>VLOOKUP(I27,[1]characters!$A:$C,3,FALSE)</f>
        <v>リトルハンプティ</v>
      </c>
      <c r="K27" s="18">
        <v>1</v>
      </c>
      <c r="L27" s="110">
        <v>1</v>
      </c>
      <c r="M27" s="110">
        <v>100</v>
      </c>
    </row>
    <row r="28" spans="1:13" ht="21" customHeight="1" x14ac:dyDescent="0.15">
      <c r="A28" s="64" t="str">
        <f t="shared" si="0"/>
        <v>943_116</v>
      </c>
      <c r="B28" s="43">
        <v>943</v>
      </c>
      <c r="C28" s="182">
        <f t="shared" si="6"/>
        <v>943</v>
      </c>
      <c r="D28" s="21" t="str">
        <f ca="1">VLOOKUP(B28,units!A:B,2)</f>
        <v>サンソン</v>
      </c>
      <c r="E28" s="21">
        <f ca="1">VLOOKUP($B28,OFFSET(units!$A$1,0,0,COUNTA(units!$A:$A),MATCH(E$1,units!$1:$1,0)-COLUMN(INDIRECT("character_id"))+1),MATCH(E$1,[2]units!$1:$1,0)-COLUMN(INDIRECT("character_id"))+1,FALSE)</f>
        <v>5</v>
      </c>
      <c r="F28" s="21" t="str">
        <f ca="1">VLOOKUP($B28,OFFSET(units!$A$1,0,0,COUNTA(units!$A:$A),MATCH(F$1,units!$1:$1,0)-COLUMN(INDIRECT("character_id"))+1),MATCH(F$1,[2]units!$1:$1,0)-COLUMN(INDIRECT("character_id"))+1,FALSE)</f>
        <v>PremiumSS</v>
      </c>
      <c r="G28" s="183">
        <v>944</v>
      </c>
      <c r="H28" s="21" t="str">
        <f ca="1">VLOOKUP($G28,OFFSET(units!$A$1,0,0,COUNTA(units!$A:$A),MATCH(H$1,units!$1:$1,0)-COLUMN(INDIRECT("character_id"))+1),MATCH(H$1,[2]units!$1:$1,0)-COLUMN(INDIRECT("character_id"))+1,FALSE)</f>
        <v>王敬の執行者 サンソン</v>
      </c>
      <c r="I28" s="183">
        <v>116</v>
      </c>
      <c r="J28" s="21" t="str">
        <f>VLOOKUP(I28,[1]characters!$A:$C,3,FALSE)</f>
        <v>雷のマッドハッター</v>
      </c>
      <c r="K28" s="18">
        <v>1</v>
      </c>
      <c r="L28" s="110">
        <v>1</v>
      </c>
      <c r="M28" s="110">
        <v>10</v>
      </c>
    </row>
  </sheetData>
  <sheetProtection selectLockedCells="1" selectUnlockedCells="1"/>
  <autoFilter ref="B1:K1"/>
  <phoneticPr fontId="22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E16" sqref="E16"/>
    </sheetView>
  </sheetViews>
  <sheetFormatPr baseColWidth="12" defaultRowHeight="15" x14ac:dyDescent="0.15"/>
  <sheetData>
    <row r="1" spans="1:2" x14ac:dyDescent="0.15">
      <c r="A1" t="s">
        <v>402</v>
      </c>
      <c r="B1" t="s">
        <v>403</v>
      </c>
    </row>
    <row r="2" spans="1:2" x14ac:dyDescent="0.15">
      <c r="A2" t="s">
        <v>404</v>
      </c>
      <c r="B2">
        <v>1</v>
      </c>
    </row>
    <row r="3" spans="1:2" x14ac:dyDescent="0.15">
      <c r="A3" t="s">
        <v>405</v>
      </c>
      <c r="B3">
        <v>1</v>
      </c>
    </row>
    <row r="4" spans="1:2" x14ac:dyDescent="0.15">
      <c r="A4" t="s">
        <v>406</v>
      </c>
      <c r="B4">
        <v>1</v>
      </c>
    </row>
    <row r="5" spans="1:2" x14ac:dyDescent="0.15">
      <c r="A5" t="s">
        <v>407</v>
      </c>
      <c r="B5">
        <v>1</v>
      </c>
    </row>
    <row r="6" spans="1:2" x14ac:dyDescent="0.15">
      <c r="A6" t="s">
        <v>408</v>
      </c>
      <c r="B6">
        <v>1</v>
      </c>
    </row>
    <row r="7" spans="1:2" x14ac:dyDescent="0.15">
      <c r="A7" t="s">
        <v>409</v>
      </c>
      <c r="B7">
        <v>1</v>
      </c>
    </row>
    <row r="8" spans="1:2" x14ac:dyDescent="0.15">
      <c r="A8" t="s">
        <v>410</v>
      </c>
      <c r="B8">
        <v>1</v>
      </c>
    </row>
    <row r="9" spans="1:2" x14ac:dyDescent="0.15">
      <c r="A9" t="s">
        <v>411</v>
      </c>
      <c r="B9">
        <v>1</v>
      </c>
    </row>
    <row r="10" spans="1:2" x14ac:dyDescent="0.15">
      <c r="A10" t="s">
        <v>412</v>
      </c>
      <c r="B10">
        <v>1</v>
      </c>
    </row>
    <row r="11" spans="1:2" x14ac:dyDescent="0.15">
      <c r="A11" t="s">
        <v>413</v>
      </c>
      <c r="B11">
        <v>1</v>
      </c>
    </row>
    <row r="12" spans="1:2" x14ac:dyDescent="0.15">
      <c r="A12" t="s">
        <v>414</v>
      </c>
      <c r="B12">
        <v>1</v>
      </c>
    </row>
    <row r="13" spans="1:2" x14ac:dyDescent="0.15">
      <c r="A13" t="s">
        <v>415</v>
      </c>
      <c r="B13">
        <v>0</v>
      </c>
    </row>
    <row r="14" spans="1:2" x14ac:dyDescent="0.15">
      <c r="A14" t="s">
        <v>416</v>
      </c>
      <c r="B14">
        <v>500</v>
      </c>
    </row>
    <row r="15" spans="1:2" x14ac:dyDescent="0.15">
      <c r="A15" t="s">
        <v>417</v>
      </c>
      <c r="B15">
        <v>600</v>
      </c>
    </row>
    <row r="16" spans="1:2" x14ac:dyDescent="0.15">
      <c r="A16" t="s">
        <v>418</v>
      </c>
      <c r="B16">
        <v>700</v>
      </c>
    </row>
    <row r="17" spans="1:2" x14ac:dyDescent="0.15">
      <c r="A17" t="s">
        <v>419</v>
      </c>
      <c r="B17">
        <v>5500</v>
      </c>
    </row>
    <row r="18" spans="1:2" x14ac:dyDescent="0.15">
      <c r="A18" t="s">
        <v>420</v>
      </c>
      <c r="B18">
        <v>6000</v>
      </c>
    </row>
    <row r="19" spans="1:2" x14ac:dyDescent="0.15">
      <c r="A19" t="s">
        <v>421</v>
      </c>
      <c r="B19">
        <v>30000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228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2" t="s">
        <v>229</v>
      </c>
      <c r="B2" s="143"/>
      <c r="C2" s="144"/>
      <c r="D2" s="145" t="s">
        <v>230</v>
      </c>
      <c r="E2" s="145">
        <v>30</v>
      </c>
      <c r="F2" s="145">
        <v>40</v>
      </c>
      <c r="G2" s="145">
        <f>15+F2</f>
        <v>55</v>
      </c>
      <c r="H2" s="144"/>
      <c r="I2" s="144"/>
    </row>
    <row r="3" spans="1:9" s="4" customFormat="1" ht="21" customHeight="1" x14ac:dyDescent="0.15">
      <c r="A3" s="142" t="s">
        <v>231</v>
      </c>
      <c r="B3" s="146"/>
      <c r="C3" s="147"/>
      <c r="D3" s="148" t="s">
        <v>230</v>
      </c>
      <c r="E3" s="148">
        <v>25</v>
      </c>
      <c r="F3" s="148">
        <v>35</v>
      </c>
      <c r="G3" s="145">
        <f t="shared" ref="G3:G4" si="0">15+F3</f>
        <v>50</v>
      </c>
      <c r="H3" s="147"/>
      <c r="I3" s="147"/>
    </row>
    <row r="4" spans="1:9" s="4" customFormat="1" ht="21" customHeight="1" x14ac:dyDescent="0.15">
      <c r="A4" s="142" t="s">
        <v>232</v>
      </c>
      <c r="B4" s="149"/>
      <c r="C4" s="150"/>
      <c r="D4" s="151">
        <v>10</v>
      </c>
      <c r="E4" s="151">
        <v>20</v>
      </c>
      <c r="F4" s="151">
        <v>30</v>
      </c>
      <c r="G4" s="151">
        <f t="shared" si="0"/>
        <v>45</v>
      </c>
      <c r="H4" s="150"/>
      <c r="I4" s="150"/>
    </row>
    <row r="5" spans="1:9" s="4" customFormat="1" ht="21" customHeight="1" x14ac:dyDescent="0.15">
      <c r="A5" s="161" t="s">
        <v>233</v>
      </c>
      <c r="B5" s="156"/>
      <c r="C5" s="157"/>
      <c r="D5" s="29">
        <v>9</v>
      </c>
      <c r="E5" s="29">
        <v>18</v>
      </c>
      <c r="F5" s="29">
        <v>28</v>
      </c>
      <c r="G5" s="39">
        <v>38</v>
      </c>
      <c r="H5" s="157"/>
      <c r="I5" s="157"/>
    </row>
    <row r="6" spans="1:9" s="4" customFormat="1" ht="21" customHeight="1" x14ac:dyDescent="0.15">
      <c r="A6" s="161" t="s">
        <v>234</v>
      </c>
      <c r="B6" s="156"/>
      <c r="C6" s="157"/>
      <c r="D6" s="29">
        <v>7</v>
      </c>
      <c r="E6" s="29">
        <v>16</v>
      </c>
      <c r="F6" s="67" t="s">
        <v>11</v>
      </c>
      <c r="G6" s="67" t="s">
        <v>11</v>
      </c>
      <c r="H6" s="157"/>
      <c r="I6" s="157"/>
    </row>
    <row r="7" spans="1:9" ht="21" customHeight="1" x14ac:dyDescent="0.15">
      <c r="A7" s="72" t="s">
        <v>235</v>
      </c>
      <c r="B7" s="46" t="s">
        <v>11</v>
      </c>
      <c r="C7" s="46" t="s">
        <v>11</v>
      </c>
      <c r="D7" s="39" t="s">
        <v>230</v>
      </c>
      <c r="E7" s="39" t="s">
        <v>230</v>
      </c>
      <c r="F7" s="39" t="s">
        <v>230</v>
      </c>
      <c r="G7" s="39" t="s">
        <v>230</v>
      </c>
      <c r="H7" s="39" t="s">
        <v>230</v>
      </c>
      <c r="I7" s="39" t="s">
        <v>230</v>
      </c>
    </row>
    <row r="8" spans="1:9" ht="21" customHeight="1" x14ac:dyDescent="0.15">
      <c r="A8" s="73" t="s">
        <v>236</v>
      </c>
      <c r="B8" s="46" t="s">
        <v>11</v>
      </c>
      <c r="C8" s="46" t="s">
        <v>11</v>
      </c>
      <c r="D8" s="39" t="s">
        <v>230</v>
      </c>
      <c r="E8" s="39">
        <v>30</v>
      </c>
      <c r="F8" s="39">
        <v>40</v>
      </c>
      <c r="G8" s="39">
        <f>15+F8</f>
        <v>55</v>
      </c>
      <c r="H8" s="39" t="s">
        <v>230</v>
      </c>
      <c r="I8" s="39" t="s">
        <v>230</v>
      </c>
    </row>
    <row r="9" spans="1:9" s="45" customFormat="1" ht="21" customHeight="1" x14ac:dyDescent="0.15">
      <c r="A9" s="74" t="s">
        <v>237</v>
      </c>
      <c r="B9" s="29" t="s">
        <v>11</v>
      </c>
      <c r="C9" s="29" t="s">
        <v>11</v>
      </c>
      <c r="D9" s="104" t="s">
        <v>230</v>
      </c>
      <c r="E9" s="104">
        <v>25</v>
      </c>
      <c r="F9" s="104">
        <v>35</v>
      </c>
      <c r="G9" s="39">
        <f t="shared" ref="G9:G10" si="1">15+F9</f>
        <v>50</v>
      </c>
      <c r="H9" s="104" t="s">
        <v>230</v>
      </c>
      <c r="I9" s="104" t="s">
        <v>230</v>
      </c>
    </row>
    <row r="10" spans="1:9" ht="21" customHeight="1" x14ac:dyDescent="0.15">
      <c r="A10" s="74" t="s">
        <v>9</v>
      </c>
      <c r="B10" s="67" t="s">
        <v>11</v>
      </c>
      <c r="C10" s="67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7" t="s">
        <v>11</v>
      </c>
      <c r="I10" s="67" t="s">
        <v>11</v>
      </c>
    </row>
    <row r="11" spans="1:9" ht="21" customHeight="1" x14ac:dyDescent="0.15">
      <c r="A11" s="74" t="s">
        <v>238</v>
      </c>
      <c r="B11" s="67" t="s">
        <v>11</v>
      </c>
      <c r="C11" s="67" t="s">
        <v>11</v>
      </c>
      <c r="D11" s="29">
        <v>9</v>
      </c>
      <c r="E11" s="29">
        <v>18</v>
      </c>
      <c r="F11" s="29">
        <v>28</v>
      </c>
      <c r="G11" s="39">
        <v>38</v>
      </c>
      <c r="H11" s="67" t="s">
        <v>11</v>
      </c>
      <c r="I11" s="67" t="s">
        <v>11</v>
      </c>
    </row>
    <row r="12" spans="1:9" ht="21" customHeight="1" x14ac:dyDescent="0.15">
      <c r="A12" s="74" t="s">
        <v>239</v>
      </c>
      <c r="B12" s="67" t="s">
        <v>11</v>
      </c>
      <c r="C12" s="67" t="s">
        <v>11</v>
      </c>
      <c r="D12" s="29">
        <v>7</v>
      </c>
      <c r="E12" s="29">
        <v>16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103" t="s">
        <v>240</v>
      </c>
      <c r="B13" s="67" t="s">
        <v>11</v>
      </c>
      <c r="C13" s="67" t="s">
        <v>11</v>
      </c>
      <c r="D13" s="29">
        <v>8</v>
      </c>
      <c r="E13" s="29">
        <v>17</v>
      </c>
      <c r="F13" s="29">
        <v>26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4" t="s">
        <v>241</v>
      </c>
      <c r="B14" s="67" t="s">
        <v>11</v>
      </c>
      <c r="C14" s="67" t="s">
        <v>11</v>
      </c>
      <c r="D14" s="29">
        <v>8</v>
      </c>
      <c r="E14" s="29">
        <v>17</v>
      </c>
      <c r="F14" s="29">
        <v>26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242</v>
      </c>
      <c r="B15" s="67" t="s">
        <v>11</v>
      </c>
      <c r="C15" s="67" t="s">
        <v>11</v>
      </c>
      <c r="D15" s="29">
        <v>6</v>
      </c>
      <c r="E15" s="29">
        <v>14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243</v>
      </c>
      <c r="B16" s="67" t="s">
        <v>11</v>
      </c>
      <c r="C16" s="29">
        <v>4</v>
      </c>
      <c r="D16" s="29">
        <v>6</v>
      </c>
      <c r="E16" s="29">
        <v>14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8</v>
      </c>
      <c r="B17" s="29">
        <v>2</v>
      </c>
      <c r="C17" s="29">
        <v>4</v>
      </c>
      <c r="D17" s="29">
        <v>6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5" t="s">
        <v>7</v>
      </c>
      <c r="B18" s="32">
        <v>1</v>
      </c>
      <c r="C18" s="32">
        <v>2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244</v>
      </c>
      <c r="B19" s="27">
        <v>1</v>
      </c>
      <c r="C19" s="27">
        <v>1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8" t="s">
        <v>245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2" t="s">
        <v>229</v>
      </c>
      <c r="B2" s="158"/>
      <c r="C2" s="144"/>
      <c r="D2" s="152" t="s">
        <v>106</v>
      </c>
      <c r="E2" s="152">
        <v>60</v>
      </c>
      <c r="F2" s="152">
        <v>80</v>
      </c>
      <c r="G2" s="152">
        <v>99</v>
      </c>
      <c r="H2" s="144"/>
      <c r="I2" s="144"/>
    </row>
    <row r="3" spans="1:9" s="4" customFormat="1" ht="21" customHeight="1" x14ac:dyDescent="0.15">
      <c r="A3" s="142" t="s">
        <v>231</v>
      </c>
      <c r="B3" s="159"/>
      <c r="C3" s="147"/>
      <c r="D3" s="152" t="s">
        <v>106</v>
      </c>
      <c r="E3" s="152">
        <v>60</v>
      </c>
      <c r="F3" s="152">
        <v>80</v>
      </c>
      <c r="G3" s="152">
        <v>99</v>
      </c>
      <c r="H3" s="147"/>
      <c r="I3" s="147"/>
    </row>
    <row r="4" spans="1:9" s="4" customFormat="1" ht="21" customHeight="1" x14ac:dyDescent="0.15">
      <c r="A4" s="142" t="s">
        <v>225</v>
      </c>
      <c r="B4" s="160"/>
      <c r="C4" s="150"/>
      <c r="D4" s="152">
        <v>40</v>
      </c>
      <c r="E4" s="152">
        <v>60</v>
      </c>
      <c r="F4" s="152">
        <v>80</v>
      </c>
      <c r="G4" s="152">
        <v>99</v>
      </c>
      <c r="H4" s="150"/>
      <c r="I4" s="150"/>
    </row>
    <row r="5" spans="1:9" s="4" customFormat="1" ht="21" customHeight="1" x14ac:dyDescent="0.15">
      <c r="A5" s="161" t="s">
        <v>233</v>
      </c>
      <c r="B5" s="156"/>
      <c r="C5" s="157"/>
      <c r="D5" s="152">
        <v>40</v>
      </c>
      <c r="E5" s="152">
        <v>60</v>
      </c>
      <c r="F5" s="152">
        <v>80</v>
      </c>
      <c r="G5" s="152">
        <v>99</v>
      </c>
      <c r="H5" s="157"/>
      <c r="I5" s="157"/>
    </row>
    <row r="6" spans="1:9" s="4" customFormat="1" ht="21" customHeight="1" x14ac:dyDescent="0.15">
      <c r="A6" s="161" t="s">
        <v>234</v>
      </c>
      <c r="B6" s="156"/>
      <c r="C6" s="157"/>
      <c r="D6" s="152">
        <v>40</v>
      </c>
      <c r="E6" s="152">
        <v>60</v>
      </c>
      <c r="F6" s="152" t="s">
        <v>106</v>
      </c>
      <c r="G6" s="152" t="s">
        <v>106</v>
      </c>
      <c r="H6" s="157"/>
      <c r="I6" s="157"/>
    </row>
    <row r="7" spans="1:9" ht="21" customHeight="1" x14ac:dyDescent="0.15">
      <c r="A7" s="72" t="s">
        <v>201</v>
      </c>
      <c r="B7" s="40" t="s">
        <v>106</v>
      </c>
      <c r="C7" s="40" t="s">
        <v>106</v>
      </c>
      <c r="D7" s="40" t="s">
        <v>106</v>
      </c>
      <c r="E7" s="40" t="s">
        <v>106</v>
      </c>
      <c r="F7" s="40" t="s">
        <v>106</v>
      </c>
      <c r="G7" s="40" t="s">
        <v>106</v>
      </c>
      <c r="H7" s="40" t="s">
        <v>106</v>
      </c>
      <c r="I7" s="40" t="s">
        <v>106</v>
      </c>
    </row>
    <row r="8" spans="1:9" ht="21" customHeight="1" x14ac:dyDescent="0.15">
      <c r="A8" s="73" t="s">
        <v>236</v>
      </c>
      <c r="B8" s="40" t="s">
        <v>106</v>
      </c>
      <c r="C8" s="40" t="s">
        <v>106</v>
      </c>
      <c r="D8" s="40" t="s">
        <v>106</v>
      </c>
      <c r="E8" s="40">
        <v>60</v>
      </c>
      <c r="F8" s="40">
        <v>80</v>
      </c>
      <c r="G8" s="40">
        <v>99</v>
      </c>
      <c r="H8" s="40" t="s">
        <v>106</v>
      </c>
      <c r="I8" s="40" t="s">
        <v>106</v>
      </c>
    </row>
    <row r="9" spans="1:9" s="45" customFormat="1" ht="21" customHeight="1" x14ac:dyDescent="0.15">
      <c r="A9" s="74" t="s">
        <v>237</v>
      </c>
      <c r="B9" s="65" t="s">
        <v>106</v>
      </c>
      <c r="C9" s="65" t="s">
        <v>106</v>
      </c>
      <c r="D9" s="65" t="s">
        <v>106</v>
      </c>
      <c r="E9" s="65">
        <v>60</v>
      </c>
      <c r="F9" s="65">
        <v>80</v>
      </c>
      <c r="G9" s="65">
        <v>99</v>
      </c>
      <c r="H9" s="65" t="s">
        <v>106</v>
      </c>
      <c r="I9" s="65" t="s">
        <v>106</v>
      </c>
    </row>
    <row r="10" spans="1:9" ht="21" customHeight="1" x14ac:dyDescent="0.15">
      <c r="A10" s="74" t="s">
        <v>9</v>
      </c>
      <c r="B10" s="69" t="s">
        <v>106</v>
      </c>
      <c r="C10" s="69" t="s">
        <v>106</v>
      </c>
      <c r="D10" s="37">
        <v>40</v>
      </c>
      <c r="E10" s="37">
        <v>60</v>
      </c>
      <c r="F10" s="37">
        <v>80</v>
      </c>
      <c r="G10" s="40">
        <v>99</v>
      </c>
      <c r="H10" s="69" t="s">
        <v>106</v>
      </c>
      <c r="I10" s="69" t="s">
        <v>106</v>
      </c>
    </row>
    <row r="11" spans="1:9" ht="21" customHeight="1" x14ac:dyDescent="0.15">
      <c r="A11" s="74" t="s">
        <v>204</v>
      </c>
      <c r="B11" s="69" t="s">
        <v>106</v>
      </c>
      <c r="C11" s="69" t="s">
        <v>106</v>
      </c>
      <c r="D11" s="37">
        <v>40</v>
      </c>
      <c r="E11" s="37">
        <v>60</v>
      </c>
      <c r="F11" s="37">
        <v>80</v>
      </c>
      <c r="G11" s="65">
        <v>99</v>
      </c>
      <c r="H11" s="69" t="s">
        <v>106</v>
      </c>
      <c r="I11" s="69" t="s">
        <v>106</v>
      </c>
    </row>
    <row r="12" spans="1:9" ht="21" customHeight="1" x14ac:dyDescent="0.15">
      <c r="A12" s="74" t="s">
        <v>200</v>
      </c>
      <c r="B12" s="69" t="s">
        <v>106</v>
      </c>
      <c r="C12" s="69" t="s">
        <v>106</v>
      </c>
      <c r="D12" s="37">
        <v>40</v>
      </c>
      <c r="E12" s="37">
        <v>60</v>
      </c>
      <c r="F12" s="69" t="s">
        <v>106</v>
      </c>
      <c r="G12" s="69" t="s">
        <v>106</v>
      </c>
      <c r="H12" s="69" t="s">
        <v>106</v>
      </c>
      <c r="I12" s="69" t="s">
        <v>106</v>
      </c>
    </row>
    <row r="13" spans="1:9" ht="21" customHeight="1" x14ac:dyDescent="0.15">
      <c r="A13" s="103" t="s">
        <v>240</v>
      </c>
      <c r="B13" s="69" t="s">
        <v>106</v>
      </c>
      <c r="C13" s="69" t="s">
        <v>106</v>
      </c>
      <c r="D13" s="37">
        <v>40</v>
      </c>
      <c r="E13" s="37">
        <v>60</v>
      </c>
      <c r="F13" s="37">
        <v>80</v>
      </c>
      <c r="G13" s="69" t="s">
        <v>106</v>
      </c>
      <c r="H13" s="69" t="s">
        <v>106</v>
      </c>
      <c r="I13" s="69" t="s">
        <v>106</v>
      </c>
    </row>
    <row r="14" spans="1:9" ht="21" customHeight="1" x14ac:dyDescent="0.15">
      <c r="A14" s="74" t="s">
        <v>241</v>
      </c>
      <c r="B14" s="69" t="s">
        <v>106</v>
      </c>
      <c r="C14" s="69" t="s">
        <v>106</v>
      </c>
      <c r="D14" s="37">
        <v>40</v>
      </c>
      <c r="E14" s="37">
        <v>60</v>
      </c>
      <c r="F14" s="37">
        <v>80</v>
      </c>
      <c r="G14" s="69" t="s">
        <v>106</v>
      </c>
      <c r="H14" s="69" t="s">
        <v>106</v>
      </c>
      <c r="I14" s="69" t="s">
        <v>106</v>
      </c>
    </row>
    <row r="15" spans="1:9" ht="21" customHeight="1" x14ac:dyDescent="0.15">
      <c r="A15" s="74" t="s">
        <v>102</v>
      </c>
      <c r="B15" s="69" t="s">
        <v>106</v>
      </c>
      <c r="C15" s="37">
        <v>30</v>
      </c>
      <c r="D15" s="37">
        <v>40</v>
      </c>
      <c r="E15" s="37">
        <v>60</v>
      </c>
      <c r="F15" s="69" t="s">
        <v>106</v>
      </c>
      <c r="G15" s="69" t="s">
        <v>106</v>
      </c>
      <c r="H15" s="69" t="s">
        <v>106</v>
      </c>
      <c r="I15" s="69" t="s">
        <v>106</v>
      </c>
    </row>
    <row r="16" spans="1:9" ht="21" customHeight="1" x14ac:dyDescent="0.15">
      <c r="A16" s="74" t="s">
        <v>243</v>
      </c>
      <c r="B16" s="69" t="s">
        <v>106</v>
      </c>
      <c r="C16" s="37">
        <v>30</v>
      </c>
      <c r="D16" s="37">
        <v>40</v>
      </c>
      <c r="E16" s="37">
        <v>60</v>
      </c>
      <c r="F16" s="69" t="s">
        <v>106</v>
      </c>
      <c r="G16" s="69" t="s">
        <v>106</v>
      </c>
      <c r="H16" s="69" t="s">
        <v>106</v>
      </c>
      <c r="I16" s="69" t="s">
        <v>106</v>
      </c>
    </row>
    <row r="17" spans="1:9" ht="21" customHeight="1" x14ac:dyDescent="0.15">
      <c r="A17" s="74" t="s">
        <v>8</v>
      </c>
      <c r="B17" s="37">
        <v>15</v>
      </c>
      <c r="C17" s="37">
        <v>30</v>
      </c>
      <c r="D17" s="37">
        <v>40</v>
      </c>
      <c r="E17" s="69" t="s">
        <v>106</v>
      </c>
      <c r="F17" s="69" t="s">
        <v>106</v>
      </c>
      <c r="G17" s="69" t="s">
        <v>106</v>
      </c>
      <c r="H17" s="69" t="s">
        <v>106</v>
      </c>
      <c r="I17" s="69" t="s">
        <v>106</v>
      </c>
    </row>
    <row r="18" spans="1:9" ht="21" customHeight="1" x14ac:dyDescent="0.15">
      <c r="A18" s="75" t="s">
        <v>7</v>
      </c>
      <c r="B18" s="37">
        <v>15</v>
      </c>
      <c r="C18" s="37">
        <v>30</v>
      </c>
      <c r="D18" s="37">
        <v>40</v>
      </c>
      <c r="E18" s="69" t="s">
        <v>210</v>
      </c>
      <c r="F18" s="69" t="s">
        <v>210</v>
      </c>
      <c r="G18" s="69" t="s">
        <v>210</v>
      </c>
      <c r="H18" s="69" t="s">
        <v>210</v>
      </c>
      <c r="I18" s="69" t="s">
        <v>210</v>
      </c>
    </row>
    <row r="19" spans="1:9" ht="21" customHeight="1" x14ac:dyDescent="0.15">
      <c r="A19" s="76" t="s">
        <v>244</v>
      </c>
      <c r="B19" s="37">
        <v>10</v>
      </c>
      <c r="C19" s="37">
        <v>20</v>
      </c>
      <c r="D19" s="69" t="s">
        <v>210</v>
      </c>
      <c r="E19" s="69" t="s">
        <v>210</v>
      </c>
      <c r="F19" s="69" t="s">
        <v>210</v>
      </c>
      <c r="G19" s="69" t="s">
        <v>210</v>
      </c>
      <c r="H19" s="69" t="s">
        <v>210</v>
      </c>
      <c r="I19" s="69" t="s">
        <v>210</v>
      </c>
    </row>
    <row r="20" spans="1:9" ht="21" customHeight="1" x14ac:dyDescent="0.15">
      <c r="A20" s="38" t="s">
        <v>245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8" t="s">
        <v>10</v>
      </c>
      <c r="B1" s="49">
        <v>1</v>
      </c>
      <c r="C1" s="49">
        <v>2</v>
      </c>
      <c r="D1" s="49">
        <v>3</v>
      </c>
      <c r="E1" s="49">
        <v>4</v>
      </c>
      <c r="F1" s="49">
        <v>5</v>
      </c>
      <c r="G1" s="49">
        <v>6</v>
      </c>
      <c r="H1" s="49">
        <v>7</v>
      </c>
      <c r="I1" s="49">
        <v>8</v>
      </c>
    </row>
    <row r="2" spans="1:11" s="4" customFormat="1" ht="21" customHeight="1" x14ac:dyDescent="0.15">
      <c r="A2" s="142" t="s">
        <v>229</v>
      </c>
      <c r="B2" s="143"/>
      <c r="C2" s="144"/>
      <c r="D2" s="152" t="s">
        <v>106</v>
      </c>
      <c r="E2" s="153" t="s">
        <v>57</v>
      </c>
      <c r="F2" s="153" t="s">
        <v>57</v>
      </c>
      <c r="G2" s="153" t="s">
        <v>246</v>
      </c>
      <c r="H2" s="144"/>
      <c r="I2" s="144"/>
    </row>
    <row r="3" spans="1:11" s="4" customFormat="1" ht="21" customHeight="1" x14ac:dyDescent="0.15">
      <c r="A3" s="142" t="s">
        <v>231</v>
      </c>
      <c r="B3" s="146"/>
      <c r="C3" s="147"/>
      <c r="D3" s="153" t="s">
        <v>57</v>
      </c>
      <c r="E3" s="153" t="s">
        <v>57</v>
      </c>
      <c r="F3" s="153" t="s">
        <v>57</v>
      </c>
      <c r="G3" s="153" t="s">
        <v>224</v>
      </c>
      <c r="H3" s="147"/>
      <c r="I3" s="147"/>
    </row>
    <row r="4" spans="1:11" s="4" customFormat="1" ht="21" customHeight="1" x14ac:dyDescent="0.15">
      <c r="A4" s="142" t="s">
        <v>225</v>
      </c>
      <c r="B4" s="149"/>
      <c r="C4" s="150"/>
      <c r="D4" s="154" t="s">
        <v>57</v>
      </c>
      <c r="E4" s="154" t="s">
        <v>57</v>
      </c>
      <c r="F4" s="154" t="s">
        <v>57</v>
      </c>
      <c r="G4" s="153" t="s">
        <v>224</v>
      </c>
      <c r="H4" s="150"/>
      <c r="I4" s="150"/>
    </row>
    <row r="5" spans="1:11" s="4" customFormat="1" ht="21" customHeight="1" x14ac:dyDescent="0.15">
      <c r="A5" s="161" t="s">
        <v>233</v>
      </c>
      <c r="B5" s="156"/>
      <c r="C5" s="157"/>
      <c r="D5" s="154" t="s">
        <v>57</v>
      </c>
      <c r="E5" s="154" t="s">
        <v>57</v>
      </c>
      <c r="F5" s="154" t="s">
        <v>57</v>
      </c>
      <c r="G5" s="153" t="s">
        <v>214</v>
      </c>
      <c r="H5" s="157"/>
      <c r="I5" s="157"/>
    </row>
    <row r="6" spans="1:11" s="4" customFormat="1" ht="21" customHeight="1" x14ac:dyDescent="0.15">
      <c r="A6" s="161" t="s">
        <v>234</v>
      </c>
      <c r="B6" s="156"/>
      <c r="C6" s="157"/>
      <c r="D6" s="162" t="s">
        <v>58</v>
      </c>
      <c r="E6" s="162" t="s">
        <v>58</v>
      </c>
      <c r="F6" s="152" t="s">
        <v>106</v>
      </c>
      <c r="G6" s="152" t="s">
        <v>106</v>
      </c>
      <c r="H6" s="157"/>
      <c r="I6" s="157"/>
    </row>
    <row r="7" spans="1:11" ht="21" customHeight="1" x14ac:dyDescent="0.15">
      <c r="A7" s="72" t="s">
        <v>201</v>
      </c>
      <c r="B7" s="40" t="s">
        <v>106</v>
      </c>
      <c r="C7" s="40" t="s">
        <v>106</v>
      </c>
      <c r="D7" s="40" t="s">
        <v>106</v>
      </c>
      <c r="E7" s="40" t="s">
        <v>106</v>
      </c>
      <c r="F7" s="40" t="s">
        <v>106</v>
      </c>
      <c r="G7" s="40" t="s">
        <v>106</v>
      </c>
      <c r="H7" s="40" t="s">
        <v>106</v>
      </c>
      <c r="I7" s="40" t="s">
        <v>106</v>
      </c>
    </row>
    <row r="8" spans="1:11" ht="21" customHeight="1" x14ac:dyDescent="0.15">
      <c r="A8" s="73" t="s">
        <v>236</v>
      </c>
      <c r="B8" s="40" t="s">
        <v>106</v>
      </c>
      <c r="C8" s="40" t="s">
        <v>106</v>
      </c>
      <c r="D8" s="40" t="s">
        <v>211</v>
      </c>
      <c r="E8" s="51" t="s">
        <v>112</v>
      </c>
      <c r="F8" s="51" t="s">
        <v>112</v>
      </c>
      <c r="G8" s="51" t="s">
        <v>212</v>
      </c>
      <c r="H8" s="40" t="s">
        <v>211</v>
      </c>
      <c r="I8" s="40" t="s">
        <v>106</v>
      </c>
    </row>
    <row r="9" spans="1:11" s="45" customFormat="1" ht="21" customHeight="1" x14ac:dyDescent="0.15">
      <c r="A9" s="74" t="s">
        <v>237</v>
      </c>
      <c r="B9" s="65" t="s">
        <v>106</v>
      </c>
      <c r="C9" s="65" t="s">
        <v>106</v>
      </c>
      <c r="D9" s="65" t="s">
        <v>106</v>
      </c>
      <c r="E9" s="51" t="s">
        <v>57</v>
      </c>
      <c r="F9" s="51" t="s">
        <v>57</v>
      </c>
      <c r="G9" s="51" t="s">
        <v>112</v>
      </c>
      <c r="H9" s="65" t="s">
        <v>213</v>
      </c>
      <c r="I9" s="65" t="s">
        <v>213</v>
      </c>
    </row>
    <row r="10" spans="1:11" ht="21" customHeight="1" x14ac:dyDescent="0.15">
      <c r="A10" s="74" t="s">
        <v>9</v>
      </c>
      <c r="B10" s="69" t="s">
        <v>106</v>
      </c>
      <c r="C10" s="69" t="s">
        <v>106</v>
      </c>
      <c r="D10" s="51" t="s">
        <v>57</v>
      </c>
      <c r="E10" s="51" t="s">
        <v>57</v>
      </c>
      <c r="F10" s="51" t="s">
        <v>57</v>
      </c>
      <c r="G10" s="51" t="s">
        <v>214</v>
      </c>
      <c r="H10" s="69" t="s">
        <v>213</v>
      </c>
      <c r="I10" s="69" t="s">
        <v>213</v>
      </c>
      <c r="K10" s="28" t="s">
        <v>12</v>
      </c>
    </row>
    <row r="11" spans="1:11" ht="21" customHeight="1" x14ac:dyDescent="0.15">
      <c r="A11" s="74" t="s">
        <v>204</v>
      </c>
      <c r="B11" s="69" t="s">
        <v>106</v>
      </c>
      <c r="C11" s="69" t="s">
        <v>106</v>
      </c>
      <c r="D11" s="52" t="s">
        <v>57</v>
      </c>
      <c r="E11" s="52" t="s">
        <v>57</v>
      </c>
      <c r="F11" s="52" t="s">
        <v>57</v>
      </c>
      <c r="G11" s="51" t="s">
        <v>214</v>
      </c>
      <c r="H11" s="69" t="s">
        <v>213</v>
      </c>
      <c r="I11" s="69" t="s">
        <v>213</v>
      </c>
      <c r="K11" s="30" t="s">
        <v>13</v>
      </c>
    </row>
    <row r="12" spans="1:11" ht="21" customHeight="1" x14ac:dyDescent="0.15">
      <c r="A12" s="74" t="s">
        <v>200</v>
      </c>
      <c r="B12" s="69" t="s">
        <v>106</v>
      </c>
      <c r="C12" s="69" t="s">
        <v>106</v>
      </c>
      <c r="D12" s="53" t="s">
        <v>58</v>
      </c>
      <c r="E12" s="53" t="s">
        <v>58</v>
      </c>
      <c r="F12" s="69" t="s">
        <v>106</v>
      </c>
      <c r="G12" s="69" t="s">
        <v>106</v>
      </c>
      <c r="H12" s="69" t="s">
        <v>106</v>
      </c>
      <c r="I12" s="69" t="s">
        <v>106</v>
      </c>
      <c r="K12" s="70" t="s">
        <v>35</v>
      </c>
    </row>
    <row r="13" spans="1:11" ht="21" customHeight="1" x14ac:dyDescent="0.15">
      <c r="A13" s="103" t="s">
        <v>240</v>
      </c>
      <c r="B13" s="69" t="s">
        <v>106</v>
      </c>
      <c r="C13" s="69" t="s">
        <v>106</v>
      </c>
      <c r="D13" s="54" t="s">
        <v>57</v>
      </c>
      <c r="E13" s="54" t="s">
        <v>57</v>
      </c>
      <c r="F13" s="54" t="s">
        <v>57</v>
      </c>
      <c r="G13" s="69" t="s">
        <v>106</v>
      </c>
      <c r="H13" s="69" t="s">
        <v>106</v>
      </c>
      <c r="I13" s="69" t="s">
        <v>106</v>
      </c>
      <c r="K13" s="71"/>
    </row>
    <row r="14" spans="1:11" ht="21" customHeight="1" x14ac:dyDescent="0.15">
      <c r="A14" s="74" t="s">
        <v>241</v>
      </c>
      <c r="B14" s="69" t="s">
        <v>106</v>
      </c>
      <c r="C14" s="69" t="s">
        <v>106</v>
      </c>
      <c r="D14" s="54" t="s">
        <v>57</v>
      </c>
      <c r="E14" s="54" t="s">
        <v>57</v>
      </c>
      <c r="F14" s="54" t="s">
        <v>57</v>
      </c>
      <c r="G14" s="69" t="s">
        <v>106</v>
      </c>
      <c r="H14" s="69" t="s">
        <v>106</v>
      </c>
      <c r="I14" s="69" t="s">
        <v>106</v>
      </c>
    </row>
    <row r="15" spans="1:11" ht="21" customHeight="1" x14ac:dyDescent="0.15">
      <c r="A15" s="74" t="s">
        <v>102</v>
      </c>
      <c r="B15" s="69" t="s">
        <v>106</v>
      </c>
      <c r="C15" s="69" t="s">
        <v>106</v>
      </c>
      <c r="D15" s="54" t="s">
        <v>58</v>
      </c>
      <c r="E15" s="54" t="s">
        <v>58</v>
      </c>
      <c r="F15" s="69" t="s">
        <v>106</v>
      </c>
      <c r="G15" s="69" t="s">
        <v>106</v>
      </c>
      <c r="H15" s="69" t="s">
        <v>106</v>
      </c>
      <c r="I15" s="69" t="s">
        <v>106</v>
      </c>
    </row>
    <row r="16" spans="1:11" ht="21" customHeight="1" x14ac:dyDescent="0.15">
      <c r="A16" s="74" t="s">
        <v>243</v>
      </c>
      <c r="B16" s="69" t="s">
        <v>106</v>
      </c>
      <c r="C16" s="54" t="s">
        <v>58</v>
      </c>
      <c r="D16" s="54" t="s">
        <v>58</v>
      </c>
      <c r="E16" s="54" t="s">
        <v>58</v>
      </c>
      <c r="F16" s="69" t="s">
        <v>106</v>
      </c>
      <c r="G16" s="69" t="s">
        <v>106</v>
      </c>
      <c r="H16" s="69" t="s">
        <v>106</v>
      </c>
      <c r="I16" s="69" t="s">
        <v>106</v>
      </c>
    </row>
    <row r="17" spans="1:9" ht="21" customHeight="1" x14ac:dyDescent="0.15">
      <c r="A17" s="74" t="s">
        <v>8</v>
      </c>
      <c r="B17" s="55" t="s">
        <v>59</v>
      </c>
      <c r="C17" s="55" t="s">
        <v>59</v>
      </c>
      <c r="D17" s="55" t="s">
        <v>59</v>
      </c>
      <c r="E17" s="69" t="s">
        <v>106</v>
      </c>
      <c r="F17" s="69" t="s">
        <v>106</v>
      </c>
      <c r="G17" s="69" t="s">
        <v>106</v>
      </c>
      <c r="H17" s="69" t="s">
        <v>106</v>
      </c>
      <c r="I17" s="69" t="s">
        <v>106</v>
      </c>
    </row>
    <row r="18" spans="1:9" ht="21" customHeight="1" x14ac:dyDescent="0.15">
      <c r="A18" s="75" t="s">
        <v>7</v>
      </c>
      <c r="B18" s="50" t="s">
        <v>60</v>
      </c>
      <c r="C18" s="50" t="s">
        <v>60</v>
      </c>
      <c r="D18" s="69" t="s">
        <v>106</v>
      </c>
      <c r="E18" s="69" t="s">
        <v>106</v>
      </c>
      <c r="F18" s="69" t="s">
        <v>106</v>
      </c>
      <c r="G18" s="69" t="s">
        <v>106</v>
      </c>
      <c r="H18" s="69" t="s">
        <v>106</v>
      </c>
      <c r="I18" s="69" t="s">
        <v>106</v>
      </c>
    </row>
    <row r="19" spans="1:9" ht="21" customHeight="1" x14ac:dyDescent="0.15">
      <c r="A19" s="76" t="s">
        <v>244</v>
      </c>
      <c r="B19" s="52" t="s">
        <v>61</v>
      </c>
      <c r="C19" s="52" t="s">
        <v>61</v>
      </c>
      <c r="D19" s="69" t="s">
        <v>106</v>
      </c>
      <c r="E19" s="69" t="s">
        <v>106</v>
      </c>
      <c r="F19" s="69" t="s">
        <v>106</v>
      </c>
      <c r="G19" s="69" t="s">
        <v>106</v>
      </c>
      <c r="H19" s="69" t="s">
        <v>106</v>
      </c>
      <c r="I19" s="69" t="s">
        <v>106</v>
      </c>
    </row>
    <row r="20" spans="1:9" ht="21" customHeight="1" x14ac:dyDescent="0.15">
      <c r="A20" s="38" t="s">
        <v>245</v>
      </c>
      <c r="B20" s="77" t="s">
        <v>45</v>
      </c>
      <c r="C20" s="77" t="s">
        <v>45</v>
      </c>
      <c r="D20" s="77" t="s">
        <v>45</v>
      </c>
      <c r="E20" s="77" t="s">
        <v>45</v>
      </c>
      <c r="F20" s="77" t="s">
        <v>45</v>
      </c>
      <c r="G20" s="77" t="s">
        <v>45</v>
      </c>
      <c r="H20" s="77" t="s">
        <v>45</v>
      </c>
      <c r="I20" s="77" t="s">
        <v>45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62</v>
      </c>
      <c r="B26" s="22" t="s">
        <v>63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2" t="s">
        <v>222</v>
      </c>
      <c r="B2" s="143"/>
      <c r="C2" s="144"/>
      <c r="D2" s="155" t="s">
        <v>11</v>
      </c>
      <c r="E2" s="155">
        <v>8000</v>
      </c>
      <c r="F2" s="155">
        <v>10000</v>
      </c>
      <c r="G2" s="155">
        <v>14000</v>
      </c>
      <c r="H2" s="144"/>
      <c r="I2" s="144"/>
    </row>
    <row r="3" spans="1:9" s="4" customFormat="1" ht="21" customHeight="1" x14ac:dyDescent="0.15">
      <c r="A3" s="142" t="s">
        <v>223</v>
      </c>
      <c r="B3" s="146"/>
      <c r="C3" s="147"/>
      <c r="D3" s="155" t="s">
        <v>11</v>
      </c>
      <c r="E3" s="155">
        <v>7500</v>
      </c>
      <c r="F3" s="155">
        <v>9500</v>
      </c>
      <c r="G3" s="155">
        <v>13000</v>
      </c>
      <c r="H3" s="147"/>
      <c r="I3" s="147"/>
    </row>
    <row r="4" spans="1:9" s="4" customFormat="1" ht="21" customHeight="1" x14ac:dyDescent="0.15">
      <c r="A4" s="142" t="s">
        <v>225</v>
      </c>
      <c r="B4" s="149"/>
      <c r="C4" s="150"/>
      <c r="D4" s="155">
        <v>5000</v>
      </c>
      <c r="E4" s="155">
        <v>7000</v>
      </c>
      <c r="F4" s="155">
        <v>9000</v>
      </c>
      <c r="G4" s="155">
        <v>12000</v>
      </c>
      <c r="H4" s="150"/>
      <c r="I4" s="150"/>
    </row>
    <row r="5" spans="1:9" s="4" customFormat="1" ht="21" customHeight="1" x14ac:dyDescent="0.15">
      <c r="A5" s="161" t="s">
        <v>226</v>
      </c>
      <c r="B5" s="156"/>
      <c r="C5" s="157"/>
      <c r="D5" s="155">
        <v>4900</v>
      </c>
      <c r="E5" s="155">
        <v>6700</v>
      </c>
      <c r="F5" s="155">
        <v>8500</v>
      </c>
      <c r="G5" s="155">
        <v>11000</v>
      </c>
      <c r="H5" s="157"/>
      <c r="I5" s="157"/>
    </row>
    <row r="6" spans="1:9" s="4" customFormat="1" ht="21" customHeight="1" x14ac:dyDescent="0.15">
      <c r="A6" s="161" t="s">
        <v>227</v>
      </c>
      <c r="B6" s="156"/>
      <c r="C6" s="157"/>
      <c r="D6" s="155">
        <v>4800</v>
      </c>
      <c r="E6" s="155">
        <v>6600</v>
      </c>
      <c r="F6" s="155" t="s">
        <v>11</v>
      </c>
      <c r="G6" s="155" t="s">
        <v>11</v>
      </c>
      <c r="H6" s="157"/>
      <c r="I6" s="157"/>
    </row>
    <row r="7" spans="1:9" ht="21" customHeight="1" x14ac:dyDescent="0.15">
      <c r="A7" s="72" t="s">
        <v>201</v>
      </c>
      <c r="B7" s="46" t="s">
        <v>11</v>
      </c>
      <c r="C7" s="46" t="s">
        <v>11</v>
      </c>
      <c r="D7" s="46" t="s">
        <v>11</v>
      </c>
      <c r="E7" s="46" t="s">
        <v>11</v>
      </c>
      <c r="F7" s="46" t="s">
        <v>11</v>
      </c>
      <c r="G7" s="46" t="s">
        <v>11</v>
      </c>
      <c r="H7" s="46" t="s">
        <v>11</v>
      </c>
      <c r="I7" s="46" t="s">
        <v>11</v>
      </c>
    </row>
    <row r="8" spans="1:9" ht="21" customHeight="1" x14ac:dyDescent="0.15">
      <c r="A8" s="73" t="s">
        <v>202</v>
      </c>
      <c r="B8" s="46" t="s">
        <v>11</v>
      </c>
      <c r="C8" s="46" t="s">
        <v>11</v>
      </c>
      <c r="D8" s="46" t="s">
        <v>11</v>
      </c>
      <c r="E8" s="46">
        <v>8000</v>
      </c>
      <c r="F8" s="29">
        <v>10000</v>
      </c>
      <c r="G8" s="46">
        <v>14000</v>
      </c>
      <c r="H8" s="46" t="s">
        <v>11</v>
      </c>
      <c r="I8" s="46" t="s">
        <v>11</v>
      </c>
    </row>
    <row r="9" spans="1:9" s="45" customFormat="1" ht="21" customHeight="1" x14ac:dyDescent="0.15">
      <c r="A9" s="74" t="s">
        <v>203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6">
        <v>13000</v>
      </c>
      <c r="H9" s="29" t="s">
        <v>11</v>
      </c>
      <c r="I9" s="29" t="s">
        <v>11</v>
      </c>
    </row>
    <row r="10" spans="1:9" ht="21" customHeight="1" x14ac:dyDescent="0.15">
      <c r="A10" s="74" t="s">
        <v>9</v>
      </c>
      <c r="B10" s="67" t="s">
        <v>11</v>
      </c>
      <c r="C10" s="67" t="s">
        <v>11</v>
      </c>
      <c r="D10" s="29">
        <v>5000</v>
      </c>
      <c r="E10" s="29">
        <v>7000</v>
      </c>
      <c r="F10" s="29">
        <v>9000</v>
      </c>
      <c r="G10" s="46">
        <v>12000</v>
      </c>
      <c r="H10" s="67" t="s">
        <v>11</v>
      </c>
      <c r="I10" s="67" t="s">
        <v>11</v>
      </c>
    </row>
    <row r="11" spans="1:9" ht="21" customHeight="1" x14ac:dyDescent="0.15">
      <c r="A11" s="74" t="s">
        <v>204</v>
      </c>
      <c r="B11" s="67" t="s">
        <v>11</v>
      </c>
      <c r="C11" s="67" t="s">
        <v>11</v>
      </c>
      <c r="D11" s="29">
        <v>4900</v>
      </c>
      <c r="E11" s="29">
        <v>6700</v>
      </c>
      <c r="F11" s="29">
        <v>8500</v>
      </c>
      <c r="G11" s="46">
        <v>11000</v>
      </c>
      <c r="H11" s="67" t="s">
        <v>11</v>
      </c>
      <c r="I11" s="67" t="s">
        <v>11</v>
      </c>
    </row>
    <row r="12" spans="1:9" ht="21" customHeight="1" x14ac:dyDescent="0.15">
      <c r="A12" s="74" t="s">
        <v>103</v>
      </c>
      <c r="B12" s="67" t="s">
        <v>11</v>
      </c>
      <c r="C12" s="67" t="s">
        <v>11</v>
      </c>
      <c r="D12" s="29">
        <v>4800</v>
      </c>
      <c r="E12" s="29">
        <v>6600</v>
      </c>
      <c r="F12" s="67" t="s">
        <v>11</v>
      </c>
      <c r="G12" s="67" t="s">
        <v>11</v>
      </c>
      <c r="H12" s="67" t="s">
        <v>11</v>
      </c>
      <c r="I12" s="67" t="s">
        <v>11</v>
      </c>
    </row>
    <row r="13" spans="1:9" ht="21" customHeight="1" x14ac:dyDescent="0.15">
      <c r="A13" s="74" t="s">
        <v>205</v>
      </c>
      <c r="B13" s="67" t="s">
        <v>11</v>
      </c>
      <c r="C13" s="67" t="s">
        <v>11</v>
      </c>
      <c r="D13" s="67" t="s">
        <v>11</v>
      </c>
      <c r="E13" s="29">
        <v>6300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4" t="s">
        <v>206</v>
      </c>
      <c r="B14" s="67" t="s">
        <v>11</v>
      </c>
      <c r="C14" s="67" t="s">
        <v>11</v>
      </c>
      <c r="D14" s="29">
        <v>4600</v>
      </c>
      <c r="E14" s="29">
        <v>5800</v>
      </c>
      <c r="F14" s="29">
        <v>7600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102</v>
      </c>
      <c r="B15" s="67" t="s">
        <v>11</v>
      </c>
      <c r="C15" s="67" t="s">
        <v>11</v>
      </c>
      <c r="D15" s="29">
        <v>4400</v>
      </c>
      <c r="E15" s="29">
        <v>5600</v>
      </c>
      <c r="F15" s="67" t="s">
        <v>11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207</v>
      </c>
      <c r="B16" s="67" t="s">
        <v>11</v>
      </c>
      <c r="C16" s="29">
        <v>3000</v>
      </c>
      <c r="D16" s="29">
        <v>4200</v>
      </c>
      <c r="E16" s="29">
        <v>5400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8</v>
      </c>
      <c r="B17" s="29">
        <v>2000</v>
      </c>
      <c r="C17" s="29">
        <v>2800</v>
      </c>
      <c r="D17" s="29">
        <v>4000</v>
      </c>
      <c r="E17" s="67" t="s">
        <v>11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5" t="s">
        <v>7</v>
      </c>
      <c r="B18" s="29">
        <v>1750</v>
      </c>
      <c r="C18" s="29">
        <v>2550</v>
      </c>
      <c r="D18" s="67" t="s">
        <v>11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208</v>
      </c>
      <c r="B19" s="29">
        <v>1500</v>
      </c>
      <c r="C19" s="29">
        <v>2300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38" t="s">
        <v>209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H12" sqref="H12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108</v>
      </c>
      <c r="G1" s="24" t="s">
        <v>109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193</v>
      </c>
      <c r="B2" s="12">
        <v>591</v>
      </c>
    </row>
    <row r="3" spans="1:4" x14ac:dyDescent="0.15">
      <c r="A3" t="s">
        <v>194</v>
      </c>
      <c r="B3" s="129">
        <v>592</v>
      </c>
    </row>
    <row r="4" spans="1:4" x14ac:dyDescent="0.15">
      <c r="A4" t="s">
        <v>195</v>
      </c>
      <c r="B4" s="129">
        <v>593</v>
      </c>
    </row>
    <row r="7" spans="1:4" x14ac:dyDescent="0.15">
      <c r="A7" t="s">
        <v>196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215</v>
      </c>
    </row>
    <row r="13" spans="1:4" x14ac:dyDescent="0.15">
      <c r="B13" t="s">
        <v>219</v>
      </c>
      <c r="C13" t="s">
        <v>220</v>
      </c>
      <c r="D13" t="s">
        <v>221</v>
      </c>
    </row>
    <row r="14" spans="1:4" x14ac:dyDescent="0.15">
      <c r="A14" t="s">
        <v>217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218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216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197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198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199</v>
      </c>
    </row>
    <row r="49" spans="1:1" x14ac:dyDescent="0.15">
      <c r="A49" t="str">
        <f>IFERROR(VLOOKUP($B$3,#REF!,2),"なし")</f>
        <v>なし</v>
      </c>
    </row>
    <row r="50" spans="1:1" x14ac:dyDescent="0.15">
      <c r="A50" t="str">
        <f>IFERROR(VLOOKUP($B$3,#REF!,2),"なし")</f>
        <v>なし</v>
      </c>
    </row>
    <row r="51" spans="1:1" x14ac:dyDescent="0.15">
      <c r="A51" t="str">
        <f>IFERROR(VLOOKUP($B$3,#REF!,2),"なし")</f>
        <v>なし</v>
      </c>
    </row>
    <row r="52" spans="1:1" x14ac:dyDescent="0.15">
      <c r="A52" t="str">
        <f>IFERROR(VLOOKUP($B$3,#REF!,2),"なし")</f>
        <v>なし</v>
      </c>
    </row>
    <row r="53" spans="1:1" x14ac:dyDescent="0.15">
      <c r="A53" t="str">
        <f>IFERROR(VLOOKUP($B$3,#REF!,2),"なし")</f>
        <v>なし</v>
      </c>
    </row>
    <row r="55" spans="1:1" x14ac:dyDescent="0.15">
      <c r="A55" s="141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2017-06-06T08:17:44Z</dcterms:modified>
</cp:coreProperties>
</file>