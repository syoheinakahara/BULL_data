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1020" windowWidth="27700" windowHeight="1356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6" i="3" l="1"/>
  <c r="C6" i="3"/>
  <c r="D6" i="3"/>
  <c r="E6" i="3"/>
  <c r="F6" i="3"/>
  <c r="H6" i="3"/>
  <c r="J6" i="3"/>
  <c r="H3" i="23"/>
  <c r="BR3" i="23"/>
  <c r="H2"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<sst xmlns="http://schemas.openxmlformats.org/spreadsheetml/2006/main" count="884" uniqueCount="360">
  <si>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</si>
  <si>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</si>
  <si>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</si>
  <si>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</si>
  <si>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</si>
  <si>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</si>
  <si>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</si>
  <si>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</si>
  <si>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</si>
  <si>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</si>
  <si>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</si>
  <si>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</si>
  <si>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</si>
  <si>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</si>
  <si>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</si>
  <si>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</si>
  <si>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</si>
  <si>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</si>
  <si>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</si>
  <si>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</si>
  <si>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</si>
  <si>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</si>
  <si>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</si>
  <si>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</si>
  <si>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</si>
  <si>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</si>
  <si>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</si>
  <si>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</si>
  <si>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</si>
  <si>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</si>
  <si>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</si>
  <si>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</si>
  <si>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</si>
  <si>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</si>
  <si>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</si>
  <si>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</si>
  <si>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</si>
  <si>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</si>
  <si>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</si>
  <si>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</si>
  <si>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</si>
  <si>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</si>
  <si>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</si>
  <si>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</si>
  <si>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</si>
  <si>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</si>
  <si>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</si>
  <si>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</si>
  <si>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</si>
  <si>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</si>
  <si>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</si>
  <si>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</si>
  <si>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</si>
  <si>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</si>
  <si>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</si>
  <si>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</si>
  <si>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</si>
  <si>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</si>
  <si>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</si>
  <si>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</si>
  <si>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</si>
  <si>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</si>
  <si>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</si>
  <si>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</si>
  <si>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</si>
  <si>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</si>
  <si>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</si>
  <si>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</si>
  <si>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</si>
  <si>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</si>
  <si>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</si>
  <si>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</si>
  <si>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</si>
  <si>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</si>
  <si>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</si>
  <si>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</si>
  <si>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</si>
  <si>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</si>
  <si>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</si>
  <si>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</si>
  <si>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</si>
  <si>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</si>
  <si>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</si>
  <si>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</si>
  <si>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</si>
  <si>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</si>
  <si>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</si>
  <si>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</si>
  <si>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</si>
  <si>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</si>
  <si>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</si>
  <si>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</si>
  <si>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</si>
  <si>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</si>
  <si>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</si>
  <si>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</si>
  <si>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</si>
  <si>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</si>
  <si>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</si>
  <si>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</si>
  <si>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</si>
  <si>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</si>
  <si>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</si>
  <si>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</si>
  <si>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</si>
  <si>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</si>
  <si>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</si>
  <si>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</si>
  <si>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</si>
  <si>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</si>
  <si>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</si>
  <si>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</si>
  <si>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</si>
  <si>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</si>
  <si>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</si>
  <si>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</si>
  <si>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</si>
  <si>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</si>
  <si>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</si>
  <si>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</si>
  <si>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</si>
  <si>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</si>
  <si>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</si>
  <si>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</si>
  <si>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</si>
  <si>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</si>
  <si>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</si>
  <si>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</si>
  <si>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</si>
  <si>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</si>
  <si>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</si>
  <si>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</si>
  <si>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</si>
  <si>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</si>
  <si>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</si>
  <si>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</si>
  <si>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</si>
  <si>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</si>
  <si>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</si>
  <si>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</si>
  <si>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</si>
  <si>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</si>
  <si>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</si>
  <si>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</si>
  <si>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</si>
  <si>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</si>
  <si>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</si>
  <si>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</si>
  <si>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</si>
  <si>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</si>
  <si>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</si>
  <si>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</si>
  <si>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</si>
  <si>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</si>
  <si>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</si>
  <si>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</si>
  <si>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</si>
  <si>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</si>
  <si>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</si>
  <si>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</si>
  <si>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</si>
  <si>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</si>
  <si>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</si>
  <si>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</si>
  <si>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</si>
  <si>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</si>
  <si>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</si>
  <si>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</si>
  <si>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</si>
  <si>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</si>
  <si>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</si>
  <si>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</si>
  <si>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</si>
  <si>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</si>
  <si>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</si>
  <si>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</si>
  <si>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</si>
  <si>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</si>
  <si>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</si>
  <si>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</si>
  <si>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</si>
  <si>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</si>
  <si>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</si>
  <si>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</si>
  <si>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</si>
  <si>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</si>
  <si>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</si>
  <si>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</si>
  <si>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</si>
  <si>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</si>
  <si>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</si>
  <si>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</si>
  <si>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</si>
  <si>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</si>
  <si>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</si>
  <si>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</si>
  <si>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</si>
  <si>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</si>
  <si>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</si>
  <si>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</si>
  <si>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</si>
  <si>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</si>
  <si>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</si>
  <si>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</si>
  <si>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</si>
  <si>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</si>
  <si>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</si>
  <si>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</si>
  <si>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</si>
  <si>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</si>
  <si>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</si>
  <si>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</si>
  <si>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</si>
  <si>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</si>
  <si>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</si>
  <si>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</si>
  <si>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</si>
  <si>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</si>
  <si>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</si>
  <si>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</si>
  <si>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</si>
  <si>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</si>
  <si>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</si>
  <si>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</si>
  <si>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</si>
  <si>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</si>
  <si>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</si>
  <si>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</si>
  <si>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</si>
  <si>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</si>
  <si>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</si>
  <si>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</si>
  <si>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</si>
  <si>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</si>
  <si>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</si>
  <si>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</si>
  <si>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</si>
  <si>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</si>
  <si>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</si>
  <si>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</si>
  <si>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</si>
  <si>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</si>
  <si>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</si>
  <si>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</si>
  <si>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</si>
  <si>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</si>
  <si>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</si>
  <si>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</si>
  <si>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</si>
  <si>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</si>
  <si>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</si>
  <si>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</si>
  <si>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</si>
  <si>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</si>
  <si>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</si>
  <si>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</si>
  <si>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</si>
  <si>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</si>
  <si>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</si>
  <si>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</si>
  <si>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</si>
  <si>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</si>
  <si>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</si>
  <si>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</si>
  <si>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</si>
  <si>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</si>
  <si>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</si>
  <si>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</si>
  <si>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</si>
  <si>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</si>
  <si>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</si>
  <si>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</si>
  <si>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</si>
  <si>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</si>
  <si>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</si>
  <si>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</si>
  <si>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</si>
  <si>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</si>
  <si>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</si>
  <si>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</si>
  <si>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</si>
  <si>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</si>
  <si>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</si>
  <si>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</si>
  <si>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</si>
  <si>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</si>
  <si>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</si>
  <si>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</si>
  <si>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</si>
  <si>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</si>
  <si>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</si>
  <si>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</si>
  <si>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</si>
  <si>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</si>
  <si>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</si>
  <si>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</si>
  <si>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</si>
  <si>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</si>
  <si>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</si>
  <si>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</si>
  <si>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</si>
  <si>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</si>
  <si>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</si>
  <si>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</si>
  <si>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</si>
  <si>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</si>
  <si>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</si>
  <si>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</si>
  <si>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</si>
  <si>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</si>
  <si>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</si>
  <si>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</si>
  <si>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</si>
  <si>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</si>
  <si>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</si>
  <si>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</si>
  <si>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</si>
  <si>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</si>
  <si>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</si>
  <si>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</si>
  <si>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</si>
  <si>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</si>
  <si>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</si>
  <si>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</si>
  <si>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</si>
  <si>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</si>
  <si>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</si>
  <si>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</si>
  <si>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</si>
  <si>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</si>
  <si>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</si>
  <si>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</si>
  <si>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</si>
  <si>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</si>
  <si>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</si>
  <si>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</si>
  <si>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</si>
  <si>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</si>
  <si>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JPMyth</t>
    <phoneticPr fontId="22"/>
  </si>
  <si>
    <t>ダンス・トゥ・カグラ</t>
    <phoneticPr fontId="22"/>
  </si>
  <si>
    <t>グルーヴ・トゥ・カグラ</t>
    <phoneticPr fontId="22"/>
  </si>
  <si>
    <t>扇情乱踏</t>
    <phoneticPr fontId="22"/>
  </si>
  <si>
    <t>扇情乱踏・神律</t>
    <phoneticPr fontId="22"/>
  </si>
  <si>
    <t>ノリが悪い子は…嫌いだね</t>
    <phoneticPr fontId="22"/>
  </si>
  <si>
    <t>giza</t>
  </si>
  <si>
    <t>指くわえて見てるんだね</t>
  </si>
  <si>
    <t>ついてこれるかい！？</t>
  </si>
  <si>
    <t>穴だらけにしてやるか</t>
  </si>
  <si>
    <t>いつまで我慢できるかな？</t>
    <phoneticPr fontId="22"/>
  </si>
  <si>
    <t>神だって酔わせてみせる</t>
    <phoneticPr fontId="22"/>
  </si>
  <si>
    <t>1</t>
    <phoneticPr fontId="22"/>
  </si>
  <si>
    <t>old</t>
  </si>
  <si>
    <t>[effect:damage, target:enemy_one, color:yellow, val:1.5, animation:damage_one_yellow04],[effect:enhance_unit, target:unit_all, turn:2, status:attack, val:0.018, calc:mul, animation:enhance_unit_all_attack01]</t>
    <phoneticPr fontId="22"/>
  </si>
  <si>
    <t>[effect:damage, target:enemy_one, color:yellow, val:2, animation:damage_one_yellow04],[effect:enhance_unit, target:unit_all, turn:2, status:attack, val:0.018, calc:mul, animation:enhance_unit_all_attack01]</t>
    <phoneticPr fontId="22"/>
  </si>
  <si>
    <t>1体に特大ダメージ+
2ターン全ユニットの攻撃力小UP</t>
    <phoneticPr fontId="22"/>
  </si>
  <si>
    <t>1体に超大ダメージ+
2ターン全ユニットの攻撃力小UP</t>
    <phoneticPr fontId="22"/>
  </si>
  <si>
    <t>緑パネルを黄パネルに変換+暗闇解除+1ターン種族ヒューマン･ゴッドのタップ数1増加、確率で緑･青が赤・ハートボムでドロップ</t>
    <phoneticPr fontId="22"/>
  </si>
  <si>
    <t>緑パネルを黄パネルに変換+暗闇解除+2ターン種族ヒューマン･ゴッドのタップ数1増加、確率で緑･青が赤・ハートボムでドロップ</t>
    <phoneticPr fontId="22"/>
  </si>
  <si>
    <t>[effect:force_change_block, new_block:block_yellow, target:block_green, count:0, val:0, animation:change_block],[effect:cure, bad_status:dark, animation:dark_heal],[effect:enhance_unit, target:unit_human/unit_god/or, turn:1, status:action, val:1, calc:add, animation:enhance_unit_one_action01],[effect:drop_block, block_type:crack_bomb, block_color:block_red, color:block_green, val:12, rate:0.38, turn:1],[effect:drop_block, block_type:crack_bomb, block_color:block_heart, color:block_blue, val:12, rate:0.38, turn:1, animation:bomb_influence04]</t>
    <phoneticPr fontId="22"/>
  </si>
  <si>
    <t>[effect:force_change_block, new_block:block_yellow, target:block_green, count:0, val:0, animation:change_block],[effect:cure, bad_status:dark, animation:dark_heal],[effect:enhance_unit, target:unit_human/unit_god/or, turn:2, status:action, val:1, calc:add, animation:enhance_unit_one_action01],[effect:drop_block, block_type:crack_bomb, block_color:block_red, color:block_green, val:12, rate:0.38, turn:2],[effect:drop_block, block_type:crack_bomb, block_color:block_heart, color:block_blue, val:12, rate:0.38, turn:2, animation:bomb_influence04]</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</si>
</sst>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8">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3" fillId="29" borderId="4" xfId="0" applyFont="1" applyFill="1" applyBorder="1" applyAlignment="1">
      <alignment horizontal="left" vertical="center" wrapText="1"/>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F21" sqref="F21"/>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351</v>
      </c>
      <c r="B2" s="105" t="s">
        <v>129</v>
      </c>
      <c r="C2" s="162" t="s">
        <v>338</v>
      </c>
      <c r="D2" s="105" t="s">
        <v>128</v>
      </c>
      <c r="E2" s="104" t="str">
        <f>B2&amp;C2&amp;D2</f>
        <v>units_JPMyth.tmp</v>
      </c>
      <c r="F2" s="105" t="s">
        <v>124</v>
      </c>
      <c r="G2" s="59" t="s">
        <v>17</v>
      </c>
      <c r="H2" s="60" t="s">
        <v>96</v>
      </c>
      <c r="I2" s="60" t="s">
        <v>1</v>
      </c>
      <c r="J2" s="60" t="s">
        <v>3</v>
      </c>
      <c r="K2" s="60" t="s">
        <v>2</v>
      </c>
      <c r="L2" s="60" t="s">
        <v>98</v>
      </c>
      <c r="M2" s="60" t="s">
        <v>20</v>
      </c>
      <c r="N2" s="60" t="s">
        <v>103</v>
      </c>
      <c r="O2" s="60" t="s">
        <v>101</v>
      </c>
      <c r="P2" s="60" t="s">
        <v>39</v>
      </c>
      <c r="Q2" s="60" t="s">
        <v>57</v>
      </c>
      <c r="R2" s="60" t="s">
        <v>316</v>
      </c>
      <c r="S2" s="105"/>
      <c r="T2" s="105"/>
      <c r="U2" s="105"/>
      <c r="V2" s="105"/>
      <c r="W2" s="105"/>
    </row>
    <row r="3" spans="1:29" x14ac:dyDescent="0.15">
      <c r="A3" s="105" t="s">
        <v>351</v>
      </c>
      <c r="B3" s="105" t="s">
        <v>293</v>
      </c>
      <c r="C3" s="162" t="s">
        <v>338</v>
      </c>
      <c r="D3" s="105" t="s">
        <v>128</v>
      </c>
      <c r="E3" s="104" t="str">
        <f>B3&amp;C3&amp;D3</f>
        <v>fork_awake_units_JPMyth.tmp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351</v>
      </c>
      <c r="B4" s="105" t="s">
        <v>130</v>
      </c>
      <c r="C4" s="162" t="s">
        <v>338</v>
      </c>
      <c r="D4" s="105" t="s">
        <v>128</v>
      </c>
      <c r="E4" s="104" t="str">
        <f>B4&amp;C4&amp;D4</f>
        <v>awake_materials_JPMyth.tmp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351</v>
      </c>
      <c r="B5" s="105" t="s">
        <v>292</v>
      </c>
      <c r="C5" s="162" t="s">
        <v>338</v>
      </c>
      <c r="D5" s="105" t="s">
        <v>128</v>
      </c>
      <c r="E5" s="104" t="str">
        <f>B5&amp;C5&amp;D5</f>
        <v>fork_awake_materials_JPMyth.tmp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351</v>
      </c>
      <c r="B6" s="105" t="s">
        <v>131</v>
      </c>
      <c r="C6" s="162" t="s">
        <v>338</v>
      </c>
      <c r="D6" s="105" t="s">
        <v>132</v>
      </c>
      <c r="E6" s="104" t="str">
        <f t="shared" ref="E6" si="0">B6&amp;C6&amp;D6</f>
        <v>unit_levels_calc_JPMyth.tmp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351</v>
      </c>
      <c r="B7" s="105" t="s">
        <v>143</v>
      </c>
      <c r="C7" s="162" t="s">
        <v>338</v>
      </c>
      <c r="D7" s="105" t="s">
        <v>144</v>
      </c>
      <c r="E7" s="104" t="str">
        <f>B7&amp;C7&amp;D7</f>
        <v>unit_skills_data_JPMyth.tmp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351</v>
      </c>
      <c r="B8" s="105" t="s">
        <v>149</v>
      </c>
      <c r="C8" s="162" t="s">
        <v>338</v>
      </c>
      <c r="D8" s="105" t="s">
        <v>128</v>
      </c>
      <c r="E8" s="104" t="str">
        <f>B8&amp;C8&amp;D8</f>
        <v>unit_skills_i18n_JPMyth.tmp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351</v>
      </c>
      <c r="B9" s="105" t="s">
        <v>153</v>
      </c>
      <c r="C9" s="162" t="s">
        <v>338</v>
      </c>
      <c r="D9" s="105" t="s">
        <v>154</v>
      </c>
      <c r="E9" s="104" t="str">
        <f>B9&amp;C9&amp;D9</f>
        <v>crash_skills_data_JPMyth.tmp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351</v>
      </c>
      <c r="B10" s="105" t="s">
        <v>157</v>
      </c>
      <c r="C10" s="162" t="s">
        <v>338</v>
      </c>
      <c r="D10" s="105" t="s">
        <v>158</v>
      </c>
      <c r="E10" s="104" t="str">
        <f t="shared" ref="E10" si="1">B10&amp;C10&amp;D10</f>
        <v>crash_skills_i18n_JPMyth.tmp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351</v>
      </c>
      <c r="B11" s="108" t="s">
        <v>135</v>
      </c>
      <c r="C11" s="162" t="s">
        <v>338</v>
      </c>
      <c r="D11" s="105" t="s">
        <v>158</v>
      </c>
      <c r="E11" s="104" t="str">
        <f t="shared" ref="E11:E12" si="2">B11&amp;C11&amp;D11</f>
        <v>unit_serifs_data_JPMyth.tmp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351</v>
      </c>
      <c r="B12" s="108" t="s">
        <v>136</v>
      </c>
      <c r="C12" s="162" t="s">
        <v>338</v>
      </c>
      <c r="D12" s="105" t="s">
        <v>158</v>
      </c>
      <c r="E12" s="104" t="str">
        <f t="shared" si="2"/>
        <v>unit_serifs_i18n_JPMyth.tmp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351</v>
      </c>
      <c r="B13" s="105" t="s">
        <v>315</v>
      </c>
      <c r="C13" s="162" t="s">
        <v>338</v>
      </c>
      <c r="D13" s="105" t="s">
        <v>253</v>
      </c>
      <c r="E13" s="104" t="str">
        <f>B13&amp;C13&amp;D13</f>
        <v>abilities_tmp_JPMyth.tmp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351</v>
      </c>
      <c r="B14" s="105" t="s">
        <v>258</v>
      </c>
      <c r="C14" s="162" t="s">
        <v>338</v>
      </c>
      <c r="D14" s="105" t="s">
        <v>128</v>
      </c>
      <c r="E14" s="104" t="str">
        <f>B14&amp;C14&amp;D14</f>
        <v>abilities_i18n_JPMyth.tmp</v>
      </c>
      <c r="F14" s="105" t="s">
        <v>259</v>
      </c>
      <c r="G14" s="163" t="s">
        <v>255</v>
      </c>
      <c r="H14" s="163" t="s">
        <v>141</v>
      </c>
      <c r="I14" s="163" t="s">
        <v>260</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351</v>
      </c>
      <c r="B15" s="105" t="s">
        <v>261</v>
      </c>
      <c r="C15" s="162" t="s">
        <v>338</v>
      </c>
      <c r="D15" s="105" t="s">
        <v>128</v>
      </c>
      <c r="E15" s="104" t="str">
        <f>B15&amp;C15&amp;D15</f>
        <v>unit_abilities_JPMyth.tmp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N2" activePane="bottomRight" state="frozen"/>
      <selection pane="topRight" activeCell="J1" sqref="J1"/>
      <selection pane="bottomLeft" activeCell="A3" sqref="A3"/>
      <selection pane="bottomRight" activeCell="AY3" sqref="AY3:BB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317</v>
      </c>
    </row>
    <row r="2" spans="1:70" ht="26" customHeight="1" x14ac:dyDescent="0.15">
      <c r="A2" s="186">
        <v>1338</v>
      </c>
      <c r="B2" s="53" t="str">
        <f ca="1">VLOOKUP($A2,OFFSET([1]characters!$A$1,0,0,COUNTA([1]characters!$A:$A),MATCH(B$1,[1]characters!$1:$1,0)-MATCH($A$1,[1]characters!$1:$1,0)+1),MATCH(B$1,[1]characters!$1:$1,0)-MATCH($A$1,[1]characters!$1:$1,0)+1,FALSE)</f>
        <v>アメノウズメ</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yellow</v>
      </c>
      <c r="J2" s="10">
        <f ca="1">VLOOKUP(I2,[1]属性!$A:$E,2,FALSE)</f>
        <v>0.98</v>
      </c>
      <c r="K2" s="10">
        <f ca="1">VLOOKUP(I2,[1]属性!$A:$E,3,FALSE)</f>
        <v>1.01</v>
      </c>
      <c r="L2" s="10">
        <f ca="1">VLOOKUP(I2,[1]属性!$A:$E,4,FALSE)</f>
        <v>1</v>
      </c>
      <c r="M2" s="10">
        <f ca="1">VLOOKUP(I2,[1]属性!$A:$E,5,FALSE)</f>
        <v>1.01</v>
      </c>
      <c r="N2" s="10">
        <f ca="1">INDEX(コスト!$A$1:$I$21,MATCH(H2,コスト!$A$1:$A$21,FALSE),MATCH(G2,コスト!$A$1:$I$1,FALSE))</f>
        <v>35</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god</v>
      </c>
      <c r="X2" s="5" t="str">
        <f ca="1">VLOOKUP(W2,[1]character_tribe_i18n!$A:$H,3,FALSE)</f>
        <v>ゴッド</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0.96</v>
      </c>
      <c r="AB2" s="10">
        <f ca="1">VLOOKUP(W2,[1]character_tribe_i18n!$A:$H,5,FALSE)</f>
        <v>1.02</v>
      </c>
      <c r="AC2" s="10">
        <f ca="1">VLOOKUP(W2,[1]character_tribe_i18n!$A:$H,6,FALSE)</f>
        <v>1</v>
      </c>
      <c r="AD2" s="10">
        <f ca="1">VLOOKUP(W2,[1]character_tribe_i18n!$A:$H,7,FALSE)</f>
        <v>1.02</v>
      </c>
      <c r="AE2" s="187">
        <v>1339</v>
      </c>
      <c r="AF2" s="58" t="str">
        <f ca="1">IF(AE2="NULL","",VLOOKUP($AE2,OFFSET([1]characters!$A$1,0,0,COUNTA([1]characters!$A:$A),MATCH(AF$1,[1]characters!$1:$1,0)-MATCH($A$1,[1]characters!$1:$1,0)+1),MATCH(AF$1,[1]characters!$1:$1,0)-MATCH($A$1,[1]characters!$1:$1,0)+1,FALSE))</f>
        <v>復古の舞芸神 アメノウズメ</v>
      </c>
      <c r="AG2" s="187">
        <v>1338</v>
      </c>
      <c r="AH2" s="58" t="str">
        <f ca="1">VLOOKUP($AG2,OFFSET([1]characters!$A$1,0,0,COUNTA([1]characters!$A:$A),MATCH(AH$1,[1]characters!$1:$1,0)-MATCH($A$1,[1]characters!$1:$1,0)+1),MATCH(AH$1,[1]characters!$1:$1,0)-MATCH($A$1,[1]characters!$1:$1,0)+1,FALSE)</f>
        <v>アメノウズメ</v>
      </c>
      <c r="AI2" s="10">
        <f ca="1">IF(AE2="NULL","NULL",VLOOKUP(G2,ビット!$A$2:$B$7,2))</f>
        <v>200000</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1338</v>
      </c>
      <c r="AQ2" s="53" t="str">
        <f ca="1">VLOOKUP($AP2,OFFSET(unit_skills!$A$1,0,0,COUNTA(unit_skills!$A:$A),MATCH(AQ$1,unit_skills!$1:$1,0)-MATCH($AP$1,unit_skills!$1:$1,0)+1),MATCH(AQ$1,unit_skills!$1:$1,0)-MATCH($AP$1,unit_skills!$1:$1,0)+1,FALSE)</f>
        <v>ダンス・トゥ・カグラ</v>
      </c>
      <c r="AR2" s="53" t="str">
        <f ca="1">VLOOKUP($AP2,OFFSET(unit_skills!$A$1,0,0,COUNTA(unit_skills!$A:$A),MATCH(AR$1,unit_skills!$1:$1,0)-MATCH($AP$1,unit_skills!$1:$1,0)+1),MATCH(AR$1,unit_skills!$1:$1,0)-MATCH($AP$1,unit_skills!$1:$1,0)+1,FALSE)</f>
        <v>緑パネルを黄パネルに変換+暗闇解除+1ターン種族ヒューマン･ゴッドのタップ数1増加、確率で緑･青が赤・ハートボムでドロップ</v>
      </c>
      <c r="AS2" s="53">
        <f ca="1">VLOOKUP($AP2,OFFSET(unit_skills!$A$1,0,0,COUNTA(unit_skills!$A:$A),MATCH(AS$1,unit_skills!$1:$1,0)-MATCH($AP$1,unit_skills!$1:$1,0)+1),MATCH(AS$1,unit_skills!$1:$1,0)-MATCH($AP$1,unit_skills!$1:$1,0)+1,FALSE)</f>
        <v>0</v>
      </c>
      <c r="AT2" s="63">
        <v>1338</v>
      </c>
      <c r="AU2" s="53" t="str">
        <f ca="1">VLOOKUP($AT2,OFFSET(crash_skills!$A$1,0,0,COUNTA(crash_skills!$A:$A),MATCH(AU$1,crash_skills!$1:$1,0)-MATCH($AT$1,crash_skills!$1:$1,0)+1),MATCH(AU$1,crash_skills!$1:$1,0)-MATCH($AT$1,crash_skills!$1:$1,0)+1,FALSE)</f>
        <v>扇情乱踏</v>
      </c>
      <c r="AV2" s="53" t="str">
        <f ca="1">VLOOKUP($AT2,OFFSET(crash_skills!$A$1,0,0,COUNTA(crash_skills!$A:$A),MATCH(AV$1,crash_skills!$1:$1,0)-MATCH($AT$1,crash_skills!$1:$1,0)+1),MATCH(AV$1,crash_skills!$1:$1,0)-MATCH($AT$1,crash_skills!$1:$1,0)+1,FALSE)</f>
        <v>1体に特大ダメージ+_x000D_2ターン全ユニットの攻撃力小UP</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0.96299999999999997</v>
      </c>
      <c r="AZ2" s="64">
        <v>0.83299999999999996</v>
      </c>
      <c r="BA2" s="64">
        <v>0</v>
      </c>
      <c r="BB2" s="64">
        <v>1.65</v>
      </c>
      <c r="BC2" s="10">
        <f ca="1">INDEX('RC6SV'!$A$1:$G$21,MATCH(H2,'RC6SV'!$A$1:$A$21,FALSE),MATCH(G2,'RC6SV'!$A$1:$G$1,FALSE))</f>
        <v>9500</v>
      </c>
      <c r="BD2" s="44">
        <f t="shared" ref="BD2" ca="1" si="2">ROUND(BC2*IF(AJ2=1,0.95,IF(AJ2=2,1,IF(AJ2,1.05,0))),0)</f>
        <v>9500</v>
      </c>
      <c r="BE2" s="10">
        <f ca="1">ROUND(IFERROR(INDIRECT(ADDRESS(MATCH($A2,$AE:$AE,0),MATCH($BC$1,$1:$1,0))),0),0)</f>
        <v>0</v>
      </c>
      <c r="BF2" s="10">
        <f ca="1">ROUND(IFERROR(INDIRECT(ADDRESS(MATCH($A2,$AE:$AE,0),10)),INDIRECT(ADDRESS(MATCH($A2,$A:$A,0),10))),0)</f>
        <v>1</v>
      </c>
      <c r="BG2" s="15">
        <f ca="1">IF($BE2&lt;=0,ROUND(BK2*0.5,0), ROUND($BE2*S2*AA2*J2*AY2*0.8*[1]ステータス!$B$2,0))</f>
        <v>2152</v>
      </c>
      <c r="BH2" s="15">
        <f ca="1">IF($BE2&lt;=0,ROUND(BL2*0.5,0), ROUND($BE2*T2*AB2*K2*AZ2*0.8*[1]ステータス!$C$2,0))</f>
        <v>1627</v>
      </c>
      <c r="BI2" s="15">
        <f ca="1">IF($BE2&lt;=0,ROUND(BM2*0.5,0), ROUND($BE2*U2*AC2*L2*BA2*0.8*[1]ステータス!$D$2,0))</f>
        <v>0</v>
      </c>
      <c r="BJ2" s="15">
        <f ca="1">IF($BE2&lt;=0,ROUND(BN2*0.5,0), ROUND($BE2*V2*AD2*M2*BB2*0.8*[1]ステータス!$E$2,0))</f>
        <v>1353</v>
      </c>
      <c r="BK2" s="10">
        <f ca="1">ROUND(BD2*S2*AA2*J2*AY2*[1]ステータス!$B$2,0)</f>
        <v>4303</v>
      </c>
      <c r="BL2" s="10">
        <f ca="1">ROUND(BD2*T2*AB2*K2*AZ2*[1]ステータス!$C$2,0)</f>
        <v>3253</v>
      </c>
      <c r="BM2" s="10">
        <f ca="1">ROUND(BD2*U2*AC2*L2*BA2*[1]ステータス!$D$2,0)</f>
        <v>0</v>
      </c>
      <c r="BN2" s="10">
        <f ca="1">ROUND(BD2*V2*AD2*M2*BB2*[1]ステータス!$E$2,0)</f>
        <v>2705</v>
      </c>
      <c r="BO2" s="9">
        <v>0</v>
      </c>
      <c r="BP2" s="9">
        <v>1</v>
      </c>
      <c r="BQ2" s="36" t="s">
        <v>47</v>
      </c>
      <c r="BR2" s="9">
        <f ca="1">VLOOKUP(H2,ghosts_label!A:B,2,FALSE)</f>
        <v>5500</v>
      </c>
    </row>
    <row r="3" spans="1:70" ht="26" customHeight="1" x14ac:dyDescent="0.15">
      <c r="A3" s="186">
        <v>1339</v>
      </c>
      <c r="B3" s="53" t="str">
        <f ca="1">VLOOKUP($A3,OFFSET([1]characters!$A$1,0,0,COUNTA([1]characters!$A:$A),MATCH(B$1,[1]characters!$1:$1,0)-MATCH($A$1,[1]characters!$1:$1,0)+1),MATCH(B$1,[1]characters!$1:$1,0)-MATCH($A$1,[1]characters!$1:$1,0)+1,FALSE)</f>
        <v>復古の舞芸神 アメノウズメ</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yellow</v>
      </c>
      <c r="J3" s="10">
        <f ca="1">VLOOKUP(I3,[1]属性!$A:$E,2,FALSE)</f>
        <v>0.98</v>
      </c>
      <c r="K3" s="10">
        <f ca="1">VLOOKUP(I3,[1]属性!$A:$E,3,FALSE)</f>
        <v>1.01</v>
      </c>
      <c r="L3" s="10">
        <f ca="1">VLOOKUP(I3,[1]属性!$A:$E,4,FALSE)</f>
        <v>1</v>
      </c>
      <c r="M3" s="10">
        <f ca="1">VLOOKUP(I3,[1]属性!$A:$E,5,FALSE)</f>
        <v>1.01</v>
      </c>
      <c r="N3" s="10">
        <f ca="1">INDEX(コスト!$A$1:$I$21,MATCH(H3,コスト!$A$1:$A$21,FALSE),MATCH(G3,コスト!$A$1:$I$1,FALSE))</f>
        <v>50</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god</v>
      </c>
      <c r="X3" s="5" t="str">
        <f ca="1">VLOOKUP(W3,[1]character_tribe_i18n!$A:$H,3,FALSE)</f>
        <v>ゴッド</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0.96</v>
      </c>
      <c r="AB3" s="10">
        <f ca="1">VLOOKUP(W3,[1]character_tribe_i18n!$A:$H,5,FALSE)</f>
        <v>1.02</v>
      </c>
      <c r="AC3" s="10">
        <f ca="1">VLOOKUP(W3,[1]character_tribe_i18n!$A:$H,6,FALSE)</f>
        <v>1</v>
      </c>
      <c r="AD3" s="10">
        <f ca="1">VLOOKUP(W3,[1]character_tribe_i18n!$A:$H,7,FALSE)</f>
        <v>1.02</v>
      </c>
      <c r="AE3" s="187" t="s">
        <v>183</v>
      </c>
      <c r="AF3" s="58" t="str">
        <f ca="1">IF(AE3="NULL","",VLOOKUP($AE3,OFFSET([1]characters!$A$1,0,0,COUNTA([1]characters!$A:$A),MATCH(AF$1,[1]characters!$1:$1,0)-MATCH($A$1,[1]characters!$1:$1,0)+1),MATCH(AF$1,[1]characters!$1:$1,0)-MATCH($A$1,[1]characters!$1:$1,0)+1,FALSE))</f>
        <v/>
      </c>
      <c r="AG3" s="187">
        <v>1338</v>
      </c>
      <c r="AH3" s="58" t="str">
        <f ca="1">VLOOKUP($AG3,OFFSET([1]characters!$A$1,0,0,COUNTA([1]characters!$A:$A),MATCH(AH$1,[1]characters!$1:$1,0)-MATCH($A$1,[1]characters!$1:$1,0)+1),MATCH(AH$1,[1]characters!$1:$1,0)-MATCH($A$1,[1]characters!$1:$1,0)+1,FALSE)</f>
        <v>アメノウズメ</v>
      </c>
      <c r="AI3" s="10" t="str">
        <f>IF(AE3="NULL","NULL",VLOOKUP(G3,ビット!$A$2:$B$7,2))</f>
        <v>NULL</v>
      </c>
      <c r="AJ3" s="6">
        <v>2</v>
      </c>
      <c r="AK3" s="7" t="str">
        <f t="shared" ref="AK3" si="3">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1339</v>
      </c>
      <c r="AQ3" s="53" t="str">
        <f ca="1">VLOOKUP($AP3,OFFSET(unit_skills!$A$1,0,0,COUNTA(unit_skills!$A:$A),MATCH(AQ$1,unit_skills!$1:$1,0)-MATCH($AP$1,unit_skills!$1:$1,0)+1),MATCH(AQ$1,unit_skills!$1:$1,0)-MATCH($AP$1,unit_skills!$1:$1,0)+1,FALSE)</f>
        <v>グルーヴ・トゥ・カグラ</v>
      </c>
      <c r="AR3" s="53" t="str">
        <f ca="1">VLOOKUP($AP3,OFFSET(unit_skills!$A$1,0,0,COUNTA(unit_skills!$A:$A),MATCH(AR$1,unit_skills!$1:$1,0)-MATCH($AP$1,unit_skills!$1:$1,0)+1),MATCH(AR$1,unit_skills!$1:$1,0)-MATCH($AP$1,unit_skills!$1:$1,0)+1,FALSE)</f>
        <v>緑パネルを黄パネルに変換+暗闇解除+2ターン種族ヒューマン･ゴッドのタップ数1増加、確率で緑･青が赤・ハートボムでドロップ</v>
      </c>
      <c r="AS3" s="53">
        <f ca="1">VLOOKUP($AP3,OFFSET(unit_skills!$A$1,0,0,COUNTA(unit_skills!$A:$A),MATCH(AS$1,unit_skills!$1:$1,0)-MATCH($AP$1,unit_skills!$1:$1,0)+1),MATCH(AS$1,unit_skills!$1:$1,0)-MATCH($AP$1,unit_skills!$1:$1,0)+1,FALSE)</f>
        <v>0</v>
      </c>
      <c r="AT3" s="63">
        <v>1339</v>
      </c>
      <c r="AU3" s="53" t="str">
        <f ca="1">VLOOKUP($AT3,OFFSET(crash_skills!$A$1,0,0,COUNTA(crash_skills!$A:$A),MATCH(AU$1,crash_skills!$1:$1,0)-MATCH($AT$1,crash_skills!$1:$1,0)+1),MATCH(AU$1,crash_skills!$1:$1,0)-MATCH($AT$1,crash_skills!$1:$1,0)+1,FALSE)</f>
        <v>扇情乱踏・神律</v>
      </c>
      <c r="AV3" s="53" t="str">
        <f ca="1">VLOOKUP($AT3,OFFSET(crash_skills!$A$1,0,0,COUNTA(crash_skills!$A:$A),MATCH(AV$1,crash_skills!$1:$1,0)-MATCH($AT$1,crash_skills!$1:$1,0)+1),MATCH(AV$1,crash_skills!$1:$1,0)-MATCH($AT$1,crash_skills!$1:$1,0)+1,FALSE)</f>
        <v>1体に超大ダメージ+_x000D_2ターン全ユニットの攻撃力小UP</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0.96299999999999997</v>
      </c>
      <c r="AZ3" s="64">
        <v>0.83299999999999996</v>
      </c>
      <c r="BA3" s="64">
        <v>0</v>
      </c>
      <c r="BB3" s="64">
        <v>1.65</v>
      </c>
      <c r="BC3" s="10">
        <f ca="1">INDEX('RC6SV'!$A$1:$G$21,MATCH(H3,'RC6SV'!$A$1:$A$21,FALSE),MATCH(G3,'RC6SV'!$A$1:$G$1,FALSE))</f>
        <v>13000</v>
      </c>
      <c r="BD3" s="44">
        <f t="shared" ref="BD3" ca="1" si="4">ROUND(BC3*IF(AJ3=1,0.95,IF(AJ3=2,1,IF(AJ3,1.05,0))),0)</f>
        <v>13000</v>
      </c>
      <c r="BE3" s="10">
        <f ca="1">ROUND(IFERROR(INDIRECT(ADDRESS(MATCH($A3,$AE:$AE,0),MATCH($BC$1,$1:$1,0))),0),0)</f>
        <v>9500</v>
      </c>
      <c r="BF3" s="10">
        <f ca="1">ROUND(IFERROR(INDIRECT(ADDRESS(MATCH($A3,$AE:$AE,0),10)),INDIRECT(ADDRESS(MATCH($A3,$A:$A,0),10))),0)</f>
        <v>1</v>
      </c>
      <c r="BG3" s="15">
        <f ca="1">IF($BE3&lt;=0,ROUND(BK3*0.5,0), ROUND($BE3*S3*AA3*J3*AY3*0.8*[1]ステータス!$B$2,0))</f>
        <v>3443</v>
      </c>
      <c r="BH3" s="15">
        <f ca="1">IF($BE3&lt;=0,ROUND(BL3*0.5,0), ROUND($BE3*T3*AB3*K3*AZ3*0.8*[1]ステータス!$C$2,0))</f>
        <v>2602</v>
      </c>
      <c r="BI3" s="15">
        <f ca="1">IF($BE3&lt;=0,ROUND(BM3*0.5,0), ROUND($BE3*U3*AC3*L3*BA3*0.8*[1]ステータス!$D$2,0))</f>
        <v>0</v>
      </c>
      <c r="BJ3" s="15">
        <f ca="1">IF($BE3&lt;=0,ROUND(BN3*0.5,0), ROUND($BE3*V3*AD3*M3*BB3*0.8*[1]ステータス!$E$2,0))</f>
        <v>2164</v>
      </c>
      <c r="BK3" s="10">
        <f ca="1">ROUND(BD3*S3*AA3*J3*AY3*[1]ステータス!$B$2,0)</f>
        <v>5889</v>
      </c>
      <c r="BL3" s="10">
        <f ca="1">ROUND(BD3*T3*AB3*K3*AZ3*[1]ステータス!$C$2,0)</f>
        <v>4451</v>
      </c>
      <c r="BM3" s="10">
        <f ca="1">ROUND(BD3*U3*AC3*L3*BA3*[1]ステータス!$D$2,0)</f>
        <v>0</v>
      </c>
      <c r="BN3" s="10">
        <f ca="1">ROUND(BD3*V3*AD3*M3*BB3*[1]ステータス!$E$2,0)</f>
        <v>3701</v>
      </c>
      <c r="BO3" s="9">
        <v>0</v>
      </c>
      <c r="BP3" s="9">
        <v>1</v>
      </c>
      <c r="BQ3" s="9" t="s">
        <v>47</v>
      </c>
      <c r="BR3" s="9">
        <f ca="1">VLOOKUP(H3,ghosts_label!A:B,2,FALSE)</f>
        <v>5500</v>
      </c>
    </row>
  </sheetData>
  <autoFilter ref="A1:BQ1"/>
  <phoneticPr fontId="10"/>
  <conditionalFormatting sqref="BO1">
    <cfRule type="cellIs" dxfId="31" priority="120" stopIfTrue="1" operator="equal">
      <formula>1</formula>
    </cfRule>
  </conditionalFormatting>
  <conditionalFormatting sqref="BQ1">
    <cfRule type="cellIs" dxfId="3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
  <sheetViews>
    <sheetView showGridLines="0" zoomScale="115" workbookViewId="0">
      <pane xSplit="4" ySplit="1" topLeftCell="E2" activePane="bottomRight" state="frozen"/>
      <selection pane="topRight" activeCell="D1" sqref="D1"/>
      <selection pane="bottomLeft" activeCell="A2" sqref="A2"/>
      <selection pane="bottomRight" activeCell="D8" sqref="D8"/>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1338</v>
      </c>
      <c r="B2" s="129" t="s">
        <v>185</v>
      </c>
      <c r="C2" s="188" t="s">
        <v>339</v>
      </c>
      <c r="D2" s="188" t="s">
        <v>356</v>
      </c>
      <c r="E2" s="131">
        <f t="shared" ref="E2" si="0">LEN(D2)</f>
        <v>61</v>
      </c>
      <c r="F2" s="63">
        <v>12</v>
      </c>
      <c r="G2" s="113">
        <v>5</v>
      </c>
      <c r="H2" s="132">
        <f>2001</f>
        <v>2001</v>
      </c>
      <c r="I2" s="197" t="s">
        <v>358</v>
      </c>
      <c r="J2" s="53" t="str">
        <f ca="1">VLOOKUP($A2,OFFSET([1]characters!$A$1,0,0,COUNTA([1]characters!$A:$A),MATCH("name",[1]characters!$1:$1,0)-MATCH("character_id",[1]characters!$1:$1,0)+1),MATCH("name",[1]characters!$1:$1,0)-MATCH("character_id",[1]characters!$1:$1,0)+1,FALSE)</f>
        <v>アメノウズメ</v>
      </c>
      <c r="K2" s="133">
        <f>IFERROR(VLOOKUP(A2,[1]characters!$A:$R,18),0)</f>
        <v>3</v>
      </c>
      <c r="L2" s="134"/>
      <c r="M2" s="135"/>
      <c r="N2" s="135"/>
      <c r="O2" s="135"/>
      <c r="P2" s="135"/>
      <c r="Q2" s="135"/>
      <c r="R2" s="130"/>
      <c r="S2" s="136"/>
    </row>
    <row r="3" spans="1:19" ht="21" customHeight="1" x14ac:dyDescent="0.15">
      <c r="A3" s="186">
        <v>1339</v>
      </c>
      <c r="B3" s="129" t="s">
        <v>185</v>
      </c>
      <c r="C3" s="188" t="s">
        <v>340</v>
      </c>
      <c r="D3" s="188" t="s">
        <v>357</v>
      </c>
      <c r="E3" s="131">
        <f t="shared" ref="E3" si="1">LEN(D3)</f>
        <v>61</v>
      </c>
      <c r="F3" s="63">
        <v>11</v>
      </c>
      <c r="G3" s="113">
        <v>5</v>
      </c>
      <c r="H3" s="132">
        <f>2001</f>
        <v>2001</v>
      </c>
      <c r="I3" s="197" t="s">
        <v>359</v>
      </c>
      <c r="J3" s="53" t="str">
        <f ca="1">VLOOKUP($A3,OFFSET([1]characters!$A$1,0,0,COUNTA([1]characters!$A:$A),MATCH("name",[1]characters!$1:$1,0)-MATCH("character_id",[1]characters!$1:$1,0)+1),MATCH("name",[1]characters!$1:$1,0)-MATCH("character_id",[1]characters!$1:$1,0)+1,FALSE)</f>
        <v>復古の舞芸神 アメノウズメ</v>
      </c>
      <c r="K3" s="133">
        <f>IFERROR(VLOOKUP(A3,[1]characters!$A:$R,18),0)</f>
        <v>3</v>
      </c>
      <c r="L3" s="134"/>
      <c r="M3" s="135"/>
      <c r="N3" s="135"/>
      <c r="O3" s="135"/>
      <c r="P3" s="135"/>
      <c r="Q3" s="135"/>
      <c r="R3" s="130"/>
      <c r="S3" s="136"/>
    </row>
  </sheetData>
  <sheetProtection selectLockedCells="1" selectUnlockedCells="1"/>
  <autoFilter ref="A1:S1">
    <sortState ref="A2:T432">
      <sortCondition ref="A1:A432"/>
    </sortState>
  </autoFilter>
  <phoneticPr fontId="22"/>
  <conditionalFormatting sqref="E1 E4:E1048576">
    <cfRule type="cellIs" dxfId="29" priority="24" operator="greaterThan">
      <formula>41</formula>
    </cfRule>
  </conditionalFormatting>
  <conditionalFormatting sqref="E2">
    <cfRule type="cellIs" dxfId="28" priority="18" operator="greaterThan">
      <formula>57</formula>
    </cfRule>
  </conditionalFormatting>
  <conditionalFormatting sqref="E3">
    <cfRule type="cellIs" dxfId="27" priority="17"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D4" sqref="D4"/>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1338</v>
      </c>
      <c r="B2" s="129" t="s">
        <v>186</v>
      </c>
      <c r="C2" s="188" t="s">
        <v>341</v>
      </c>
      <c r="D2" s="188" t="s">
        <v>354</v>
      </c>
      <c r="E2" s="131">
        <f t="shared" ref="E2" si="0">LEN(D2)</f>
        <v>27</v>
      </c>
      <c r="F2" s="189" t="s">
        <v>352</v>
      </c>
      <c r="G2" s="53" t="str">
        <f ca="1">VLOOKUP($A2,OFFSET([1]characters!$A$1,0,0,COUNTA([1]characters!$A:$A),MATCH("name",[1]characters!$1:$1,0)-MATCH("character_id",[1]characters!$1:$1,0)+1),MATCH("name",[1]characters!$1:$1,0)-MATCH("character_id",[1]characters!$1:$1,0)+1,FALSE)</f>
        <v>アメノウズメ</v>
      </c>
      <c r="H2" s="132">
        <f>IFERROR(VLOOKUP(A2,[1]characters!$A:$R,18),0)</f>
        <v>3</v>
      </c>
      <c r="I2" s="132"/>
      <c r="J2" s="137"/>
      <c r="K2" s="133">
        <v>1</v>
      </c>
      <c r="L2" s="134"/>
      <c r="M2" s="135"/>
      <c r="N2" s="135"/>
      <c r="O2" s="135"/>
      <c r="P2" s="135"/>
      <c r="Q2" s="135"/>
      <c r="R2" s="130"/>
      <c r="S2" s="136"/>
    </row>
    <row r="3" spans="1:19" ht="21" customHeight="1" x14ac:dyDescent="0.15">
      <c r="A3" s="186">
        <v>1339</v>
      </c>
      <c r="B3" s="129" t="s">
        <v>186</v>
      </c>
      <c r="C3" s="188" t="s">
        <v>342</v>
      </c>
      <c r="D3" s="188" t="s">
        <v>355</v>
      </c>
      <c r="E3" s="131">
        <f t="shared" ref="E3" si="1">LEN(D3)</f>
        <v>27</v>
      </c>
      <c r="F3" s="189" t="s">
        <v>353</v>
      </c>
      <c r="G3" s="53" t="str">
        <f ca="1">VLOOKUP($A3,OFFSET([1]characters!$A$1,0,0,COUNTA([1]characters!$A:$A),MATCH("name",[1]characters!$1:$1,0)-MATCH("character_id",[1]characters!$1:$1,0)+1),MATCH("name",[1]characters!$1:$1,0)-MATCH("character_id",[1]characters!$1:$1,0)+1,FALSE)</f>
        <v>復古の舞芸神 アメノウズメ</v>
      </c>
      <c r="H3" s="132">
        <f>IFERROR(VLOOKUP(A3,[1]characters!$A:$R,18),0)</f>
        <v>3</v>
      </c>
      <c r="I3" s="132"/>
      <c r="J3" s="137"/>
      <c r="K3" s="133">
        <v>1</v>
      </c>
      <c r="L3" s="134"/>
      <c r="M3" s="135"/>
      <c r="N3" s="135"/>
      <c r="O3" s="135"/>
      <c r="P3" s="135"/>
      <c r="Q3" s="135"/>
      <c r="R3" s="130"/>
      <c r="S3" s="136"/>
    </row>
  </sheetData>
  <sheetProtection selectLockedCells="1" selectUnlockedCells="1"/>
  <autoFilter ref="A1:J1"/>
  <phoneticPr fontId="22"/>
  <conditionalFormatting sqref="E2">
    <cfRule type="cellIs" dxfId="26" priority="18" operator="greaterThan">
      <formula>57</formula>
    </cfRule>
  </conditionalFormatting>
  <conditionalFormatting sqref="E3">
    <cfRule type="cellIs" dxfId="25" priority="17"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zoomScale="110" workbookViewId="0">
      <selection activeCell="F12" sqref="F12"/>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1338</v>
      </c>
      <c r="B2" s="138" t="str">
        <f>VLOOKUP(A2,[1]characters!$A:$C,3,FALSE)</f>
        <v>アメノウズメ</v>
      </c>
      <c r="C2" s="105" t="s">
        <v>195</v>
      </c>
      <c r="D2" s="138" t="str">
        <f t="shared" ref="D2" si="0">A2&amp;C2</f>
        <v>1338skill</v>
      </c>
      <c r="E2" s="138" t="str">
        <f>A2&amp;+(COUNTIF(A2:A$100,A2)-1)</f>
        <v>13383</v>
      </c>
      <c r="F2" s="105" t="s">
        <v>197</v>
      </c>
      <c r="G2" s="162" t="s">
        <v>196</v>
      </c>
      <c r="H2" s="162" t="s">
        <v>343</v>
      </c>
    </row>
    <row r="3" spans="1:8" x14ac:dyDescent="0.15">
      <c r="A3" s="105">
        <v>1338</v>
      </c>
      <c r="B3" s="138" t="str">
        <f>VLOOKUP(A3,[1]characters!$A:$C,3,FALSE)</f>
        <v>アメノウズメ</v>
      </c>
      <c r="C3" s="105" t="s">
        <v>198</v>
      </c>
      <c r="D3" s="138" t="str">
        <f>A3&amp;C3</f>
        <v>1338cskill</v>
      </c>
      <c r="E3" s="138" t="str">
        <f>A3&amp;+(COUNTIF(A3:A$100,A3)-1)</f>
        <v>13382</v>
      </c>
      <c r="F3" s="105" t="s">
        <v>186</v>
      </c>
      <c r="G3" s="162" t="s">
        <v>196</v>
      </c>
      <c r="H3" s="162" t="s">
        <v>345</v>
      </c>
    </row>
    <row r="4" spans="1:8" x14ac:dyDescent="0.15">
      <c r="A4" s="105">
        <v>1338</v>
      </c>
      <c r="B4" s="138" t="str">
        <f>VLOOKUP(A4,[1]characters!$A:$C,3,FALSE)</f>
        <v>アメノウズメ</v>
      </c>
      <c r="C4" s="105" t="s">
        <v>198</v>
      </c>
      <c r="D4" s="138" t="str">
        <f>A4&amp;C4</f>
        <v>1338cskill</v>
      </c>
      <c r="E4" s="138" t="str">
        <f>A4&amp;+(COUNTIF(A4:A$100,A4)-1)</f>
        <v>13381</v>
      </c>
      <c r="F4" s="105" t="s">
        <v>186</v>
      </c>
      <c r="G4" s="162" t="s">
        <v>344</v>
      </c>
      <c r="H4" s="162" t="s">
        <v>346</v>
      </c>
    </row>
    <row r="5" spans="1:8" x14ac:dyDescent="0.15">
      <c r="A5" s="105">
        <v>1338</v>
      </c>
      <c r="B5" s="138" t="str">
        <f>VLOOKUP(A5,[1]characters!$A:$C,3,FALSE)</f>
        <v>アメノウズメ</v>
      </c>
      <c r="C5" s="105" t="s">
        <v>198</v>
      </c>
      <c r="D5" s="138" t="str">
        <f>A5&amp;C5</f>
        <v>1338cskill</v>
      </c>
      <c r="E5" s="138" t="str">
        <f>A5&amp;+(COUNTIF(A5:A$100,A5)-1)</f>
        <v>13380</v>
      </c>
      <c r="F5" s="105" t="s">
        <v>197</v>
      </c>
      <c r="G5" s="162" t="s">
        <v>344</v>
      </c>
      <c r="H5" s="162" t="s">
        <v>347</v>
      </c>
    </row>
    <row r="6" spans="1:8" x14ac:dyDescent="0.15">
      <c r="A6" s="105">
        <v>1339</v>
      </c>
      <c r="B6" s="138" t="str">
        <f>VLOOKUP(A6,[1]characters!$A:$C,3,FALSE)</f>
        <v>復古の舞芸神 アメノウズメ</v>
      </c>
      <c r="C6" s="105" t="s">
        <v>195</v>
      </c>
      <c r="D6" s="138" t="str">
        <f t="shared" ref="D6" si="1">A6&amp;C6</f>
        <v>1339skill</v>
      </c>
      <c r="E6" s="138" t="str">
        <f>A6&amp;+(COUNTIF(A6:A$100,A6)-1)</f>
        <v>13394</v>
      </c>
      <c r="F6" s="105" t="s">
        <v>186</v>
      </c>
      <c r="G6" s="162" t="s">
        <v>196</v>
      </c>
      <c r="H6" s="162" t="s">
        <v>348</v>
      </c>
    </row>
    <row r="7" spans="1:8" x14ac:dyDescent="0.15">
      <c r="A7" s="105">
        <v>1339</v>
      </c>
      <c r="B7" s="138" t="str">
        <f>VLOOKUP(A7,[1]characters!$A:$C,3,FALSE)</f>
        <v>復古の舞芸神 アメノウズメ</v>
      </c>
      <c r="C7" s="105" t="s">
        <v>198</v>
      </c>
      <c r="D7" s="138" t="str">
        <f>A7&amp;C7</f>
        <v>1339cskill</v>
      </c>
      <c r="E7" s="138" t="str">
        <f>A7&amp;+(COUNTIF(A7:A$100,A7)-1)</f>
        <v>13393</v>
      </c>
      <c r="F7" s="105" t="s">
        <v>186</v>
      </c>
      <c r="G7" s="162" t="s">
        <v>196</v>
      </c>
      <c r="H7" s="162" t="s">
        <v>345</v>
      </c>
    </row>
    <row r="8" spans="1:8" x14ac:dyDescent="0.15">
      <c r="A8" s="105">
        <v>1339</v>
      </c>
      <c r="B8" s="138" t="str">
        <f>VLOOKUP(A8,[1]characters!$A:$C,3,FALSE)</f>
        <v>復古の舞芸神 アメノウズメ</v>
      </c>
      <c r="C8" s="105" t="s">
        <v>198</v>
      </c>
      <c r="D8" s="138" t="str">
        <f>A8&amp;C8</f>
        <v>1339cskill</v>
      </c>
      <c r="E8" s="138" t="str">
        <f>A8&amp;+(COUNTIF(A8:A$100,A8)-1)</f>
        <v>13392</v>
      </c>
      <c r="F8" s="105" t="s">
        <v>186</v>
      </c>
      <c r="G8" s="162" t="s">
        <v>344</v>
      </c>
      <c r="H8" s="162" t="s">
        <v>346</v>
      </c>
    </row>
    <row r="9" spans="1:8" x14ac:dyDescent="0.15">
      <c r="A9" s="105">
        <v>1339</v>
      </c>
      <c r="B9" s="138" t="str">
        <f>VLOOKUP(A9,[1]characters!$A:$C,3,FALSE)</f>
        <v>復古の舞芸神 アメノウズメ</v>
      </c>
      <c r="C9" s="105" t="s">
        <v>198</v>
      </c>
      <c r="D9" s="138" t="str">
        <f>A9&amp;C9</f>
        <v>1339cskill</v>
      </c>
      <c r="E9" s="138" t="str">
        <f>A9&amp;+(COUNTIF(A9:A$100,A9)-1)</f>
        <v>13391</v>
      </c>
      <c r="F9" s="105" t="s">
        <v>186</v>
      </c>
      <c r="G9" s="162" t="s">
        <v>344</v>
      </c>
      <c r="H9" s="162" t="s">
        <v>347</v>
      </c>
    </row>
    <row r="10" spans="1:8" x14ac:dyDescent="0.15">
      <c r="A10" s="105">
        <v>1339</v>
      </c>
      <c r="B10" s="138" t="str">
        <f>VLOOKUP(A10,[1]characters!$A:$C,3,FALSE)</f>
        <v>復古の舞芸神 アメノウズメ</v>
      </c>
      <c r="C10" s="105" t="s">
        <v>198</v>
      </c>
      <c r="D10" s="138" t="str">
        <f>A10&amp;C10</f>
        <v>1339cskill</v>
      </c>
      <c r="E10" s="138" t="str">
        <f>A10&amp;+(COUNTIF(A10:A$100,A10)-1)</f>
        <v>13390</v>
      </c>
      <c r="F10" s="105" t="s">
        <v>186</v>
      </c>
      <c r="G10" s="162" t="s">
        <v>344</v>
      </c>
      <c r="H10" s="162" t="s">
        <v>349</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P2" activePane="bottomRight" state="frozen"/>
      <selection pane="topRight" activeCell="J1" sqref="J1"/>
      <selection pane="bottomLeft" activeCell="A3" sqref="A3"/>
      <selection pane="bottomRight" activeCell="A2" sqref="A2"/>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0">
        <v>1338</v>
      </c>
      <c r="B2" s="53" t="str">
        <f ca="1">VLOOKUP($A2,OFFSET([1]characters!$A$1,0,0,COUNTA([1]characters!$A:$A),MATCH(B$1,[1]characters!$1:$1,0)-MATCH($A$1,[1]characters!$1:$1,0)+1),MATCH(B$1,[1]characters!$1:$1,0)-MATCH($A$1,[1]characters!$1:$1,0)+1,FALSE)</f>
        <v>アメノウズメ</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yellow</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1339</v>
      </c>
      <c r="R2" s="58" t="str">
        <f ca="1">IF(Q2="NULL","",VLOOKUP($Q2,OFFSET([1]characters!$A$1,0,0,COUNTA([1]characters!$A:$A),MATCH(R$1,[1]characters!$1:$1,0)-MATCH($A$1,[1]characters!$1:$1,0)+1),MATCH(R$1,[1]characters!$1:$1,0)-MATCH($A$1,[1]characters!$1:$1,0)+1,FALSE))</f>
        <v>復古の舞芸神 アメノウズメ</v>
      </c>
      <c r="S2" s="5">
        <f ca="1">IF(ISNA(MATCH(A2,Q:Q,0)),A2,INDIRECT(ADDRESS(MATCH(A2,Q:Q,0),COLUMN())))</f>
        <v>1338</v>
      </c>
      <c r="T2" s="58" t="str">
        <f ca="1">VLOOKUP($S2,OFFSET([1]characters!$A$1,0,0,COUNTA([1]characters!$A:$A),MATCH(T$1,[1]characters!$1:$1,0)-MATCH($A$1,[1]characters!$1:$1,0)+1),MATCH(T$1,[1]characters!$1:$1,0)-MATCH($A$1,[1]characters!$1:$1,0)+1,FALSE)</f>
        <v>アメノウズメ</v>
      </c>
      <c r="U2" s="10">
        <f ca="1">IF(Q2="NULL","NULL",VLOOKUP(G2,[2]ビット!$A$2:$B$7,2))</f>
        <v>200000</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6"/>
  <sheetViews>
    <sheetView showGridLines="0" topLeftCell="D1" workbookViewId="0">
      <pane ySplit="1" topLeftCell="A2" activePane="bottomLeft" state="frozen"/>
      <selection pane="bottomLeft" activeCell="K14" sqref="K14"/>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B2&amp;"_"&amp;I2</f>
        <v>1338_837</v>
      </c>
      <c r="B2" s="194">
        <v>1338</v>
      </c>
      <c r="C2" s="178">
        <f>B2</f>
        <v>1338</v>
      </c>
      <c r="D2" s="53" t="str">
        <f ca="1">VLOOKUP($C2,OFFSET([1]characters!$A$1,0,0,COUNTA([1]characters!$A:$A),MATCH(D$1,[1]characters!$1:$1,0)-MATCH($C$1,[1]characters!$1:$1,0)+1),MATCH(D$1,[1]characters!$1:$1,0)-MATCH($C$1,[1]characters!$1:$1,0)+1,FALSE)</f>
        <v>アメノウズメ</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v>
      </c>
      <c r="G2" s="194">
        <v>1339</v>
      </c>
      <c r="H2" s="53" t="str">
        <f ca="1">VLOOKUP($G2,OFFSET([1]characters!$A$1,0,0,COUNTA([1]characters!$A:$A),MATCH(H$1,[1]characters!$1:$1,0)-MATCH($C$1,[1]characters!$1:$1,0)+1),MATCH(H$1,[1]characters!$1:$1,0)-MATCH($C$1,[1]characters!$1:$1,0)+1,FALSE)</f>
        <v>復古の舞芸神 アメノウズメ</v>
      </c>
      <c r="I2" s="193">
        <v>837</v>
      </c>
      <c r="J2" s="53" t="str">
        <f ca="1">VLOOKUP($I2,OFFSET([1]characters!$A$1,0,0,COUNTA([1]characters!$A:$A),MATCH(J$1,[1]characters!$1:$1,0)-MATCH($C$1,[1]characters!$1:$1,0)+1),MATCH(J$1,[1]characters!$1:$1,0)-MATCH($C$1,[1]characters!$1:$1,0)+1,FALSE)</f>
        <v>リトルハンプティ</v>
      </c>
      <c r="K2" s="191">
        <v>1</v>
      </c>
      <c r="L2" s="192">
        <v>1</v>
      </c>
      <c r="M2" s="192">
        <v>1000</v>
      </c>
      <c r="N2" s="2" t="s">
        <v>290</v>
      </c>
    </row>
    <row r="3" spans="1:14" ht="21" customHeight="1" x14ac:dyDescent="0.15">
      <c r="A3" s="61" t="str">
        <f>B3&amp;"_"&amp;I3</f>
        <v>1338_1324</v>
      </c>
      <c r="B3" s="194">
        <v>1338</v>
      </c>
      <c r="C3" s="178">
        <f>B3</f>
        <v>1338</v>
      </c>
      <c r="D3" s="53" t="str">
        <f ca="1">VLOOKUP($C3,OFFSET([1]characters!$A$1,0,0,COUNTA([1]characters!$A:$A),MATCH(D$1,[1]characters!$1:$1,0)-MATCH($C$1,[1]characters!$1:$1,0)+1),MATCH(D$1,[1]characters!$1:$1,0)-MATCH($C$1,[1]characters!$1:$1,0)+1,FALSE)</f>
        <v>アメノウズメ</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v>
      </c>
      <c r="G3" s="194">
        <v>1339</v>
      </c>
      <c r="H3" s="53" t="str">
        <f ca="1">VLOOKUP($G3,OFFSET([1]characters!$A$1,0,0,COUNTA([1]characters!$A:$A),MATCH(H$1,[1]characters!$1:$1,0)-MATCH($C$1,[1]characters!$1:$1,0)+1),MATCH(H$1,[1]characters!$1:$1,0)-MATCH($C$1,[1]characters!$1:$1,0)+1,FALSE)</f>
        <v>復古の舞芸神 アメノウズメ</v>
      </c>
      <c r="I3" s="193">
        <v>1324</v>
      </c>
      <c r="J3" s="53" t="str">
        <f ca="1">VLOOKUP($I3,OFFSET([1]characters!$A$1,0,0,COUNTA([1]characters!$A:$A),MATCH(J$1,[1]characters!$1:$1,0)-MATCH($C$1,[1]characters!$1:$1,0)+1),MATCH(J$1,[1]characters!$1:$1,0)-MATCH($C$1,[1]characters!$1:$1,0)+1,FALSE)</f>
        <v>アウリ</v>
      </c>
      <c r="K3" s="191">
        <v>1</v>
      </c>
      <c r="L3" s="192">
        <v>1</v>
      </c>
      <c r="M3" s="192">
        <v>100</v>
      </c>
      <c r="N3" s="2" t="s">
        <v>290</v>
      </c>
    </row>
    <row r="4" spans="1:14" ht="21" customHeight="1" x14ac:dyDescent="0.15">
      <c r="A4" s="61" t="str">
        <f>B4&amp;"_"&amp;I4</f>
        <v>1338_1020</v>
      </c>
      <c r="B4" s="194">
        <v>1338</v>
      </c>
      <c r="C4" s="178">
        <f>B4</f>
        <v>1338</v>
      </c>
      <c r="D4" s="53" t="str">
        <f ca="1">VLOOKUP($C4,OFFSET([1]characters!$A$1,0,0,COUNTA([1]characters!$A:$A),MATCH(D$1,[1]characters!$1:$1,0)-MATCH($C$1,[1]characters!$1:$1,0)+1),MATCH(D$1,[1]characters!$1:$1,0)-MATCH($C$1,[1]characters!$1:$1,0)+1,FALSE)</f>
        <v>アメノウズメ</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v>
      </c>
      <c r="G4" s="194">
        <v>1339</v>
      </c>
      <c r="H4" s="53" t="str">
        <f ca="1">VLOOKUP($G4,OFFSET([1]characters!$A$1,0,0,COUNTA([1]characters!$A:$A),MATCH(H$1,[1]characters!$1:$1,0)-MATCH($C$1,[1]characters!$1:$1,0)+1),MATCH(H$1,[1]characters!$1:$1,0)-MATCH($C$1,[1]characters!$1:$1,0)+1,FALSE)</f>
        <v>復古の舞芸神 アメノウズメ</v>
      </c>
      <c r="I4" s="193">
        <v>1020</v>
      </c>
      <c r="J4" s="53" t="str">
        <f ca="1">VLOOKUP($I4,OFFSET([1]characters!$A$1,0,0,COUNTA([1]characters!$A:$A),MATCH(J$1,[1]characters!$1:$1,0)-MATCH($C$1,[1]characters!$1:$1,0)+1),MATCH(J$1,[1]characters!$1:$1,0)-MATCH($C$1,[1]characters!$1:$1,0)+1,FALSE)</f>
        <v>静御前</v>
      </c>
      <c r="K4" s="191">
        <v>1</v>
      </c>
      <c r="L4" s="192">
        <v>1</v>
      </c>
      <c r="M4" s="192">
        <v>100</v>
      </c>
      <c r="N4" s="2" t="s">
        <v>290</v>
      </c>
    </row>
    <row r="5" spans="1:14" ht="21" customHeight="1" x14ac:dyDescent="0.15">
      <c r="A5" s="61" t="str">
        <f>B5&amp;"_"&amp;I5</f>
        <v>1338_115</v>
      </c>
      <c r="B5" s="194">
        <v>1338</v>
      </c>
      <c r="C5" s="178">
        <f>B5</f>
        <v>1338</v>
      </c>
      <c r="D5" s="53" t="str">
        <f ca="1">VLOOKUP($C5,OFFSET([1]characters!$A$1,0,0,COUNTA([1]characters!$A:$A),MATCH(D$1,[1]characters!$1:$1,0)-MATCH($C$1,[1]characters!$1:$1,0)+1),MATCH(D$1,[1]characters!$1:$1,0)-MATCH($C$1,[1]characters!$1:$1,0)+1,FALSE)</f>
        <v>アメノウズメ</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v>
      </c>
      <c r="G5" s="194">
        <v>1339</v>
      </c>
      <c r="H5" s="53" t="str">
        <f ca="1">VLOOKUP($G5,OFFSET([1]characters!$A$1,0,0,COUNTA([1]characters!$A:$A),MATCH(H$1,[1]characters!$1:$1,0)-MATCH($C$1,[1]characters!$1:$1,0)+1),MATCH(H$1,[1]characters!$1:$1,0)-MATCH($C$1,[1]characters!$1:$1,0)+1,FALSE)</f>
        <v>復古の舞芸神 アメノウズメ</v>
      </c>
      <c r="I5" s="193">
        <v>115</v>
      </c>
      <c r="J5" s="53" t="str">
        <f ca="1">VLOOKUP($I5,OFFSET([1]characters!$A$1,0,0,COUNTA([1]characters!$A:$A),MATCH(J$1,[1]characters!$1:$1,0)-MATCH($C$1,[1]characters!$1:$1,0)+1),MATCH(J$1,[1]characters!$1:$1,0)-MATCH($C$1,[1]characters!$1:$1,0)+1,FALSE)</f>
        <v>イエローキャタップ</v>
      </c>
      <c r="K5" s="191">
        <v>1</v>
      </c>
      <c r="L5" s="192">
        <v>1</v>
      </c>
      <c r="M5" s="192">
        <v>10</v>
      </c>
      <c r="N5" s="2" t="s">
        <v>290</v>
      </c>
    </row>
    <row r="6" spans="1:14" ht="21" customHeight="1" x14ac:dyDescent="0.15">
      <c r="A6" s="61" t="str">
        <f>B6&amp;"_"&amp;I6</f>
        <v>1338_116</v>
      </c>
      <c r="B6" s="194">
        <v>1338</v>
      </c>
      <c r="C6" s="178">
        <f>B6</f>
        <v>1338</v>
      </c>
      <c r="D6" s="53" t="str">
        <f ca="1">VLOOKUP($C6,OFFSET([1]characters!$A$1,0,0,COUNTA([1]characters!$A:$A),MATCH(D$1,[1]characters!$1:$1,0)-MATCH($C$1,[1]characters!$1:$1,0)+1),MATCH(D$1,[1]characters!$1:$1,0)-MATCH($C$1,[1]characters!$1:$1,0)+1,FALSE)</f>
        <v>アメノウズメ</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v>
      </c>
      <c r="G6" s="194">
        <v>1339</v>
      </c>
      <c r="H6" s="53" t="str">
        <f ca="1">VLOOKUP($G6,OFFSET([1]characters!$A$1,0,0,COUNTA([1]characters!$A:$A),MATCH(H$1,[1]characters!$1:$1,0)-MATCH($C$1,[1]characters!$1:$1,0)+1),MATCH(H$1,[1]characters!$1:$1,0)-MATCH($C$1,[1]characters!$1:$1,0)+1,FALSE)</f>
        <v>復古の舞芸神 アメノウズメ</v>
      </c>
      <c r="I6" s="193">
        <v>116</v>
      </c>
      <c r="J6" s="53" t="str">
        <f ca="1">VLOOKUP($I6,OFFSET([1]characters!$A$1,0,0,COUNTA([1]characters!$A:$A),MATCH(J$1,[1]characters!$1:$1,0)-MATCH($C$1,[1]characters!$1:$1,0)+1),MATCH(J$1,[1]characters!$1:$1,0)-MATCH($C$1,[1]characters!$1:$1,0)+1,FALSE)</f>
        <v>雷のマッドハッター</v>
      </c>
      <c r="K6" s="191">
        <v>1</v>
      </c>
      <c r="L6" s="192">
        <v>1</v>
      </c>
      <c r="M6" s="192">
        <v>10</v>
      </c>
      <c r="N6"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G25" sqref="G25"/>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302</v>
      </c>
      <c r="B1" s="115" t="s">
        <v>303</v>
      </c>
      <c r="C1" s="116" t="s">
        <v>304</v>
      </c>
      <c r="D1" s="117" t="s">
        <v>305</v>
      </c>
      <c r="E1" s="117" t="s">
        <v>306</v>
      </c>
      <c r="F1" s="117" t="s">
        <v>307</v>
      </c>
      <c r="G1" s="117" t="s">
        <v>308</v>
      </c>
      <c r="H1" s="117" t="s">
        <v>309</v>
      </c>
      <c r="I1" s="173" t="s">
        <v>310</v>
      </c>
      <c r="J1" s="168" t="s">
        <v>311</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
  <sheetViews>
    <sheetView workbookViewId="0">
      <selection activeCell="E13" sqref="E13"/>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1339</v>
      </c>
      <c r="B2" s="172" t="str">
        <f>VLOOKUP(A2,[1]characters!$A:$C,3)</f>
        <v>復古の舞芸神 アメノウズメ</v>
      </c>
      <c r="C2" s="195">
        <v>1</v>
      </c>
      <c r="D2" s="195">
        <v>109</v>
      </c>
      <c r="E2" s="173" t="str">
        <f>IF(ISERROR(VLOOKUP(D2,[3]abilities!A:D,3,FALSE))=FALSE,VLOOKUP(D2,[3]abilities!A:D,3),IF(ISERROR(VLOOKUP(D2,abilities!A:D,3,FALSE))=FALSE,VLOOKUP(D2,abilities!A:D,3),"なし"))</f>
        <v>ダメージパネルブレイク</v>
      </c>
      <c r="F2" s="173" t="str">
        <f>IF(ISERROR(VLOOKUP(D2,[3]abilities!A:D,4,FALSE))=FALSE,VLOOKUP(D2,[3]abilities!A:D,4),IF(ISERROR(VLOOKUP(D2,abilities!A:D,4,FALSE))=FALSE,VLOOKUP(D2,abilities!A:D,4),"なし"))</f>
        <v>自身が先頭の時、ダメージを受けずにダメージパネルを破壊できる</v>
      </c>
      <c r="G2" s="174" t="s">
        <v>274</v>
      </c>
      <c r="H2" s="196" t="s">
        <v>350</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topLeftCell="A2"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activeCell="B17" sqref="B17"/>
    </sheetView>
  </sheetViews>
  <sheetFormatPr baseColWidth="12" defaultRowHeight="15" x14ac:dyDescent="0.15"/>
  <sheetData>
    <row r="1" spans="1:2" x14ac:dyDescent="0.15">
      <c r="A1" t="s">
        <v>318</v>
      </c>
      <c r="B1" t="s">
        <v>319</v>
      </c>
    </row>
    <row r="2" spans="1:2" x14ac:dyDescent="0.15">
      <c r="A2" t="s">
        <v>320</v>
      </c>
      <c r="B2">
        <v>1</v>
      </c>
    </row>
    <row r="3" spans="1:2" x14ac:dyDescent="0.15">
      <c r="A3" t="s">
        <v>321</v>
      </c>
      <c r="B3">
        <v>1</v>
      </c>
    </row>
    <row r="4" spans="1:2" x14ac:dyDescent="0.15">
      <c r="A4" t="s">
        <v>322</v>
      </c>
      <c r="B4">
        <v>1</v>
      </c>
    </row>
    <row r="5" spans="1:2" x14ac:dyDescent="0.15">
      <c r="A5" t="s">
        <v>323</v>
      </c>
      <c r="B5">
        <v>1</v>
      </c>
    </row>
    <row r="6" spans="1:2" x14ac:dyDescent="0.15">
      <c r="A6" t="s">
        <v>324</v>
      </c>
      <c r="B6">
        <v>1</v>
      </c>
    </row>
    <row r="7" spans="1:2" x14ac:dyDescent="0.15">
      <c r="A7" t="s">
        <v>325</v>
      </c>
      <c r="B7">
        <v>1</v>
      </c>
    </row>
    <row r="8" spans="1:2" x14ac:dyDescent="0.15">
      <c r="A8" t="s">
        <v>326</v>
      </c>
      <c r="B8">
        <v>1</v>
      </c>
    </row>
    <row r="9" spans="1:2" x14ac:dyDescent="0.15">
      <c r="A9" t="s">
        <v>327</v>
      </c>
      <c r="B9">
        <v>1</v>
      </c>
    </row>
    <row r="10" spans="1:2" x14ac:dyDescent="0.15">
      <c r="A10" t="s">
        <v>328</v>
      </c>
      <c r="B10">
        <v>1</v>
      </c>
    </row>
    <row r="11" spans="1:2" x14ac:dyDescent="0.15">
      <c r="A11" t="s">
        <v>329</v>
      </c>
      <c r="B11">
        <v>1</v>
      </c>
    </row>
    <row r="12" spans="1:2" x14ac:dyDescent="0.15">
      <c r="A12" t="s">
        <v>330</v>
      </c>
      <c r="B12">
        <v>1</v>
      </c>
    </row>
    <row r="13" spans="1:2" x14ac:dyDescent="0.15">
      <c r="A13" t="s">
        <v>331</v>
      </c>
      <c r="B13">
        <v>0</v>
      </c>
    </row>
    <row r="14" spans="1:2" x14ac:dyDescent="0.15">
      <c r="A14" t="s">
        <v>332</v>
      </c>
      <c r="B14">
        <v>500</v>
      </c>
    </row>
    <row r="15" spans="1:2" x14ac:dyDescent="0.15">
      <c r="A15" t="s">
        <v>333</v>
      </c>
      <c r="B15">
        <v>600</v>
      </c>
    </row>
    <row r="16" spans="1:2" x14ac:dyDescent="0.15">
      <c r="A16" t="s">
        <v>334</v>
      </c>
      <c r="B16">
        <v>700</v>
      </c>
    </row>
    <row r="17" spans="1:2" x14ac:dyDescent="0.15">
      <c r="A17" t="s">
        <v>335</v>
      </c>
      <c r="B17">
        <v>5500</v>
      </c>
    </row>
    <row r="18" spans="1:2" x14ac:dyDescent="0.15">
      <c r="A18" t="s">
        <v>336</v>
      </c>
      <c r="B18">
        <v>6000</v>
      </c>
    </row>
    <row r="19" spans="1:2" x14ac:dyDescent="0.15">
      <c r="A19" t="s">
        <v>337</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2017-06-06T08:51:33Z</dcterms:modified>
</cp:coreProperties>
</file>