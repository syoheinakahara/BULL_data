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kakunotomoya/BULL_data/master_excel/"/>
    </mc:Choice>
  </mc:AlternateContent>
  <bookViews>
    <workbookView xWindow="0" yWindow="460" windowWidth="28800" windowHeight="15940" tabRatio="963"/>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unit_abilities" sheetId="57" r:id="rId8"/>
    <sheet name="→base値" sheetId="51" r:id="rId9"/>
    <sheet name="コスト" sheetId="13" r:id="rId10"/>
    <sheet name="レベル" sheetId="12" r:id="rId11"/>
    <sheet name="経験値" sheetId="10" r:id="rId12"/>
    <sheet name="スキルターン" sheetId="60" r:id="rId13"/>
    <sheet name="RC6SV" sheetId="11" r:id="rId14"/>
    <sheet name="ビット" sheetId="15" r:id="rId15"/>
    <sheet name="abilities" sheetId="56" state="hidden" r:id="rId16"/>
    <sheet name="ghosts_label" sheetId="59" r:id="rId17"/>
    <sheet name="チェックシート" sheetId="55" r:id="rId18"/>
  </sheets>
  <externalReferences>
    <externalReference r:id="rId19"/>
    <externalReference r:id="rId20"/>
    <externalReference r:id="rId21"/>
    <externalReference r:id="rId22"/>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unit_skills!$A$1:$T$1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M6" i="3" l="1"/>
  <c r="J6" i="3"/>
  <c r="H6" i="3"/>
  <c r="C6" i="3"/>
  <c r="F6" i="3"/>
  <c r="E6" i="3"/>
  <c r="D6" i="3"/>
  <c r="A6" i="3"/>
  <c r="AT3" i="23"/>
  <c r="AT2" i="23"/>
  <c r="AP3" i="23"/>
  <c r="AP2" i="23"/>
  <c r="H2" i="23"/>
  <c r="H3" i="23"/>
  <c r="G3" i="52"/>
  <c r="G2" i="52"/>
  <c r="F3" i="52"/>
  <c r="C2" i="57"/>
  <c r="H2" i="57"/>
  <c r="M3" i="3"/>
  <c r="M4" i="3"/>
  <c r="M5" i="3"/>
  <c r="M2" i="3"/>
  <c r="E3" i="52"/>
  <c r="E2" i="52"/>
  <c r="BR3" i="23"/>
  <c r="BR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0" i="13"/>
  <c r="G11" i="13"/>
  <c r="G9" i="13"/>
  <c r="B2" i="23"/>
  <c r="B3" i="23"/>
  <c r="G3" i="13"/>
  <c r="G4" i="13"/>
  <c r="R3" i="23"/>
  <c r="R2" i="23"/>
  <c r="K2" i="52"/>
  <c r="AQ2" i="23"/>
  <c r="H2" i="53"/>
  <c r="H3" i="53"/>
  <c r="G3" i="53"/>
  <c r="E3" i="53"/>
  <c r="AU3" i="23"/>
  <c r="L3" i="52"/>
  <c r="K3" i="52"/>
  <c r="I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L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I2" i="52"/>
  <c r="A33" i="55"/>
  <c r="A31" i="55"/>
  <c r="A30" i="55"/>
  <c r="A28" i="55"/>
  <c r="A25" i="55"/>
  <c r="A23" i="55"/>
  <c r="A20" i="55"/>
  <c r="A10" i="55"/>
  <c r="A9" i="55"/>
  <c r="A8" i="55"/>
  <c r="B5" i="54"/>
  <c r="E2" i="53"/>
  <c r="E10" i="49"/>
  <c r="E9" i="49"/>
  <c r="E8" i="49"/>
  <c r="E7" i="49"/>
  <c r="E11" i="49"/>
  <c r="E12" i="49"/>
  <c r="E4" i="49"/>
  <c r="E6" i="49"/>
  <c r="E2" i="49"/>
  <c r="F2" i="52"/>
  <c r="A22" i="55"/>
  <c r="A27" i="55"/>
  <c r="A32" i="55"/>
</calcChain>
</file>

<file path=xl/sharedStrings.xml><?xml version="1.0" encoding="utf-8"?>
<sst xmlns="http://schemas.openxmlformats.org/spreadsheetml/2006/main" count="910" uniqueCount="381">
  <si>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</si>
  <si>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</si>
  <si>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</si>
  <si>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</si>
  <si>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</si>
  <si>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</si>
  <si>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</si>
  <si>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</si>
  <si>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</si>
  <si>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</si>
  <si>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</si>
  <si>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</si>
  <si>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</si>
  <si>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</si>
  <si>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</si>
  <si>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</si>
  <si>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</si>
  <si>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</si>
  <si>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</si>
  <si>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</si>
  <si>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</si>
  <si>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</si>
  <si>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</si>
  <si>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</si>
  <si>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</si>
  <si>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</si>
  <si>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</si>
  <si>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</si>
  <si>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</si>
  <si>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</si>
  <si>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</si>
  <si>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</si>
  <si>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</si>
  <si>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</si>
  <si>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</si>
  <si>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</si>
  <si>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</si>
  <si>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</si>
  <si>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</si>
  <si>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</si>
  <si>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</si>
  <si>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</si>
  <si>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</si>
  <si>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</si>
  <si>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</si>
  <si>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</si>
  <si>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</si>
  <si>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</si>
  <si>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</si>
  <si>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</si>
  <si>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</si>
  <si>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</si>
  <si>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</si>
  <si>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</si>
  <si>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</si>
  <si>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</si>
  <si>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</si>
  <si>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</si>
  <si>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</si>
  <si>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</si>
  <si>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</si>
  <si>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</si>
  <si>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</si>
  <si>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</si>
  <si>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</si>
  <si>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</si>
  <si>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</si>
  <si>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</si>
  <si>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</si>
  <si>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</si>
  <si>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</si>
  <si>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</si>
  <si>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</si>
  <si>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</si>
  <si>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</si>
  <si>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</si>
  <si>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</si>
  <si>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</si>
  <si>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</si>
  <si>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</si>
  <si>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</si>
  <si>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</si>
  <si>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</si>
  <si>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</si>
  <si>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</si>
  <si>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</si>
  <si>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</si>
  <si>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</si>
  <si>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</si>
  <si>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</si>
  <si>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</si>
  <si>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</si>
  <si>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</si>
  <si>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</si>
  <si>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</si>
  <si>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</si>
  <si>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</si>
  <si>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</si>
  <si>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</si>
  <si>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</si>
  <si>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</si>
  <si>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</si>
  <si>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</si>
  <si>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</si>
  <si>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</si>
  <si>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</si>
  <si>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</si>
  <si>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</si>
  <si>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</si>
  <si>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</si>
  <si>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</si>
  <si>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</si>
  <si>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</si>
  <si>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</si>
  <si>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</si>
  <si>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</si>
  <si>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</si>
  <si>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</si>
  <si>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</si>
  <si>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</si>
  <si>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</si>
  <si>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</si>
  <si>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</si>
  <si>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</si>
  <si>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</si>
  <si>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</si>
  <si>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</si>
  <si>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</si>
  <si>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</si>
  <si>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</si>
  <si>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</si>
  <si>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</si>
  <si>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</si>
  <si>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</si>
  <si>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</si>
  <si>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</si>
  <si>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</si>
  <si>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</si>
  <si>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</si>
  <si>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</si>
  <si>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</si>
  <si>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</si>
  <si>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</si>
  <si>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</si>
  <si>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</si>
  <si>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</si>
  <si>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</si>
  <si>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</si>
  <si>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</si>
  <si>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</si>
  <si>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</si>
  <si>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</si>
  <si>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</si>
  <si>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</si>
  <si>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</si>
  <si>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</si>
  <si>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</si>
  <si>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</si>
  <si>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</si>
  <si>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</si>
  <si>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</si>
  <si>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</si>
  <si>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</si>
  <si>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</si>
  <si>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</si>
  <si>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</si>
  <si>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</si>
  <si>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</si>
  <si>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</si>
  <si>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</si>
  <si>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</si>
  <si>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</si>
  <si>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</si>
  <si>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</si>
  <si>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</si>
  <si>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</si>
  <si>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</si>
  <si>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</si>
  <si>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</si>
  <si>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</si>
  <si>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</si>
  <si>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</si>
  <si>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</si>
  <si>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</si>
  <si>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</si>
  <si>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</si>
  <si>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</si>
  <si>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</si>
  <si>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</si>
  <si>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</si>
  <si>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</si>
  <si>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</si>
  <si>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</si>
  <si>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</si>
  <si>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</si>
  <si>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</si>
  <si>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</si>
  <si>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</si>
  <si>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</si>
  <si>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</si>
  <si>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</si>
  <si>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</si>
  <si>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</si>
  <si>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</si>
  <si>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</si>
  <si>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</si>
  <si>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</si>
  <si>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</si>
  <si>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</si>
  <si>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</si>
  <si>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</si>
  <si>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</si>
  <si>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</si>
  <si>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</si>
  <si>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</si>
  <si>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</si>
  <si>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</si>
  <si>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</si>
  <si>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</si>
  <si>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</si>
  <si>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</si>
  <si>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</si>
  <si>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</si>
  <si>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</si>
  <si>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</si>
  <si>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</si>
  <si>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</si>
  <si>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</si>
  <si>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</si>
  <si>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</si>
  <si>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</si>
  <si>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</si>
  <si>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</si>
  <si>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</si>
  <si>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</si>
  <si>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</si>
  <si>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</si>
  <si>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</si>
  <si>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</si>
  <si>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</si>
  <si>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</si>
  <si>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</si>
  <si>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</si>
  <si>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</si>
  <si>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</si>
  <si>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</si>
  <si>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</si>
  <si>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</si>
  <si>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</si>
  <si>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</si>
  <si>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</si>
  <si>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</si>
  <si>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</si>
  <si>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</si>
  <si>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</si>
  <si>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</si>
  <si>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</si>
  <si>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</si>
  <si>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</si>
  <si>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</si>
  <si>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</si>
  <si>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</si>
  <si>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</si>
  <si>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</si>
  <si>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</si>
  <si>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</si>
  <si>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</si>
  <si>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</si>
  <si>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</si>
  <si>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</si>
  <si>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</si>
  <si>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</si>
  <si>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</si>
  <si>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</si>
  <si>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</si>
  <si>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</si>
  <si>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</si>
  <si>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</si>
  <si>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</si>
  <si>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</si>
  <si>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</si>
  <si>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</si>
  <si>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</si>
  <si>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</si>
  <si>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</si>
  <si>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</si>
  <si>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</si>
  <si>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</si>
  <si>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</si>
  <si>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</si>
  <si>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</si>
  <si>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</si>
  <si>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</si>
  <si>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</si>
  <si>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</si>
  <si>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</si>
  <si>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</si>
  <si>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</si>
  <si>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</si>
  <si>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</si>
  <si>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</si>
  <si>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</si>
  <si>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</si>
  <si>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</si>
  <si>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</si>
  <si>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</si>
  <si>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</si>
  <si>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</si>
  <si>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</si>
  <si>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</si>
  <si>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</si>
  <si>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</si>
  <si>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</si>
  <si>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</si>
  <si>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</si>
  <si>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</si>
  <si>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</si>
  <si>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スキルターン</t>
    <phoneticPr fontId="22"/>
  </si>
  <si>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</si>
  <si>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</si>
  <si>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</si>
  <si>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</si>
  <si>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</si>
  <si>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</si>
  <si>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</si>
  <si>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</si>
  <si>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</si>
  <si>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</si>
  <si>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</si>
  <si>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</si>
  <si>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</si>
  <si>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</si>
  <si>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</si>
  <si>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</si>
  <si>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</si>
  <si>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</si>
  <si>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</si>
  <si>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</si>
  <si>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</si>
  <si>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</si>
  <si>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</si>
  <si>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category</t>
    <phoneticPr fontId="22"/>
  </si>
  <si>
    <t>スキルターン</t>
  </si>
  <si>
    <t>DropWizSSS</t>
  </si>
  <si>
    <t>DropWizSS</t>
  </si>
  <si>
    <t>DropWizS</t>
  </si>
  <si>
    <t>DropWizN</t>
  </si>
  <si>
    <t>DropWizW</t>
  </si>
  <si>
    <t>PremiumL</t>
  </si>
  <si>
    <t>?</t>
  </si>
  <si>
    <t>PremiumSSS</t>
  </si>
  <si>
    <t>PremiumSSw</t>
  </si>
  <si>
    <t>PremiumSS</t>
  </si>
  <si>
    <t>PremiumN</t>
  </si>
  <si>
    <t>PremiumW</t>
  </si>
  <si>
    <t>Drop2S</t>
  </si>
  <si>
    <t>Drop2N</t>
  </si>
  <si>
    <t>Drop2W</t>
  </si>
  <si>
    <t>Drop1S</t>
  </si>
  <si>
    <t>Drop1T</t>
  </si>
  <si>
    <t>Material</t>
  </si>
  <si>
    <t>testunitkd</t>
    <phoneticPr fontId="22"/>
  </si>
  <si>
    <t>テストスキル01-5</t>
    <phoneticPr fontId="22"/>
  </si>
  <si>
    <t>テストスキル01-6</t>
    <phoneticPr fontId="22"/>
  </si>
  <si>
    <t xml:space="preserve">ハートパネルを赤ボムパネルに、お邪魔パネルを赤ボムパネル（大）に変換+緑パネルが出現しなくなり、2ターンの間確率で赤ボムパネルをドロップ+自身のパネル生成延長(-2)   </t>
    <phoneticPr fontId="22"/>
  </si>
  <si>
    <t xml:space="preserve">ハートパネルを赤ボムパネルに、お邪魔パネルを赤ボムパネル（大）に変換+緑パネルが出現しなくなり、2ターンの間確率で赤ボムパネルをドロップ+自身のパネル生成延長(-2)   </t>
    <phoneticPr fontId="22"/>
  </si>
  <si>
    <t>テストCスキル01-5</t>
    <phoneticPr fontId="22"/>
  </si>
  <si>
    <t>テストCスキル01-6</t>
  </si>
  <si>
    <t xml:space="preserve">1体に大ダメージ+1ターン種族ドラゴンの攻撃力UP   </t>
    <phoneticPr fontId="22"/>
  </si>
  <si>
    <t xml:space="preserve">1体に大ダメージ+1ターン種族ドラゴンの攻撃力UP   </t>
    <phoneticPr fontId="22"/>
  </si>
  <si>
    <t>進化前ユニットスキル1</t>
    <rPh sb="0" eb="3">
      <t>シn</t>
    </rPh>
    <phoneticPr fontId="22"/>
  </si>
  <si>
    <t>進化前Cスキル1</t>
    <rPh sb="0" eb="3">
      <t>シンk</t>
    </rPh>
    <phoneticPr fontId="22"/>
  </si>
  <si>
    <t>進化前Cスキル2</t>
    <rPh sb="0" eb="3">
      <t>シンk</t>
    </rPh>
    <phoneticPr fontId="22"/>
  </si>
  <si>
    <t>進化前Cスキル3</t>
    <rPh sb="0" eb="3">
      <t>シンk</t>
    </rPh>
    <phoneticPr fontId="22"/>
  </si>
  <si>
    <t>進化後ユニットスキル1</t>
    <rPh sb="0" eb="2">
      <t>シンk</t>
    </rPh>
    <rPh sb="2" eb="3">
      <t>ゴ</t>
    </rPh>
    <phoneticPr fontId="22"/>
  </si>
  <si>
    <t>進化後Cスキル1</t>
    <rPh sb="0" eb="3">
      <t>シンk</t>
    </rPh>
    <phoneticPr fontId="22"/>
  </si>
  <si>
    <t xml:space="preserve">[effect:force_change_block, new_block:crack_bomb, target:block_heart, color:red, count:0, val:12, animation:change_block],[effect:force_change_block, new_block:crack_bomb, target:jammer, color:red, count:0, val:24, animation:change_block],[effect:change_panel_ratio, turn:2, block_type:green, val:0],[effect:drop_block, block_type:crack_bomb, block_color:block_red, color:block_all, val:12, rate:0.16, turn:2, animation:bomb_influence04],[effect:crash_condition, target:myself, turn:2, val:2, animation:enemy_crash_extend]   </t>
    <phoneticPr fontId="22"/>
  </si>
  <si>
    <t xml:space="preserve">[effect:damage, target:enemy_one, color:red, val:1.2, animation:damage_one_red03],[effect:enhance_unit, target:unit_dragon, turn:2, status:attack, val:0.075, calc:add, animation:enhance_unit_all_attack02_unit01]   </t>
    <phoneticPr fontId="22"/>
  </si>
  <si>
    <t xml:space="preserve">[effect:damage, target:enemy_one, color:red, val:1.5, animation:damage_one_red04],[effect:enhance_unit, target:unit_dragon, turn:2, status:attack, val:0.075, calc:add, animation:enhance_unit_all_attack02_unit01]   </t>
    <phoneticPr fontId="22"/>
  </si>
  <si>
    <t xml:space="preserve">[effect:force_change_block, new_block:crack_bomb, target:block_heart, color:red, count:0, val:12, animation:change_block],[effect:force_change_block, new_block:crack_bomb, target:jammer, color:red, count:0, val:24, animation:change_block],[effect:change_panel_ratio, turn:2, block_type:green, val:0],[effect:drop_block, block_type:crack_bomb, block_color:block_red, color:block_all, val:12, rate:0.16, turn:2, animation:bomb_influence04],[effect:crash_condition, target:myself, turn:2, val:2, animation:enemy_crash_extend]   </t>
    <phoneticPr fontId="22"/>
  </si>
  <si>
    <t>old</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</si>
</sst>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2"/>
      <name val="ＭＳ Ｐゴシック"/>
      <family val="2"/>
      <charset val="128"/>
      <scheme val="minor"/>
    </font>
    <font>
      <sz val="13"/>
      <color theme="1"/>
      <name val="Arial"/>
    </font>
  </fonts>
  <fills count="24">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1" tint="0.499984740745262"/>
        <bgColor indexed="59"/>
      </patternFill>
    </fill>
    <fill>
      <patternFill patternType="solid">
        <fgColor theme="1" tint="0.499984740745262"/>
        <bgColor indexed="40"/>
      </patternFill>
    </fill>
    <fill>
      <patternFill patternType="solid">
        <fgColor theme="1" tint="0.499984740745262"/>
        <bgColor indexed="31"/>
      </patternFill>
    </fill>
    <fill>
      <patternFill patternType="solid">
        <fgColor theme="1" tint="0.499984740745262"/>
        <bgColor indexed="27"/>
      </patternFill>
    </fill>
    <fill>
      <patternFill patternType="solid">
        <fgColor theme="6" tint="0.79998168889431442"/>
        <bgColor indexed="27"/>
      </patternFill>
    </fill>
    <fill>
      <patternFill patternType="solid">
        <fgColor theme="6" tint="0.79998168889431442"/>
        <bgColor indexed="59"/>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indexed="8"/>
      </top>
      <bottom style="thin">
        <color auto="1"/>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
      <left/>
      <right style="thin">
        <color indexed="8"/>
      </right>
      <top style="thin">
        <color indexed="8"/>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66">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0" borderId="0" xfId="0" applyFont="1" applyAlignment="1">
      <alignment horizontal="left" vertic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3"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14" xfId="0" applyFont="1" applyBorder="1" applyAlignment="1">
      <alignment vertical="center"/>
    </xf>
    <xf numFmtId="0" fontId="16" fillId="0" borderId="13" xfId="0" applyFont="1" applyBorder="1" applyAlignment="1">
      <alignment vertical="center"/>
    </xf>
    <xf numFmtId="0" fontId="16" fillId="0" borderId="14"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0" borderId="8" xfId="0" applyFont="1" applyFill="1" applyBorder="1" applyAlignment="1">
      <alignment vertical="center"/>
    </xf>
    <xf numFmtId="0" fontId="16" fillId="10" borderId="4" xfId="0" applyFont="1" applyFill="1" applyBorder="1" applyAlignment="1">
      <alignment vertical="center"/>
    </xf>
    <xf numFmtId="0" fontId="16" fillId="0" borderId="0" xfId="0" applyFont="1" applyFill="1" applyAlignment="1">
      <alignment vertical="center"/>
    </xf>
    <xf numFmtId="0" fontId="8" fillId="10" borderId="1" xfId="0" applyFont="1" applyFill="1" applyBorder="1" applyAlignment="1">
      <alignmen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9"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23" fillId="12" borderId="0" xfId="0" applyFont="1" applyFill="1"/>
    <xf numFmtId="0" fontId="16" fillId="0" borderId="4" xfId="0" applyFont="1" applyFill="1" applyBorder="1" applyAlignment="1">
      <alignment vertical="center"/>
    </xf>
    <xf numFmtId="0" fontId="13" fillId="11" borderId="4" xfId="0" applyFont="1" applyFill="1" applyBorder="1" applyAlignment="1">
      <alignmen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0" borderId="15" xfId="0" applyFont="1" applyFill="1" applyBorder="1" applyAlignment="1">
      <alignment horizontal="center" vertical="center"/>
    </xf>
    <xf numFmtId="0" fontId="8" fillId="10"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2" fillId="8" borderId="7" xfId="0" applyFont="1" applyFill="1" applyBorder="1" applyAlignment="1">
      <alignment horizontal="left" vertical="center"/>
    </xf>
    <xf numFmtId="0" fontId="15" fillId="8" borderId="4" xfId="0" applyFont="1" applyFill="1" applyBorder="1" applyAlignment="1">
      <alignment horizontal="left" vertical="center"/>
    </xf>
    <xf numFmtId="0" fontId="8" fillId="13" borderId="1" xfId="0" applyFont="1" applyFill="1" applyBorder="1" applyAlignment="1">
      <alignment horizontal="center" vertical="center"/>
    </xf>
    <xf numFmtId="0" fontId="8" fillId="0" borderId="8" xfId="0" applyFont="1" applyFill="1" applyBorder="1" applyAlignment="1">
      <alignment vertical="center"/>
    </xf>
    <xf numFmtId="0" fontId="23" fillId="14" borderId="4" xfId="0" applyFont="1" applyFill="1" applyBorder="1"/>
    <xf numFmtId="0" fontId="0" fillId="14" borderId="4" xfId="0" applyFill="1" applyBorder="1"/>
    <xf numFmtId="0" fontId="0" fillId="0" borderId="4" xfId="0" applyBorder="1"/>
    <xf numFmtId="0" fontId="0" fillId="8" borderId="4" xfId="0" applyFill="1" applyBorder="1"/>
    <xf numFmtId="0" fontId="13" fillId="9" borderId="12" xfId="0" applyFont="1" applyFill="1" applyBorder="1" applyAlignment="1">
      <alignment horizontal="center" vertical="center"/>
    </xf>
    <xf numFmtId="0" fontId="13" fillId="8" borderId="12" xfId="0" applyFont="1" applyFill="1" applyBorder="1" applyAlignment="1">
      <alignment horizontal="center" vertical="center"/>
    </xf>
    <xf numFmtId="0" fontId="13" fillId="8" borderId="16" xfId="0" applyFont="1" applyFill="1" applyBorder="1" applyAlignment="1">
      <alignment horizontal="center"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3" borderId="4" xfId="0" applyFont="1" applyFill="1" applyBorder="1" applyAlignment="1">
      <alignment horizontal="left" vertical="center"/>
    </xf>
    <xf numFmtId="0" fontId="28" fillId="0" borderId="0" xfId="0" applyFont="1"/>
    <xf numFmtId="0" fontId="16" fillId="16" borderId="3" xfId="0" applyFont="1" applyFill="1" applyBorder="1" applyAlignment="1">
      <alignment horizontal="center" vertical="center"/>
    </xf>
    <xf numFmtId="0" fontId="8" fillId="16" borderId="14" xfId="0" applyFont="1" applyFill="1" applyBorder="1" applyAlignment="1">
      <alignment horizontal="center" vertical="center"/>
    </xf>
    <xf numFmtId="0" fontId="8" fillId="16" borderId="8" xfId="0" applyFont="1" applyFill="1" applyBorder="1" applyAlignment="1">
      <alignment horizontal="center" vertical="center"/>
    </xf>
    <xf numFmtId="0" fontId="8" fillId="17" borderId="8" xfId="0" applyFont="1" applyFill="1" applyBorder="1" applyAlignment="1">
      <alignment vertical="center"/>
    </xf>
    <xf numFmtId="0" fontId="8" fillId="16" borderId="13" xfId="0" applyFont="1" applyFill="1" applyBorder="1" applyAlignment="1">
      <alignment horizontal="center" vertical="center"/>
    </xf>
    <xf numFmtId="0" fontId="8" fillId="16" borderId="4" xfId="0" applyFont="1" applyFill="1" applyBorder="1" applyAlignment="1">
      <alignment horizontal="center" vertical="center"/>
    </xf>
    <xf numFmtId="0" fontId="8" fillId="17" borderId="4" xfId="0" applyFont="1" applyFill="1" applyBorder="1" applyAlignment="1">
      <alignment vertical="center"/>
    </xf>
    <xf numFmtId="0" fontId="8" fillId="16" borderId="17" xfId="0" applyFont="1" applyFill="1" applyBorder="1" applyAlignment="1">
      <alignment horizontal="center" vertical="center"/>
    </xf>
    <xf numFmtId="0" fontId="8" fillId="16" borderId="18" xfId="0" applyFont="1" applyFill="1" applyBorder="1" applyAlignment="1">
      <alignment horizontal="center" vertical="center"/>
    </xf>
    <xf numFmtId="0" fontId="8" fillId="17" borderId="18" xfId="0" applyFont="1" applyFill="1" applyBorder="1" applyAlignment="1">
      <alignment vertical="center"/>
    </xf>
    <xf numFmtId="0" fontId="16" fillId="17" borderId="4" xfId="0" applyFont="1" applyFill="1" applyBorder="1" applyAlignment="1">
      <alignment vertical="center"/>
    </xf>
    <xf numFmtId="0" fontId="18" fillId="17" borderId="4" xfId="0" applyFont="1" applyFill="1" applyBorder="1" applyAlignment="1">
      <alignment horizontal="center" vertical="center"/>
    </xf>
    <xf numFmtId="0" fontId="17" fillId="17" borderId="4" xfId="0" applyFont="1" applyFill="1" applyBorder="1" applyAlignment="1">
      <alignment horizontal="center" vertical="center" wrapText="1"/>
    </xf>
    <xf numFmtId="0" fontId="8" fillId="17" borderId="1" xfId="0" applyFont="1" applyFill="1" applyBorder="1" applyAlignment="1">
      <alignment vertical="center"/>
    </xf>
    <xf numFmtId="0" fontId="8" fillId="16" borderId="19" xfId="0" applyFont="1" applyFill="1" applyBorder="1" applyAlignment="1">
      <alignment horizontal="center" vertical="center"/>
    </xf>
    <xf numFmtId="0" fontId="8" fillId="16" borderId="9" xfId="0" applyFont="1" applyFill="1" applyBorder="1" applyAlignment="1">
      <alignment horizontal="center" vertical="center"/>
    </xf>
    <xf numFmtId="0" fontId="8" fillId="16" borderId="20" xfId="0" applyFont="1" applyFill="1" applyBorder="1" applyAlignment="1">
      <alignment horizontal="center" vertical="center"/>
    </xf>
    <xf numFmtId="0" fontId="8" fillId="16" borderId="6" xfId="0" applyFont="1" applyFill="1" applyBorder="1" applyAlignment="1">
      <alignment horizontal="center" vertical="center"/>
    </xf>
    <xf numFmtId="0" fontId="8" fillId="16" borderId="21" xfId="0" applyFont="1" applyFill="1" applyBorder="1" applyAlignment="1">
      <alignment horizontal="center" vertical="center"/>
    </xf>
    <xf numFmtId="0" fontId="16" fillId="16" borderId="15" xfId="0" applyFont="1" applyFill="1" applyBorder="1" applyAlignment="1">
      <alignment horizontal="center" vertical="center"/>
    </xf>
    <xf numFmtId="0" fontId="17" fillId="17" borderId="9" xfId="0" applyFont="1" applyFill="1" applyBorder="1" applyAlignment="1">
      <alignment horizontal="center" vertical="center" wrapText="1"/>
    </xf>
    <xf numFmtId="0" fontId="0" fillId="11" borderId="4" xfId="0" applyFill="1" applyBorder="1"/>
    <xf numFmtId="0" fontId="16" fillId="9" borderId="4" xfId="0" applyFont="1" applyFill="1" applyBorder="1" applyAlignment="1">
      <alignment horizontal="center" vertical="center"/>
    </xf>
    <xf numFmtId="0" fontId="16" fillId="17" borderId="4" xfId="0" applyFont="1" applyFill="1" applyBorder="1" applyAlignment="1">
      <alignment horizontal="center" vertical="center"/>
    </xf>
    <xf numFmtId="0" fontId="16" fillId="15" borderId="4" xfId="0" applyFont="1" applyFill="1" applyBorder="1" applyAlignment="1">
      <alignment horizontal="center" vertical="center"/>
    </xf>
    <xf numFmtId="0" fontId="8" fillId="11" borderId="1" xfId="0" applyFont="1" applyFill="1" applyBorder="1" applyAlignment="1">
      <alignment horizontal="center" vertical="center"/>
    </xf>
    <xf numFmtId="0" fontId="8" fillId="11" borderId="1" xfId="0" applyFont="1" applyFill="1" applyBorder="1" applyAlignment="1">
      <alignment vertical="center"/>
    </xf>
    <xf numFmtId="0" fontId="16" fillId="11" borderId="4" xfId="0" applyFont="1" applyFill="1" applyBorder="1" applyAlignment="1">
      <alignment vertical="center"/>
    </xf>
    <xf numFmtId="0" fontId="18" fillId="11" borderId="4" xfId="0" applyFont="1" applyFill="1" applyBorder="1" applyAlignment="1">
      <alignment horizontal="center" vertical="center"/>
    </xf>
    <xf numFmtId="0" fontId="16" fillId="11" borderId="1" xfId="0" applyFont="1" applyFill="1" applyBorder="1" applyAlignment="1">
      <alignment vertical="center"/>
    </xf>
    <xf numFmtId="0" fontId="14" fillId="11" borderId="4" xfId="0" applyFont="1" applyFill="1" applyBorder="1" applyAlignment="1">
      <alignment horizontal="left" vertical="center" wrapText="1"/>
    </xf>
    <xf numFmtId="0" fontId="13" fillId="11" borderId="4" xfId="0" applyFont="1" applyFill="1" applyBorder="1" applyAlignment="1">
      <alignment horizontal="left" vertical="center" wrapText="1"/>
    </xf>
    <xf numFmtId="0" fontId="16" fillId="11" borderId="4" xfId="0" applyFont="1" applyFill="1" applyBorder="1" applyAlignment="1">
      <alignment horizontal="right" vertical="center"/>
    </xf>
    <xf numFmtId="0" fontId="16" fillId="11" borderId="4" xfId="0" applyFont="1" applyFill="1" applyBorder="1" applyAlignment="1">
      <alignment horizontal="right" vertical="center" wrapText="1"/>
    </xf>
    <xf numFmtId="0" fontId="0" fillId="11" borderId="4" xfId="0" applyFont="1" applyFill="1" applyBorder="1"/>
    <xf numFmtId="0" fontId="14" fillId="11" borderId="4" xfId="0" applyFont="1" applyFill="1" applyBorder="1" applyAlignment="1">
      <alignment horizontal="right" vertical="center" wrapText="1"/>
    </xf>
    <xf numFmtId="0" fontId="16" fillId="11" borderId="4" xfId="0" applyFont="1" applyFill="1" applyBorder="1" applyAlignment="1">
      <alignment horizontal="center" vertical="center"/>
    </xf>
    <xf numFmtId="0" fontId="16" fillId="11" borderId="4" xfId="0" applyFont="1" applyFill="1" applyBorder="1" applyAlignment="1">
      <alignment horizontal="left" vertical="center"/>
    </xf>
    <xf numFmtId="0" fontId="12" fillId="8" borderId="4" xfId="0" applyFont="1" applyFill="1" applyBorder="1" applyAlignment="1">
      <alignment horizontal="left" vertical="center"/>
    </xf>
    <xf numFmtId="0" fontId="12" fillId="0" borderId="4" xfId="0" applyFont="1" applyFill="1" applyBorder="1" applyAlignment="1">
      <alignment horizontal="left" vertical="center"/>
    </xf>
    <xf numFmtId="0" fontId="16" fillId="0" borderId="0" xfId="0" applyFont="1" applyFill="1" applyAlignment="1">
      <alignment horizontal="left" vertical="center"/>
    </xf>
    <xf numFmtId="0" fontId="16" fillId="8" borderId="4" xfId="0" applyFont="1" applyFill="1" applyBorder="1" applyAlignment="1">
      <alignment horizontal="center" vertical="center"/>
    </xf>
    <xf numFmtId="0" fontId="16" fillId="0" borderId="0" xfId="0" applyFont="1" applyFill="1" applyAlignment="1">
      <alignment horizontal="right" vertical="center"/>
    </xf>
    <xf numFmtId="0" fontId="0" fillId="0" borderId="0" xfId="0" applyFill="1"/>
    <xf numFmtId="0" fontId="16" fillId="14" borderId="4" xfId="0" applyFont="1" applyFill="1" applyBorder="1" applyAlignment="1">
      <alignment horizontal="left" vertical="center"/>
    </xf>
    <xf numFmtId="0" fontId="16" fillId="14" borderId="4" xfId="0" applyFont="1" applyFill="1" applyBorder="1" applyAlignment="1">
      <alignment horizontal="right" vertical="center"/>
    </xf>
    <xf numFmtId="0" fontId="15" fillId="14" borderId="4" xfId="0" applyFont="1" applyFill="1" applyBorder="1" applyAlignment="1">
      <alignment horizontal="left" vertical="center"/>
    </xf>
    <xf numFmtId="0" fontId="12" fillId="14" borderId="4" xfId="0" applyFont="1" applyFill="1" applyBorder="1" applyAlignment="1">
      <alignment horizontal="left" vertical="center"/>
    </xf>
    <xf numFmtId="0" fontId="12" fillId="18" borderId="4" xfId="0" applyFont="1" applyFill="1" applyBorder="1" applyAlignment="1">
      <alignment horizontal="left" vertical="center"/>
    </xf>
    <xf numFmtId="0" fontId="12" fillId="19" borderId="4" xfId="0" applyFont="1" applyFill="1" applyBorder="1" applyAlignment="1">
      <alignment horizontal="left" vertical="center"/>
    </xf>
    <xf numFmtId="0" fontId="12" fillId="14" borderId="4" xfId="0" applyFont="1" applyFill="1" applyBorder="1" applyAlignment="1">
      <alignment horizontal="right" vertical="center"/>
    </xf>
    <xf numFmtId="0" fontId="12" fillId="14" borderId="4" xfId="0" applyFont="1" applyFill="1" applyBorder="1" applyAlignment="1">
      <alignment vertical="center"/>
    </xf>
    <xf numFmtId="0" fontId="12" fillId="20" borderId="4" xfId="0" applyFont="1" applyFill="1" applyBorder="1" applyAlignment="1">
      <alignment vertical="center"/>
    </xf>
    <xf numFmtId="0" fontId="13" fillId="14" borderId="4" xfId="0" applyFont="1" applyFill="1" applyBorder="1" applyAlignment="1">
      <alignment vertical="center"/>
    </xf>
    <xf numFmtId="0" fontId="26" fillId="14" borderId="4" xfId="0" applyFont="1" applyFill="1" applyBorder="1" applyAlignment="1">
      <alignment vertical="center"/>
    </xf>
    <xf numFmtId="0" fontId="13" fillId="14" borderId="12" xfId="0" applyFont="1" applyFill="1" applyBorder="1" applyAlignment="1">
      <alignment horizontal="center" vertical="center"/>
    </xf>
    <xf numFmtId="0" fontId="26" fillId="14" borderId="4" xfId="0" applyFont="1" applyFill="1" applyBorder="1" applyAlignment="1">
      <alignment horizontal="right" vertical="center" wrapText="1"/>
    </xf>
    <xf numFmtId="0" fontId="13" fillId="14" borderId="16" xfId="0" applyFont="1" applyFill="1" applyBorder="1" applyAlignment="1">
      <alignment horizontal="center" vertical="center"/>
    </xf>
    <xf numFmtId="0" fontId="26"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6" xfId="0" applyFont="1" applyFill="1" applyBorder="1" applyAlignment="1">
      <alignment horizontal="left" vertical="center"/>
    </xf>
    <xf numFmtId="0" fontId="13" fillId="14" borderId="4" xfId="0" applyFont="1" applyFill="1" applyBorder="1" applyAlignment="1">
      <alignment horizontal="left" vertical="center"/>
    </xf>
    <xf numFmtId="0" fontId="13" fillId="14" borderId="5" xfId="0" applyFont="1" applyFill="1" applyBorder="1" applyAlignment="1">
      <alignment horizontal="left" vertical="center"/>
    </xf>
    <xf numFmtId="0" fontId="13" fillId="14" borderId="7" xfId="0" applyFont="1" applyFill="1" applyBorder="1" applyAlignment="1">
      <alignment horizontal="center" vertical="center"/>
    </xf>
    <xf numFmtId="0" fontId="13" fillId="14" borderId="7" xfId="0" applyFont="1" applyFill="1" applyBorder="1" applyAlignment="1">
      <alignment horizontal="left" vertical="center"/>
    </xf>
    <xf numFmtId="0" fontId="13" fillId="14" borderId="4" xfId="0" applyFont="1" applyFill="1" applyBorder="1" applyAlignment="1">
      <alignment horizontal="right" vertical="center" wrapText="1"/>
    </xf>
    <xf numFmtId="0" fontId="27" fillId="14" borderId="4"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4" fillId="14" borderId="4" xfId="0" applyFont="1" applyFill="1" applyBorder="1" applyAlignment="1">
      <alignment horizontal="left" vertical="center" wrapText="1"/>
    </xf>
    <xf numFmtId="0" fontId="13" fillId="14" borderId="4" xfId="0" applyFont="1" applyFill="1" applyBorder="1" applyAlignment="1">
      <alignment horizontal="center" vertical="center"/>
    </xf>
    <xf numFmtId="0" fontId="13" fillId="8" borderId="7" xfId="0" applyFont="1" applyFill="1" applyBorder="1" applyAlignment="1">
      <alignment horizontal="center" vertical="center"/>
    </xf>
    <xf numFmtId="0" fontId="13" fillId="14" borderId="7" xfId="0" applyFont="1" applyFill="1" applyBorder="1" applyAlignment="1">
      <alignment horizontal="left" vertical="center" wrapText="1"/>
    </xf>
    <xf numFmtId="0" fontId="15" fillId="14" borderId="11" xfId="0" applyFont="1" applyFill="1" applyBorder="1" applyAlignment="1">
      <alignment horizontal="left" vertical="center"/>
    </xf>
    <xf numFmtId="0" fontId="15" fillId="14" borderId="7" xfId="0" applyFont="1" applyFill="1" applyBorder="1" applyAlignment="1">
      <alignment horizontal="left" vertical="center"/>
    </xf>
    <xf numFmtId="0" fontId="12" fillId="14" borderId="7" xfId="0" applyFont="1" applyFill="1" applyBorder="1" applyAlignment="1">
      <alignment horizontal="left" vertical="center"/>
    </xf>
    <xf numFmtId="0" fontId="12" fillId="18" borderId="10" xfId="0" applyFont="1" applyFill="1" applyBorder="1" applyAlignment="1">
      <alignment horizontal="left" vertical="center"/>
    </xf>
    <xf numFmtId="0" fontId="15" fillId="14" borderId="5" xfId="0" applyFont="1" applyFill="1" applyBorder="1" applyAlignment="1">
      <alignment horizontal="left" vertical="center"/>
    </xf>
    <xf numFmtId="0" fontId="16" fillId="14" borderId="1" xfId="0" applyFont="1" applyFill="1" applyBorder="1" applyAlignment="1">
      <alignment horizontal="left" vertical="center"/>
    </xf>
    <xf numFmtId="0" fontId="16" fillId="14" borderId="3" xfId="0" applyFont="1" applyFill="1" applyBorder="1" applyAlignment="1">
      <alignment horizontal="left" vertical="center"/>
    </xf>
    <xf numFmtId="0" fontId="13" fillId="21" borderId="4" xfId="0" applyFont="1" applyFill="1" applyBorder="1" applyAlignment="1">
      <alignment horizontal="center" vertical="center" wrapText="1"/>
    </xf>
    <xf numFmtId="0" fontId="12" fillId="18" borderId="4" xfId="0" applyFont="1" applyFill="1" applyBorder="1" applyAlignment="1">
      <alignment horizontal="center"/>
    </xf>
    <xf numFmtId="0" fontId="14" fillId="14" borderId="4" xfId="0" applyFont="1" applyFill="1" applyBorder="1" applyAlignment="1">
      <alignment horizontal="right" vertical="center" wrapText="1"/>
    </xf>
    <xf numFmtId="0" fontId="13" fillId="22" borderId="4"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6" fillId="22" borderId="4" xfId="0" applyFont="1" applyFill="1" applyBorder="1" applyAlignment="1">
      <alignment horizontal="center" vertical="center" wrapText="1"/>
    </xf>
    <xf numFmtId="0" fontId="12" fillId="23" borderId="4" xfId="0" applyFont="1" applyFill="1" applyBorder="1" applyAlignment="1">
      <alignment horizontal="center"/>
    </xf>
    <xf numFmtId="0" fontId="0" fillId="14" borderId="4" xfId="0" applyFont="1" applyFill="1" applyBorder="1"/>
    <xf numFmtId="0" fontId="16" fillId="14" borderId="12" xfId="0" applyFont="1" applyFill="1" applyBorder="1" applyAlignment="1">
      <alignment horizontal="center" vertical="center"/>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2" fillId="14" borderId="4" xfId="0" applyNumberFormat="1" applyFont="1" applyFill="1" applyBorder="1" applyAlignment="1">
      <alignment horizontal="center" vertical="center"/>
    </xf>
    <xf numFmtId="0" fontId="15" fillId="14" borderId="4" xfId="0" applyFont="1" applyFill="1" applyBorder="1" applyAlignment="1">
      <alignment horizontal="center" vertical="center"/>
    </xf>
    <xf numFmtId="0" fontId="14" fillId="14" borderId="4" xfId="0" applyFont="1" applyFill="1" applyBorder="1" applyAlignment="1">
      <alignment horizontal="center" vertical="center"/>
    </xf>
    <xf numFmtId="0" fontId="24" fillId="14" borderId="4" xfId="0" applyFont="1" applyFill="1" applyBorder="1" applyAlignment="1">
      <alignment horizontal="center"/>
    </xf>
    <xf numFmtId="0" fontId="0" fillId="14" borderId="4" xfId="0" applyFill="1" applyBorder="1" applyAlignment="1">
      <alignment horizontal="center"/>
    </xf>
    <xf numFmtId="0" fontId="29" fillId="8" borderId="4" xfId="0" applyFont="1" applyFill="1" applyBorder="1"/>
    <xf numFmtId="0" fontId="29" fillId="14" borderId="4" xfId="0" applyFont="1" applyFill="1" applyBorder="1"/>
    <xf numFmtId="0" fontId="29" fillId="11" borderId="4" xfId="0" applyFont="1" applyFill="1" applyBorder="1"/>
    <xf numFmtId="0" fontId="12" fillId="14" borderId="4" xfId="0" applyFont="1" applyFill="1" applyBorder="1" applyAlignment="1">
      <alignment horizontal="center" vertical="center"/>
    </xf>
    <xf numFmtId="0" fontId="16" fillId="14" borderId="22" xfId="0" applyFont="1" applyFill="1" applyBorder="1" applyAlignment="1">
      <alignment horizontal="left" vertical="center"/>
    </xf>
    <xf numFmtId="0" fontId="30" fillId="0" borderId="4" xfId="0" applyFont="1" applyBorder="1"/>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2.xml"/><Relationship Id="rId21" Type="http://schemas.openxmlformats.org/officeDocument/2006/relationships/externalLink" Target="externalLinks/externalLink3.xml"/><Relationship Id="rId22" Type="http://schemas.openxmlformats.org/officeDocument/2006/relationships/externalLink" Target="externalLinks/externalLink4.xml"/><Relationship Id="rId23" Type="http://schemas.openxmlformats.org/officeDocument/2006/relationships/theme" Target="theme/theme1.xml"/><Relationship Id="rId24" Type="http://schemas.openxmlformats.org/officeDocument/2006/relationships/styles" Target="styles.xml"/><Relationship Id="rId25" Type="http://schemas.openxmlformats.org/officeDocument/2006/relationships/sharedStrings" Target="sharedStrings.xml"/><Relationship Id="rId26" Type="http://schemas.openxmlformats.org/officeDocument/2006/relationships/calcChain" Target="calcChain.xml"/><Relationship Id="rId27"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3</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3</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3</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3</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3</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3</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3</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3</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3</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3</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3</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3</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3</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3</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3</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3</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3</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3</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3</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3</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3</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3</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3</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attack</v>
          </cell>
          <cell r="L1739" t="str">
            <v>攻撃タイプ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attack</v>
          </cell>
          <cell r="L1740" t="str">
            <v>攻撃タイプ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green</v>
          </cell>
          <cell r="I1852">
            <v>6</v>
          </cell>
          <cell r="J1852" t="str">
            <v>PremiumSS</v>
          </cell>
          <cell r="K1852" t="str">
            <v>technical</v>
          </cell>
          <cell r="L1852" t="str">
            <v>テクニカルタイプ</v>
          </cell>
          <cell r="M1852" t="str">
            <v>human</v>
          </cell>
          <cell r="N1852" t="str">
            <v>ヒューマン</v>
          </cell>
          <cell r="O1852" t="str">
            <v>none</v>
          </cell>
          <cell r="P1852" t="str">
            <v>種族なし</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green</v>
          </cell>
          <cell r="I1853">
            <v>6</v>
          </cell>
          <cell r="J1853" t="str">
            <v>PremiumSS</v>
          </cell>
          <cell r="K1853" t="str">
            <v>technical</v>
          </cell>
          <cell r="L1853" t="str">
            <v>テクニカルタイプ</v>
          </cell>
          <cell r="M1853" t="str">
            <v>human</v>
          </cell>
          <cell r="N1853" t="str">
            <v>ヒューマン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attack</v>
          </cell>
          <cell r="L1854" t="str">
            <v>攻撃タイプ</v>
          </cell>
          <cell r="M1854" t="str">
            <v>unknown</v>
          </cell>
          <cell r="N1854" t="str">
            <v>Unknown</v>
          </cell>
          <cell r="O1854" t="str">
            <v>fantasy</v>
          </cell>
          <cell r="P1854" t="str">
            <v>ファンタジー</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yellow</v>
          </cell>
          <cell r="I1855">
            <v>6</v>
          </cell>
          <cell r="J1855" t="str">
            <v>PremiumSSw</v>
          </cell>
          <cell r="K1855" t="str">
            <v>attack</v>
          </cell>
          <cell r="L1855" t="str">
            <v>攻撃タイプ</v>
          </cell>
          <cell r="M1855" t="str">
            <v>unknown</v>
          </cell>
          <cell r="N1855" t="str">
            <v>Unknown</v>
          </cell>
          <cell r="O1855" t="str">
            <v>machine</v>
          </cell>
          <cell r="P1855" t="str">
            <v>マシン</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red</v>
          </cell>
          <cell r="I1856">
            <v>6</v>
          </cell>
          <cell r="J1856" t="str">
            <v>PremiumSS</v>
          </cell>
          <cell r="K1856" t="str">
            <v>technical</v>
          </cell>
          <cell r="L1856" t="str">
            <v>テクニカルタイプ</v>
          </cell>
          <cell r="M1856" t="str">
            <v>unknown</v>
          </cell>
          <cell r="N1856" t="str">
            <v>Unknown</v>
          </cell>
          <cell r="O1856" t="str">
            <v>demon</v>
          </cell>
          <cell r="P1856" t="str">
            <v>デーモン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red</v>
          </cell>
          <cell r="I1857">
            <v>6</v>
          </cell>
          <cell r="J1857" t="str">
            <v>DropWizS</v>
          </cell>
          <cell r="K1857" t="str">
            <v>balance</v>
          </cell>
          <cell r="L1857" t="str">
            <v>バランスタイプ</v>
          </cell>
          <cell r="M1857" t="str">
            <v>human</v>
          </cell>
          <cell r="N1857" t="str">
            <v>ヒューマン</v>
          </cell>
          <cell r="O1857" t="str">
            <v>hero</v>
          </cell>
          <cell r="P1857" t="str">
            <v>ヒーロー</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red</v>
          </cell>
          <cell r="I1858">
            <v>6</v>
          </cell>
          <cell r="J1858" t="str">
            <v>DropWizS</v>
          </cell>
          <cell r="K1858" t="str">
            <v>balance</v>
          </cell>
          <cell r="L1858" t="str">
            <v>バランスタイプ</v>
          </cell>
          <cell r="M1858" t="str">
            <v>weapon</v>
          </cell>
          <cell r="N1858" t="str">
            <v>ウェポン</v>
          </cell>
          <cell r="O1858" t="str">
            <v>fantasy</v>
          </cell>
          <cell r="P1858" t="str">
            <v>ファンタジー</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blue</v>
          </cell>
          <cell r="I1863">
            <v>5</v>
          </cell>
          <cell r="J1863" t="str">
            <v>PremiumSS</v>
          </cell>
          <cell r="K1863" t="str">
            <v>technical</v>
          </cell>
          <cell r="L1863" t="str">
            <v>テクニカルタイプ</v>
          </cell>
          <cell r="M1863" t="str">
            <v>human</v>
          </cell>
          <cell r="N1863" t="str">
            <v>ヒューマン</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technical</v>
          </cell>
          <cell r="L1864" t="str">
            <v>テクニカルタイプ</v>
          </cell>
          <cell r="M1864" t="str">
            <v>human</v>
          </cell>
          <cell r="N1864" t="str">
            <v>ヒューマン</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yellow</v>
          </cell>
          <cell r="I1865">
            <v>5</v>
          </cell>
          <cell r="J1865" t="str">
            <v>PremiumSS</v>
          </cell>
          <cell r="K1865" t="str">
            <v>attack</v>
          </cell>
          <cell r="L1865" t="str">
            <v>攻撃タイプ</v>
          </cell>
          <cell r="M1865" t="str">
            <v>human</v>
          </cell>
          <cell r="N1865" t="str">
            <v>ヒューマン</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attack</v>
          </cell>
          <cell r="L1866" t="str">
            <v>攻撃タイプ</v>
          </cell>
          <cell r="M1866" t="str">
            <v>human</v>
          </cell>
          <cell r="N1866" t="str">
            <v>ヒューマン</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red</v>
          </cell>
          <cell r="I1868">
            <v>5</v>
          </cell>
          <cell r="J1868" t="str">
            <v>PremiumSS</v>
          </cell>
          <cell r="K1868" t="str">
            <v>attack</v>
          </cell>
          <cell r="L1868" t="str">
            <v>攻撃タイプ</v>
          </cell>
          <cell r="M1868" t="str">
            <v>dragon</v>
          </cell>
          <cell r="N1868" t="str">
            <v>ドラゴン</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red</v>
          </cell>
          <cell r="I1869">
            <v>6</v>
          </cell>
          <cell r="J1869" t="str">
            <v>PremiumSS</v>
          </cell>
          <cell r="K1869" t="str">
            <v>attack</v>
          </cell>
          <cell r="L1869" t="str">
            <v>攻撃タイプ</v>
          </cell>
          <cell r="M1869" t="str">
            <v>dragon</v>
          </cell>
          <cell r="N1869" t="str">
            <v>ドラゴン</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green</v>
          </cell>
          <cell r="I1870">
            <v>5</v>
          </cell>
          <cell r="J1870" t="str">
            <v>PremiumSS</v>
          </cell>
          <cell r="K1870" t="str">
            <v>attack</v>
          </cell>
          <cell r="L1870" t="str">
            <v>攻撃タイプ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green</v>
          </cell>
          <cell r="I1871">
            <v>6</v>
          </cell>
          <cell r="J1871" t="str">
            <v>PremiumSS</v>
          </cell>
          <cell r="K1871" t="str">
            <v>attack</v>
          </cell>
          <cell r="L1871" t="str">
            <v>攻撃タイプ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2種族攻撃力UP</v>
          </cell>
          <cell r="D166" t="str">
            <v>自身が先頭の時、1ターンの間に合計30個以上パネルを破壊した場合に種族ヒューマン・ヒーローの攻撃力UP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最初の1ターン目と、その後6ターン毎に種族ヒューマン・ファンタジーユニットのタップ回数1増加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1606</v>
          </cell>
          <cell r="B211" t="str">
            <v>ja</v>
          </cell>
          <cell r="C211" t="str">
            <v>3種族 6ターン毎、攻撃力UP</v>
          </cell>
          <cell r="D211" t="str">
            <v>最初の1ターン目と、その後6ターン毎に種族ドラゴン・ファンタジー・アニマルユニットの攻撃力を1000UP</v>
          </cell>
        </row>
        <row r="212">
          <cell r="A212">
            <v>1607</v>
          </cell>
          <cell r="B212" t="str">
            <v>ja</v>
          </cell>
          <cell r="C212" t="str">
            <v>3種族 6ターン毎、タップ回数UP</v>
          </cell>
          <cell r="D212" t="str">
            <v>最初の1ターン目と、その後6ターン毎に種族ドラゴン・ファンタジー・アニマルユニットのタップ回数1増加</v>
          </cell>
        </row>
        <row r="213">
          <cell r="A213">
            <v>1700</v>
          </cell>
          <cell r="B213" t="str">
            <v>ja</v>
          </cell>
          <cell r="C213" t="str">
            <v>パネルブレイク30 ターンHP小回復</v>
          </cell>
          <cell r="D213" t="str">
            <v>自身が先頭の時、1ターンの間に合計30個以上パネルを破壊した場合に1ターン HP小回復</v>
          </cell>
        </row>
        <row r="214">
          <cell r="A214">
            <v>1701</v>
          </cell>
          <cell r="B214" t="str">
            <v>ja</v>
          </cell>
          <cell r="C214" t="str">
            <v>5ターン毎、HP回復</v>
          </cell>
          <cell r="D214" t="str">
            <v>最初の1ターン目と、その後5ターン毎のターン終了時、HPを2500回復する</v>
          </cell>
        </row>
        <row r="215">
          <cell r="A215">
            <v>1702</v>
          </cell>
          <cell r="B215" t="str">
            <v>ja</v>
          </cell>
          <cell r="C215" t="str">
            <v>ターン経過攻撃力UP</v>
          </cell>
          <cell r="D215" t="str">
            <v>最初の1ターン目と、その後6ターン毎に1ターン種族ドラゴン・ファンタジー・アニマルの攻撃力を1000UP</v>
          </cell>
        </row>
        <row r="216">
          <cell r="A216">
            <v>1703</v>
          </cell>
          <cell r="B216" t="str">
            <v>ja</v>
          </cell>
          <cell r="C216" t="str">
            <v>8ターン毎、右隣スキルターン1短縮</v>
          </cell>
          <cell r="D216" t="str">
            <v>最初の1ターン目と、その後8ターン毎に右隣のユニットのスキルターンを1短縮</v>
          </cell>
        </row>
        <row r="217">
          <cell r="A217">
            <v>1704</v>
          </cell>
          <cell r="B217" t="str">
            <v>ja</v>
          </cell>
          <cell r="C217" t="str">
            <v>ターン経過回復力UP</v>
          </cell>
          <cell r="D217" t="str">
            <v>最初の1ターン目と、その後6ターン毎に1ターン自身と右隣のユニットの回復力を1500UP</v>
          </cell>
        </row>
        <row r="218">
          <cell r="A218">
            <v>1705</v>
          </cell>
          <cell r="B218" t="str">
            <v>ja</v>
          </cell>
          <cell r="C218" t="str">
            <v>4ターン毎、ダメージ軽減</v>
          </cell>
          <cell r="D218" t="str">
            <v>最初のターンとその後4ターン毎に全ユニットが敵からのダメージを15%軽減</v>
          </cell>
        </row>
        <row r="219">
          <cell r="A219">
            <v>1800</v>
          </cell>
          <cell r="B219" t="str">
            <v>ja</v>
          </cell>
          <cell r="C219" t="str">
            <v>フィーバー強化</v>
          </cell>
          <cell r="D219" t="str">
            <v>フィーバー時自身の攻撃力、回復力を特大UP</v>
          </cell>
        </row>
        <row r="220">
          <cell r="A220">
            <v>1900</v>
          </cell>
          <cell r="B220" t="str">
            <v>ja</v>
          </cell>
          <cell r="C220" t="str">
            <v>ハート出現率UP</v>
          </cell>
          <cell r="D220" t="str">
            <v>自身が先頭の時、ハートパネルの出現率UP</v>
          </cell>
        </row>
        <row r="221">
          <cell r="A221">
            <v>2000</v>
          </cell>
          <cell r="B221" t="str">
            <v>ja</v>
          </cell>
          <cell r="C221" t="str">
            <v>赤パネル出現率UP</v>
          </cell>
          <cell r="D221" t="str">
            <v>自身が先頭の時、赤パネルの出現率UP</v>
          </cell>
        </row>
        <row r="222">
          <cell r="A222">
            <v>2100</v>
          </cell>
          <cell r="B222" t="str">
            <v>ja</v>
          </cell>
          <cell r="C222" t="str">
            <v>緑パネル出現率UP</v>
          </cell>
          <cell r="D222" t="str">
            <v>自身が先頭の時、緑パネルの出現率UP</v>
          </cell>
        </row>
        <row r="223">
          <cell r="A223">
            <v>2101</v>
          </cell>
          <cell r="B223" t="str">
            <v>ja</v>
          </cell>
          <cell r="C223" t="str">
            <v>緑パネル出現率UP</v>
          </cell>
          <cell r="D223" t="str">
            <v>自身が先頭の時、緑パネルの出現率UP</v>
          </cell>
        </row>
        <row r="224">
          <cell r="A224">
            <v>2200</v>
          </cell>
          <cell r="B224" t="str">
            <v>ja</v>
          </cell>
          <cell r="C224" t="str">
            <v>青パネル出現率UP</v>
          </cell>
          <cell r="D224" t="str">
            <v>自身が先頭の時、青パネルの出現率UP</v>
          </cell>
        </row>
        <row r="225">
          <cell r="A225">
            <v>2201</v>
          </cell>
          <cell r="B225" t="str">
            <v>ja</v>
          </cell>
          <cell r="C225" t="str">
            <v>青パネル出現率UP</v>
          </cell>
          <cell r="D225" t="str">
            <v>自身が先頭の時、青パネルの出現率UP</v>
          </cell>
        </row>
        <row r="226">
          <cell r="A226">
            <v>2300</v>
          </cell>
          <cell r="B226" t="str">
            <v>ja</v>
          </cell>
          <cell r="C226" t="str">
            <v>黄パネル出現率UP</v>
          </cell>
          <cell r="D226" t="str">
            <v>自身が先頭の時、黄パネルの出現率UP</v>
          </cell>
        </row>
        <row r="227">
          <cell r="A227">
            <v>2400</v>
          </cell>
          <cell r="B227" t="str">
            <v>ja</v>
          </cell>
          <cell r="C227" t="str">
            <v>ハートボムパネルドロップ</v>
          </cell>
          <cell r="D227" t="str">
            <v>自身が先頭の時、ハートパネルを確率でハートボムパネルに変換しドロップ</v>
          </cell>
        </row>
        <row r="228">
          <cell r="A228">
            <v>2401</v>
          </cell>
          <cell r="B228" t="str">
            <v>ja</v>
          </cell>
          <cell r="C228" t="str">
            <v>赤ボムパネルドロップ</v>
          </cell>
          <cell r="D228" t="str">
            <v>自身が先頭の時、赤パネルを低確率で赤ボムパネルに変換しドロップ</v>
          </cell>
        </row>
        <row r="229">
          <cell r="A229">
            <v>2402</v>
          </cell>
          <cell r="B229" t="str">
            <v>ja</v>
          </cell>
          <cell r="C229" t="str">
            <v>緑ボムパネルドロップ</v>
          </cell>
          <cell r="D229" t="str">
            <v>自身が先頭の時、緑パネルを低確率で緑ボムパネルに変換しドロップ</v>
          </cell>
        </row>
        <row r="230">
          <cell r="A230">
            <v>2403</v>
          </cell>
          <cell r="B230" t="str">
            <v>ja</v>
          </cell>
          <cell r="C230" t="str">
            <v>青ボムパネルドロップ</v>
          </cell>
          <cell r="D230" t="str">
            <v>自身が先頭の時、青パネルを確率で青ボムパネルに変換しドロップ</v>
          </cell>
        </row>
        <row r="231">
          <cell r="A231">
            <v>2500</v>
          </cell>
          <cell r="B231" t="str">
            <v>ja</v>
          </cell>
          <cell r="C231" t="str">
            <v>青パネルドロップ</v>
          </cell>
          <cell r="D231" t="str">
            <v>自身が先頭の時、緑パネルを確率で青パネルに変換しドロップ</v>
          </cell>
        </row>
        <row r="232">
          <cell r="A232">
            <v>2501</v>
          </cell>
          <cell r="B232" t="str">
            <v>ja</v>
          </cell>
          <cell r="C232" t="str">
            <v>黄パネルドロップ</v>
          </cell>
          <cell r="D232" t="str">
            <v>自身が先頭の時、青パネルを確率で黄パネルに変換しドロップ</v>
          </cell>
        </row>
        <row r="233">
          <cell r="A233">
            <v>2502</v>
          </cell>
          <cell r="B233" t="str">
            <v>ja</v>
          </cell>
          <cell r="C233" t="str">
            <v>赤パネルドロップ</v>
          </cell>
          <cell r="D233" t="str">
            <v>自身が先頭の時、黄パネルを確率で赤パネルに変換しドロップ</v>
          </cell>
        </row>
        <row r="234">
          <cell r="A234">
            <v>2503</v>
          </cell>
          <cell r="B234" t="str">
            <v>ja</v>
          </cell>
          <cell r="C234" t="str">
            <v>黄パネルドロップ</v>
          </cell>
          <cell r="D234" t="str">
            <v>自身が先頭の時、赤パネルを確率で黄パネルに変換しドロップ</v>
          </cell>
        </row>
        <row r="235">
          <cell r="A235">
            <v>2504</v>
          </cell>
          <cell r="B235" t="str">
            <v>ja</v>
          </cell>
          <cell r="C235" t="str">
            <v>SCパネルドロップ</v>
          </cell>
          <cell r="D235" t="str">
            <v>自身が先頭の時、緑パネルを確率でSCパネルに変換しドロップ</v>
          </cell>
        </row>
        <row r="236">
          <cell r="A236">
            <v>2505</v>
          </cell>
          <cell r="B236" t="str">
            <v>ja</v>
          </cell>
          <cell r="C236" t="str">
            <v>緑ボムパネル(大)ドロップ</v>
          </cell>
          <cell r="D236" t="str">
            <v>自身が先頭の時、低確率で緑ボムパネル(大)をドロップ</v>
          </cell>
        </row>
        <row r="237">
          <cell r="A237">
            <v>2506</v>
          </cell>
          <cell r="B237" t="str">
            <v>ja</v>
          </cell>
          <cell r="C237" t="str">
            <v>ハートボムパネル(大)ドロップ</v>
          </cell>
          <cell r="D237" t="str">
            <v>自身が先頭の時、低確率でハートボムパネル(大)をドロップ</v>
          </cell>
        </row>
        <row r="238">
          <cell r="A238">
            <v>2507</v>
          </cell>
          <cell r="B238" t="str">
            <v>ja</v>
          </cell>
          <cell r="C238" t="str">
            <v>Cパネルドロップ</v>
          </cell>
          <cell r="D238" t="str">
            <v>自身が先頭の時、低確率でCパネルをドロップ</v>
          </cell>
        </row>
        <row r="239">
          <cell r="A239">
            <v>2508</v>
          </cell>
          <cell r="B239" t="str">
            <v>ja</v>
          </cell>
          <cell r="C239" t="str">
            <v>黄パネルドロップ</v>
          </cell>
          <cell r="D239" t="str">
            <v>自身が先頭の時、緑パネルを確率で黄パネルに変換しドロップ</v>
          </cell>
        </row>
        <row r="240">
          <cell r="A240">
            <v>2509</v>
          </cell>
          <cell r="B240" t="str">
            <v>ja</v>
          </cell>
          <cell r="C240" t="str">
            <v>赤ボムパネル(大)ドロップ</v>
          </cell>
          <cell r="D240" t="str">
            <v>自身が先頭の時、低確率で赤ボムパネル(大)をドロップ</v>
          </cell>
        </row>
        <row r="241">
          <cell r="A241">
            <v>2510</v>
          </cell>
          <cell r="B241" t="str">
            <v>ja</v>
          </cell>
          <cell r="C241" t="str">
            <v>青ボムパネル(大)ドロップ</v>
          </cell>
          <cell r="D241" t="str">
            <v>自身が先頭の時、低確率で青ボムパネル(大)をドロップ</v>
          </cell>
        </row>
        <row r="242">
          <cell r="A242">
            <v>2511</v>
          </cell>
          <cell r="B242" t="str">
            <v>ja</v>
          </cell>
          <cell r="C242" t="str">
            <v>緑ボムパネルドロップ</v>
          </cell>
          <cell r="D242" t="str">
            <v>自身が先頭の時、ハートパネルを確率で緑ボムパネルに変換しドロップ</v>
          </cell>
        </row>
        <row r="243">
          <cell r="A243">
            <v>2512</v>
          </cell>
          <cell r="B243" t="str">
            <v>ja</v>
          </cell>
          <cell r="C243" t="str">
            <v>ハートボムパネル(大)ドロップ</v>
          </cell>
          <cell r="D243" t="str">
            <v>自身が先頭の時、低確率でハートボムパネル(大)をドロップ</v>
          </cell>
        </row>
        <row r="244">
          <cell r="A244">
            <v>2513</v>
          </cell>
          <cell r="B244" t="str">
            <v>ja</v>
          </cell>
          <cell r="C244" t="str">
            <v>緑ボムパネル(大)ドロップ</v>
          </cell>
          <cell r="D244" t="str">
            <v>自身が先頭の時、低確率で緑ボムパネル(大)をドロップ</v>
          </cell>
        </row>
        <row r="245">
          <cell r="A245">
            <v>2514</v>
          </cell>
          <cell r="B245" t="str">
            <v>ja</v>
          </cell>
          <cell r="C245" t="str">
            <v>赤ボムパネルドロップ</v>
          </cell>
          <cell r="D245" t="str">
            <v>自身が先頭の時、青パネルを低確率で赤ボムパネルに変換しドロップ</v>
          </cell>
        </row>
        <row r="246">
          <cell r="A246">
            <v>2515</v>
          </cell>
          <cell r="B246" t="str">
            <v>ja</v>
          </cell>
          <cell r="C246" t="str">
            <v>テクニカルタイプ Cパネルドロップ</v>
          </cell>
          <cell r="D246" t="str">
            <v>テクニカルが先頭の時、低確率でCパネルをドロップ</v>
          </cell>
        </row>
        <row r="247">
          <cell r="A247">
            <v>2600</v>
          </cell>
          <cell r="B247" t="str">
            <v>ja</v>
          </cell>
          <cell r="C247" t="str">
            <v>回復力400UP</v>
          </cell>
          <cell r="D247" t="str">
            <v>自身の回復力を400UP</v>
          </cell>
        </row>
        <row r="248">
          <cell r="A248">
            <v>2601</v>
          </cell>
          <cell r="B248" t="str">
            <v>ja</v>
          </cell>
          <cell r="C248" t="str">
            <v>回復力300UP</v>
          </cell>
          <cell r="D248" t="str">
            <v>自身の回復力を300UP</v>
          </cell>
        </row>
        <row r="249">
          <cell r="A249">
            <v>2700</v>
          </cell>
          <cell r="B249" t="str">
            <v>ja</v>
          </cell>
          <cell r="C249" t="str">
            <v>攻撃力UP</v>
          </cell>
          <cell r="D249" t="str">
            <v>自身の攻撃力を300UP</v>
          </cell>
        </row>
        <row r="250">
          <cell r="A250">
            <v>2701</v>
          </cell>
          <cell r="B250" t="str">
            <v>ja</v>
          </cell>
          <cell r="C250" t="str">
            <v>攻撃力UP</v>
          </cell>
          <cell r="D250" t="str">
            <v>自身の攻撃力を500UP</v>
          </cell>
        </row>
        <row r="251">
          <cell r="A251">
            <v>2800</v>
          </cell>
          <cell r="B251" t="str">
            <v>ja</v>
          </cell>
          <cell r="C251" t="str">
            <v>防御力UP</v>
          </cell>
          <cell r="D251" t="str">
            <v>自身の防御力を250UP</v>
          </cell>
        </row>
        <row r="252">
          <cell r="A252">
            <v>2801</v>
          </cell>
          <cell r="B252" t="str">
            <v>ja</v>
          </cell>
          <cell r="C252" t="str">
            <v>防御力UP</v>
          </cell>
          <cell r="D252" t="str">
            <v>自身の防御力を350UP</v>
          </cell>
        </row>
        <row r="253">
          <cell r="A253">
            <v>2802</v>
          </cell>
          <cell r="B253" t="str">
            <v>ja</v>
          </cell>
          <cell r="C253" t="str">
            <v>防御力UP</v>
          </cell>
          <cell r="D253" t="str">
            <v>自身の防御力を300UP</v>
          </cell>
        </row>
        <row r="254">
          <cell r="A254">
            <v>2803</v>
          </cell>
          <cell r="B254" t="str">
            <v>ja</v>
          </cell>
          <cell r="C254" t="str">
            <v>防御力UP</v>
          </cell>
          <cell r="D254" t="str">
            <v>自身の防御力を400UP</v>
          </cell>
        </row>
        <row r="255">
          <cell r="A255">
            <v>2804</v>
          </cell>
          <cell r="B255" t="str">
            <v>ja</v>
          </cell>
          <cell r="C255" t="str">
            <v>防御力UP</v>
          </cell>
          <cell r="D255" t="str">
            <v>自身の防御力を280UP</v>
          </cell>
        </row>
        <row r="256">
          <cell r="A256">
            <v>2805</v>
          </cell>
          <cell r="B256" t="str">
            <v>ja</v>
          </cell>
          <cell r="C256" t="str">
            <v>3ターン毎、防御力UP</v>
          </cell>
          <cell r="D256" t="str">
            <v>最初の1ターン目と、その後3ターン毎に1ターン緑属性ユニットの防御力を500UP</v>
          </cell>
        </row>
        <row r="257">
          <cell r="A257">
            <v>2900</v>
          </cell>
          <cell r="B257" t="str">
            <v>ja</v>
          </cell>
          <cell r="C257" t="str">
            <v>フィーバー50 攻撃力小UP</v>
          </cell>
          <cell r="D257" t="str">
            <v>フィーバーゲージが50％以上の時、自身の攻撃力小UP</v>
          </cell>
        </row>
        <row r="258">
          <cell r="A258">
            <v>2901</v>
          </cell>
          <cell r="B258" t="str">
            <v>ja</v>
          </cell>
          <cell r="C258" t="str">
            <v>フィーバー40 攻撃力UP</v>
          </cell>
          <cell r="D258" t="str">
            <v>フィーバーゲージが40％以上の時、自身の攻撃力UP</v>
          </cell>
        </row>
        <row r="259">
          <cell r="A259">
            <v>2902</v>
          </cell>
          <cell r="B259" t="str">
            <v>ja</v>
          </cell>
          <cell r="C259" t="str">
            <v>フィーバー80 攻撃力大UP</v>
          </cell>
          <cell r="D259" t="str">
            <v>フィーバーゲージが80％以上の時、自身の攻撃力大UP</v>
          </cell>
        </row>
        <row r="260">
          <cell r="A260">
            <v>2903</v>
          </cell>
          <cell r="B260" t="str">
            <v>ja</v>
          </cell>
          <cell r="C260" t="str">
            <v>フィーバー100 攻撃参加</v>
          </cell>
          <cell r="D260" t="str">
            <v>フィーバーゲージが100％の時、自身が先頭以外でも通常攻撃に参加する</v>
          </cell>
        </row>
        <row r="261">
          <cell r="A261">
            <v>2904</v>
          </cell>
          <cell r="B261" t="str">
            <v>ja</v>
          </cell>
          <cell r="C261" t="str">
            <v>フィーバー70 HP回復</v>
          </cell>
          <cell r="D261" t="str">
            <v>フィーバーゲージが70%以上の時、毎ターン終了時、HPを1500回復する</v>
          </cell>
        </row>
        <row r="262">
          <cell r="A262">
            <v>2905</v>
          </cell>
          <cell r="B262" t="str">
            <v>ja</v>
          </cell>
          <cell r="C262" t="str">
            <v>フィーバー100 Cパネル生成短縮</v>
          </cell>
          <cell r="D262" t="str">
            <v>フィーバーゲージが100％の時、全ユニットのCパネル生成に必要なチェイン数を1短縮する</v>
          </cell>
        </row>
        <row r="263">
          <cell r="A263">
            <v>2906</v>
          </cell>
          <cell r="B263" t="str">
            <v>ja</v>
          </cell>
          <cell r="C263" t="str">
            <v>フィーバー100 HP1000回復</v>
          </cell>
          <cell r="D263" t="str">
            <v>フィーバーゲージが100%以上の時、毎ターン終了時、HPを1000回復する</v>
          </cell>
        </row>
        <row r="264">
          <cell r="A264">
            <v>2907</v>
          </cell>
          <cell r="B264" t="str">
            <v>ja</v>
          </cell>
          <cell r="C264" t="str">
            <v>フィーバー100 タップ回数UP</v>
          </cell>
          <cell r="D264" t="str">
            <v>フィーバーゲージが100％以上の時、自身のタップ回数を1増加</v>
          </cell>
        </row>
        <row r="265">
          <cell r="A265">
            <v>3000</v>
          </cell>
          <cell r="B265" t="str">
            <v>ja</v>
          </cell>
          <cell r="C265" t="str">
            <v>7ターン毎、攻撃参加</v>
          </cell>
          <cell r="D265" t="str">
            <v>最初の1ターン目と、その後7ターン毎に自身が先頭以外でも通常攻撃に参加する</v>
          </cell>
        </row>
        <row r="266">
          <cell r="A266">
            <v>3001</v>
          </cell>
          <cell r="B266" t="str">
            <v>ja</v>
          </cell>
          <cell r="C266" t="str">
            <v>6ターン毎、攻撃参加</v>
          </cell>
          <cell r="D266" t="str">
            <v>最初の1ターン目と、その後6ターン毎に自身が先頭以外でも通常攻撃に参加する</v>
          </cell>
        </row>
        <row r="267">
          <cell r="A267">
            <v>3002</v>
          </cell>
          <cell r="B267" t="str">
            <v>ja</v>
          </cell>
          <cell r="C267" t="str">
            <v>9ターン毎、攻撃参加</v>
          </cell>
          <cell r="D267" t="str">
            <v>最初の1ターン目と、その後9ターン毎に自身が先頭以外でも通常攻撃に参加する</v>
          </cell>
        </row>
        <row r="268">
          <cell r="A268">
            <v>3100</v>
          </cell>
          <cell r="B268" t="str">
            <v>ja</v>
          </cell>
          <cell r="C268" t="str">
            <v>最終フロア Cパネル生成短縮(特大)</v>
          </cell>
          <cell r="D268" t="str">
            <v>最終フロア内で自身が先頭の時、Cパネル生成に必要なチェイン数を4短縮する</v>
          </cell>
        </row>
        <row r="269">
          <cell r="A269">
            <v>3101</v>
          </cell>
          <cell r="B269" t="str">
            <v>ja</v>
          </cell>
          <cell r="C269" t="str">
            <v>最終フロア バリア3000</v>
          </cell>
          <cell r="D269" t="str">
            <v>最終フロア到達時に自身への直接ダメージを3000まで防ぐバリアを一度だけ展開(バリアは破壊されると復活しない)</v>
          </cell>
        </row>
        <row r="270">
          <cell r="A270">
            <v>3102</v>
          </cell>
          <cell r="B270" t="str">
            <v>ja</v>
          </cell>
          <cell r="C270" t="str">
            <v>最終フロア時 Cスキル威力UP</v>
          </cell>
          <cell r="D270" t="str">
            <v>最終フロアの1ターン目終了時に自身のCスキルの威力をUP</v>
          </cell>
        </row>
        <row r="271">
          <cell r="A271">
            <v>3103</v>
          </cell>
          <cell r="B271" t="str">
            <v>ja</v>
          </cell>
          <cell r="C271" t="str">
            <v>最終フロア 攻撃力UP</v>
          </cell>
          <cell r="D271" t="str">
            <v>最終フロア内で自身の攻撃力を700UP</v>
          </cell>
        </row>
        <row r="272">
          <cell r="A272">
            <v>3104</v>
          </cell>
          <cell r="B272" t="str">
            <v>ja</v>
          </cell>
          <cell r="C272" t="str">
            <v>最終フロア時 バリア5000</v>
          </cell>
          <cell r="D272" t="str">
            <v>最終フロア到達時に自身への直接ダメージを5000まで防ぐバリアを一度だけ展開(バリアは破壊されると復活しない)</v>
          </cell>
        </row>
        <row r="273">
          <cell r="A273">
            <v>3105</v>
          </cell>
          <cell r="B273" t="str">
            <v>ja</v>
          </cell>
          <cell r="C273" t="str">
            <v>最終フロア時 バリア7000</v>
          </cell>
          <cell r="D273" t="str">
            <v>最終フロア到達時に自身への直接ダメージを7000まで防ぐバリアを一度だけ展開(バリアは破壊されると復活しない)</v>
          </cell>
        </row>
        <row r="274">
          <cell r="A274">
            <v>3106</v>
          </cell>
          <cell r="B274" t="str">
            <v>ja</v>
          </cell>
          <cell r="C274" t="str">
            <v>最終フロア HP回復</v>
          </cell>
          <cell r="D274" t="str">
            <v>最終フロアの毎ターン終了時、パーティの合計HPの5%を回復</v>
          </cell>
        </row>
        <row r="275">
          <cell r="A275">
            <v>3107</v>
          </cell>
          <cell r="B275" t="str">
            <v>ja</v>
          </cell>
          <cell r="C275" t="str">
            <v>各フロア タップ回数UP</v>
          </cell>
          <cell r="D275" t="str">
            <v>各フロアの開始時、1ターン全ユニットのタップ回数1増加</v>
          </cell>
        </row>
        <row r="276">
          <cell r="A276">
            <v>3108</v>
          </cell>
          <cell r="B276" t="str">
            <v>ja</v>
          </cell>
          <cell r="C276" t="str">
            <v>最終フロア時 バリア10000</v>
          </cell>
          <cell r="D276" t="str">
            <v>最終フロア到達時に自身への直接ダメージを10000まで防ぐバリアを一度だけ展開(バリアは破壊されると復活しない)</v>
          </cell>
        </row>
        <row r="277">
          <cell r="A277">
            <v>3109</v>
          </cell>
          <cell r="B277" t="str">
            <v>ja</v>
          </cell>
          <cell r="C277" t="str">
            <v>最終フロア 赤ボムパネルドロップ</v>
          </cell>
          <cell r="D277" t="str">
            <v>最終フロア内で青パネルを低確率で赤ボムパネルに変換しドロップ</v>
          </cell>
        </row>
        <row r="278">
          <cell r="A278">
            <v>3200</v>
          </cell>
          <cell r="B278" t="str">
            <v>ja</v>
          </cell>
          <cell r="C278" t="str">
            <v>HP33%以下 攻撃力UP</v>
          </cell>
          <cell r="D278" t="str">
            <v>自身が先頭の時、残りHPが33%以下で攻撃力特大UP</v>
          </cell>
        </row>
        <row r="279">
          <cell r="A279">
            <v>3201</v>
          </cell>
          <cell r="B279" t="str">
            <v>ja</v>
          </cell>
          <cell r="C279" t="str">
            <v>HP35%以下 回復力UP</v>
          </cell>
          <cell r="D279" t="str">
            <v>自身が先頭の時、残りHPが35%以下で回復力40%UP</v>
          </cell>
        </row>
        <row r="280">
          <cell r="A280">
            <v>3202</v>
          </cell>
          <cell r="B280" t="str">
            <v>ja</v>
          </cell>
          <cell r="C280" t="str">
            <v>HP90%以上 全属性耐性15</v>
          </cell>
          <cell r="D280" t="str">
            <v>自身が先頭の時、残りHPが90%以上で全ユニットに対する全属性の敵からの攻撃を15％軽減</v>
          </cell>
        </row>
        <row r="281">
          <cell r="A281">
            <v>3203</v>
          </cell>
          <cell r="B281" t="str">
            <v>ja</v>
          </cell>
          <cell r="C281" t="str">
            <v>HP50%以下 防御力UP</v>
          </cell>
          <cell r="D281" t="str">
            <v>自身が先頭の時、残りHPが50%以下で防御力398UP</v>
          </cell>
        </row>
        <row r="282">
          <cell r="A282">
            <v>3204</v>
          </cell>
          <cell r="B282" t="str">
            <v>ja</v>
          </cell>
          <cell r="C282" t="str">
            <v>HP30%以下 攻撃力大UP</v>
          </cell>
          <cell r="D282" t="str">
            <v>自身が先頭の時、残りHPが30%以下で攻撃力大UP</v>
          </cell>
        </row>
        <row r="283">
          <cell r="A283">
            <v>3205</v>
          </cell>
          <cell r="B283" t="str">
            <v>ja</v>
          </cell>
          <cell r="C283" t="str">
            <v>HP90%以上 ダメージ軽減</v>
          </cell>
          <cell r="D283" t="str">
            <v>残りHPが90%以上の時、全ユニットが敵からの攻撃を15％軽減</v>
          </cell>
        </row>
        <row r="284">
          <cell r="A284">
            <v>3206</v>
          </cell>
          <cell r="B284" t="str">
            <v>ja</v>
          </cell>
          <cell r="C284" t="str">
            <v>HP30%以下 回復力UP</v>
          </cell>
          <cell r="D284" t="str">
            <v>残りHPが30%以下の時、全ユニットの回復力20%UP</v>
          </cell>
        </row>
        <row r="285">
          <cell r="A285">
            <v>3207</v>
          </cell>
          <cell r="B285" t="str">
            <v>ja</v>
          </cell>
          <cell r="C285" t="str">
            <v>HP50%以下 回復力UP</v>
          </cell>
          <cell r="D285" t="str">
            <v>残りHPが50%以下の時、全ユニットの回復力365UP</v>
          </cell>
        </row>
        <row r="286">
          <cell r="A286">
            <v>3208</v>
          </cell>
          <cell r="B286" t="str">
            <v>ja</v>
          </cell>
          <cell r="C286" t="str">
            <v>HP35%以下 防御力UP</v>
          </cell>
          <cell r="D286" t="str">
            <v>残りHPが35%以下の時、自身の防御力800UP</v>
          </cell>
        </row>
        <row r="287">
          <cell r="A287">
            <v>3209</v>
          </cell>
          <cell r="B287" t="str">
            <v>ja</v>
          </cell>
          <cell r="C287" t="str">
            <v>HP80%以下 攻撃力大UP</v>
          </cell>
          <cell r="D287" t="str">
            <v>残りHPが80%以下の時、自身の攻撃力大UP</v>
          </cell>
        </row>
        <row r="288">
          <cell r="A288">
            <v>3210</v>
          </cell>
          <cell r="B288" t="str">
            <v>ja</v>
          </cell>
          <cell r="C288" t="str">
            <v>HP75%以下 Cパネル生成短縮</v>
          </cell>
          <cell r="D288" t="str">
            <v>残りHPが75%以下の時、自身の攻撃力大UP</v>
          </cell>
        </row>
        <row r="289">
          <cell r="A289">
            <v>4000</v>
          </cell>
          <cell r="B289" t="str">
            <v>ja</v>
          </cell>
          <cell r="C289" t="str">
            <v>被ダメージ時 HP回復</v>
          </cell>
          <cell r="D289" t="str">
            <v>自身が攻撃を受けた場合、次のターンの開始時にHP500回復する</v>
          </cell>
        </row>
        <row r="290">
          <cell r="A290">
            <v>5000</v>
          </cell>
          <cell r="B290" t="str">
            <v>ja</v>
          </cell>
          <cell r="C290" t="str">
            <v>パーティー内ゴッド 攻撃力UP</v>
          </cell>
          <cell r="D290" t="str">
            <v>パーティー内に種族ゴッドがいる時、全ユニットの攻撃力を500UP</v>
          </cell>
        </row>
        <row r="291">
          <cell r="A291">
            <v>5001</v>
          </cell>
          <cell r="B291" t="str">
            <v>ja</v>
          </cell>
          <cell r="C291" t="str">
            <v>パーティー内バランス 回復力UP</v>
          </cell>
          <cell r="D291" t="str">
            <v>パーティー内にバランスタイプがいる時、全ユニットの回復力を500UP</v>
          </cell>
        </row>
        <row r="292">
          <cell r="A292">
            <v>5002</v>
          </cell>
          <cell r="B292" t="str">
            <v>ja</v>
          </cell>
          <cell r="C292" t="str">
            <v>パーティー内青属性 攻撃力UP</v>
          </cell>
          <cell r="D292" t="str">
            <v>パーティー内に青属性ユニットがいる時、全ユニットの攻撃力を700UP</v>
          </cell>
        </row>
        <row r="293">
          <cell r="A293">
            <v>5003</v>
          </cell>
          <cell r="B293" t="str">
            <v>ja</v>
          </cell>
          <cell r="C293" t="str">
            <v>パーティー内赤属性 自身攻撃力UP</v>
          </cell>
          <cell r="D293" t="str">
            <v>パーティー内に赤属性ユニットがいる時、自身の攻撃力を1500UP</v>
          </cell>
        </row>
        <row r="294">
          <cell r="A294">
            <v>8000</v>
          </cell>
          <cell r="B294" t="str">
            <v>ja</v>
          </cell>
          <cell r="C294" t="str">
            <v>ユニットが一番右にいるとき 攻撃力UP</v>
          </cell>
          <cell r="D294" t="str">
            <v>自身が一番右にいる場合、全ユニットの攻撃力UP</v>
          </cell>
        </row>
        <row r="295">
          <cell r="A295">
            <v>8001</v>
          </cell>
          <cell r="B295" t="str">
            <v>ja</v>
          </cell>
          <cell r="C295" t="str">
            <v>敵に青属性がいる場合 小カウンター</v>
          </cell>
          <cell r="D295" t="str">
            <v>敵に青属性がいる場合、小カウンター</v>
          </cell>
        </row>
        <row r="296">
          <cell r="A296">
            <v>8002</v>
          </cell>
          <cell r="B296" t="str">
            <v>ja</v>
          </cell>
          <cell r="C296" t="str">
            <v>テスト</v>
          </cell>
          <cell r="D296" t="str">
            <v>フロアスタート時、1ターン全ユニットの攻撃力UP</v>
          </cell>
        </row>
        <row r="297">
          <cell r="A297">
            <v>8003</v>
          </cell>
          <cell r="B297" t="str">
            <v>ja</v>
          </cell>
          <cell r="C297" t="str">
            <v>HP70%以上 ウィルス無効</v>
          </cell>
          <cell r="D297" t="str">
            <v>残りHPが70%以上で自身にかかるウィルスを無効化する</v>
          </cell>
        </row>
        <row r="298">
          <cell r="A298">
            <v>8004</v>
          </cell>
          <cell r="B298" t="str">
            <v>ja</v>
          </cell>
          <cell r="C298" t="str">
            <v>フロアスタート時 スキルブースト</v>
          </cell>
          <cell r="D298" t="str">
            <v>フロアスタート時、1ターンスキルブースト</v>
          </cell>
        </row>
        <row r="299">
          <cell r="A299">
            <v>8005</v>
          </cell>
          <cell r="B299" t="str">
            <v>ja</v>
          </cell>
          <cell r="C299" t="str">
            <v>ハートがハートボム大</v>
          </cell>
          <cell r="D299" t="str">
            <v>ハートがハートボム大</v>
          </cell>
        </row>
        <row r="300">
          <cell r="A300">
            <v>8006</v>
          </cell>
          <cell r="B300" t="str">
            <v>ja</v>
          </cell>
          <cell r="C300" t="str">
            <v>攻撃、回復、体力のCP短縮1</v>
          </cell>
          <cell r="D300" t="str">
            <v>攻撃、回復、体力のCP短縮1</v>
          </cell>
        </row>
        <row r="301">
          <cell r="A301">
            <v>8007</v>
          </cell>
          <cell r="B301" t="str">
            <v>ja</v>
          </cell>
          <cell r="C301" t="str">
            <v>自身の左ユニットが攻撃参加</v>
          </cell>
          <cell r="D301" t="str">
            <v>自身の左ユニットが攻撃参加</v>
          </cell>
        </row>
        <row r="302">
          <cell r="A302">
            <v>8008</v>
          </cell>
          <cell r="B302" t="str">
            <v>ja</v>
          </cell>
          <cell r="C302" t="str">
            <v>ターン経過回復力UP</v>
          </cell>
          <cell r="D302" t="str">
            <v>最初の1ターン目と、その後4ターン毎に2ターン全ユニットの回復力を1500UP</v>
          </cell>
        </row>
        <row r="303">
          <cell r="A303">
            <v>8009</v>
          </cell>
          <cell r="B303" t="str">
            <v>ja</v>
          </cell>
          <cell r="C303" t="str">
            <v>最終フロア Cパネル生成短縮(特大)</v>
          </cell>
          <cell r="D303" t="str">
            <v>最終フロア内で自身が先頭の時、Cパネル生成に必要なチェイン数を4短縮する</v>
          </cell>
        </row>
        <row r="304">
          <cell r="A304">
            <v>8010</v>
          </cell>
          <cell r="B304" t="str">
            <v>ja</v>
          </cell>
          <cell r="C304" t="str">
            <v>対Unknown&amp;青属性 ダメージUP</v>
          </cell>
          <cell r="D304" t="str">
            <v>自身の攻撃対象が種族Unknownで、青属性の場合全ての攻撃の威力をUP</v>
          </cell>
        </row>
        <row r="305">
          <cell r="A305">
            <v>8011</v>
          </cell>
          <cell r="B305" t="str">
            <v>ja</v>
          </cell>
          <cell r="C305" t="str">
            <v>対青属性 スリープ付与</v>
          </cell>
          <cell r="D305" t="str">
            <v>青属性を攻撃するとき、確率で1ターンスリープ付与</v>
          </cell>
        </row>
        <row r="306">
          <cell r="A306">
            <v>9000</v>
          </cell>
          <cell r="B306" t="str">
            <v>ja</v>
          </cell>
          <cell r="C306" t="str">
            <v>ハップルチャレンジ ダメージUP</v>
          </cell>
          <cell r="D306" t="str">
            <v>ハップルチャレンジ内で自身の全ての攻撃の威力をUP</v>
          </cell>
        </row>
        <row r="307">
          <cell r="A307">
            <v>9001</v>
          </cell>
          <cell r="B307" t="str">
            <v>ja</v>
          </cell>
          <cell r="C307" t="str">
            <v>クロネッカーチャレンジ ダメージUP</v>
          </cell>
          <cell r="D307" t="str">
            <v>クロネッカーチャレンジ内で自身の全ての攻撃の威力をUP</v>
          </cell>
        </row>
        <row r="308">
          <cell r="A308">
            <v>9002</v>
          </cell>
          <cell r="B308" t="str">
            <v>ja</v>
          </cell>
          <cell r="C308" t="str">
            <v>クロネッカーチャレンジ ダメージUP</v>
          </cell>
          <cell r="D308" t="str">
            <v>クロネッカーチャレンジ内で自身の全ての攻撃+カウンターの威力をUP</v>
          </cell>
        </row>
        <row r="309">
          <cell r="A309">
            <v>9003</v>
          </cell>
          <cell r="B309" t="str">
            <v>ja</v>
          </cell>
          <cell r="C309" t="str">
            <v>オイラーチャレンジ ダメージUP</v>
          </cell>
          <cell r="D309" t="str">
            <v>オイラーチャレンジ内で自身の全ての攻撃の威力をUP</v>
          </cell>
        </row>
        <row r="310">
          <cell r="A310">
            <v>9004</v>
          </cell>
          <cell r="B310" t="str">
            <v>ja</v>
          </cell>
          <cell r="C310" t="str">
            <v>オイラーチャレンジ ダメージ究極UP</v>
          </cell>
          <cell r="D310" t="str">
            <v>オイラーチャレンジ内で自身の全ての攻撃の威力を究極UP</v>
          </cell>
        </row>
        <row r="311">
          <cell r="A311">
            <v>9005</v>
          </cell>
          <cell r="B311" t="str">
            <v>ja</v>
          </cell>
          <cell r="C311" t="str">
            <v>ヘンペルチャレンジ ダメージUP</v>
          </cell>
          <cell r="D311" t="str">
            <v>ヘンペルチャレンジ内で自身の全ての攻撃の威力をUP</v>
          </cell>
        </row>
        <row r="312">
          <cell r="A312">
            <v>9006</v>
          </cell>
          <cell r="B312" t="str">
            <v>ja</v>
          </cell>
          <cell r="C312" t="str">
            <v>ヘンペルチャレンジ ダメージUP</v>
          </cell>
          <cell r="D312" t="str">
            <v>ヘンペルチャレンジ内で自身の全ての攻撃+カウンターの威力をUP</v>
          </cell>
        </row>
        <row r="313">
          <cell r="A313">
            <v>9007</v>
          </cell>
          <cell r="B313" t="str">
            <v>ja</v>
          </cell>
          <cell r="C313" t="str">
            <v>フロイトチャレンジ ダメージ究極UP</v>
          </cell>
          <cell r="D313" t="str">
            <v>フロイトチャレンジ内で自身の全ての攻撃の威力を究極UP</v>
          </cell>
        </row>
        <row r="314">
          <cell r="A314">
            <v>9008</v>
          </cell>
          <cell r="B314" t="str">
            <v>ja</v>
          </cell>
          <cell r="C314" t="str">
            <v>フロイトチャレンジ ダメージUP</v>
          </cell>
          <cell r="D314" t="str">
            <v>フロイトチャレンジ内で自身の全ての攻撃の威力をUP</v>
          </cell>
        </row>
        <row r="315">
          <cell r="A315">
            <v>9009</v>
          </cell>
          <cell r="B315" t="str">
            <v>ja</v>
          </cell>
          <cell r="C315" t="str">
            <v>フロイトチャレンジ ダメージUP</v>
          </cell>
          <cell r="D315" t="str">
            <v>フロイトチャレンジ内で自身の全ての攻撃+カウンターの威力をUP</v>
          </cell>
        </row>
        <row r="316">
          <cell r="A316">
            <v>9010</v>
          </cell>
          <cell r="B316" t="str">
            <v>ja</v>
          </cell>
          <cell r="C316" t="str">
            <v>ブライドクエスト ダメージUP</v>
          </cell>
          <cell r="D316" t="str">
            <v>ブライドクエスト内で自身の全ての攻撃の威力をUP</v>
          </cell>
        </row>
        <row r="317">
          <cell r="A317">
            <v>9011</v>
          </cell>
          <cell r="B317" t="str">
            <v>ja</v>
          </cell>
          <cell r="C317" t="str">
            <v>クリスマスクエストダメージ究極UP</v>
          </cell>
          <cell r="D317" t="str">
            <v>クリスマスクエスト内で自身の全ての攻撃の威力を究極UP</v>
          </cell>
        </row>
        <row r="318">
          <cell r="A318">
            <v>9012</v>
          </cell>
          <cell r="B318" t="str">
            <v>ja</v>
          </cell>
          <cell r="C318" t="str">
            <v>ブライドクエスト ダメージ大UP</v>
          </cell>
          <cell r="D318" t="str">
            <v>ブライドクエスト内で自身の全ての攻撃の威力を大UP</v>
          </cell>
        </row>
        <row r="319">
          <cell r="A319">
            <v>9013</v>
          </cell>
          <cell r="B319" t="str">
            <v>ja</v>
          </cell>
          <cell r="C319" t="str">
            <v>ラグランジュチャレンジ ダメージUP</v>
          </cell>
          <cell r="D319" t="str">
            <v>ラグランジュチャレンジ内で自身の全ての攻撃の威力をUP</v>
          </cell>
        </row>
        <row r="320">
          <cell r="A320">
            <v>9014</v>
          </cell>
          <cell r="B320" t="str">
            <v>ja</v>
          </cell>
          <cell r="C320" t="str">
            <v>ラグランジュチャレンジ ダメージUP</v>
          </cell>
          <cell r="D320" t="str">
            <v>ラグランジュチャレンジ内で自身の全ての攻撃の威力を究極UP</v>
          </cell>
        </row>
        <row r="321">
          <cell r="A321">
            <v>9015</v>
          </cell>
          <cell r="B321" t="str">
            <v>ja</v>
          </cell>
          <cell r="C321" t="str">
            <v>ラグランジュチャレンジ ダメージUP</v>
          </cell>
          <cell r="D321" t="str">
            <v>ラグランジュチャレンジ内で自身の全ての攻撃+カウンターの威力をUP</v>
          </cell>
        </row>
        <row r="322">
          <cell r="A322">
            <v>119402</v>
          </cell>
          <cell r="B322" t="str">
            <v>ja</v>
          </cell>
          <cell r="C322" t="str">
            <v>ハロウィンナイトパニック！ 威力UP</v>
          </cell>
          <cell r="D322" t="str">
            <v>ハロウィンナイトパニック！内で自身の全ての攻撃の威力を究極UP</v>
          </cell>
        </row>
        <row r="323">
          <cell r="A323">
            <v>500801</v>
          </cell>
          <cell r="B323" t="str">
            <v>ja</v>
          </cell>
          <cell r="C323" t="str">
            <v>パネルブレイク35 攻撃力小UP</v>
          </cell>
          <cell r="D323" t="str">
            <v>自身が先頭の時、1ターンの間に合計35個以上パネルを破壊した場合に攻撃力小UP</v>
          </cell>
        </row>
        <row r="324">
          <cell r="A324">
            <v>808082</v>
          </cell>
          <cell r="B324" t="str">
            <v>ja</v>
          </cell>
          <cell r="C324" t="str">
            <v>Cパネルドロップ</v>
          </cell>
          <cell r="D324" t="str">
            <v>自身が先頭の時、低確率でCパネルをドロップ</v>
          </cell>
        </row>
        <row r="325">
          <cell r="A325">
            <v>900000</v>
          </cell>
          <cell r="B325" t="str">
            <v>ja</v>
          </cell>
          <cell r="C325" t="str">
            <v>フィーバー100 プロテクトブレイク</v>
          </cell>
          <cell r="D325" t="str">
            <v>フィーバーゲージが100％以上の時、1ターンプロテクトブレイク</v>
          </cell>
        </row>
        <row r="326">
          <cell r="A326">
            <v>900001</v>
          </cell>
          <cell r="B326" t="str">
            <v>ja</v>
          </cell>
          <cell r="C326" t="str">
            <v>フィーバー100 お邪魔ブレイク</v>
          </cell>
          <cell r="D326" t="str">
            <v>フィーバーゲージが100％以上の時、1ターンお邪魔ブレイク</v>
          </cell>
        </row>
        <row r="327">
          <cell r="A327">
            <v>900402</v>
          </cell>
          <cell r="B327" t="str">
            <v>ja</v>
          </cell>
          <cell r="C327" t="str">
            <v>バリア3500</v>
          </cell>
          <cell r="D327" t="str">
            <v>戦闘開始時に、自身への直接ダメージを3500まで防ぐバリアを一度だけ展開(バリアは破壊されると復活しない)</v>
          </cell>
        </row>
        <row r="328">
          <cell r="A328">
            <v>810202</v>
          </cell>
          <cell r="B328" t="str">
            <v>ja</v>
          </cell>
          <cell r="C328" t="str">
            <v>パネルブレイク50 ダメージ軽減</v>
          </cell>
          <cell r="D328" t="str">
            <v>自身が先頭の時、1ターンの間に合計50個以上パネルを破壊した場合敵からのダメージを15%軽減（1ターンに1度だけ発動）</v>
          </cell>
        </row>
        <row r="329">
          <cell r="A329">
            <v>811802</v>
          </cell>
          <cell r="B329" t="str">
            <v>ja</v>
          </cell>
          <cell r="C329" t="str">
            <v>ターン攻撃力UP</v>
          </cell>
          <cell r="D329" t="str">
            <v>最初の1ターン目と、その後6ターン毎に1ターン種族ドラゴン・ファンタジー・アニマルの攻撃力1000UP</v>
          </cell>
        </row>
        <row r="330">
          <cell r="A330">
            <v>812002</v>
          </cell>
          <cell r="B330" t="str">
            <v>ja</v>
          </cell>
          <cell r="C330" t="str">
            <v>ターンタップ増加</v>
          </cell>
          <cell r="D330" t="str">
            <v>最初の1ターン目と、その後6ターン毎に1ターン種族ドラゴン・ファンタジー・アニマルのタップ数1増加</v>
          </cell>
        </row>
        <row r="331">
          <cell r="A331">
            <v>811803</v>
          </cell>
          <cell r="B331" t="str">
            <v>ja</v>
          </cell>
          <cell r="C331" t="str">
            <v>端午クエスト ダメージUP</v>
          </cell>
          <cell r="D331" t="str">
            <v>端午クエスト内で自身の全ての攻撃の威力をUP</v>
          </cell>
        </row>
        <row r="332">
          <cell r="A332">
            <v>900802</v>
          </cell>
          <cell r="B332" t="str">
            <v>ja</v>
          </cell>
          <cell r="C332" t="str">
            <v>ターン攻撃力UP</v>
          </cell>
          <cell r="D332"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tabSelected="1" workbookViewId="0">
      <pane xSplit="6" ySplit="1" topLeftCell="G2" activePane="bottomRight" state="frozen"/>
      <selection pane="topRight" activeCell="G1" sqref="G1"/>
      <selection pane="bottomLeft" activeCell="A2" sqref="A2"/>
      <selection pane="bottomRight" activeCell="B24" sqref="B24"/>
    </sheetView>
  </sheetViews>
  <sheetFormatPr baseColWidth="12" defaultRowHeight="15" x14ac:dyDescent="0.15"/>
  <cols>
    <col min="1" max="1" width="7.33203125" bestFit="1" customWidth="1"/>
    <col min="2" max="2" width="23.6640625" customWidth="1"/>
    <col min="5" max="5" width="17.6640625" bestFit="1" customWidth="1"/>
    <col min="6" max="6" width="22.1640625" bestFit="1" customWidth="1"/>
  </cols>
  <sheetData>
    <row r="1" spans="1:29" x14ac:dyDescent="0.15">
      <c r="A1" s="160" t="s">
        <v>125</v>
      </c>
      <c r="B1" s="161" t="s">
        <v>116</v>
      </c>
      <c r="C1" s="160" t="s">
        <v>117</v>
      </c>
      <c r="D1" s="161" t="s">
        <v>118</v>
      </c>
      <c r="E1" s="161" t="s">
        <v>119</v>
      </c>
      <c r="F1" s="161" t="s">
        <v>120</v>
      </c>
      <c r="G1" s="161" t="s">
        <v>121</v>
      </c>
      <c r="H1" s="53"/>
      <c r="I1" s="53"/>
      <c r="J1" s="53"/>
      <c r="K1" s="53"/>
      <c r="L1" s="54"/>
      <c r="M1" s="54"/>
      <c r="N1" s="54"/>
      <c r="O1" s="54"/>
      <c r="P1" s="54"/>
      <c r="Q1" s="54"/>
      <c r="R1" s="54"/>
      <c r="S1" s="54"/>
      <c r="T1" s="54"/>
      <c r="U1" s="54"/>
      <c r="V1" s="54"/>
      <c r="W1" s="54"/>
      <c r="X1" s="55"/>
      <c r="Y1" s="55"/>
      <c r="Z1" s="55"/>
      <c r="AA1" s="55"/>
      <c r="AB1" s="55"/>
      <c r="AC1" s="55"/>
    </row>
    <row r="2" spans="1:29" x14ac:dyDescent="0.15">
      <c r="A2" s="162" t="s">
        <v>380</v>
      </c>
      <c r="B2" s="161" t="s">
        <v>129</v>
      </c>
      <c r="C2" s="162" t="s">
        <v>361</v>
      </c>
      <c r="D2" s="161" t="s">
        <v>128</v>
      </c>
      <c r="E2" s="161" t="str">
        <f>B2&amp;C2&amp;D2</f>
        <v>units_testunitkd.tmp</v>
      </c>
      <c r="F2" s="161" t="s">
        <v>124</v>
      </c>
      <c r="G2" s="163" t="s">
        <v>17</v>
      </c>
      <c r="H2" s="157" t="s">
        <v>96</v>
      </c>
      <c r="I2" s="157" t="s">
        <v>1</v>
      </c>
      <c r="J2" s="157" t="s">
        <v>3</v>
      </c>
      <c r="K2" s="157" t="s">
        <v>2</v>
      </c>
      <c r="L2" s="157" t="s">
        <v>98</v>
      </c>
      <c r="M2" s="157" t="s">
        <v>20</v>
      </c>
      <c r="N2" s="157" t="s">
        <v>103</v>
      </c>
      <c r="O2" s="157" t="s">
        <v>101</v>
      </c>
      <c r="P2" s="157" t="s">
        <v>39</v>
      </c>
      <c r="Q2" s="157" t="s">
        <v>57</v>
      </c>
      <c r="R2" s="157" t="s">
        <v>319</v>
      </c>
      <c r="S2" s="54"/>
      <c r="T2" s="54"/>
      <c r="U2" s="54"/>
      <c r="V2" s="54"/>
      <c r="W2" s="54"/>
      <c r="X2" s="55"/>
      <c r="Y2" s="55"/>
      <c r="Z2" s="55"/>
      <c r="AA2" s="55"/>
      <c r="AB2" s="55"/>
      <c r="AC2" s="55"/>
    </row>
    <row r="3" spans="1:29" x14ac:dyDescent="0.15">
      <c r="A3" s="162" t="s">
        <v>380</v>
      </c>
      <c r="B3" s="161" t="s">
        <v>294</v>
      </c>
      <c r="C3" s="162" t="s">
        <v>361</v>
      </c>
      <c r="D3" s="161" t="s">
        <v>128</v>
      </c>
      <c r="E3" s="161" t="str">
        <f>B3&amp;C3&amp;D3</f>
        <v>fork_awake_units_testunitkd.tmp</v>
      </c>
      <c r="F3" s="161" t="s">
        <v>295</v>
      </c>
      <c r="G3" s="163" t="s">
        <v>17</v>
      </c>
      <c r="H3" s="157" t="s">
        <v>296</v>
      </c>
      <c r="I3" s="157" t="s">
        <v>297</v>
      </c>
      <c r="J3" s="157" t="s">
        <v>298</v>
      </c>
      <c r="K3" s="54"/>
      <c r="L3" s="54"/>
      <c r="M3" s="54"/>
      <c r="N3" s="54"/>
      <c r="O3" s="54"/>
      <c r="P3" s="54"/>
      <c r="Q3" s="54"/>
      <c r="R3" s="54"/>
      <c r="S3" s="54"/>
      <c r="T3" s="54"/>
      <c r="U3" s="54"/>
      <c r="V3" s="54"/>
      <c r="W3" s="54"/>
      <c r="X3" s="55"/>
      <c r="Y3" s="55"/>
      <c r="Z3" s="55"/>
      <c r="AA3" s="55"/>
      <c r="AB3" s="55"/>
      <c r="AC3" s="55"/>
    </row>
    <row r="4" spans="1:29" x14ac:dyDescent="0.15">
      <c r="A4" s="162" t="s">
        <v>380</v>
      </c>
      <c r="B4" s="54" t="s">
        <v>130</v>
      </c>
      <c r="C4" s="162" t="s">
        <v>361</v>
      </c>
      <c r="D4" s="54" t="s">
        <v>128</v>
      </c>
      <c r="E4" s="54" t="str">
        <f>B4&amp;C4&amp;D4</f>
        <v>awake_materials_testunitkd.tmp</v>
      </c>
      <c r="F4" s="54" t="s">
        <v>123</v>
      </c>
      <c r="G4" s="134" t="s">
        <v>38</v>
      </c>
      <c r="H4" s="153" t="s">
        <v>36</v>
      </c>
      <c r="I4" s="153" t="s">
        <v>37</v>
      </c>
      <c r="J4" s="54" t="s">
        <v>126</v>
      </c>
      <c r="K4" s="54"/>
      <c r="L4" s="54"/>
      <c r="M4" s="54"/>
      <c r="N4" s="54"/>
      <c r="O4" s="54"/>
      <c r="P4" s="54"/>
      <c r="Q4" s="54"/>
      <c r="R4" s="54"/>
      <c r="S4" s="54"/>
      <c r="T4" s="54"/>
      <c r="U4" s="54"/>
      <c r="V4" s="54"/>
      <c r="W4" s="54"/>
      <c r="X4" s="55"/>
      <c r="Y4" s="55"/>
      <c r="Z4" s="55"/>
      <c r="AA4" s="55"/>
      <c r="AB4" s="55"/>
      <c r="AC4" s="55"/>
    </row>
    <row r="5" spans="1:29" x14ac:dyDescent="0.15">
      <c r="A5" s="162" t="s">
        <v>380</v>
      </c>
      <c r="B5" s="54" t="s">
        <v>293</v>
      </c>
      <c r="C5" s="162" t="s">
        <v>361</v>
      </c>
      <c r="D5" s="54" t="s">
        <v>128</v>
      </c>
      <c r="E5" s="54" t="str">
        <f>B5&amp;C5&amp;D5</f>
        <v>fork_awake_materials_testunitkd.tmp</v>
      </c>
      <c r="F5" s="54" t="s">
        <v>123</v>
      </c>
      <c r="G5" s="158" t="s">
        <v>299</v>
      </c>
      <c r="H5" s="158" t="s">
        <v>300</v>
      </c>
      <c r="I5" s="158" t="s">
        <v>36</v>
      </c>
      <c r="J5" s="158" t="s">
        <v>37</v>
      </c>
      <c r="K5" s="158" t="s">
        <v>301</v>
      </c>
      <c r="L5" s="158" t="s">
        <v>302</v>
      </c>
      <c r="M5" s="54"/>
      <c r="N5" s="54"/>
      <c r="O5" s="54"/>
      <c r="P5" s="54"/>
      <c r="Q5" s="54"/>
      <c r="R5" s="54"/>
      <c r="S5" s="54"/>
      <c r="T5" s="54"/>
      <c r="U5" s="54"/>
      <c r="V5" s="54"/>
      <c r="W5" s="54"/>
      <c r="X5" s="55"/>
      <c r="Y5" s="55"/>
      <c r="Z5" s="55"/>
      <c r="AA5" s="55"/>
      <c r="AB5" s="55"/>
      <c r="AC5" s="55"/>
    </row>
    <row r="6" spans="1:29" x14ac:dyDescent="0.15">
      <c r="A6" s="162" t="s">
        <v>380</v>
      </c>
      <c r="B6" s="54" t="s">
        <v>131</v>
      </c>
      <c r="C6" s="162" t="s">
        <v>361</v>
      </c>
      <c r="D6" s="54" t="s">
        <v>132</v>
      </c>
      <c r="E6" s="54" t="str">
        <f t="shared" ref="E6" si="0">B6&amp;C6&amp;D6</f>
        <v>unit_levels_calc_testunitkd.tmp</v>
      </c>
      <c r="F6" s="54" t="s">
        <v>122</v>
      </c>
      <c r="G6" s="156" t="s">
        <v>17</v>
      </c>
      <c r="H6" s="157" t="s">
        <v>2</v>
      </c>
      <c r="I6" s="118" t="s">
        <v>79</v>
      </c>
      <c r="J6" s="118" t="s">
        <v>80</v>
      </c>
      <c r="K6" s="118" t="s">
        <v>81</v>
      </c>
      <c r="L6" s="118" t="s">
        <v>82</v>
      </c>
      <c r="M6" s="118" t="s">
        <v>87</v>
      </c>
      <c r="N6" s="118" t="s">
        <v>88</v>
      </c>
      <c r="O6" s="118" t="s">
        <v>89</v>
      </c>
      <c r="P6" s="118" t="s">
        <v>90</v>
      </c>
      <c r="Q6" s="118" t="s">
        <v>91</v>
      </c>
      <c r="R6" s="118" t="s">
        <v>94</v>
      </c>
      <c r="S6" s="118" t="s">
        <v>92</v>
      </c>
      <c r="T6" s="118" t="s">
        <v>93</v>
      </c>
      <c r="U6" s="118" t="s">
        <v>83</v>
      </c>
      <c r="V6" s="118" t="s">
        <v>84</v>
      </c>
      <c r="W6" s="118" t="s">
        <v>85</v>
      </c>
      <c r="X6" s="55"/>
      <c r="Y6" s="55"/>
      <c r="Z6" s="55"/>
      <c r="AA6" s="55"/>
      <c r="AB6" s="55"/>
      <c r="AC6" s="55"/>
    </row>
    <row r="7" spans="1:29" x14ac:dyDescent="0.15">
      <c r="A7" s="162" t="s">
        <v>380</v>
      </c>
      <c r="B7" s="54" t="s">
        <v>143</v>
      </c>
      <c r="C7" s="162" t="s">
        <v>361</v>
      </c>
      <c r="D7" s="54" t="s">
        <v>144</v>
      </c>
      <c r="E7" s="54" t="str">
        <f>B7&amp;C7&amp;D7</f>
        <v>unit_skills_data_testunitkd.tmp</v>
      </c>
      <c r="F7" s="54" t="s">
        <v>145</v>
      </c>
      <c r="G7" s="54" t="s">
        <v>20</v>
      </c>
      <c r="H7" s="54" t="s">
        <v>146</v>
      </c>
      <c r="I7" s="54" t="s">
        <v>2</v>
      </c>
      <c r="J7" s="54" t="s">
        <v>147</v>
      </c>
      <c r="K7" s="54" t="s">
        <v>148</v>
      </c>
      <c r="L7" s="54" t="s">
        <v>4</v>
      </c>
      <c r="M7" s="118"/>
      <c r="N7" s="118"/>
      <c r="O7" s="118"/>
      <c r="P7" s="118"/>
      <c r="Q7" s="118"/>
      <c r="R7" s="118"/>
      <c r="S7" s="118"/>
      <c r="T7" s="118"/>
      <c r="U7" s="118"/>
      <c r="V7" s="118"/>
      <c r="W7" s="118"/>
      <c r="X7" s="55"/>
      <c r="Y7" s="55"/>
      <c r="Z7" s="55"/>
      <c r="AA7" s="55"/>
      <c r="AB7" s="55"/>
      <c r="AC7" s="55"/>
    </row>
    <row r="8" spans="1:29" x14ac:dyDescent="0.15">
      <c r="A8" s="162" t="s">
        <v>380</v>
      </c>
      <c r="B8" s="54" t="s">
        <v>149</v>
      </c>
      <c r="C8" s="162" t="s">
        <v>361</v>
      </c>
      <c r="D8" s="54" t="s">
        <v>128</v>
      </c>
      <c r="E8" s="54" t="str">
        <f>B8&amp;C8&amp;D8</f>
        <v>unit_skills_i18n_testunitkd.tmp</v>
      </c>
      <c r="F8" s="54" t="s">
        <v>145</v>
      </c>
      <c r="G8" s="54" t="s">
        <v>150</v>
      </c>
      <c r="H8" s="54" t="s">
        <v>134</v>
      </c>
      <c r="I8" s="54" t="s">
        <v>151</v>
      </c>
      <c r="J8" s="54" t="s">
        <v>152</v>
      </c>
      <c r="K8" s="54"/>
      <c r="L8" s="54"/>
      <c r="M8" s="118"/>
      <c r="N8" s="118"/>
      <c r="O8" s="118"/>
      <c r="P8" s="118"/>
      <c r="Q8" s="118"/>
      <c r="R8" s="118"/>
      <c r="S8" s="118"/>
      <c r="T8" s="118"/>
      <c r="U8" s="118"/>
      <c r="V8" s="118"/>
      <c r="W8" s="118"/>
      <c r="X8" s="55"/>
      <c r="Y8" s="55"/>
      <c r="Z8" s="55"/>
      <c r="AA8" s="55"/>
      <c r="AB8" s="55"/>
      <c r="AC8" s="55"/>
    </row>
    <row r="9" spans="1:29" x14ac:dyDescent="0.15">
      <c r="A9" s="162" t="s">
        <v>380</v>
      </c>
      <c r="B9" s="54" t="s">
        <v>153</v>
      </c>
      <c r="C9" s="162" t="s">
        <v>361</v>
      </c>
      <c r="D9" s="54" t="s">
        <v>154</v>
      </c>
      <c r="E9" s="54" t="str">
        <f>B9&amp;C9&amp;D9</f>
        <v>crash_skills_data_testunitkd.tmp</v>
      </c>
      <c r="F9" s="54" t="s">
        <v>155</v>
      </c>
      <c r="G9" s="54" t="s">
        <v>156</v>
      </c>
      <c r="H9" s="54" t="s">
        <v>148</v>
      </c>
      <c r="I9" s="54" t="s">
        <v>4</v>
      </c>
      <c r="J9" s="54"/>
      <c r="K9" s="54"/>
      <c r="L9" s="54"/>
      <c r="M9" s="118"/>
      <c r="N9" s="118"/>
      <c r="O9" s="118"/>
      <c r="P9" s="118"/>
      <c r="Q9" s="118"/>
      <c r="R9" s="118"/>
      <c r="S9" s="118"/>
      <c r="T9" s="118"/>
      <c r="U9" s="118"/>
      <c r="V9" s="118"/>
      <c r="W9" s="118"/>
      <c r="X9" s="55"/>
      <c r="Y9" s="55"/>
      <c r="Z9" s="55"/>
      <c r="AA9" s="55"/>
      <c r="AB9" s="55"/>
      <c r="AC9" s="55"/>
    </row>
    <row r="10" spans="1:29" x14ac:dyDescent="0.15">
      <c r="A10" s="162" t="s">
        <v>380</v>
      </c>
      <c r="B10" s="54" t="s">
        <v>157</v>
      </c>
      <c r="C10" s="162" t="s">
        <v>361</v>
      </c>
      <c r="D10" s="54" t="s">
        <v>158</v>
      </c>
      <c r="E10" s="54" t="str">
        <f t="shared" ref="E10" si="1">B10&amp;C10&amp;D10</f>
        <v>crash_skills_i18n_testunitkd.tmp</v>
      </c>
      <c r="F10" s="54" t="s">
        <v>155</v>
      </c>
      <c r="G10" s="54" t="s">
        <v>159</v>
      </c>
      <c r="H10" s="54" t="s">
        <v>160</v>
      </c>
      <c r="I10" s="54" t="s">
        <v>161</v>
      </c>
      <c r="J10" s="54" t="s">
        <v>162</v>
      </c>
      <c r="K10" s="118"/>
      <c r="L10" s="118"/>
      <c r="M10" s="118"/>
      <c r="N10" s="118"/>
      <c r="O10" s="118"/>
      <c r="P10" s="118"/>
      <c r="Q10" s="118"/>
      <c r="R10" s="118"/>
      <c r="S10" s="118"/>
      <c r="T10" s="118"/>
      <c r="U10" s="118"/>
      <c r="V10" s="118"/>
      <c r="W10" s="118"/>
      <c r="X10" s="55"/>
      <c r="Y10" s="55"/>
      <c r="Z10" s="55"/>
      <c r="AA10" s="55"/>
      <c r="AB10" s="55"/>
      <c r="AC10" s="55"/>
    </row>
    <row r="11" spans="1:29" x14ac:dyDescent="0.15">
      <c r="A11" s="162" t="s">
        <v>380</v>
      </c>
      <c r="B11" s="54" t="s">
        <v>135</v>
      </c>
      <c r="C11" s="162" t="s">
        <v>361</v>
      </c>
      <c r="D11" s="54" t="s">
        <v>158</v>
      </c>
      <c r="E11" s="54" t="str">
        <f t="shared" ref="E11:E12" si="2">B11&amp;C11&amp;D11</f>
        <v>unit_serifs_data_testunitkd.tmp</v>
      </c>
      <c r="F11" s="54" t="s">
        <v>137</v>
      </c>
      <c r="G11" s="54" t="s">
        <v>138</v>
      </c>
      <c r="H11" s="54" t="s">
        <v>139</v>
      </c>
      <c r="I11" s="54" t="s">
        <v>133</v>
      </c>
      <c r="J11" s="54" t="s">
        <v>191</v>
      </c>
      <c r="K11" s="54"/>
      <c r="L11" s="54"/>
      <c r="M11" s="54"/>
      <c r="N11" s="54"/>
      <c r="O11" s="54"/>
      <c r="P11" s="54"/>
      <c r="Q11" s="54"/>
      <c r="R11" s="54"/>
      <c r="S11" s="54"/>
      <c r="T11" s="54"/>
      <c r="U11" s="54"/>
      <c r="V11" s="54"/>
      <c r="W11" s="54"/>
      <c r="X11" s="55"/>
      <c r="Y11" s="55"/>
      <c r="Z11" s="55"/>
      <c r="AA11" s="55"/>
      <c r="AB11" s="55"/>
      <c r="AC11" s="55"/>
    </row>
    <row r="12" spans="1:29" x14ac:dyDescent="0.15">
      <c r="A12" s="162" t="s">
        <v>380</v>
      </c>
      <c r="B12" s="54" t="s">
        <v>136</v>
      </c>
      <c r="C12" s="162" t="s">
        <v>361</v>
      </c>
      <c r="D12" s="54" t="s">
        <v>158</v>
      </c>
      <c r="E12" s="54" t="str">
        <f t="shared" si="2"/>
        <v>unit_serifs_i18n_testunitkd.tmp</v>
      </c>
      <c r="F12" s="54" t="s">
        <v>137</v>
      </c>
      <c r="G12" s="54" t="s">
        <v>140</v>
      </c>
      <c r="H12" s="54" t="s">
        <v>141</v>
      </c>
      <c r="I12" s="54" t="s">
        <v>142</v>
      </c>
      <c r="J12" s="54"/>
      <c r="K12" s="54"/>
      <c r="L12" s="54"/>
      <c r="M12" s="54"/>
      <c r="N12" s="54"/>
      <c r="O12" s="54"/>
      <c r="P12" s="54"/>
      <c r="Q12" s="54"/>
      <c r="R12" s="54"/>
      <c r="S12" s="54"/>
      <c r="T12" s="54"/>
      <c r="U12" s="54"/>
      <c r="V12" s="54"/>
      <c r="W12" s="54"/>
      <c r="X12" s="55"/>
      <c r="Y12" s="55"/>
      <c r="Z12" s="55"/>
      <c r="AA12" s="55"/>
      <c r="AB12" s="55"/>
      <c r="AC12" s="55"/>
    </row>
    <row r="13" spans="1:29" x14ac:dyDescent="0.15">
      <c r="A13" s="162" t="s">
        <v>184</v>
      </c>
      <c r="B13" s="54" t="s">
        <v>318</v>
      </c>
      <c r="C13" s="162" t="s">
        <v>361</v>
      </c>
      <c r="D13" s="54" t="s">
        <v>254</v>
      </c>
      <c r="E13" s="54" t="str">
        <f>B13&amp;C13&amp;D13</f>
        <v>abilities_tmp_testunitkd.tmp</v>
      </c>
      <c r="F13" s="54" t="s">
        <v>255</v>
      </c>
      <c r="G13" s="153" t="s">
        <v>256</v>
      </c>
      <c r="H13" s="153" t="s">
        <v>257</v>
      </c>
      <c r="I13" s="153" t="s">
        <v>258</v>
      </c>
      <c r="J13" s="153"/>
      <c r="K13" s="54"/>
      <c r="L13" s="54"/>
      <c r="M13" s="54"/>
      <c r="N13" s="54"/>
      <c r="O13" s="54"/>
      <c r="P13" s="54"/>
      <c r="Q13" s="54"/>
      <c r="R13" s="54"/>
      <c r="S13" s="54"/>
      <c r="T13" s="54"/>
      <c r="U13" s="54"/>
      <c r="V13" s="54"/>
      <c r="W13" s="54"/>
      <c r="X13" s="55"/>
      <c r="Y13" s="55"/>
      <c r="Z13" s="55"/>
      <c r="AA13" s="55"/>
      <c r="AB13" s="55"/>
      <c r="AC13" s="55"/>
    </row>
    <row r="14" spans="1:29" x14ac:dyDescent="0.15">
      <c r="A14" s="162" t="s">
        <v>184</v>
      </c>
      <c r="B14" s="54" t="s">
        <v>259</v>
      </c>
      <c r="C14" s="162" t="s">
        <v>361</v>
      </c>
      <c r="D14" s="54" t="s">
        <v>128</v>
      </c>
      <c r="E14" s="54" t="str">
        <f>B14&amp;C14&amp;D14</f>
        <v>abilities_i18n_testunitkd.tmp</v>
      </c>
      <c r="F14" s="54" t="s">
        <v>260</v>
      </c>
      <c r="G14" s="153" t="s">
        <v>256</v>
      </c>
      <c r="H14" s="153" t="s">
        <v>141</v>
      </c>
      <c r="I14" s="153" t="s">
        <v>261</v>
      </c>
      <c r="J14" s="153" t="s">
        <v>152</v>
      </c>
      <c r="K14" s="159" t="s">
        <v>341</v>
      </c>
      <c r="L14" s="54"/>
      <c r="M14" s="54"/>
      <c r="N14" s="54"/>
      <c r="O14" s="54"/>
      <c r="P14" s="54"/>
      <c r="Q14" s="54"/>
      <c r="R14" s="54"/>
      <c r="S14" s="54"/>
      <c r="T14" s="54"/>
      <c r="U14" s="54"/>
      <c r="V14" s="54"/>
      <c r="W14" s="54"/>
      <c r="X14" s="55"/>
      <c r="Y14" s="55"/>
      <c r="Z14" s="55"/>
      <c r="AA14" s="55"/>
      <c r="AB14" s="55"/>
      <c r="AC14" s="55"/>
    </row>
    <row r="15" spans="1:29" x14ac:dyDescent="0.15">
      <c r="A15" s="162" t="s">
        <v>380</v>
      </c>
      <c r="B15" s="54" t="s">
        <v>262</v>
      </c>
      <c r="C15" s="162" t="s">
        <v>361</v>
      </c>
      <c r="D15" s="54" t="s">
        <v>128</v>
      </c>
      <c r="E15" s="54" t="str">
        <f>B15&amp;C15&amp;D15</f>
        <v>unit_abilities_testunitkd.tmp</v>
      </c>
      <c r="F15" s="54" t="s">
        <v>263</v>
      </c>
      <c r="G15" s="153" t="s">
        <v>138</v>
      </c>
      <c r="H15" s="134" t="s">
        <v>264</v>
      </c>
      <c r="I15" s="134" t="s">
        <v>265</v>
      </c>
      <c r="J15" s="134" t="s">
        <v>266</v>
      </c>
      <c r="K15" s="153" t="s">
        <v>267</v>
      </c>
      <c r="L15" s="54"/>
      <c r="M15" s="54"/>
      <c r="N15" s="54"/>
      <c r="O15" s="54"/>
      <c r="P15" s="54"/>
      <c r="Q15" s="54"/>
      <c r="R15" s="54"/>
      <c r="S15" s="54"/>
      <c r="T15" s="54"/>
      <c r="U15" s="54"/>
      <c r="V15" s="54"/>
      <c r="W15" s="54"/>
      <c r="X15" s="55"/>
      <c r="Y15" s="55"/>
      <c r="Z15" s="55"/>
      <c r="AA15" s="55"/>
      <c r="AB15" s="55"/>
      <c r="AC15" s="5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BF2" activePane="bottomRight" state="frozen"/>
      <selection pane="topRight" activeCell="J1" sqref="J1"/>
      <selection pane="bottomLeft" activeCell="A3" sqref="A3"/>
      <selection pane="bottomRight" activeCell="BK3" sqref="BK3"/>
    </sheetView>
  </sheetViews>
  <sheetFormatPr baseColWidth="12" defaultColWidth="8.83203125" defaultRowHeight="21" customHeight="1" outlineLevelCol="1" x14ac:dyDescent="0.15"/>
  <cols>
    <col min="1" max="1" width="12.83203125" style="105" customWidth="1"/>
    <col min="2" max="2" width="21.5" style="105" bestFit="1" customWidth="1" collapsed="1"/>
    <col min="3" max="3" width="23.6640625" style="105" hidden="1" customWidth="1" outlineLevel="1"/>
    <col min="4" max="4" width="8.6640625" style="105" hidden="1" customWidth="1" outlineLevel="1"/>
    <col min="5" max="5" width="8" style="105" hidden="1" customWidth="1" outlineLevel="1"/>
    <col min="6" max="6" width="7.1640625" style="105" hidden="1" customWidth="1" outlineLevel="1"/>
    <col min="7" max="7" width="9.6640625" style="105" bestFit="1" customWidth="1"/>
    <col min="8" max="8" width="13.6640625" style="105" bestFit="1" customWidth="1"/>
    <col min="9" max="9" width="10.5" style="105" bestFit="1" customWidth="1" collapsed="1"/>
    <col min="10" max="10" width="59.5" style="105" hidden="1" customWidth="1" outlineLevel="1"/>
    <col min="11" max="13" width="13.6640625" style="105" hidden="1" customWidth="1" outlineLevel="1"/>
    <col min="14" max="14" width="10" style="105" bestFit="1" customWidth="1"/>
    <col min="15" max="15" width="13.5" style="105" bestFit="1" customWidth="1"/>
    <col min="16" max="16" width="13.5" style="105" customWidth="1"/>
    <col min="17" max="17" width="18.83203125" style="105" bestFit="1" customWidth="1"/>
    <col min="18" max="18" width="14.1640625" style="105" customWidth="1"/>
    <col min="19" max="19" width="12.33203125" style="105" customWidth="1" outlineLevel="1"/>
    <col min="20" max="22" width="13.6640625" style="105" customWidth="1" outlineLevel="1"/>
    <col min="23" max="23" width="22.83203125" style="105" bestFit="1" customWidth="1"/>
    <col min="24" max="24" width="14.1640625" style="105" customWidth="1"/>
    <col min="25" max="25" width="22" style="105" customWidth="1" outlineLevel="1"/>
    <col min="26" max="26" width="14.1640625" style="105" customWidth="1" outlineLevel="1"/>
    <col min="27" max="27" width="12.33203125" style="105" customWidth="1" outlineLevel="1"/>
    <col min="28" max="30" width="13.6640625" style="105" customWidth="1" outlineLevel="1"/>
    <col min="31" max="31" width="20.1640625" style="105" bestFit="1" customWidth="1"/>
    <col min="32" max="32" width="18.83203125" style="105" bestFit="1" customWidth="1"/>
    <col min="33" max="34" width="18.83203125" style="105" customWidth="1"/>
    <col min="35" max="35" width="15.1640625" style="105" customWidth="1"/>
    <col min="36" max="36" width="13.1640625" style="105" customWidth="1"/>
    <col min="37" max="37" width="15.33203125" style="105" bestFit="1" customWidth="1"/>
    <col min="38" max="38" width="13.33203125" style="105" bestFit="1" customWidth="1"/>
    <col min="39" max="39" width="15.33203125" style="25" bestFit="1" customWidth="1"/>
    <col min="40" max="40" width="14" style="25" bestFit="1" customWidth="1"/>
    <col min="41" max="41" width="16" style="25" bestFit="1" customWidth="1"/>
    <col min="42" max="42" width="14.33203125" style="107" bestFit="1" customWidth="1"/>
    <col min="43" max="43" width="20.83203125" style="105" customWidth="1"/>
    <col min="44" max="44" width="80.6640625" style="105" customWidth="1" outlineLevel="1"/>
    <col min="45" max="45" width="6.83203125" style="105" customWidth="1"/>
    <col min="46" max="46" width="15.6640625" style="105" bestFit="1" customWidth="1"/>
    <col min="47" max="47" width="43.6640625" style="105" customWidth="1"/>
    <col min="48" max="48" width="43.6640625" style="105" customWidth="1" outlineLevel="1"/>
    <col min="49" max="49" width="6.83203125" style="105" customWidth="1"/>
    <col min="50" max="50" width="11.33203125" style="105" bestFit="1" customWidth="1"/>
    <col min="51" max="54" width="8.33203125" style="105" customWidth="1"/>
    <col min="55" max="56" width="12" style="105" bestFit="1" customWidth="1"/>
    <col min="57" max="57" width="14.33203125" style="105" customWidth="1" outlineLevel="1"/>
    <col min="58" max="58" width="16.1640625" style="105" customWidth="1" outlineLevel="1"/>
    <col min="59" max="66" width="11.83203125" style="105" customWidth="1"/>
    <col min="67" max="67" width="12.83203125" style="105" bestFit="1" customWidth="1"/>
    <col min="68" max="68" width="12.6640625" style="105" bestFit="1" customWidth="1"/>
    <col min="69" max="69" width="13.5" style="105" bestFit="1" customWidth="1"/>
    <col min="70" max="16384" width="8.83203125" style="105"/>
  </cols>
  <sheetData>
    <row r="1" spans="1:70" s="5" customFormat="1" ht="21" customHeight="1" x14ac:dyDescent="0.15">
      <c r="A1" s="50" t="s">
        <v>108</v>
      </c>
      <c r="B1" s="111" t="s">
        <v>44</v>
      </c>
      <c r="C1" s="111" t="s">
        <v>27</v>
      </c>
      <c r="D1" s="111" t="s">
        <v>30</v>
      </c>
      <c r="E1" s="111" t="s">
        <v>28</v>
      </c>
      <c r="F1" s="111" t="s">
        <v>29</v>
      </c>
      <c r="G1" s="111" t="s">
        <v>1</v>
      </c>
      <c r="H1" s="112" t="s">
        <v>19</v>
      </c>
      <c r="I1" s="111" t="s">
        <v>0</v>
      </c>
      <c r="J1" s="113" t="s">
        <v>49</v>
      </c>
      <c r="K1" s="113" t="s">
        <v>48</v>
      </c>
      <c r="L1" s="113" t="s">
        <v>50</v>
      </c>
      <c r="M1" s="113" t="s">
        <v>51</v>
      </c>
      <c r="N1" s="111" t="s">
        <v>3</v>
      </c>
      <c r="O1" s="111" t="s">
        <v>2</v>
      </c>
      <c r="P1" s="111" t="s">
        <v>97</v>
      </c>
      <c r="Q1" s="111" t="s">
        <v>18</v>
      </c>
      <c r="R1" s="111" t="s">
        <v>52</v>
      </c>
      <c r="S1" s="113" t="s">
        <v>23</v>
      </c>
      <c r="T1" s="113" t="s">
        <v>24</v>
      </c>
      <c r="U1" s="113" t="s">
        <v>26</v>
      </c>
      <c r="V1" s="113" t="s">
        <v>25</v>
      </c>
      <c r="W1" s="111" t="s">
        <v>32</v>
      </c>
      <c r="X1" s="111" t="s">
        <v>53</v>
      </c>
      <c r="Y1" s="111" t="s">
        <v>33</v>
      </c>
      <c r="Z1" s="111" t="s">
        <v>53</v>
      </c>
      <c r="AA1" s="113" t="s">
        <v>23</v>
      </c>
      <c r="AB1" s="113" t="s">
        <v>24</v>
      </c>
      <c r="AC1" s="113" t="s">
        <v>26</v>
      </c>
      <c r="AD1" s="113" t="s">
        <v>25</v>
      </c>
      <c r="AE1" s="50" t="s">
        <v>100</v>
      </c>
      <c r="AF1" s="111" t="s">
        <v>45</v>
      </c>
      <c r="AG1" s="50" t="s">
        <v>58</v>
      </c>
      <c r="AH1" s="112" t="s">
        <v>45</v>
      </c>
      <c r="AI1" s="112" t="s">
        <v>46</v>
      </c>
      <c r="AJ1" s="112" t="s">
        <v>67</v>
      </c>
      <c r="AK1" s="112" t="s">
        <v>21</v>
      </c>
      <c r="AL1" s="113" t="s">
        <v>68</v>
      </c>
      <c r="AM1" s="114" t="s">
        <v>66</v>
      </c>
      <c r="AN1" s="114" t="s">
        <v>69</v>
      </c>
      <c r="AO1" s="112" t="s">
        <v>31</v>
      </c>
      <c r="AP1" s="111" t="s">
        <v>20</v>
      </c>
      <c r="AQ1" s="111" t="s">
        <v>113</v>
      </c>
      <c r="AR1" s="111" t="s">
        <v>107</v>
      </c>
      <c r="AS1" s="111" t="s">
        <v>104</v>
      </c>
      <c r="AT1" s="111" t="s">
        <v>102</v>
      </c>
      <c r="AU1" s="111" t="s">
        <v>110</v>
      </c>
      <c r="AV1" s="111" t="s">
        <v>107</v>
      </c>
      <c r="AW1" s="111" t="s">
        <v>104</v>
      </c>
      <c r="AX1" s="111" t="s">
        <v>4</v>
      </c>
      <c r="AY1" s="104" t="s">
        <v>54</v>
      </c>
      <c r="AZ1" s="104" t="s">
        <v>55</v>
      </c>
      <c r="BA1" s="104" t="s">
        <v>114</v>
      </c>
      <c r="BB1" s="104" t="s">
        <v>56</v>
      </c>
      <c r="BC1" s="112" t="s">
        <v>22</v>
      </c>
      <c r="BD1" s="113" t="s">
        <v>34</v>
      </c>
      <c r="BE1" s="113" t="s">
        <v>5</v>
      </c>
      <c r="BF1" s="113" t="s">
        <v>6</v>
      </c>
      <c r="BG1" s="112" t="s">
        <v>70</v>
      </c>
      <c r="BH1" s="112" t="s">
        <v>71</v>
      </c>
      <c r="BI1" s="112" t="s">
        <v>72</v>
      </c>
      <c r="BJ1" s="112" t="s">
        <v>73</v>
      </c>
      <c r="BK1" s="113" t="s">
        <v>74</v>
      </c>
      <c r="BL1" s="113" t="s">
        <v>95</v>
      </c>
      <c r="BM1" s="113" t="s">
        <v>75</v>
      </c>
      <c r="BN1" s="113" t="s">
        <v>76</v>
      </c>
      <c r="BO1" s="112" t="s">
        <v>77</v>
      </c>
      <c r="BP1" s="112" t="s">
        <v>78</v>
      </c>
      <c r="BQ1" s="112" t="s">
        <v>86</v>
      </c>
      <c r="BR1" s="112" t="s">
        <v>320</v>
      </c>
    </row>
    <row r="2" spans="1:70" s="5" customFormat="1" ht="26" customHeight="1" x14ac:dyDescent="0.15">
      <c r="A2" s="102">
        <v>10086</v>
      </c>
      <c r="B2" s="109" t="str">
        <f ca="1">VLOOKUP($A2,OFFSET([1]characters!$A$1,0,0,COUNTA([1]characters!$A:$A),MATCH(B$1,[1]characters!$1:$1,0)-MATCH($A$1,[1]characters!$1:$1,0)+1),MATCH(B$1,[1]characters!$1:$1,0)-MATCH($A$1,[1]characters!$1:$1,0)+1,FALSE)</f>
        <v>テストユニット86</v>
      </c>
      <c r="C2" s="109">
        <f ca="1">VLOOKUP($A2,OFFSET([1]characters!$A$1,0,0,COUNTA([1]characters!$A:$A),MATCH(C$1,[1]characters!$1:$1,0)-MATCH($A$1,[1]characters!$1:$1,0)+1),MATCH(C$1,[1]characters!$1:$1,0)-MATCH($A$1,[1]characters!$1:$1,0)+1,FALSE)</f>
        <v>0</v>
      </c>
      <c r="D2" s="109">
        <f ca="1">VLOOKUP($A2,OFFSET([1]characters!$A$1,0,0,COUNTA([1]characters!$A:$A),MATCH(D$1,[1]characters!$1:$1,0)-MATCH($A$1,[1]characters!$1:$1,0)+1),MATCH(D$1,[1]characters!$1:$1,0)-MATCH($A$1,[1]characters!$1:$1,0)+1,FALSE)</f>
        <v>0</v>
      </c>
      <c r="E2" s="109">
        <f ca="1">VLOOKUP($A2,OFFSET([1]characters!$A$1,0,0,COUNTA([1]characters!$A:$A),MATCH(E$1,[1]characters!$1:$1,0)-MATCH($A$1,[1]characters!$1:$1,0)+1),MATCH(E$1,[1]characters!$1:$1,0)-MATCH($A$1,[1]characters!$1:$1,0)+1,FALSE)</f>
        <v>0</v>
      </c>
      <c r="F2" s="109">
        <f ca="1">VLOOKUP($A2,OFFSET([1]characters!$A$1,0,0,COUNTA([1]characters!$A:$A),MATCH(F$1,[1]characters!$1:$1,0)-MATCH($A$1,[1]characters!$1:$1,0)+1),MATCH(F$1,[1]characters!$1:$1,0)-MATCH($A$1,[1]characters!$1:$1,0)+1,FALSE)</f>
        <v>0</v>
      </c>
      <c r="G2" s="109">
        <f ca="1">VLOOKUP($A2,OFFSET([1]characters!$A$1,0,0,COUNTA([1]characters!$A:$A),MATCH(G$1,[1]characters!$1:$1,0)-MATCH($A$1,[1]characters!$1:$1,0)+1),MATCH(G$1,[1]characters!$1:$1,0)-MATCH($A$1,[1]characters!$1:$1,0)+1,FALSE)</f>
        <v>5</v>
      </c>
      <c r="H2" s="109" t="str">
        <f ca="1">VLOOKUP($A2,OFFSET([1]characters!$A$1,0,0,COUNTA([1]characters!$A:$A),MATCH(H$1,[1]characters!$1:$1,0)-MATCH($A$1,[1]characters!$1:$1,0)+1),MATCH(H$1,[1]characters!$1:$1,0)-MATCH($A$1,[1]characters!$1:$1,0)+1,FALSE)</f>
        <v>PremiumSS</v>
      </c>
      <c r="I2" s="109" t="str">
        <f ca="1">VLOOKUP($A2,OFFSET([1]characters!$A$1,0,0,COUNTA([1]characters!$A:$A),MATCH(I$1,[1]characters!$1:$1,0)-MATCH($A$1,[1]characters!$1:$1,0)+1),MATCH(I$1,[1]characters!$1:$1,0)-MATCH($A$1,[1]characters!$1:$1,0)+1,FALSE)</f>
        <v>red</v>
      </c>
      <c r="J2" s="110">
        <f ca="1">VLOOKUP(I2,[1]属性!$A:$E,2,FALSE)</f>
        <v>1</v>
      </c>
      <c r="K2" s="110">
        <f ca="1">VLOOKUP(I2,[1]属性!$A:$E,3,FALSE)</f>
        <v>1.02</v>
      </c>
      <c r="L2" s="110">
        <f ca="1">VLOOKUP(I2,[1]属性!$A:$E,4,FALSE)</f>
        <v>1</v>
      </c>
      <c r="M2" s="110">
        <f ca="1">VLOOKUP(I2,[1]属性!$A:$E,5,FALSE)</f>
        <v>0.98</v>
      </c>
      <c r="N2" s="110">
        <f ca="1">INDEX(コスト!$A$1:$I$21,MATCH(H2,コスト!$A$1:$A$21,FALSE),MATCH(G2,コスト!$A$1:$I$1,FALSE))</f>
        <v>35</v>
      </c>
      <c r="O2" s="110">
        <f ca="1">INDEX(レベル!$A$1:$I$22,MATCH(H2,レベル!$A$1:$A$22,FALSE),MATCH(G2,レベル!$A$1:$I$1,FALSE))</f>
        <v>80</v>
      </c>
      <c r="P2" s="110">
        <f t="shared" ref="P2:P3" ca="1" si="0">IF(G2 &gt;= 6, 99,G2*15)</f>
        <v>75</v>
      </c>
      <c r="Q2" s="109" t="str">
        <f ca="1">VLOOKUP($A2,OFFSET([1]characters!$A$1,0,0,COUNTA([1]characters!$A:$A),MATCH(Q$1,[1]characters!$1:$1,0)-MATCH($A$1,[1]characters!$1:$1,0)+1),MATCH(Q$1,[1]characters!$1:$1,0)-MATCH($A$1,[1]characters!$1:$1,0)+1,FALSE)</f>
        <v>attack</v>
      </c>
      <c r="R2" s="109" t="str">
        <f ca="1">VLOOKUP(Q2,[1]character_type_i18n!$A:$H,3,FALSE)</f>
        <v>攻撃タイプ</v>
      </c>
      <c r="S2" s="110">
        <f ca="1">VLOOKUP(Q2,[1]character_type_i18n!$A:$H,4,FALSE)</f>
        <v>1</v>
      </c>
      <c r="T2" s="110">
        <f ca="1">VLOOKUP(Q2,[1]character_type_i18n!$A:$H,5,FALSE)</f>
        <v>1.33</v>
      </c>
      <c r="U2" s="110">
        <f ca="1">VLOOKUP(Q2,[1]character_type_i18n!$A:$H,6,FALSE)</f>
        <v>1</v>
      </c>
      <c r="V2" s="110">
        <f ca="1">VLOOKUP(Q2,[1]character_type_i18n!$A:$H,7,FALSE)</f>
        <v>0.67</v>
      </c>
      <c r="W2" s="109" t="str">
        <f ca="1">VLOOKUP($A2,OFFSET([1]characters!$A$1,0,0,COUNTA([1]characters!$A:$A),MATCH(W$1,[1]characters!$1:$1,0)-MATCH($A$1,[1]characters!$1:$1,0)+1),MATCH(W$1,[1]characters!$1:$1,0)-MATCH($A$1,[1]characters!$1:$1,0)+1,FALSE)</f>
        <v>dragon</v>
      </c>
      <c r="X2" s="109" t="str">
        <f ca="1">VLOOKUP(W2,[1]character_tribe_i18n!$A:$H,3,FALSE)</f>
        <v>ドラゴン</v>
      </c>
      <c r="Y2" s="109" t="str">
        <f ca="1">VLOOKUP($A2,OFFSET([1]characters!$A$1,0,0,COUNTA([1]characters!$A:$A),MATCH(Y$1,[1]characters!$1:$1,0)-MATCH($A$1,[1]characters!$1:$1,0)+1),MATCH(Y$1,[1]characters!$1:$1,0)-MATCH($A$1,[1]characters!$1:$1,0)+1,FALSE)</f>
        <v>none</v>
      </c>
      <c r="Z2" s="109" t="str">
        <f ca="1">VLOOKUP(Y2,[1]character_tribe_i18n!$A:$H,3,FALSE)</f>
        <v>種族なし</v>
      </c>
      <c r="AA2" s="110">
        <f ca="1">VLOOKUP(W2,[1]character_tribe_i18n!$A:$H,4,FALSE)</f>
        <v>1.1499999999999999</v>
      </c>
      <c r="AB2" s="110">
        <f ca="1">VLOOKUP(W2,[1]character_tribe_i18n!$A:$H,5,FALSE)</f>
        <v>1.1000000000000001</v>
      </c>
      <c r="AC2" s="110">
        <f ca="1">VLOOKUP(W2,[1]character_tribe_i18n!$A:$H,6,FALSE)</f>
        <v>1</v>
      </c>
      <c r="AD2" s="110">
        <f ca="1">VLOOKUP(W2,[1]character_tribe_i18n!$A:$H,7,FALSE)</f>
        <v>0.75</v>
      </c>
      <c r="AE2" s="92">
        <v>10087</v>
      </c>
      <c r="AF2" s="109" t="str">
        <f ca="1">IF(AE2="NULL","",VLOOKUP($AE2,OFFSET([1]characters!$A$1,0,0,COUNTA([1]characters!$A:$A),MATCH(AF$1,[1]characters!$1:$1,0)-MATCH($A$1,[1]characters!$1:$1,0)+1),MATCH(AF$1,[1]characters!$1:$1,0)-MATCH($A$1,[1]characters!$1:$1,0)+1,FALSE))</f>
        <v>テストユニット87</v>
      </c>
      <c r="AG2" s="92">
        <v>10086</v>
      </c>
      <c r="AH2" s="112" t="str">
        <f ca="1">VLOOKUP($AG2,OFFSET([1]characters!$A$1,0,0,COUNTA([1]characters!$A:$A),MATCH(AH$1,[1]characters!$1:$1,0)-MATCH($A$1,[1]characters!$1:$1,0)+1),MATCH(AH$1,[1]characters!$1:$1,0)-MATCH($A$1,[1]characters!$1:$1,0)+1,FALSE)</f>
        <v>テストユニット86</v>
      </c>
      <c r="AI2" s="115">
        <f ca="1">IF(AE2="NULL","NULL",VLOOKUP(G2,ビット!$A$2:$B$7,2))</f>
        <v>200000</v>
      </c>
      <c r="AJ2" s="116">
        <v>2</v>
      </c>
      <c r="AK2" s="112" t="str">
        <f t="shared" ref="AK2" si="1">IF(AJ2=1,"早熟",IF(AJ2=2,"普通",IF(AJ2=3,"晩成","")))</f>
        <v>普通</v>
      </c>
      <c r="AL2" s="115" t="str">
        <f ca="1">INDEX(経験値!$A$1:$I$21,MATCH(H2,経験値!$A$1:$A$21,FALSE),MATCH(G2,経験値!$A$1:$I$1,FALSE))</f>
        <v>required_exp_200</v>
      </c>
      <c r="AM2" s="117">
        <f ca="1">VLOOKUP(G2,経験値!$A$28:$B$32,2)</f>
        <v>6400</v>
      </c>
      <c r="AN2" s="117">
        <f ca="1">VLOOKUP(G2,ビット!$G$2:$H$7,2)</f>
        <v>900</v>
      </c>
      <c r="AO2" s="116"/>
      <c r="AP2" s="118">
        <f>A2</f>
        <v>10086</v>
      </c>
      <c r="AQ2" s="109" t="str">
        <f ca="1">VLOOKUP($AP2,OFFSET(unit_skills!$A$1,0,0,COUNTA(unit_skills!$A:$A),MATCH(AQ$1,unit_skills!$1:$1,0)-MATCH($AP$1,unit_skills!$1:$1,0)+1),MATCH(AQ$1,unit_skills!$1:$1,0)-MATCH($AP$1,unit_skills!$1:$1,0)+1,FALSE)</f>
        <v>テストスキル01-5</v>
      </c>
      <c r="AR2" s="109" t="str">
        <f ca="1">VLOOKUP($AP2,OFFSET(unit_skills!$A$1,0,0,COUNTA(unit_skills!$A:$A),MATCH(AR$1,unit_skills!$1:$1,0)-MATCH($AP$1,unit_skills!$1:$1,0)+1),MATCH(AR$1,unit_skills!$1:$1,0)-MATCH($AP$1,unit_skills!$1:$1,0)+1,FALSE)</f>
        <v xml:space="preserve">ハートパネルを赤ボムパネルに、お邪魔パネルを赤ボムパネル（大）に変換+緑パネルが出現しなくなり、2ターンの間確率で赤ボムパネルをドロップ+自身のパネル生成延長(-2)   </v>
      </c>
      <c r="AS2" s="109">
        <f ca="1">VLOOKUP($AP2,OFFSET(unit_skills!$A$1,0,0,COUNTA(unit_skills!$A:$A),MATCH(AS$1,unit_skills!$1:$1,0)-MATCH($AP$1,unit_skills!$1:$1,0)+1),MATCH(AS$1,unit_skills!$1:$1,0)-MATCH($AP$1,unit_skills!$1:$1,0)+1,FALSE)</f>
        <v>0</v>
      </c>
      <c r="AT2" s="118">
        <f>A2</f>
        <v>10086</v>
      </c>
      <c r="AU2" s="109" t="str">
        <f ca="1">VLOOKUP($AT2,OFFSET(crash_skills!$A$1,0,0,COUNTA(crash_skills!$A:$A),MATCH(AU$1,crash_skills!$1:$1,0)-MATCH($AT$1,crash_skills!$1:$1,0)+1),MATCH(AU$1,crash_skills!$1:$1,0)-MATCH($AT$1,crash_skills!$1:$1,0)+1,FALSE)</f>
        <v>テストCスキル01-5</v>
      </c>
      <c r="AV2" s="109" t="str">
        <f ca="1">VLOOKUP($AT2,OFFSET(crash_skills!$A$1,0,0,COUNTA(crash_skills!$A:$A),MATCH(AV$1,crash_skills!$1:$1,0)-MATCH($AT$1,crash_skills!$1:$1,0)+1),MATCH(AV$1,crash_skills!$1:$1,0)-MATCH($AT$1,crash_skills!$1:$1,0)+1,FALSE)</f>
        <v xml:space="preserve">1体に大ダメージ+1ターン種族ドラゴンの攻撃力UP   </v>
      </c>
      <c r="AW2" s="109">
        <f ca="1">VLOOKUP($AT2,OFFSET(crash_skills!$A$1,0,0,COUNTA(crash_skills!$A:$A),MATCH(AW$1,crash_skills!$1:$1,0)-MATCH($AT$1,crash_skills!$1:$1,0)+1),MATCH(AW$1,crash_skills!$1:$1,0)-MATCH($AT$1,crash_skills!$1:$1,0)+1,FALSE)</f>
        <v>0</v>
      </c>
      <c r="AX2" s="110">
        <f ca="1">VLOOKUP($A2,OFFSET([1]characters!$A$1,0,0,COUNTA([1]characters!$A:$A),MATCH(AX$1,[1]characters!$1:$1,0)-MATCH($A$1,[1]characters!$1:$1,0)+1),MATCH(AX$1,[1]characters!$1:$1,0)-MATCH($A$1,[1]characters!$1:$1,0)+1,FALSE)</f>
        <v>1</v>
      </c>
      <c r="AY2" s="97">
        <v>0.94</v>
      </c>
      <c r="AZ2" s="97">
        <v>1.03</v>
      </c>
      <c r="BA2" s="97">
        <v>0</v>
      </c>
      <c r="BB2" s="97">
        <v>0.98</v>
      </c>
      <c r="BC2" s="115">
        <f ca="1">INDEX('RC6SV'!$A$1:$G$21,MATCH(H2,'RC6SV'!$A$1:$A$21,FALSE),MATCH(G2,'RC6SV'!$A$1:$G$1,FALSE))</f>
        <v>9500</v>
      </c>
      <c r="BD2" s="115">
        <f t="shared" ref="BD2" ca="1" si="2">ROUND(BC2*IF(AJ2=1,0.95,IF(AJ2=2,1,IF(AJ2,1.05,0))),0)</f>
        <v>9500</v>
      </c>
      <c r="BE2" s="115">
        <f ca="1">ROUND(IFERROR(INDIRECT(ADDRESS(MATCH($A2,$AE:$AE,0),MATCH($BC$1,$1:$1,0))),0),0)</f>
        <v>0</v>
      </c>
      <c r="BF2" s="115">
        <f ca="1">ROUND(IFERROR(INDIRECT(ADDRESS(MATCH($A2,$AE:$AE,0),10)),INDIRECT(ADDRESS(MATCH($A2,$A:$A,0),10))),0)</f>
        <v>1</v>
      </c>
      <c r="BG2" s="119">
        <f ca="1">IF($BE2&lt;=0,ROUND(BK2*0.5,0), ROUND($BE2*S2*AA2*J2*AY2*0.8*[1]ステータス!$B$2,0))</f>
        <v>2568</v>
      </c>
      <c r="BH2" s="119">
        <f ca="1">IF($BE2&lt;=0,ROUND(BL2*0.5,0), ROUND($BE2*T2*AB2*K2*AZ2*0.8*[1]ステータス!$C$2,0))</f>
        <v>2191</v>
      </c>
      <c r="BI2" s="119">
        <f ca="1">IF($BE2&lt;=0,ROUND(BM2*0.5,0), ROUND($BE2*U2*AC2*L2*BA2*0.8*[1]ステータス!$D$2,0))</f>
        <v>0</v>
      </c>
      <c r="BJ2" s="119">
        <f ca="1">IF($BE2&lt;=0,ROUND(BN2*0.5,0), ROUND($BE2*V2*AD2*M2*BB2*0.8*[1]ステータス!$E$2,0))</f>
        <v>573</v>
      </c>
      <c r="BK2" s="115">
        <f ca="1">ROUND(BD2*S2*AA2*J2*AY2*[1]ステータス!$B$2,0)</f>
        <v>5135</v>
      </c>
      <c r="BL2" s="115">
        <f ca="1">ROUND(BD2*T2*AB2*K2*AZ2*[1]ステータス!$C$2,0)</f>
        <v>4381</v>
      </c>
      <c r="BM2" s="115">
        <f ca="1">ROUND(BD2*U2*AC2*L2*BA2*[1]ステータス!$D$2,0)</f>
        <v>0</v>
      </c>
      <c r="BN2" s="115">
        <f ca="1">ROUND(BD2*V2*AD2*M2*BB2*[1]ステータス!$E$2,0)</f>
        <v>1146</v>
      </c>
      <c r="BO2" s="112">
        <v>0</v>
      </c>
      <c r="BP2" s="112">
        <v>1</v>
      </c>
      <c r="BQ2" s="112" t="s">
        <v>47</v>
      </c>
      <c r="BR2" s="112">
        <f ca="1">VLOOKUP(H2,[2]ghosts_label!$A$2:$B$19,2,FALSE)</f>
        <v>5500</v>
      </c>
    </row>
    <row r="3" spans="1:70" s="5" customFormat="1" ht="26" customHeight="1" x14ac:dyDescent="0.15">
      <c r="A3" s="102">
        <v>10087</v>
      </c>
      <c r="B3" s="109" t="str">
        <f ca="1">VLOOKUP($A3,OFFSET([1]characters!$A$1,0,0,COUNTA([1]characters!$A:$A),MATCH(B$1,[1]characters!$1:$1,0)-MATCH($A$1,[1]characters!$1:$1,0)+1),MATCH(B$1,[1]characters!$1:$1,0)-MATCH($A$1,[1]characters!$1:$1,0)+1,FALSE)</f>
        <v>テストユニット87</v>
      </c>
      <c r="C3" s="109">
        <f ca="1">VLOOKUP($A3,OFFSET([1]characters!$A$1,0,0,COUNTA([1]characters!$A:$A),MATCH(C$1,[1]characters!$1:$1,0)-MATCH($A$1,[1]characters!$1:$1,0)+1),MATCH(C$1,[1]characters!$1:$1,0)-MATCH($A$1,[1]characters!$1:$1,0)+1,FALSE)</f>
        <v>0</v>
      </c>
      <c r="D3" s="109">
        <f ca="1">VLOOKUP($A3,OFFSET([1]characters!$A$1,0,0,COUNTA([1]characters!$A:$A),MATCH(D$1,[1]characters!$1:$1,0)-MATCH($A$1,[1]characters!$1:$1,0)+1),MATCH(D$1,[1]characters!$1:$1,0)-MATCH($A$1,[1]characters!$1:$1,0)+1,FALSE)</f>
        <v>0</v>
      </c>
      <c r="E3" s="109">
        <f ca="1">VLOOKUP($A3,OFFSET([1]characters!$A$1,0,0,COUNTA([1]characters!$A:$A),MATCH(E$1,[1]characters!$1:$1,0)-MATCH($A$1,[1]characters!$1:$1,0)+1),MATCH(E$1,[1]characters!$1:$1,0)-MATCH($A$1,[1]characters!$1:$1,0)+1,FALSE)</f>
        <v>0</v>
      </c>
      <c r="F3" s="109">
        <f ca="1">VLOOKUP($A3,OFFSET([1]characters!$A$1,0,0,COUNTA([1]characters!$A:$A),MATCH(F$1,[1]characters!$1:$1,0)-MATCH($A$1,[1]characters!$1:$1,0)+1),MATCH(F$1,[1]characters!$1:$1,0)-MATCH($A$1,[1]characters!$1:$1,0)+1,FALSE)</f>
        <v>0</v>
      </c>
      <c r="G3" s="109">
        <f ca="1">VLOOKUP($A3,OFFSET([1]characters!$A$1,0,0,COUNTA([1]characters!$A:$A),MATCH(G$1,[1]characters!$1:$1,0)-MATCH($A$1,[1]characters!$1:$1,0)+1),MATCH(G$1,[1]characters!$1:$1,0)-MATCH($A$1,[1]characters!$1:$1,0)+1,FALSE)</f>
        <v>6</v>
      </c>
      <c r="H3" s="109" t="str">
        <f ca="1">VLOOKUP($A3,OFFSET([1]characters!$A$1,0,0,COUNTA([1]characters!$A:$A),MATCH(H$1,[1]characters!$1:$1,0)-MATCH($A$1,[1]characters!$1:$1,0)+1),MATCH(H$1,[1]characters!$1:$1,0)-MATCH($A$1,[1]characters!$1:$1,0)+1,FALSE)</f>
        <v>PremiumSS</v>
      </c>
      <c r="I3" s="109" t="str">
        <f ca="1">VLOOKUP($A3,OFFSET([1]characters!$A$1,0,0,COUNTA([1]characters!$A:$A),MATCH(I$1,[1]characters!$1:$1,0)-MATCH($A$1,[1]characters!$1:$1,0)+1),MATCH(I$1,[1]characters!$1:$1,0)-MATCH($A$1,[1]characters!$1:$1,0)+1,FALSE)</f>
        <v>red</v>
      </c>
      <c r="J3" s="110">
        <f ca="1">VLOOKUP(I3,[1]属性!$A:$E,2,FALSE)</f>
        <v>1</v>
      </c>
      <c r="K3" s="110">
        <f ca="1">VLOOKUP(I3,[1]属性!$A:$E,3,FALSE)</f>
        <v>1.02</v>
      </c>
      <c r="L3" s="110">
        <f ca="1">VLOOKUP(I3,[1]属性!$A:$E,4,FALSE)</f>
        <v>1</v>
      </c>
      <c r="M3" s="110">
        <f ca="1">VLOOKUP(I3,[1]属性!$A:$E,5,FALSE)</f>
        <v>0.98</v>
      </c>
      <c r="N3" s="110">
        <f ca="1">INDEX(コスト!$A$1:$I$21,MATCH(H3,コスト!$A$1:$A$21,FALSE),MATCH(G3,コスト!$A$1:$I$1,FALSE))</f>
        <v>50</v>
      </c>
      <c r="O3" s="110">
        <f ca="1">INDEX(レベル!$A$1:$I$22,MATCH(H3,レベル!$A$1:$A$22,FALSE),MATCH(G3,レベル!$A$1:$I$1,FALSE))</f>
        <v>99</v>
      </c>
      <c r="P3" s="110">
        <f t="shared" ca="1" si="0"/>
        <v>99</v>
      </c>
      <c r="Q3" s="109" t="str">
        <f ca="1">VLOOKUP($A3,OFFSET([1]characters!$A$1,0,0,COUNTA([1]characters!$A:$A),MATCH(Q$1,[1]characters!$1:$1,0)-MATCH($A$1,[1]characters!$1:$1,0)+1),MATCH(Q$1,[1]characters!$1:$1,0)-MATCH($A$1,[1]characters!$1:$1,0)+1,FALSE)</f>
        <v>attack</v>
      </c>
      <c r="R3" s="109" t="str">
        <f ca="1">VLOOKUP(Q3,[1]character_type_i18n!$A:$H,3,FALSE)</f>
        <v>攻撃タイプ</v>
      </c>
      <c r="S3" s="110">
        <f ca="1">VLOOKUP(Q3,[1]character_type_i18n!$A:$H,4,FALSE)</f>
        <v>1</v>
      </c>
      <c r="T3" s="110">
        <f ca="1">VLOOKUP(Q3,[1]character_type_i18n!$A:$H,5,FALSE)</f>
        <v>1.33</v>
      </c>
      <c r="U3" s="110">
        <f ca="1">VLOOKUP(Q3,[1]character_type_i18n!$A:$H,6,FALSE)</f>
        <v>1</v>
      </c>
      <c r="V3" s="110">
        <f ca="1">VLOOKUP(Q3,[1]character_type_i18n!$A:$H,7,FALSE)</f>
        <v>0.67</v>
      </c>
      <c r="W3" s="109" t="str">
        <f ca="1">VLOOKUP($A3,OFFSET([1]characters!$A$1,0,0,COUNTA([1]characters!$A:$A),MATCH(W$1,[1]characters!$1:$1,0)-MATCH($A$1,[1]characters!$1:$1,0)+1),MATCH(W$1,[1]characters!$1:$1,0)-MATCH($A$1,[1]characters!$1:$1,0)+1,FALSE)</f>
        <v>dragon</v>
      </c>
      <c r="X3" s="109" t="str">
        <f ca="1">VLOOKUP(W3,[1]character_tribe_i18n!$A:$H,3,FALSE)</f>
        <v>ドラゴン</v>
      </c>
      <c r="Y3" s="109" t="str">
        <f ca="1">VLOOKUP($A3,OFFSET([1]characters!$A$1,0,0,COUNTA([1]characters!$A:$A),MATCH(Y$1,[1]characters!$1:$1,0)-MATCH($A$1,[1]characters!$1:$1,0)+1),MATCH(Y$1,[1]characters!$1:$1,0)-MATCH($A$1,[1]characters!$1:$1,0)+1,FALSE)</f>
        <v>none</v>
      </c>
      <c r="Z3" s="109" t="str">
        <f ca="1">VLOOKUP(Y3,[1]character_tribe_i18n!$A:$H,3,FALSE)</f>
        <v>種族なし</v>
      </c>
      <c r="AA3" s="110">
        <f ca="1">VLOOKUP(W3,[1]character_tribe_i18n!$A:$H,4,FALSE)</f>
        <v>1.1499999999999999</v>
      </c>
      <c r="AB3" s="110">
        <f ca="1">VLOOKUP(W3,[1]character_tribe_i18n!$A:$H,5,FALSE)</f>
        <v>1.1000000000000001</v>
      </c>
      <c r="AC3" s="110">
        <f ca="1">VLOOKUP(W3,[1]character_tribe_i18n!$A:$H,6,FALSE)</f>
        <v>1</v>
      </c>
      <c r="AD3" s="110">
        <f ca="1">VLOOKUP(W3,[1]character_tribe_i18n!$A:$H,7,FALSE)</f>
        <v>0.75</v>
      </c>
      <c r="AE3" s="92" t="s">
        <v>183</v>
      </c>
      <c r="AF3" s="109" t="str">
        <f ca="1">IF(AE3="NULL","",VLOOKUP($AE3,OFFSET([1]characters!$A$1,0,0,COUNTA([1]characters!$A:$A),MATCH(AF$1,[1]characters!$1:$1,0)-MATCH($A$1,[1]characters!$1:$1,0)+1),MATCH(AF$1,[1]characters!$1:$1,0)-MATCH($A$1,[1]characters!$1:$1,0)+1,FALSE))</f>
        <v/>
      </c>
      <c r="AG3" s="92">
        <v>10086</v>
      </c>
      <c r="AH3" s="112" t="str">
        <f ca="1">VLOOKUP($AG3,OFFSET([1]characters!$A$1,0,0,COUNTA([1]characters!$A:$A),MATCH(AH$1,[1]characters!$1:$1,0)-MATCH($A$1,[1]characters!$1:$1,0)+1),MATCH(AH$1,[1]characters!$1:$1,0)-MATCH($A$1,[1]characters!$1:$1,0)+1,FALSE)</f>
        <v>テストユニット86</v>
      </c>
      <c r="AI3" s="115" t="str">
        <f>IF(AE3="NULL","NULL",VLOOKUP(G3,ビット!$A$2:$B$7,2))</f>
        <v>NULL</v>
      </c>
      <c r="AJ3" s="116">
        <v>2</v>
      </c>
      <c r="AK3" s="112" t="str">
        <f t="shared" ref="AK3" si="3">IF(AJ3=1,"早熟",IF(AJ3=2,"普通",IF(AJ3=3,"晩成","")))</f>
        <v>普通</v>
      </c>
      <c r="AL3" s="115" t="str">
        <f ca="1">INDEX(経験値!$A$1:$I$21,MATCH(H3,経験値!$A$1:$A$21,FALSE),MATCH(G3,経験値!$A$1:$I$1,FALSE))</f>
        <v>required_exp_250</v>
      </c>
      <c r="AM3" s="117">
        <f ca="1">VLOOKUP(G3,経験値!$A$28:$B$32,2)</f>
        <v>6400</v>
      </c>
      <c r="AN3" s="117">
        <f ca="1">VLOOKUP(G3,ビット!$G$2:$H$7,2)</f>
        <v>900</v>
      </c>
      <c r="AO3" s="116"/>
      <c r="AP3" s="118">
        <f>A3</f>
        <v>10087</v>
      </c>
      <c r="AQ3" s="109" t="str">
        <f ca="1">VLOOKUP($AP3,OFFSET(unit_skills!$A$1,0,0,COUNTA(unit_skills!$A:$A),MATCH(AQ$1,unit_skills!$1:$1,0)-MATCH($AP$1,unit_skills!$1:$1,0)+1),MATCH(AQ$1,unit_skills!$1:$1,0)-MATCH($AP$1,unit_skills!$1:$1,0)+1,FALSE)</f>
        <v>テストスキル01-6</v>
      </c>
      <c r="AR3" s="109" t="str">
        <f ca="1">VLOOKUP($AP3,OFFSET(unit_skills!$A$1,0,0,COUNTA(unit_skills!$A:$A),MATCH(AR$1,unit_skills!$1:$1,0)-MATCH($AP$1,unit_skills!$1:$1,0)+1),MATCH(AR$1,unit_skills!$1:$1,0)-MATCH($AP$1,unit_skills!$1:$1,0)+1,FALSE)</f>
        <v xml:space="preserve">ハートパネルを赤ボムパネルに、お邪魔パネルを赤ボムパネル（大）に変換+緑パネルが出現しなくなり、2ターンの間確率で赤ボムパネルをドロップ+自身のパネル生成延長(-2)   </v>
      </c>
      <c r="AS3" s="109">
        <f ca="1">VLOOKUP($AP3,OFFSET(unit_skills!$A$1,0,0,COUNTA(unit_skills!$A:$A),MATCH(AS$1,unit_skills!$1:$1,0)-MATCH($AP$1,unit_skills!$1:$1,0)+1),MATCH(AS$1,unit_skills!$1:$1,0)-MATCH($AP$1,unit_skills!$1:$1,0)+1,FALSE)</f>
        <v>0</v>
      </c>
      <c r="AT3" s="118">
        <f>A3</f>
        <v>10087</v>
      </c>
      <c r="AU3" s="109" t="str">
        <f ca="1">VLOOKUP($AT3,OFFSET(crash_skills!$A$1,0,0,COUNTA(crash_skills!$A:$A),MATCH(AU$1,crash_skills!$1:$1,0)-MATCH($AT$1,crash_skills!$1:$1,0)+1),MATCH(AU$1,crash_skills!$1:$1,0)-MATCH($AT$1,crash_skills!$1:$1,0)+1,FALSE)</f>
        <v>テストCスキル01-6</v>
      </c>
      <c r="AV3" s="109" t="str">
        <f ca="1">VLOOKUP($AT3,OFFSET(crash_skills!$A$1,0,0,COUNTA(crash_skills!$A:$A),MATCH(AV$1,crash_skills!$1:$1,0)-MATCH($AT$1,crash_skills!$1:$1,0)+1),MATCH(AV$1,crash_skills!$1:$1,0)-MATCH($AT$1,crash_skills!$1:$1,0)+1,FALSE)</f>
        <v xml:space="preserve">1体に大ダメージ+1ターン種族ドラゴンの攻撃力UP   </v>
      </c>
      <c r="AW3" s="109">
        <f ca="1">VLOOKUP($AT3,OFFSET(crash_skills!$A$1,0,0,COUNTA(crash_skills!$A:$A),MATCH(AW$1,crash_skills!$1:$1,0)-MATCH($AT$1,crash_skills!$1:$1,0)+1),MATCH(AW$1,crash_skills!$1:$1,0)-MATCH($AT$1,crash_skills!$1:$1,0)+1,FALSE)</f>
        <v>0</v>
      </c>
      <c r="AX3" s="110">
        <f ca="1">VLOOKUP($A3,OFFSET([1]characters!$A$1,0,0,COUNTA([1]characters!$A:$A),MATCH(AX$1,[1]characters!$1:$1,0)-MATCH($A$1,[1]characters!$1:$1,0)+1),MATCH(AX$1,[1]characters!$1:$1,0)-MATCH($A$1,[1]characters!$1:$1,0)+1,FALSE)</f>
        <v>1</v>
      </c>
      <c r="AY3" s="97">
        <v>0.94</v>
      </c>
      <c r="AZ3" s="97">
        <v>1.03</v>
      </c>
      <c r="BA3" s="97">
        <v>0</v>
      </c>
      <c r="BB3" s="97">
        <v>0.98</v>
      </c>
      <c r="BC3" s="115">
        <f ca="1">INDEX('RC6SV'!$A$1:$G$21,MATCH(H3,'RC6SV'!$A$1:$A$21,FALSE),MATCH(G3,'RC6SV'!$A$1:$G$1,FALSE))</f>
        <v>13000</v>
      </c>
      <c r="BD3" s="115">
        <f t="shared" ref="BD3" ca="1" si="4">ROUND(BC3*IF(AJ3=1,0.95,IF(AJ3=2,1,IF(AJ3,1.05,0))),0)</f>
        <v>13000</v>
      </c>
      <c r="BE3" s="115">
        <f ca="1">ROUND(IFERROR(INDIRECT(ADDRESS(MATCH($A3,$AE:$AE,0),MATCH($BC$1,$1:$1,0))),0),0)</f>
        <v>9500</v>
      </c>
      <c r="BF3" s="115">
        <f ca="1">ROUND(IFERROR(INDIRECT(ADDRESS(MATCH($A3,$AE:$AE,0),10)),INDIRECT(ADDRESS(MATCH($A3,$A:$A,0),10))),0)</f>
        <v>1</v>
      </c>
      <c r="BG3" s="119">
        <f ca="1">IF($BE3&lt;=0,ROUND(BK3*0.5,0), ROUND($BE3*S3*AA3*J3*AY3*0.8*[1]ステータス!$B$2,0))</f>
        <v>4108</v>
      </c>
      <c r="BH3" s="119">
        <f ca="1">IF($BE3&lt;=0,ROUND(BL3*0.5,0), ROUND($BE3*T3*AB3*K3*AZ3*0.8*[1]ステータス!$C$2,0))</f>
        <v>3504</v>
      </c>
      <c r="BI3" s="119">
        <f ca="1">IF($BE3&lt;=0,ROUND(BM3*0.5,0), ROUND($BE3*U3*AC3*L3*BA3*0.8*[1]ステータス!$D$2,0))</f>
        <v>0</v>
      </c>
      <c r="BJ3" s="119">
        <f ca="1">IF($BE3&lt;=0,ROUND(BN3*0.5,0), ROUND($BE3*V3*AD3*M3*BB3*0.8*[1]ステータス!$E$2,0))</f>
        <v>917</v>
      </c>
      <c r="BK3" s="115">
        <f ca="1">ROUND(BD3*S3*AA3*J3*AY3*[1]ステータス!$B$2,0)</f>
        <v>7027</v>
      </c>
      <c r="BL3" s="115">
        <f ca="1">ROUND(BD3*T3*AB3*K3*AZ3*[1]ステータス!$C$2,0)</f>
        <v>5994</v>
      </c>
      <c r="BM3" s="115">
        <f ca="1">ROUND(BD3*U3*AC3*L3*BA3*[1]ステータス!$D$2,0)</f>
        <v>0</v>
      </c>
      <c r="BN3" s="115">
        <f ca="1">ROUND(BD3*V3*AD3*M3*BB3*[1]ステータス!$E$2,0)</f>
        <v>1568</v>
      </c>
      <c r="BO3" s="112">
        <v>0</v>
      </c>
      <c r="BP3" s="112">
        <v>1</v>
      </c>
      <c r="BQ3" s="112" t="s">
        <v>47</v>
      </c>
      <c r="BR3" s="112">
        <f ca="1">VLOOKUP(H3,[2]ghosts_label!$A$2:$B$19,2,FALSE)</f>
        <v>5500</v>
      </c>
    </row>
  </sheetData>
  <autoFilter ref="A1:BQ1"/>
  <phoneticPr fontId="10"/>
  <conditionalFormatting sqref="BO1">
    <cfRule type="cellIs" dxfId="30" priority="120" stopIfTrue="1" operator="equal">
      <formula>1</formula>
    </cfRule>
  </conditionalFormatting>
  <conditionalFormatting sqref="BQ1">
    <cfRule type="cellIs" dxfId="2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T3"/>
  <sheetViews>
    <sheetView showGridLines="0" workbookViewId="0">
      <pane xSplit="4" ySplit="1" topLeftCell="L2" activePane="bottomRight" state="frozen"/>
      <selection pane="topRight" activeCell="D1" sqref="D1"/>
      <selection pane="bottomLeft" activeCell="A2" sqref="A2"/>
      <selection pane="bottomRight" activeCell="W3" sqref="W3"/>
    </sheetView>
  </sheetViews>
  <sheetFormatPr baseColWidth="12" defaultColWidth="13" defaultRowHeight="21" customHeight="1" outlineLevelCol="1" x14ac:dyDescent="0.15"/>
  <cols>
    <col min="1" max="1" width="16.1640625" style="61" bestFit="1" customWidth="1"/>
    <col min="2" max="2" width="13" style="61" bestFit="1" customWidth="1"/>
    <col min="3" max="3" width="21.83203125" style="61" customWidth="1"/>
    <col min="4" max="4" width="41.83203125" style="61" customWidth="1"/>
    <col min="5" max="5" width="9" style="61" customWidth="1"/>
    <col min="6" max="6" width="7.83203125" style="61" bestFit="1" customWidth="1"/>
    <col min="7" max="7" width="8.1640625" style="61" bestFit="1" customWidth="1"/>
    <col min="8" max="8" width="13.1640625" style="61" customWidth="1"/>
    <col min="9" max="9" width="13.6640625" style="61" bestFit="1" customWidth="1"/>
    <col min="10" max="11" width="51.6640625" style="61" customWidth="1"/>
    <col min="12" max="12" width="10.83203125" style="61" customWidth="1" outlineLevel="1"/>
    <col min="13" max="18" width="9.5" style="60" customWidth="1" outlineLevel="1"/>
    <col min="19" max="19" width="20.33203125" style="61" customWidth="1" outlineLevel="1"/>
    <col min="20" max="20" width="10.33203125" style="61" bestFit="1" customWidth="1"/>
    <col min="21" max="16384" width="13" style="61"/>
  </cols>
  <sheetData>
    <row r="1" spans="1:20" s="60" customFormat="1" ht="21" customHeight="1" x14ac:dyDescent="0.15">
      <c r="A1" s="135" t="s">
        <v>20</v>
      </c>
      <c r="B1" s="120" t="s">
        <v>134</v>
      </c>
      <c r="C1" s="58" t="s">
        <v>40</v>
      </c>
      <c r="D1" s="59" t="s">
        <v>163</v>
      </c>
      <c r="E1" s="122" t="s">
        <v>164</v>
      </c>
      <c r="F1" s="128" t="s">
        <v>146</v>
      </c>
      <c r="G1" s="122" t="s">
        <v>2</v>
      </c>
      <c r="H1" s="59" t="s">
        <v>317</v>
      </c>
      <c r="I1" s="122" t="s">
        <v>165</v>
      </c>
      <c r="J1" s="59" t="s">
        <v>166</v>
      </c>
      <c r="K1" s="122" t="s">
        <v>185</v>
      </c>
      <c r="L1" s="122" t="s">
        <v>4</v>
      </c>
      <c r="M1" s="125" t="s">
        <v>167</v>
      </c>
      <c r="N1" s="126" t="s">
        <v>168</v>
      </c>
      <c r="O1" s="126" t="s">
        <v>169</v>
      </c>
      <c r="P1" s="126" t="s">
        <v>170</v>
      </c>
      <c r="Q1" s="126" t="s">
        <v>171</v>
      </c>
      <c r="R1" s="127" t="s">
        <v>172</v>
      </c>
      <c r="S1" s="128" t="s">
        <v>173</v>
      </c>
      <c r="T1" s="129" t="s">
        <v>174</v>
      </c>
    </row>
    <row r="2" spans="1:20" ht="21" customHeight="1" x14ac:dyDescent="0.15">
      <c r="A2" s="102">
        <v>10086</v>
      </c>
      <c r="B2" s="121" t="s">
        <v>186</v>
      </c>
      <c r="C2" s="95" t="s">
        <v>362</v>
      </c>
      <c r="D2" s="95" t="s">
        <v>364</v>
      </c>
      <c r="E2" s="123">
        <f>LEN(D2)</f>
        <v>86</v>
      </c>
      <c r="F2" s="118">
        <f ca="1">H2+G2-1</f>
        <v>11</v>
      </c>
      <c r="G2" s="118">
        <f ca="1">VLOOKUP(INDEX(units!$A:$H,MATCH($A2,units!$AP:$AP,0),8),スキルターン!A:B,2,FALSE)</f>
        <v>5</v>
      </c>
      <c r="H2" s="37">
        <v>7</v>
      </c>
      <c r="I2" s="124">
        <f>2001</f>
        <v>2001</v>
      </c>
      <c r="J2" s="96" t="s">
        <v>376</v>
      </c>
      <c r="K2" s="109" t="str">
        <f ca="1">VLOOKUP($A2,OFFSET([1]characters!$A$1,0,0,COUNTA([1]characters!$A:$A),MATCH("name",[1]characters!$1:$1,0)-MATCH("character_id",[1]characters!$1:$1,0)+1),MATCH("name",[1]characters!$1:$1,0)-MATCH("character_id",[1]characters!$1:$1,0)+1,FALSE)</f>
        <v>テストユニット86</v>
      </c>
      <c r="L2" s="130">
        <f>IFERROR(VLOOKUP(A2,[1]characters!$A:$R,18),0)</f>
        <v>1</v>
      </c>
      <c r="M2" s="131"/>
      <c r="N2" s="132"/>
      <c r="O2" s="132"/>
      <c r="P2" s="132"/>
      <c r="Q2" s="132"/>
      <c r="R2" s="132"/>
      <c r="S2" s="133"/>
      <c r="T2" s="134"/>
    </row>
    <row r="3" spans="1:20" ht="21" customHeight="1" x14ac:dyDescent="0.15">
      <c r="A3" s="102">
        <v>10087</v>
      </c>
      <c r="B3" s="121" t="s">
        <v>186</v>
      </c>
      <c r="C3" s="95" t="s">
        <v>363</v>
      </c>
      <c r="D3" s="95" t="s">
        <v>365</v>
      </c>
      <c r="E3" s="123">
        <f>LEN(D3)</f>
        <v>86</v>
      </c>
      <c r="F3" s="118">
        <f ca="1">H3+G3-1</f>
        <v>10</v>
      </c>
      <c r="G3" s="118">
        <f ca="1">VLOOKUP(INDEX(units!$A:$H,MATCH($A3,units!$AP:$AP,0),8),スキルターン!A:B,2,FALSE)</f>
        <v>5</v>
      </c>
      <c r="H3" s="37">
        <v>6</v>
      </c>
      <c r="I3" s="124">
        <f>2001</f>
        <v>2001</v>
      </c>
      <c r="J3" s="96" t="s">
        <v>379</v>
      </c>
      <c r="K3" s="109" t="str">
        <f ca="1">VLOOKUP($A3,OFFSET([1]characters!$A$1,0,0,COUNTA([1]characters!$A:$A),MATCH("name",[1]characters!$1:$1,0)-MATCH("character_id",[1]characters!$1:$1,0)+1),MATCH("name",[1]characters!$1:$1,0)-MATCH("character_id",[1]characters!$1:$1,0)+1,FALSE)</f>
        <v>テストユニット87</v>
      </c>
      <c r="L3" s="130">
        <f>IFERROR(VLOOKUP(A3,[1]characters!$A:$R,18),0)</f>
        <v>1</v>
      </c>
      <c r="M3" s="131"/>
      <c r="N3" s="132"/>
      <c r="O3" s="132"/>
      <c r="P3" s="132"/>
      <c r="Q3" s="132"/>
      <c r="R3" s="132"/>
      <c r="S3" s="133"/>
      <c r="T3" s="134"/>
    </row>
  </sheetData>
  <sheetProtection selectLockedCells="1" selectUnlockedCells="1"/>
  <autoFilter ref="A1:T1">
    <sortState ref="A2:T432">
      <sortCondition ref="A1:A432"/>
    </sortState>
  </autoFilter>
  <phoneticPr fontId="22"/>
  <conditionalFormatting sqref="E2">
    <cfRule type="cellIs" dxfId="28" priority="20" operator="greaterThan">
      <formula>61</formula>
    </cfRule>
  </conditionalFormatting>
  <conditionalFormatting sqref="E3">
    <cfRule type="cellIs" dxfId="27" priority="1" operator="greaterThan">
      <formula>61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H2" activePane="bottomRight" state="frozen"/>
      <selection pane="topRight" activeCell="D1" sqref="D1"/>
      <selection pane="bottomLeft" activeCell="A3" sqref="A3"/>
      <selection pane="bottomRight" activeCell="N3" sqref="N3"/>
    </sheetView>
  </sheetViews>
  <sheetFormatPr baseColWidth="12" defaultColWidth="13" defaultRowHeight="21" customHeight="1" x14ac:dyDescent="0.15"/>
  <cols>
    <col min="1" max="2" width="12.1640625" style="61" customWidth="1"/>
    <col min="3" max="3" width="48.83203125" style="62" customWidth="1"/>
    <col min="4" max="4" width="23.83203125" style="62" customWidth="1"/>
    <col min="5" max="5" width="10.5" style="62" customWidth="1"/>
    <col min="6" max="7" width="59.1640625" style="62" customWidth="1"/>
    <col min="8" max="8" width="6.83203125" style="61" bestFit="1" customWidth="1"/>
    <col min="9" max="9" width="20.33203125" style="61" customWidth="1"/>
    <col min="10" max="10" width="5" style="61" bestFit="1" customWidth="1"/>
    <col min="11" max="16384" width="13" style="61"/>
  </cols>
  <sheetData>
    <row r="1" spans="1:19" ht="21" customHeight="1" x14ac:dyDescent="0.15">
      <c r="A1" s="135" t="s">
        <v>182</v>
      </c>
      <c r="B1" s="120" t="s">
        <v>181</v>
      </c>
      <c r="C1" s="58" t="s">
        <v>180</v>
      </c>
      <c r="D1" s="59" t="s">
        <v>179</v>
      </c>
      <c r="E1" s="122" t="s">
        <v>178</v>
      </c>
      <c r="F1" s="59" t="s">
        <v>177</v>
      </c>
      <c r="G1" s="122" t="s">
        <v>185</v>
      </c>
      <c r="H1" s="122" t="s">
        <v>176</v>
      </c>
      <c r="I1" s="122" t="s">
        <v>175</v>
      </c>
      <c r="J1" s="128" t="s">
        <v>174</v>
      </c>
      <c r="K1" s="118"/>
      <c r="L1" s="118"/>
      <c r="M1" s="118"/>
      <c r="N1" s="118"/>
      <c r="O1" s="118"/>
      <c r="P1" s="118"/>
      <c r="Q1" s="118"/>
      <c r="R1" s="118"/>
      <c r="S1" s="118"/>
    </row>
    <row r="2" spans="1:19" ht="21" customHeight="1" x14ac:dyDescent="0.15">
      <c r="A2" s="102">
        <v>10086</v>
      </c>
      <c r="B2" s="121" t="s">
        <v>187</v>
      </c>
      <c r="C2" s="95" t="s">
        <v>366</v>
      </c>
      <c r="D2" s="95" t="s">
        <v>368</v>
      </c>
      <c r="E2" s="123">
        <f t="shared" ref="E2" si="0">LEN(D2)</f>
        <v>28</v>
      </c>
      <c r="F2" s="37" t="s">
        <v>377</v>
      </c>
      <c r="G2" s="109" t="str">
        <f ca="1">VLOOKUP($A2,OFFSET([1]characters!$A$1,0,0,COUNTA([1]characters!$A:$A),MATCH("name",[1]characters!$1:$1,0)-MATCH("character_id",[1]characters!$1:$1,0)+1),MATCH("name",[1]characters!$1:$1,0)-MATCH("character_id",[1]characters!$1:$1,0)+1,FALSE)</f>
        <v>テストユニット86</v>
      </c>
      <c r="H2" s="124">
        <f>IFERROR(VLOOKUP(A2,[1]characters!$A:$R,18),0)</f>
        <v>1</v>
      </c>
      <c r="I2" s="124"/>
      <c r="J2" s="136"/>
      <c r="K2" s="130">
        <v>1</v>
      </c>
      <c r="L2" s="131"/>
      <c r="M2" s="132"/>
      <c r="N2" s="132"/>
      <c r="O2" s="132"/>
      <c r="P2" s="132"/>
      <c r="Q2" s="132"/>
      <c r="R2" s="133"/>
      <c r="S2" s="134"/>
    </row>
    <row r="3" spans="1:19" ht="21" customHeight="1" x14ac:dyDescent="0.15">
      <c r="A3" s="102">
        <v>10087</v>
      </c>
      <c r="B3" s="121" t="s">
        <v>187</v>
      </c>
      <c r="C3" s="95" t="s">
        <v>367</v>
      </c>
      <c r="D3" s="95" t="s">
        <v>369</v>
      </c>
      <c r="E3" s="123">
        <f t="shared" ref="E3" si="1">LEN(D3)</f>
        <v>28</v>
      </c>
      <c r="F3" s="37" t="s">
        <v>378</v>
      </c>
      <c r="G3" s="109" t="str">
        <f ca="1">VLOOKUP($A3,OFFSET([1]characters!$A$1,0,0,COUNTA([1]characters!$A:$A),MATCH("name",[1]characters!$1:$1,0)-MATCH("character_id",[1]characters!$1:$1,0)+1),MATCH("name",[1]characters!$1:$1,0)-MATCH("character_id",[1]characters!$1:$1,0)+1,FALSE)</f>
        <v>テストユニット87</v>
      </c>
      <c r="H3" s="124">
        <f>IFERROR(VLOOKUP(A3,[1]characters!$A:$R,18),0)</f>
        <v>1</v>
      </c>
      <c r="I3" s="124"/>
      <c r="J3" s="136"/>
      <c r="K3" s="130">
        <v>1</v>
      </c>
      <c r="L3" s="131"/>
      <c r="M3" s="132"/>
      <c r="N3" s="132"/>
      <c r="O3" s="132"/>
      <c r="P3" s="132"/>
      <c r="Q3" s="132"/>
      <c r="R3" s="133"/>
      <c r="S3" s="134"/>
    </row>
  </sheetData>
  <sheetProtection selectLockedCells="1" selectUnlockedCells="1"/>
  <autoFilter ref="A1:J1"/>
  <phoneticPr fontId="22"/>
  <conditionalFormatting sqref="E2">
    <cfRule type="cellIs" dxfId="26" priority="18" operator="greaterThan">
      <formula>57</formula>
    </cfRule>
  </conditionalFormatting>
  <conditionalFormatting sqref="E3">
    <cfRule type="cellIs" dxfId="25" priority="17"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0"/>
  <sheetViews>
    <sheetView workbookViewId="0">
      <selection activeCell="H11" sqref="H10:H12"/>
    </sheetView>
  </sheetViews>
  <sheetFormatPr baseColWidth="12" defaultRowHeight="15" outlineLevelCol="1" x14ac:dyDescent="0.15"/>
  <cols>
    <col min="1" max="3" width="12.83203125" style="108"/>
    <col min="4" max="4" width="12.83203125" style="108" customWidth="1" outlineLevel="1"/>
    <col min="5" max="7" width="12.83203125" style="108"/>
    <col min="8" max="8" width="26" style="108" customWidth="1"/>
    <col min="9" max="16384" width="12.83203125" style="108"/>
  </cols>
  <sheetData>
    <row r="1" spans="1:8" customFormat="1" x14ac:dyDescent="0.15">
      <c r="A1" s="56" t="s">
        <v>188</v>
      </c>
      <c r="B1" s="54" t="s">
        <v>189</v>
      </c>
      <c r="C1" s="56" t="s">
        <v>190</v>
      </c>
      <c r="D1" s="54" t="s">
        <v>192</v>
      </c>
      <c r="E1" s="54" t="s">
        <v>193</v>
      </c>
      <c r="F1" s="54" t="s">
        <v>194</v>
      </c>
      <c r="G1" s="56" t="s">
        <v>191</v>
      </c>
      <c r="H1" s="56" t="s">
        <v>195</v>
      </c>
    </row>
    <row r="2" spans="1:8" customFormat="1" x14ac:dyDescent="0.15">
      <c r="A2" s="86">
        <v>10086</v>
      </c>
      <c r="B2" s="54" t="str">
        <f>VLOOKUP(A2,[1]characters!$A:$C,3,FALSE)</f>
        <v>テストユニット86</v>
      </c>
      <c r="C2" s="86" t="s">
        <v>196</v>
      </c>
      <c r="D2" s="54" t="str">
        <f t="shared" ref="D2" si="0">A2&amp;C2</f>
        <v>10086skill</v>
      </c>
      <c r="E2" s="54" t="str">
        <f>A2&amp;+(COUNTIF(A2:A$100,A2)-1)</f>
        <v>100863</v>
      </c>
      <c r="F2" s="54" t="s">
        <v>198</v>
      </c>
      <c r="G2" s="86" t="s">
        <v>316</v>
      </c>
      <c r="H2" s="86" t="s">
        <v>370</v>
      </c>
    </row>
    <row r="3" spans="1:8" customFormat="1" x14ac:dyDescent="0.15">
      <c r="A3" s="86">
        <v>10086</v>
      </c>
      <c r="B3" s="54" t="str">
        <f>VLOOKUP(A3,[1]characters!$A:$C,3,FALSE)</f>
        <v>テストユニット86</v>
      </c>
      <c r="C3" s="86" t="s">
        <v>199</v>
      </c>
      <c r="D3" s="54" t="str">
        <f>A3&amp;C3</f>
        <v>10086cskill</v>
      </c>
      <c r="E3" s="54" t="str">
        <f>A3&amp;+(COUNTIF(A3:A$100,A3)-1)</f>
        <v>100862</v>
      </c>
      <c r="F3" s="54" t="s">
        <v>187</v>
      </c>
      <c r="G3" s="86" t="s">
        <v>197</v>
      </c>
      <c r="H3" s="86" t="s">
        <v>371</v>
      </c>
    </row>
    <row r="4" spans="1:8" customFormat="1" x14ac:dyDescent="0.15">
      <c r="A4" s="86">
        <v>10086</v>
      </c>
      <c r="B4" s="54" t="str">
        <f>VLOOKUP(A4,[1]characters!$A:$C,3,FALSE)</f>
        <v>テストユニット86</v>
      </c>
      <c r="C4" s="86" t="s">
        <v>199</v>
      </c>
      <c r="D4" s="54" t="str">
        <f>A4&amp;C4</f>
        <v>10086cskill</v>
      </c>
      <c r="E4" s="54" t="str">
        <f>A4&amp;+(COUNTIF(A4:A$100,A4)-1)</f>
        <v>100861</v>
      </c>
      <c r="F4" s="54" t="s">
        <v>187</v>
      </c>
      <c r="G4" s="86" t="s">
        <v>316</v>
      </c>
      <c r="H4" s="86" t="s">
        <v>372</v>
      </c>
    </row>
    <row r="5" spans="1:8" customFormat="1" x14ac:dyDescent="0.15">
      <c r="A5" s="86">
        <v>10086</v>
      </c>
      <c r="B5" s="54" t="str">
        <f>VLOOKUP(A5,[1]characters!$A:$C,3,FALSE)</f>
        <v>テストユニット86</v>
      </c>
      <c r="C5" s="86" t="s">
        <v>199</v>
      </c>
      <c r="D5" s="54" t="str">
        <f>A5&amp;C5</f>
        <v>10086cskill</v>
      </c>
      <c r="E5" s="54" t="str">
        <f>A5&amp;+(COUNTIF(A5:A$100,A5)-1)</f>
        <v>100860</v>
      </c>
      <c r="F5" s="54" t="s">
        <v>198</v>
      </c>
      <c r="G5" s="86" t="s">
        <v>316</v>
      </c>
      <c r="H5" s="86" t="s">
        <v>373</v>
      </c>
    </row>
    <row r="6" spans="1:8" customFormat="1" x14ac:dyDescent="0.15">
      <c r="A6" s="86">
        <v>10087</v>
      </c>
      <c r="B6" s="54" t="str">
        <f>VLOOKUP(A6,[1]characters!$A:$C,3,FALSE)</f>
        <v>テストユニット87</v>
      </c>
      <c r="C6" s="86" t="s">
        <v>196</v>
      </c>
      <c r="D6" s="54" t="str">
        <f t="shared" ref="D6" si="1">A6&amp;C6</f>
        <v>10087skill</v>
      </c>
      <c r="E6" s="54" t="str">
        <f>A6&amp;+(COUNTIF(A6:A$100,A6)-1)</f>
        <v>100874</v>
      </c>
      <c r="F6" s="54" t="s">
        <v>187</v>
      </c>
      <c r="G6" s="86" t="s">
        <v>316</v>
      </c>
      <c r="H6" s="86" t="s">
        <v>374</v>
      </c>
    </row>
    <row r="7" spans="1:8" customFormat="1" x14ac:dyDescent="0.15">
      <c r="A7" s="86">
        <v>10087</v>
      </c>
      <c r="B7" s="54" t="str">
        <f>VLOOKUP(A7,[1]characters!$A:$C,3,FALSE)</f>
        <v>テストユニット87</v>
      </c>
      <c r="C7" s="86" t="s">
        <v>199</v>
      </c>
      <c r="D7" s="54" t="str">
        <f>A7&amp;C7</f>
        <v>10087cskill</v>
      </c>
      <c r="E7" s="54" t="str">
        <f>A7&amp;+(COUNTIF(A7:A$100,A7)-1)</f>
        <v>100873</v>
      </c>
      <c r="F7" s="54" t="s">
        <v>187</v>
      </c>
      <c r="G7" s="86" t="s">
        <v>197</v>
      </c>
      <c r="H7" s="86" t="s">
        <v>371</v>
      </c>
    </row>
    <row r="8" spans="1:8" customFormat="1" x14ac:dyDescent="0.15">
      <c r="A8" s="86">
        <v>10087</v>
      </c>
      <c r="B8" s="54" t="str">
        <f>VLOOKUP(A8,[1]characters!$A:$C,3,FALSE)</f>
        <v>テストユニット87</v>
      </c>
      <c r="C8" s="86" t="s">
        <v>199</v>
      </c>
      <c r="D8" s="54" t="str">
        <f>A8&amp;C8</f>
        <v>10087cskill</v>
      </c>
      <c r="E8" s="54" t="str">
        <f>A8&amp;+(COUNTIF(A8:A$100,A8)-1)</f>
        <v>100872</v>
      </c>
      <c r="F8" s="54" t="s">
        <v>187</v>
      </c>
      <c r="G8" s="86" t="s">
        <v>316</v>
      </c>
      <c r="H8" s="86" t="s">
        <v>372</v>
      </c>
    </row>
    <row r="9" spans="1:8" customFormat="1" x14ac:dyDescent="0.15">
      <c r="A9" s="86">
        <v>10087</v>
      </c>
      <c r="B9" s="54" t="str">
        <f>VLOOKUP(A9,[1]characters!$A:$C,3,FALSE)</f>
        <v>テストユニット87</v>
      </c>
      <c r="C9" s="86" t="s">
        <v>199</v>
      </c>
      <c r="D9" s="54" t="str">
        <f>A9&amp;C9</f>
        <v>10087cskill</v>
      </c>
      <c r="E9" s="54" t="str">
        <f>A9&amp;+(COUNTIF(A9:A$100,A9)-1)</f>
        <v>100871</v>
      </c>
      <c r="F9" s="54" t="s">
        <v>187</v>
      </c>
      <c r="G9" s="86" t="s">
        <v>316</v>
      </c>
      <c r="H9" s="86" t="s">
        <v>373</v>
      </c>
    </row>
    <row r="10" spans="1:8" customFormat="1" x14ac:dyDescent="0.15">
      <c r="A10" s="86">
        <v>10087</v>
      </c>
      <c r="B10" s="54" t="str">
        <f>VLOOKUP(A10,[1]characters!$A:$C,3,FALSE)</f>
        <v>テストユニット87</v>
      </c>
      <c r="C10" s="86" t="s">
        <v>199</v>
      </c>
      <c r="D10" s="54" t="str">
        <f>A10&amp;C10</f>
        <v>10087cskill</v>
      </c>
      <c r="E10" s="54" t="str">
        <f>A10&amp;+(COUNTIF(A10:A$100,A10)-1)</f>
        <v>100870</v>
      </c>
      <c r="F10" s="54" t="s">
        <v>187</v>
      </c>
      <c r="G10" s="86" t="s">
        <v>197</v>
      </c>
      <c r="H10" s="86" t="s">
        <v>375</v>
      </c>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J2" activePane="bottomRight" state="frozen"/>
      <selection pane="topRight" activeCell="J1" sqref="J1"/>
      <selection pane="bottomLeft" activeCell="A3" sqref="A3"/>
      <selection pane="bottomRight" activeCell="Q3" sqref="Q3"/>
    </sheetView>
  </sheetViews>
  <sheetFormatPr baseColWidth="12" defaultColWidth="8.83203125" defaultRowHeight="21" customHeight="1" outlineLevelCol="1" x14ac:dyDescent="0.15"/>
  <cols>
    <col min="1" max="1" width="24" style="105" customWidth="1"/>
    <col min="2" max="2" width="21.5" style="105" bestFit="1" customWidth="1" collapsed="1"/>
    <col min="3" max="3" width="23.6640625" style="105" hidden="1" customWidth="1" outlineLevel="1"/>
    <col min="4" max="4" width="8.6640625" style="105" hidden="1" customWidth="1" outlineLevel="1"/>
    <col min="5" max="5" width="8" style="105" hidden="1" customWidth="1" outlineLevel="1"/>
    <col min="6" max="6" width="7.1640625" style="105" hidden="1" customWidth="1" outlineLevel="1"/>
    <col min="7" max="7" width="9.6640625" style="105" bestFit="1" customWidth="1"/>
    <col min="8" max="8" width="13.6640625" style="105" bestFit="1" customWidth="1"/>
    <col min="9" max="9" width="10.5" style="105" bestFit="1" customWidth="1" collapsed="1"/>
    <col min="10" max="10" width="22" style="105" hidden="1" customWidth="1" outlineLevel="1"/>
    <col min="11" max="11" width="14.1640625" style="105" hidden="1" customWidth="1" outlineLevel="1"/>
    <col min="12" max="12" width="12.33203125" style="105" hidden="1" customWidth="1" outlineLevel="1"/>
    <col min="13" max="15" width="13.6640625" style="105" hidden="1" customWidth="1" outlineLevel="1"/>
    <col min="16" max="16" width="15.1640625" style="105" customWidth="1"/>
    <col min="17" max="17" width="20.1640625" style="105" bestFit="1" customWidth="1"/>
    <col min="18" max="18" width="18.83203125" style="105" bestFit="1" customWidth="1"/>
    <col min="19" max="20" width="18.83203125" style="105" customWidth="1"/>
    <col min="21" max="21" width="15.1640625" style="105" customWidth="1"/>
    <col min="22" max="16384" width="8.83203125" style="105"/>
  </cols>
  <sheetData>
    <row r="1" spans="1:21" s="5" customFormat="1" ht="21" customHeight="1" x14ac:dyDescent="0.15">
      <c r="A1" s="49" t="s">
        <v>276</v>
      </c>
      <c r="B1" s="137" t="s">
        <v>277</v>
      </c>
      <c r="C1" s="138" t="s">
        <v>278</v>
      </c>
      <c r="D1" s="138" t="s">
        <v>279</v>
      </c>
      <c r="E1" s="138" t="s">
        <v>280</v>
      </c>
      <c r="F1" s="138" t="s">
        <v>281</v>
      </c>
      <c r="G1" s="138" t="s">
        <v>1</v>
      </c>
      <c r="H1" s="139" t="s">
        <v>19</v>
      </c>
      <c r="I1" s="138" t="s">
        <v>0</v>
      </c>
      <c r="J1" s="138" t="s">
        <v>282</v>
      </c>
      <c r="K1" s="138" t="s">
        <v>277</v>
      </c>
      <c r="L1" s="140" t="s">
        <v>49</v>
      </c>
      <c r="M1" s="140" t="s">
        <v>48</v>
      </c>
      <c r="N1" s="140" t="s">
        <v>283</v>
      </c>
      <c r="O1" s="140" t="s">
        <v>284</v>
      </c>
      <c r="P1" s="141" t="s">
        <v>285</v>
      </c>
      <c r="Q1" s="103" t="s">
        <v>286</v>
      </c>
      <c r="R1" s="111" t="s">
        <v>277</v>
      </c>
      <c r="S1" s="141" t="s">
        <v>287</v>
      </c>
      <c r="T1" s="111" t="s">
        <v>277</v>
      </c>
      <c r="U1" s="141" t="s">
        <v>288</v>
      </c>
    </row>
    <row r="2" spans="1:21" s="5" customFormat="1" ht="21" customHeight="1" x14ac:dyDescent="0.15">
      <c r="A2" s="97">
        <v>10086</v>
      </c>
      <c r="B2" s="142" t="str">
        <f ca="1">VLOOKUP($A2,OFFSET([1]characters!$A$1,0,0,COUNTA([1]characters!$A:$A),MATCH(B$1,[1]characters!$1:$1,0)-MATCH($A$1,[1]characters!$1:$1,0)+1),MATCH(B$1,[1]characters!$1:$1,0)-MATCH($A$1,[1]characters!$1:$1,0)+1,FALSE)</f>
        <v>テストユニット86</v>
      </c>
      <c r="C2" s="142">
        <f ca="1">VLOOKUP($A2,OFFSET([1]characters!$A$1,0,0,COUNTA([1]characters!$A:$A),MATCH(C$1,[1]characters!$1:$1,0)-MATCH($A$1,[1]characters!$1:$1,0)+1),MATCH(C$1,[1]characters!$1:$1,0)-MATCH($A$1,[1]characters!$1:$1,0)+1,FALSE)</f>
        <v>0</v>
      </c>
      <c r="D2" s="142">
        <f ca="1">VLOOKUP($A2,OFFSET([1]characters!$A$1,0,0,COUNTA([1]characters!$A:$A),MATCH(D$1,[1]characters!$1:$1,0)-MATCH($A$1,[1]characters!$1:$1,0)+1),MATCH(D$1,[1]characters!$1:$1,0)-MATCH($A$1,[1]characters!$1:$1,0)+1,FALSE)</f>
        <v>0</v>
      </c>
      <c r="E2" s="142">
        <f ca="1">VLOOKUP($A2,OFFSET([1]characters!$A$1,0,0,COUNTA([1]characters!$A:$A),MATCH(E$1,[1]characters!$1:$1,0)-MATCH($A$1,[1]characters!$1:$1,0)+1),MATCH(E$1,[1]characters!$1:$1,0)-MATCH($A$1,[1]characters!$1:$1,0)+1,FALSE)</f>
        <v>0</v>
      </c>
      <c r="F2" s="142">
        <f ca="1">VLOOKUP($A2,OFFSET([1]characters!$A$1,0,0,COUNTA([1]characters!$A:$A),MATCH(F$1,[1]characters!$1:$1,0)-MATCH($A$1,[1]characters!$1:$1,0)+1),MATCH(F$1,[1]characters!$1:$1,0)-MATCH($A$1,[1]characters!$1:$1,0)+1,FALSE)</f>
        <v>0</v>
      </c>
      <c r="G2" s="142">
        <f ca="1">VLOOKUP($A2,OFFSET([1]characters!$A$1,0,0,COUNTA([1]characters!$A:$A),MATCH(G$1,[1]characters!$1:$1,0)-MATCH($A$1,[1]characters!$1:$1,0)+1),MATCH(G$1,[1]characters!$1:$1,0)-MATCH($A$1,[1]characters!$1:$1,0)+1,FALSE)</f>
        <v>5</v>
      </c>
      <c r="H2" s="142" t="str">
        <f ca="1">VLOOKUP($A2,OFFSET([1]characters!$A$1,0,0,COUNTA([1]characters!$A:$A),MATCH(H$1,[1]characters!$1:$1,0)-MATCH($A$1,[1]characters!$1:$1,0)+1),MATCH(H$1,[1]characters!$1:$1,0)-MATCH($A$1,[1]characters!$1:$1,0)+1,FALSE)</f>
        <v>PremiumSS</v>
      </c>
      <c r="I2" s="142" t="str">
        <f ca="1">VLOOKUP($A2,OFFSET([1]characters!$A$1,0,0,COUNTA([1]characters!$A:$A),MATCH(I$1,[1]characters!$1:$1,0)-MATCH($A$1,[1]characters!$1:$1,0)+1),MATCH(I$1,[1]characters!$1:$1,0)-MATCH($A$1,[1]characters!$1:$1,0)+1,FALSE)</f>
        <v>red</v>
      </c>
      <c r="J2" s="142" t="str">
        <f ca="1">VLOOKUP($A2,OFFSET([1]characters!$A$1,0,0,COUNTA([1]characters!$A:$A),MATCH(J$1,[1]characters!$1:$1,0)-MATCH($A$1,[1]characters!$1:$1,0)+1),MATCH(J$1,[1]characters!$1:$1,0)-MATCH($A$1,[1]characters!$1:$1,0)+1,FALSE)</f>
        <v>none</v>
      </c>
      <c r="K2" s="109" t="str">
        <f ca="1">VLOOKUP(J2,[1]character_tribe_i18n!$A:$H,3,FALSE)</f>
        <v>種族なし</v>
      </c>
      <c r="L2" s="110" t="e">
        <f>VLOOKUP(#REF!,[1]character_tribe_i18n!$A:$H,4,FALSE)</f>
        <v>#REF!</v>
      </c>
      <c r="M2" s="110" t="e">
        <f>VLOOKUP(#REF!,[1]character_tribe_i18n!$A:$H,5,FALSE)</f>
        <v>#REF!</v>
      </c>
      <c r="N2" s="110" t="e">
        <f>VLOOKUP(#REF!,[1]character_tribe_i18n!$A:$H,6,FALSE)</f>
        <v>#REF!</v>
      </c>
      <c r="O2" s="110" t="e">
        <f>VLOOKUP(#REF!,[1]character_tribe_i18n!$A:$H,7,FALSE)</f>
        <v>#REF!</v>
      </c>
      <c r="P2" s="110" t="str">
        <f>VLOOKUP(Q2,[1]characters!$A:$AC,20)</f>
        <v>normal</v>
      </c>
      <c r="Q2" s="94">
        <v>10087</v>
      </c>
      <c r="R2" s="143" t="str">
        <f ca="1">IF(Q2="NULL","",VLOOKUP($Q2,OFFSET([1]characters!$A$1,0,0,COUNTA([1]characters!$A:$A),MATCH(R$1,[1]characters!$1:$1,0)-MATCH($A$1,[1]characters!$1:$1,0)+1),MATCH(R$1,[1]characters!$1:$1,0)-MATCH($A$1,[1]characters!$1:$1,0)+1,FALSE))</f>
        <v>テストユニット87</v>
      </c>
      <c r="S2" s="109">
        <f ca="1">IF(ISNA(MATCH(A2,Q:Q,0)),A2,INDIRECT(ADDRESS(MATCH(A2,Q:Q,0),COLUMN())))</f>
        <v>10086</v>
      </c>
      <c r="T2" s="143" t="str">
        <f ca="1">VLOOKUP($S2,OFFSET([1]characters!$A$1,0,0,COUNTA([1]characters!$A:$A),MATCH(T$1,[1]characters!$1:$1,0)-MATCH($A$1,[1]characters!$1:$1,0)+1),MATCH(T$1,[1]characters!$1:$1,0)-MATCH($A$1,[1]characters!$1:$1,0)+1,FALSE)</f>
        <v>テストユニット86</v>
      </c>
      <c r="U2" s="110">
        <f ca="1">IF(Q2="NULL","NULL",VLOOKUP(G2,[3]ビット!$A$2:$B$7,2))</f>
        <v>200000</v>
      </c>
    </row>
  </sheetData>
  <autoFilter ref="A1:U2"/>
  <phoneticPr fontId="22"/>
  <conditionalFormatting sqref="W1:W1048576">
    <cfRule type="cellIs" dxfId="24"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6"/>
  <sheetViews>
    <sheetView showGridLines="0" workbookViewId="0">
      <pane xSplit="4" ySplit="1" topLeftCell="H2" activePane="bottomRight" state="frozen"/>
      <selection pane="topRight" activeCell="E1" sqref="E1"/>
      <selection pane="bottomLeft" activeCell="A2" sqref="A2"/>
      <selection pane="bottomRight" activeCell="J9" sqref="J9"/>
    </sheetView>
  </sheetViews>
  <sheetFormatPr baseColWidth="12" defaultColWidth="13" defaultRowHeight="15" x14ac:dyDescent="0.15"/>
  <cols>
    <col min="1" max="1" width="11.5" style="35"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35" t="s">
        <v>99</v>
      </c>
      <c r="B1" s="147" t="s">
        <v>38</v>
      </c>
      <c r="C1" s="144" t="s">
        <v>289</v>
      </c>
      <c r="D1" s="145" t="s">
        <v>40</v>
      </c>
      <c r="E1" s="145" t="s">
        <v>42</v>
      </c>
      <c r="F1" s="145" t="s">
        <v>43</v>
      </c>
      <c r="G1" s="147" t="s">
        <v>290</v>
      </c>
      <c r="H1" s="145" t="s">
        <v>40</v>
      </c>
      <c r="I1" s="148" t="s">
        <v>36</v>
      </c>
      <c r="J1" s="145" t="s">
        <v>41</v>
      </c>
      <c r="K1" s="149" t="s">
        <v>37</v>
      </c>
      <c r="L1" s="150" t="s">
        <v>127</v>
      </c>
      <c r="M1" s="145" t="s">
        <v>292</v>
      </c>
    </row>
    <row r="2" spans="1:14" ht="21" customHeight="1" x14ac:dyDescent="0.2">
      <c r="A2" s="35" t="str">
        <f>B2&amp;"_"&amp;I2</f>
        <v>10086_306</v>
      </c>
      <c r="B2" s="100">
        <v>10086</v>
      </c>
      <c r="C2" s="146">
        <f>B2</f>
        <v>10086</v>
      </c>
      <c r="D2" s="142" t="str">
        <f ca="1">VLOOKUP($C2,OFFSET([1]characters!$A$1,0,0,COUNTA([1]characters!$A:$A),MATCH(D$1,[1]characters!$1:$1,0)-MATCH($C$1,[1]characters!$1:$1,0)+1),MATCH(D$1,[1]characters!$1:$1,0)-MATCH($C$1,[1]characters!$1:$1,0)+1,FALSE)</f>
        <v>テストユニット86</v>
      </c>
      <c r="E2" s="142">
        <f ca="1">VLOOKUP($C2,OFFSET([1]characters!$A$1,0,0,COUNTA([1]characters!$A:$A),MATCH(E$1,[1]characters!$1:$1,0)-MATCH($C$1,[1]characters!$1:$1,0)+1),MATCH(E$1,[1]characters!$1:$1,0)-MATCH($C$1,[1]characters!$1:$1,0)+1,FALSE)</f>
        <v>5</v>
      </c>
      <c r="F2" s="142" t="str">
        <f ca="1">VLOOKUP($C2,OFFSET([1]characters!$A$1,0,0,COUNTA([1]characters!$A:$A),MATCH(F$1,[1]characters!$1:$1,0)-MATCH($C$1,[1]characters!$1:$1,0)+1),MATCH(F$1,[1]characters!$1:$1,0)-MATCH($C$1,[1]characters!$1:$1,0)+1,FALSE)</f>
        <v>PremiumSS</v>
      </c>
      <c r="G2" s="100">
        <v>10087</v>
      </c>
      <c r="H2" s="143" t="str">
        <f ca="1">VLOOKUP($G2,OFFSET([1]characters!$A$1,0,0,COUNTA([1]characters!$A:$A),MATCH(H$1,[1]characters!$1:$1,0)-MATCH($C$1,[1]characters!$1:$1,0)+1),MATCH(H$1,[1]characters!$1:$1,0)-MATCH($C$1,[1]characters!$1:$1,0)+1,FALSE)</f>
        <v>テストユニット87</v>
      </c>
      <c r="I2" s="165">
        <v>306</v>
      </c>
      <c r="J2" s="164" t="str">
        <f ca="1">VLOOKUP($I2,OFFSET([1]characters!$A$1,0,0,COUNTA([1]characters!$A:$A),MATCH(J$1,[1]characters!$1:$1,0)-MATCH($C$1,[1]characters!$1:$1,0)+1),MATCH(J$1,[1]characters!$1:$1,0)-MATCH($C$1,[1]characters!$1:$1,0)+1,FALSE)</f>
        <v>メガロドン</v>
      </c>
      <c r="K2" s="98">
        <v>1</v>
      </c>
      <c r="L2" s="99">
        <v>1</v>
      </c>
      <c r="M2" s="151">
        <f>IF(I2=837,1000,IF(VLOOKUP(I2,[1]characters!$A:$J,10,FALSE)="Material",10,100))</f>
        <v>100</v>
      </c>
      <c r="N2" s="2" t="s">
        <v>291</v>
      </c>
    </row>
    <row r="3" spans="1:14" ht="21" customHeight="1" x14ac:dyDescent="0.2">
      <c r="A3" s="35" t="str">
        <f>B3&amp;"_"&amp;I3</f>
        <v>10086_262</v>
      </c>
      <c r="B3" s="100">
        <v>10086</v>
      </c>
      <c r="C3" s="146">
        <f>B3</f>
        <v>10086</v>
      </c>
      <c r="D3" s="142" t="str">
        <f ca="1">VLOOKUP($C3,OFFSET([1]characters!$A$1,0,0,COUNTA([1]characters!$A:$A),MATCH(D$1,[1]characters!$1:$1,0)-MATCH($C$1,[1]characters!$1:$1,0)+1),MATCH(D$1,[1]characters!$1:$1,0)-MATCH($C$1,[1]characters!$1:$1,0)+1,FALSE)</f>
        <v>テストユニット86</v>
      </c>
      <c r="E3" s="142">
        <f ca="1">VLOOKUP($C3,OFFSET([1]characters!$A$1,0,0,COUNTA([1]characters!$A:$A),MATCH(E$1,[1]characters!$1:$1,0)-MATCH($C$1,[1]characters!$1:$1,0)+1),MATCH(E$1,[1]characters!$1:$1,0)-MATCH($C$1,[1]characters!$1:$1,0)+1,FALSE)</f>
        <v>5</v>
      </c>
      <c r="F3" s="142" t="str">
        <f ca="1">VLOOKUP($C3,OFFSET([1]characters!$A$1,0,0,COUNTA([1]characters!$A:$A),MATCH(F$1,[1]characters!$1:$1,0)-MATCH($C$1,[1]characters!$1:$1,0)+1),MATCH(F$1,[1]characters!$1:$1,0)-MATCH($C$1,[1]characters!$1:$1,0)+1,FALSE)</f>
        <v>PremiumSS</v>
      </c>
      <c r="G3" s="100">
        <v>10087</v>
      </c>
      <c r="H3" s="143" t="str">
        <f ca="1">VLOOKUP($G3,OFFSET([1]characters!$A$1,0,0,COUNTA([1]characters!$A:$A),MATCH(H$1,[1]characters!$1:$1,0)-MATCH($C$1,[1]characters!$1:$1,0)+1),MATCH(H$1,[1]characters!$1:$1,0)-MATCH($C$1,[1]characters!$1:$1,0)+1,FALSE)</f>
        <v>テストユニット87</v>
      </c>
      <c r="I3" s="165">
        <v>262</v>
      </c>
      <c r="J3" s="164" t="str">
        <f ca="1">VLOOKUP($I3,OFFSET([1]characters!$A$1,0,0,COUNTA([1]characters!$A:$A),MATCH(J$1,[1]characters!$1:$1,0)-MATCH($C$1,[1]characters!$1:$1,0)+1),MATCH(J$1,[1]characters!$1:$1,0)-MATCH($C$1,[1]characters!$1:$1,0)+1,FALSE)</f>
        <v>アシュリー</v>
      </c>
      <c r="K3" s="98">
        <v>1</v>
      </c>
      <c r="L3" s="99">
        <v>1</v>
      </c>
      <c r="M3" s="151">
        <f>IF(I3=837,1000,IF(VLOOKUP(I3,[1]characters!$A:$J,10,FALSE)="Material",10,100))</f>
        <v>100</v>
      </c>
      <c r="N3" s="2" t="s">
        <v>291</v>
      </c>
    </row>
    <row r="4" spans="1:14" ht="21" customHeight="1" x14ac:dyDescent="0.2">
      <c r="A4" s="35" t="str">
        <f>B4&amp;"_"&amp;I4</f>
        <v>10086_103</v>
      </c>
      <c r="B4" s="100">
        <v>10086</v>
      </c>
      <c r="C4" s="146">
        <f>B4</f>
        <v>10086</v>
      </c>
      <c r="D4" s="142" t="str">
        <f ca="1">VLOOKUP($C4,OFFSET([1]characters!$A$1,0,0,COUNTA([1]characters!$A:$A),MATCH(D$1,[1]characters!$1:$1,0)-MATCH($C$1,[1]characters!$1:$1,0)+1),MATCH(D$1,[1]characters!$1:$1,0)-MATCH($C$1,[1]characters!$1:$1,0)+1,FALSE)</f>
        <v>テストユニット86</v>
      </c>
      <c r="E4" s="142">
        <f ca="1">VLOOKUP($C4,OFFSET([1]characters!$A$1,0,0,COUNTA([1]characters!$A:$A),MATCH(E$1,[1]characters!$1:$1,0)-MATCH($C$1,[1]characters!$1:$1,0)+1),MATCH(E$1,[1]characters!$1:$1,0)-MATCH($C$1,[1]characters!$1:$1,0)+1,FALSE)</f>
        <v>5</v>
      </c>
      <c r="F4" s="142" t="str">
        <f ca="1">VLOOKUP($C4,OFFSET([1]characters!$A$1,0,0,COUNTA([1]characters!$A:$A),MATCH(F$1,[1]characters!$1:$1,0)-MATCH($C$1,[1]characters!$1:$1,0)+1),MATCH(F$1,[1]characters!$1:$1,0)-MATCH($C$1,[1]characters!$1:$1,0)+1,FALSE)</f>
        <v>PremiumSS</v>
      </c>
      <c r="G4" s="100">
        <v>10087</v>
      </c>
      <c r="H4" s="143" t="str">
        <f ca="1">VLOOKUP($G4,OFFSET([1]characters!$A$1,0,0,COUNTA([1]characters!$A:$A),MATCH(H$1,[1]characters!$1:$1,0)-MATCH($C$1,[1]characters!$1:$1,0)+1),MATCH(H$1,[1]characters!$1:$1,0)-MATCH($C$1,[1]characters!$1:$1,0)+1,FALSE)</f>
        <v>テストユニット87</v>
      </c>
      <c r="I4" s="165">
        <v>103</v>
      </c>
      <c r="J4" s="164" t="str">
        <f ca="1">VLOOKUP($I4,OFFSET([1]characters!$A$1,0,0,COUNTA([1]characters!$A:$A),MATCH(J$1,[1]characters!$1:$1,0)-MATCH($C$1,[1]characters!$1:$1,0)+1),MATCH(J$1,[1]characters!$1:$1,0)-MATCH($C$1,[1]characters!$1:$1,0)+1,FALSE)</f>
        <v>レッドキャタップ</v>
      </c>
      <c r="K4" s="98">
        <v>1</v>
      </c>
      <c r="L4" s="99">
        <v>1</v>
      </c>
      <c r="M4" s="151">
        <f>IF(I4=837,1000,IF(VLOOKUP(I4,[1]characters!$A:$J,10,FALSE)="Material",10,100))</f>
        <v>10</v>
      </c>
      <c r="N4" s="2" t="s">
        <v>291</v>
      </c>
    </row>
    <row r="5" spans="1:14" ht="21" customHeight="1" x14ac:dyDescent="0.2">
      <c r="A5" s="35" t="str">
        <f>B5&amp;"_"&amp;I5</f>
        <v>10086_104</v>
      </c>
      <c r="B5" s="100">
        <v>10086</v>
      </c>
      <c r="C5" s="146">
        <f>B5</f>
        <v>10086</v>
      </c>
      <c r="D5" s="142" t="str">
        <f ca="1">VLOOKUP($C5,OFFSET([1]characters!$A$1,0,0,COUNTA([1]characters!$A:$A),MATCH(D$1,[1]characters!$1:$1,0)-MATCH($C$1,[1]characters!$1:$1,0)+1),MATCH(D$1,[1]characters!$1:$1,0)-MATCH($C$1,[1]characters!$1:$1,0)+1,FALSE)</f>
        <v>テストユニット86</v>
      </c>
      <c r="E5" s="142">
        <f ca="1">VLOOKUP($C5,OFFSET([1]characters!$A$1,0,0,COUNTA([1]characters!$A:$A),MATCH(E$1,[1]characters!$1:$1,0)-MATCH($C$1,[1]characters!$1:$1,0)+1),MATCH(E$1,[1]characters!$1:$1,0)-MATCH($C$1,[1]characters!$1:$1,0)+1,FALSE)</f>
        <v>5</v>
      </c>
      <c r="F5" s="142" t="str">
        <f ca="1">VLOOKUP($C5,OFFSET([1]characters!$A$1,0,0,COUNTA([1]characters!$A:$A),MATCH(F$1,[1]characters!$1:$1,0)-MATCH($C$1,[1]characters!$1:$1,0)+1),MATCH(F$1,[1]characters!$1:$1,0)-MATCH($C$1,[1]characters!$1:$1,0)+1,FALSE)</f>
        <v>PremiumSS</v>
      </c>
      <c r="G5" s="100">
        <v>10087</v>
      </c>
      <c r="H5" s="143" t="str">
        <f ca="1">VLOOKUP($G5,OFFSET([1]characters!$A$1,0,0,COUNTA([1]characters!$A:$A),MATCH(H$1,[1]characters!$1:$1,0)-MATCH($C$1,[1]characters!$1:$1,0)+1),MATCH(H$1,[1]characters!$1:$1,0)-MATCH($C$1,[1]characters!$1:$1,0)+1,FALSE)</f>
        <v>テストユニット87</v>
      </c>
      <c r="I5" s="165">
        <v>104</v>
      </c>
      <c r="J5" s="164" t="str">
        <f ca="1">VLOOKUP($I5,OFFSET([1]characters!$A$1,0,0,COUNTA([1]characters!$A:$A),MATCH(J$1,[1]characters!$1:$1,0)-MATCH($C$1,[1]characters!$1:$1,0)+1),MATCH(J$1,[1]characters!$1:$1,0)-MATCH($C$1,[1]characters!$1:$1,0)+1,FALSE)</f>
        <v>炎のマッドハッター</v>
      </c>
      <c r="K5" s="98">
        <v>1</v>
      </c>
      <c r="L5" s="99">
        <v>1</v>
      </c>
      <c r="M5" s="151">
        <f>IF(I5=837,1000,IF(VLOOKUP(I5,[1]characters!$A:$J,10,FALSE)="Material",10,100))</f>
        <v>10</v>
      </c>
      <c r="N5" s="2" t="s">
        <v>291</v>
      </c>
    </row>
    <row r="6" spans="1:14" ht="21" customHeight="1" x14ac:dyDescent="0.2">
      <c r="A6" s="35" t="str">
        <f>B6&amp;"_"&amp;I6</f>
        <v>10086_837</v>
      </c>
      <c r="B6" s="100">
        <v>10086</v>
      </c>
      <c r="C6" s="146">
        <f>B6</f>
        <v>10086</v>
      </c>
      <c r="D6" s="142" t="str">
        <f ca="1">VLOOKUP($C6,OFFSET([1]characters!$A$1,0,0,COUNTA([1]characters!$A:$A),MATCH(D$1,[1]characters!$1:$1,0)-MATCH($C$1,[1]characters!$1:$1,0)+1),MATCH(D$1,[1]characters!$1:$1,0)-MATCH($C$1,[1]characters!$1:$1,0)+1,FALSE)</f>
        <v>テストユニット86</v>
      </c>
      <c r="E6" s="142">
        <f ca="1">VLOOKUP($C6,OFFSET([1]characters!$A$1,0,0,COUNTA([1]characters!$A:$A),MATCH(E$1,[1]characters!$1:$1,0)-MATCH($C$1,[1]characters!$1:$1,0)+1),MATCH(E$1,[1]characters!$1:$1,0)-MATCH($C$1,[1]characters!$1:$1,0)+1,FALSE)</f>
        <v>5</v>
      </c>
      <c r="F6" s="142" t="str">
        <f ca="1">VLOOKUP($C6,OFFSET([1]characters!$A$1,0,0,COUNTA([1]characters!$A:$A),MATCH(F$1,[1]characters!$1:$1,0)-MATCH($C$1,[1]characters!$1:$1,0)+1),MATCH(F$1,[1]characters!$1:$1,0)-MATCH($C$1,[1]characters!$1:$1,0)+1,FALSE)</f>
        <v>PremiumSS</v>
      </c>
      <c r="G6" s="100">
        <v>10087</v>
      </c>
      <c r="H6" s="143" t="str">
        <f ca="1">VLOOKUP($G6,OFFSET([1]characters!$A$1,0,0,COUNTA([1]characters!$A:$A),MATCH(H$1,[1]characters!$1:$1,0)-MATCH($C$1,[1]characters!$1:$1,0)+1),MATCH(H$1,[1]characters!$1:$1,0)-MATCH($C$1,[1]characters!$1:$1,0)+1,FALSE)</f>
        <v>テストユニット87</v>
      </c>
      <c r="I6" s="165">
        <v>837</v>
      </c>
      <c r="J6" s="164" t="str">
        <f ca="1">VLOOKUP($I6,OFFSET([1]characters!$A$1,0,0,COUNTA([1]characters!$A:$A),MATCH(J$1,[1]characters!$1:$1,0)-MATCH($C$1,[1]characters!$1:$1,0)+1),MATCH(J$1,[1]characters!$1:$1,0)-MATCH($C$1,[1]characters!$1:$1,0)+1,FALSE)</f>
        <v>リトルハンプティ</v>
      </c>
      <c r="K6" s="98">
        <v>1</v>
      </c>
      <c r="L6" s="99">
        <v>1</v>
      </c>
      <c r="M6" s="151">
        <f>IF(I6=837,1000,IF(VLOOKUP(I6,[1]characters!$A:$J,10,FALSE)="Material",10,100))</f>
        <v>1000</v>
      </c>
      <c r="N6"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
  <sheetViews>
    <sheetView workbookViewId="0">
      <pane xSplit="5" ySplit="1" topLeftCell="F2" activePane="bottomRight" state="frozen"/>
      <selection pane="topRight" activeCell="F1" sqref="F1"/>
      <selection pane="bottomLeft" activeCell="A2" sqref="A2"/>
      <selection pane="bottomRight" activeCell="D12" sqref="D12"/>
    </sheetView>
  </sheetViews>
  <sheetFormatPr baseColWidth="12" defaultRowHeight="15" x14ac:dyDescent="0.15"/>
  <cols>
    <col min="5" max="5" width="22.6640625" customWidth="1"/>
    <col min="6" max="6" width="58.5" customWidth="1"/>
    <col min="8" max="8" width="16.33203125" customWidth="1"/>
  </cols>
  <sheetData>
    <row r="1" spans="1:8" s="8" customFormat="1" ht="21" customHeight="1" x14ac:dyDescent="0.15">
      <c r="A1" s="106" t="s">
        <v>138</v>
      </c>
      <c r="B1" s="152" t="s">
        <v>268</v>
      </c>
      <c r="C1" s="120" t="s">
        <v>269</v>
      </c>
      <c r="D1" s="58" t="s">
        <v>270</v>
      </c>
      <c r="E1" s="120" t="s">
        <v>271</v>
      </c>
      <c r="F1" s="120" t="s">
        <v>272</v>
      </c>
      <c r="G1" s="122" t="s">
        <v>273</v>
      </c>
      <c r="H1" s="153" t="s">
        <v>274</v>
      </c>
    </row>
    <row r="2" spans="1:8" s="4" customFormat="1" ht="21" customHeight="1" x14ac:dyDescent="0.15">
      <c r="A2" s="101">
        <v>10087</v>
      </c>
      <c r="B2" s="153" t="str">
        <f>VLOOKUP(A2,[1]characters!$A:$C,3)</f>
        <v>テストユニット87</v>
      </c>
      <c r="C2" s="153">
        <f>COUNTIF($A$1:A2,A2)</f>
        <v>1</v>
      </c>
      <c r="D2" s="101">
        <v>100</v>
      </c>
      <c r="E2" s="153" t="str">
        <f>IF(ISERROR(VLOOKUP(D2,[4]abilities!A:D,3,FALSE))=FALSE,VLOOKUP(D2,[4]abilities!A:D,3),IF(ISERROR(VLOOKUP(D2,abilities!A:D,3,FALSE))=FALSE,VLOOKUP(D2,abilities!A:D,3),"なし"))</f>
        <v>プロテクトブレイク</v>
      </c>
      <c r="F2" s="153" t="str">
        <f>IF(ISERROR(VLOOKUP(D2,[4]abilities!A:D,4,FALSE))=FALSE,VLOOKUP(D2,[4]abilities!A:D,4),IF(ISERROR(VLOOKUP(D2,abilities!A:D,4,FALSE))=FALSE,VLOOKUP(D2,abilities!A:D,4),"なし"))</f>
        <v>自身が先頭の時、プロテクトを無視してパネル破壊できる</v>
      </c>
      <c r="G2" s="154" t="s">
        <v>275</v>
      </c>
      <c r="H2" s="155">
        <f>IF(AND(VLOOKUP(A2,[1]characters!$A:$J,10,FALSE)="DropWizS",C2&gt;1),30,IF(AND(VLOOKUP(A2,[1]characters!$A:$J,10,FALSE)="DropWizSS",C2&gt;1),15,1))</f>
        <v>1</v>
      </c>
    </row>
  </sheetData>
  <phoneticPr fontId="2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workbookViewId="0">
      <selection activeCell="F15" sqref="F15"/>
    </sheetView>
  </sheetViews>
  <sheetFormatPr baseColWidth="12" defaultColWidth="13" defaultRowHeight="21" customHeight="1" x14ac:dyDescent="0.15"/>
  <cols>
    <col min="1" max="1" width="13" style="4"/>
    <col min="2" max="16384" width="13" style="8"/>
  </cols>
  <sheetData>
    <row r="1" spans="1:9" s="4" customFormat="1" ht="21" customHeight="1" x14ac:dyDescent="0.15">
      <c r="A1" s="15" t="s">
        <v>235</v>
      </c>
      <c r="B1" s="17">
        <v>1</v>
      </c>
      <c r="C1" s="17">
        <v>2</v>
      </c>
      <c r="D1" s="17">
        <v>3</v>
      </c>
      <c r="E1" s="17">
        <v>4</v>
      </c>
      <c r="F1" s="17">
        <v>5</v>
      </c>
      <c r="G1" s="17">
        <v>6</v>
      </c>
      <c r="H1" s="17">
        <v>7</v>
      </c>
      <c r="I1" s="17">
        <v>8</v>
      </c>
    </row>
    <row r="2" spans="1:9" s="4" customFormat="1" ht="21" customHeight="1" x14ac:dyDescent="0.15">
      <c r="A2" s="65" t="s">
        <v>236</v>
      </c>
      <c r="B2" s="66"/>
      <c r="C2" s="67"/>
      <c r="D2" s="68" t="s">
        <v>237</v>
      </c>
      <c r="E2" s="68">
        <v>30</v>
      </c>
      <c r="F2" s="68">
        <v>40</v>
      </c>
      <c r="G2" s="68">
        <f>15+F2</f>
        <v>55</v>
      </c>
      <c r="H2" s="67"/>
      <c r="I2" s="67"/>
    </row>
    <row r="3" spans="1:9" s="4" customFormat="1" ht="21" customHeight="1" x14ac:dyDescent="0.15">
      <c r="A3" s="65" t="s">
        <v>238</v>
      </c>
      <c r="B3" s="69"/>
      <c r="C3" s="70"/>
      <c r="D3" s="71" t="s">
        <v>237</v>
      </c>
      <c r="E3" s="71">
        <v>25</v>
      </c>
      <c r="F3" s="71">
        <v>35</v>
      </c>
      <c r="G3" s="68">
        <f t="shared" ref="G3:G4" si="0">15+F3</f>
        <v>50</v>
      </c>
      <c r="H3" s="70"/>
      <c r="I3" s="70"/>
    </row>
    <row r="4" spans="1:9" s="4" customFormat="1" ht="21" customHeight="1" x14ac:dyDescent="0.15">
      <c r="A4" s="65" t="s">
        <v>239</v>
      </c>
      <c r="B4" s="72"/>
      <c r="C4" s="73"/>
      <c r="D4" s="74">
        <v>10</v>
      </c>
      <c r="E4" s="74">
        <v>20</v>
      </c>
      <c r="F4" s="74">
        <v>30</v>
      </c>
      <c r="G4" s="74">
        <f t="shared" si="0"/>
        <v>45</v>
      </c>
      <c r="H4" s="73"/>
      <c r="I4" s="73"/>
    </row>
    <row r="5" spans="1:9" s="4" customFormat="1" ht="21" customHeight="1" x14ac:dyDescent="0.15">
      <c r="A5" s="84" t="s">
        <v>240</v>
      </c>
      <c r="B5" s="79"/>
      <c r="C5" s="80"/>
      <c r="D5" s="13">
        <v>9</v>
      </c>
      <c r="E5" s="13">
        <v>18</v>
      </c>
      <c r="F5" s="13">
        <v>28</v>
      </c>
      <c r="G5" s="23">
        <v>38</v>
      </c>
      <c r="H5" s="80"/>
      <c r="I5" s="80"/>
    </row>
    <row r="6" spans="1:9" s="4" customFormat="1" ht="21" customHeight="1" x14ac:dyDescent="0.15">
      <c r="A6" s="84" t="s">
        <v>241</v>
      </c>
      <c r="B6" s="79"/>
      <c r="C6" s="80"/>
      <c r="D6" s="13">
        <v>7</v>
      </c>
      <c r="E6" s="13">
        <v>16</v>
      </c>
      <c r="F6" s="38" t="s">
        <v>11</v>
      </c>
      <c r="G6" s="38" t="s">
        <v>11</v>
      </c>
      <c r="H6" s="80"/>
      <c r="I6" s="80"/>
    </row>
    <row r="7" spans="1:9" ht="21" customHeight="1" x14ac:dyDescent="0.15">
      <c r="A7" s="43" t="s">
        <v>242</v>
      </c>
      <c r="B7" s="26" t="s">
        <v>11</v>
      </c>
      <c r="C7" s="26" t="s">
        <v>11</v>
      </c>
      <c r="D7" s="23" t="s">
        <v>237</v>
      </c>
      <c r="E7" s="23" t="s">
        <v>237</v>
      </c>
      <c r="F7" s="23" t="s">
        <v>237</v>
      </c>
      <c r="G7" s="23" t="s">
        <v>237</v>
      </c>
      <c r="H7" s="23" t="s">
        <v>237</v>
      </c>
      <c r="I7" s="23" t="s">
        <v>237</v>
      </c>
    </row>
    <row r="8" spans="1:9" ht="21" customHeight="1" x14ac:dyDescent="0.15">
      <c r="A8" s="44" t="s">
        <v>243</v>
      </c>
      <c r="B8" s="26" t="s">
        <v>11</v>
      </c>
      <c r="C8" s="26" t="s">
        <v>11</v>
      </c>
      <c r="D8" s="23" t="s">
        <v>237</v>
      </c>
      <c r="E8" s="23">
        <v>30</v>
      </c>
      <c r="F8" s="23">
        <v>40</v>
      </c>
      <c r="G8" s="23">
        <f>15+F8</f>
        <v>55</v>
      </c>
      <c r="H8" s="23" t="s">
        <v>237</v>
      </c>
      <c r="I8" s="23" t="s">
        <v>237</v>
      </c>
    </row>
    <row r="9" spans="1:9" s="25" customFormat="1" ht="21" customHeight="1" x14ac:dyDescent="0.15">
      <c r="A9" s="45" t="s">
        <v>313</v>
      </c>
      <c r="B9" s="13" t="s">
        <v>11</v>
      </c>
      <c r="C9" s="13" t="s">
        <v>11</v>
      </c>
      <c r="D9" s="52" t="s">
        <v>109</v>
      </c>
      <c r="E9" s="52" t="s">
        <v>109</v>
      </c>
      <c r="F9" s="52">
        <v>38</v>
      </c>
      <c r="G9" s="23">
        <f>15+F9</f>
        <v>53</v>
      </c>
      <c r="H9" s="52" t="s">
        <v>109</v>
      </c>
      <c r="I9" s="52" t="s">
        <v>109</v>
      </c>
    </row>
    <row r="10" spans="1:9" s="25" customFormat="1" ht="21" customHeight="1" x14ac:dyDescent="0.15">
      <c r="A10" s="45" t="s">
        <v>244</v>
      </c>
      <c r="B10" s="13" t="s">
        <v>11</v>
      </c>
      <c r="C10" s="13" t="s">
        <v>11</v>
      </c>
      <c r="D10" s="52" t="s">
        <v>237</v>
      </c>
      <c r="E10" s="52">
        <v>25</v>
      </c>
      <c r="F10" s="52">
        <v>35</v>
      </c>
      <c r="G10" s="23">
        <f t="shared" ref="G10:G11" si="1">15+F10</f>
        <v>50</v>
      </c>
      <c r="H10" s="52" t="s">
        <v>237</v>
      </c>
      <c r="I10" s="52" t="s">
        <v>237</v>
      </c>
    </row>
    <row r="11" spans="1:9" ht="21" customHeight="1" x14ac:dyDescent="0.15">
      <c r="A11" s="45" t="s">
        <v>9</v>
      </c>
      <c r="B11" s="38" t="s">
        <v>11</v>
      </c>
      <c r="C11" s="38" t="s">
        <v>11</v>
      </c>
      <c r="D11" s="13">
        <v>10</v>
      </c>
      <c r="E11" s="13">
        <v>20</v>
      </c>
      <c r="F11" s="13">
        <v>30</v>
      </c>
      <c r="G11" s="23">
        <f t="shared" si="1"/>
        <v>45</v>
      </c>
      <c r="H11" s="38" t="s">
        <v>11</v>
      </c>
      <c r="I11" s="38" t="s">
        <v>11</v>
      </c>
    </row>
    <row r="12" spans="1:9" ht="21" customHeight="1" x14ac:dyDescent="0.15">
      <c r="A12" s="45" t="s">
        <v>245</v>
      </c>
      <c r="B12" s="38" t="s">
        <v>11</v>
      </c>
      <c r="C12" s="38" t="s">
        <v>11</v>
      </c>
      <c r="D12" s="13">
        <v>9</v>
      </c>
      <c r="E12" s="13">
        <v>18</v>
      </c>
      <c r="F12" s="13">
        <v>28</v>
      </c>
      <c r="G12" s="23">
        <v>38</v>
      </c>
      <c r="H12" s="38" t="s">
        <v>11</v>
      </c>
      <c r="I12" s="38" t="s">
        <v>11</v>
      </c>
    </row>
    <row r="13" spans="1:9" ht="21" customHeight="1" x14ac:dyDescent="0.15">
      <c r="A13" s="45" t="s">
        <v>246</v>
      </c>
      <c r="B13" s="38" t="s">
        <v>11</v>
      </c>
      <c r="C13" s="38" t="s">
        <v>11</v>
      </c>
      <c r="D13" s="13">
        <v>7</v>
      </c>
      <c r="E13" s="13">
        <v>16</v>
      </c>
      <c r="F13" s="91">
        <v>26</v>
      </c>
      <c r="G13" s="38" t="s">
        <v>11</v>
      </c>
      <c r="H13" s="38" t="s">
        <v>11</v>
      </c>
      <c r="I13" s="38" t="s">
        <v>11</v>
      </c>
    </row>
    <row r="14" spans="1:9" ht="21" customHeight="1" x14ac:dyDescent="0.15">
      <c r="A14" s="51" t="s">
        <v>247</v>
      </c>
      <c r="B14" s="38" t="s">
        <v>11</v>
      </c>
      <c r="C14" s="38" t="s">
        <v>11</v>
      </c>
      <c r="D14" s="13">
        <v>8</v>
      </c>
      <c r="E14" s="13">
        <v>17</v>
      </c>
      <c r="F14" s="13">
        <v>26</v>
      </c>
      <c r="G14" s="38" t="s">
        <v>11</v>
      </c>
      <c r="H14" s="38" t="s">
        <v>11</v>
      </c>
      <c r="I14" s="38" t="s">
        <v>11</v>
      </c>
    </row>
    <row r="15" spans="1:9" ht="21" customHeight="1" x14ac:dyDescent="0.15">
      <c r="A15" s="45" t="s">
        <v>248</v>
      </c>
      <c r="B15" s="38" t="s">
        <v>11</v>
      </c>
      <c r="C15" s="38" t="s">
        <v>11</v>
      </c>
      <c r="D15" s="13">
        <v>8</v>
      </c>
      <c r="E15" s="13">
        <v>17</v>
      </c>
      <c r="F15" s="13">
        <v>26</v>
      </c>
      <c r="G15" s="38" t="s">
        <v>11</v>
      </c>
      <c r="H15" s="38" t="s">
        <v>11</v>
      </c>
      <c r="I15" s="38" t="s">
        <v>11</v>
      </c>
    </row>
    <row r="16" spans="1:9" ht="21" customHeight="1" x14ac:dyDescent="0.15">
      <c r="A16" s="45" t="s">
        <v>249</v>
      </c>
      <c r="B16" s="38" t="s">
        <v>11</v>
      </c>
      <c r="C16" s="38" t="s">
        <v>11</v>
      </c>
      <c r="D16" s="13">
        <v>6</v>
      </c>
      <c r="E16" s="13">
        <v>14</v>
      </c>
      <c r="F16" s="38" t="s">
        <v>11</v>
      </c>
      <c r="G16" s="38" t="s">
        <v>11</v>
      </c>
      <c r="H16" s="38" t="s">
        <v>11</v>
      </c>
      <c r="I16" s="38" t="s">
        <v>11</v>
      </c>
    </row>
    <row r="17" spans="1:9" ht="21" customHeight="1" x14ac:dyDescent="0.15">
      <c r="A17" s="45" t="s">
        <v>250</v>
      </c>
      <c r="B17" s="38" t="s">
        <v>11</v>
      </c>
      <c r="C17" s="13">
        <v>4</v>
      </c>
      <c r="D17" s="13">
        <v>6</v>
      </c>
      <c r="E17" s="13">
        <v>14</v>
      </c>
      <c r="F17" s="38" t="s">
        <v>11</v>
      </c>
      <c r="G17" s="38" t="s">
        <v>11</v>
      </c>
      <c r="H17" s="38" t="s">
        <v>11</v>
      </c>
      <c r="I17" s="38" t="s">
        <v>11</v>
      </c>
    </row>
    <row r="18" spans="1:9" ht="21" customHeight="1" x14ac:dyDescent="0.15">
      <c r="A18" s="45" t="s">
        <v>8</v>
      </c>
      <c r="B18" s="13">
        <v>2</v>
      </c>
      <c r="C18" s="13">
        <v>4</v>
      </c>
      <c r="D18" s="13">
        <v>6</v>
      </c>
      <c r="E18" s="38" t="s">
        <v>11</v>
      </c>
      <c r="F18" s="38" t="s">
        <v>11</v>
      </c>
      <c r="G18" s="38" t="s">
        <v>11</v>
      </c>
      <c r="H18" s="38" t="s">
        <v>11</v>
      </c>
      <c r="I18" s="38" t="s">
        <v>11</v>
      </c>
    </row>
    <row r="19" spans="1:9" ht="21" customHeight="1" x14ac:dyDescent="0.15">
      <c r="A19" s="46" t="s">
        <v>7</v>
      </c>
      <c r="B19" s="16">
        <v>1</v>
      </c>
      <c r="C19" s="16">
        <v>2</v>
      </c>
      <c r="D19" s="39" t="s">
        <v>11</v>
      </c>
      <c r="E19" s="39" t="s">
        <v>11</v>
      </c>
      <c r="F19" s="39" t="s">
        <v>11</v>
      </c>
      <c r="G19" s="39" t="s">
        <v>11</v>
      </c>
      <c r="H19" s="39" t="s">
        <v>11</v>
      </c>
      <c r="I19" s="39" t="s">
        <v>11</v>
      </c>
    </row>
    <row r="20" spans="1:9" ht="21" customHeight="1" x14ac:dyDescent="0.15">
      <c r="A20" s="47" t="s">
        <v>251</v>
      </c>
      <c r="B20" s="11">
        <v>1</v>
      </c>
      <c r="C20" s="11">
        <v>1</v>
      </c>
      <c r="D20" s="39" t="s">
        <v>11</v>
      </c>
      <c r="E20" s="39" t="s">
        <v>11</v>
      </c>
      <c r="F20" s="39" t="s">
        <v>11</v>
      </c>
      <c r="G20" s="39" t="s">
        <v>11</v>
      </c>
      <c r="H20" s="39" t="s">
        <v>11</v>
      </c>
      <c r="I20" s="39" t="s">
        <v>11</v>
      </c>
    </row>
    <row r="21" spans="1:9" ht="21" customHeight="1" x14ac:dyDescent="0.15">
      <c r="A21" s="22" t="s">
        <v>252</v>
      </c>
      <c r="B21" s="21">
        <v>99</v>
      </c>
      <c r="C21" s="21">
        <v>99</v>
      </c>
      <c r="D21" s="21">
        <v>99</v>
      </c>
      <c r="E21" s="21">
        <v>99</v>
      </c>
      <c r="F21" s="21">
        <v>99</v>
      </c>
      <c r="G21" s="21">
        <v>99</v>
      </c>
      <c r="H21" s="21">
        <v>99</v>
      </c>
      <c r="I21" s="21">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8"/>
  </cols>
  <sheetData>
    <row r="1" spans="1:9" ht="21" customHeight="1" x14ac:dyDescent="0.15">
      <c r="A1" s="17" t="s">
        <v>10</v>
      </c>
      <c r="B1" s="7">
        <v>1</v>
      </c>
      <c r="C1" s="7">
        <v>2</v>
      </c>
      <c r="D1" s="7">
        <v>3</v>
      </c>
      <c r="E1" s="7">
        <v>4</v>
      </c>
      <c r="F1" s="7">
        <v>5</v>
      </c>
      <c r="G1" s="7">
        <v>6</v>
      </c>
      <c r="H1" s="7">
        <v>7</v>
      </c>
      <c r="I1" s="7">
        <v>8</v>
      </c>
    </row>
    <row r="2" spans="1:9" s="4" customFormat="1" ht="21" customHeight="1" x14ac:dyDescent="0.15">
      <c r="A2" s="65" t="s">
        <v>236</v>
      </c>
      <c r="B2" s="81"/>
      <c r="C2" s="67"/>
      <c r="D2" s="75" t="s">
        <v>109</v>
      </c>
      <c r="E2" s="75">
        <v>60</v>
      </c>
      <c r="F2" s="75">
        <v>80</v>
      </c>
      <c r="G2" s="75">
        <v>99</v>
      </c>
      <c r="H2" s="67"/>
      <c r="I2" s="67"/>
    </row>
    <row r="3" spans="1:9" s="4" customFormat="1" ht="21" customHeight="1" x14ac:dyDescent="0.15">
      <c r="A3" s="65" t="s">
        <v>238</v>
      </c>
      <c r="B3" s="82"/>
      <c r="C3" s="70"/>
      <c r="D3" s="75" t="s">
        <v>109</v>
      </c>
      <c r="E3" s="75">
        <v>60</v>
      </c>
      <c r="F3" s="75">
        <v>80</v>
      </c>
      <c r="G3" s="75">
        <v>99</v>
      </c>
      <c r="H3" s="70"/>
      <c r="I3" s="70"/>
    </row>
    <row r="4" spans="1:9" s="4" customFormat="1" ht="21" customHeight="1" x14ac:dyDescent="0.15">
      <c r="A4" s="65" t="s">
        <v>232</v>
      </c>
      <c r="B4" s="83"/>
      <c r="C4" s="73"/>
      <c r="D4" s="75">
        <v>40</v>
      </c>
      <c r="E4" s="75">
        <v>60</v>
      </c>
      <c r="F4" s="75">
        <v>80</v>
      </c>
      <c r="G4" s="75">
        <v>99</v>
      </c>
      <c r="H4" s="73"/>
      <c r="I4" s="73"/>
    </row>
    <row r="5" spans="1:9" s="4" customFormat="1" ht="21" customHeight="1" x14ac:dyDescent="0.15">
      <c r="A5" s="84" t="s">
        <v>240</v>
      </c>
      <c r="B5" s="79"/>
      <c r="C5" s="80"/>
      <c r="D5" s="75">
        <v>40</v>
      </c>
      <c r="E5" s="75">
        <v>60</v>
      </c>
      <c r="F5" s="75">
        <v>80</v>
      </c>
      <c r="G5" s="75">
        <v>99</v>
      </c>
      <c r="H5" s="80"/>
      <c r="I5" s="80"/>
    </row>
    <row r="6" spans="1:9" s="4" customFormat="1" ht="21" customHeight="1" x14ac:dyDescent="0.15">
      <c r="A6" s="84" t="s">
        <v>241</v>
      </c>
      <c r="B6" s="79"/>
      <c r="C6" s="80"/>
      <c r="D6" s="75">
        <v>40</v>
      </c>
      <c r="E6" s="75">
        <v>60</v>
      </c>
      <c r="F6" s="75" t="s">
        <v>109</v>
      </c>
      <c r="G6" s="75" t="s">
        <v>109</v>
      </c>
      <c r="H6" s="80"/>
      <c r="I6" s="80"/>
    </row>
    <row r="7" spans="1:9" ht="21" customHeight="1" x14ac:dyDescent="0.15">
      <c r="A7" s="43" t="s">
        <v>208</v>
      </c>
      <c r="B7" s="24" t="s">
        <v>109</v>
      </c>
      <c r="C7" s="24" t="s">
        <v>109</v>
      </c>
      <c r="D7" s="24" t="s">
        <v>109</v>
      </c>
      <c r="E7" s="24" t="s">
        <v>109</v>
      </c>
      <c r="F7" s="24" t="s">
        <v>109</v>
      </c>
      <c r="G7" s="24" t="s">
        <v>109</v>
      </c>
      <c r="H7" s="24" t="s">
        <v>109</v>
      </c>
      <c r="I7" s="24" t="s">
        <v>109</v>
      </c>
    </row>
    <row r="8" spans="1:9" ht="21" customHeight="1" x14ac:dyDescent="0.15">
      <c r="A8" s="44" t="s">
        <v>243</v>
      </c>
      <c r="B8" s="24" t="s">
        <v>109</v>
      </c>
      <c r="C8" s="24" t="s">
        <v>109</v>
      </c>
      <c r="D8" s="24" t="s">
        <v>109</v>
      </c>
      <c r="E8" s="24">
        <v>60</v>
      </c>
      <c r="F8" s="24">
        <v>80</v>
      </c>
      <c r="G8" s="24">
        <v>99</v>
      </c>
      <c r="H8" s="24" t="s">
        <v>109</v>
      </c>
      <c r="I8" s="24" t="s">
        <v>109</v>
      </c>
    </row>
    <row r="9" spans="1:9" s="25" customFormat="1" ht="21" customHeight="1" x14ac:dyDescent="0.15">
      <c r="A9" s="45" t="s">
        <v>314</v>
      </c>
      <c r="B9" s="36" t="s">
        <v>109</v>
      </c>
      <c r="C9" s="36" t="s">
        <v>109</v>
      </c>
      <c r="D9" s="36" t="s">
        <v>109</v>
      </c>
      <c r="E9" s="36" t="s">
        <v>109</v>
      </c>
      <c r="F9" s="36">
        <v>80</v>
      </c>
      <c r="G9" s="36">
        <v>99</v>
      </c>
      <c r="H9" s="36" t="s">
        <v>109</v>
      </c>
      <c r="I9" s="36" t="s">
        <v>109</v>
      </c>
    </row>
    <row r="10" spans="1:9" s="25" customFormat="1" ht="21" customHeight="1" x14ac:dyDescent="0.15">
      <c r="A10" s="45" t="s">
        <v>244</v>
      </c>
      <c r="B10" s="36" t="s">
        <v>109</v>
      </c>
      <c r="C10" s="36" t="s">
        <v>109</v>
      </c>
      <c r="D10" s="36" t="s">
        <v>109</v>
      </c>
      <c r="E10" s="36">
        <v>60</v>
      </c>
      <c r="F10" s="36">
        <v>80</v>
      </c>
      <c r="G10" s="36">
        <v>99</v>
      </c>
      <c r="H10" s="36" t="s">
        <v>109</v>
      </c>
      <c r="I10" s="36" t="s">
        <v>109</v>
      </c>
    </row>
    <row r="11" spans="1:9" ht="21" customHeight="1" x14ac:dyDescent="0.15">
      <c r="A11" s="45" t="s">
        <v>9</v>
      </c>
      <c r="B11" s="40" t="s">
        <v>109</v>
      </c>
      <c r="C11" s="40" t="s">
        <v>109</v>
      </c>
      <c r="D11" s="21">
        <v>40</v>
      </c>
      <c r="E11" s="21">
        <v>60</v>
      </c>
      <c r="F11" s="21">
        <v>80</v>
      </c>
      <c r="G11" s="24">
        <v>99</v>
      </c>
      <c r="H11" s="40" t="s">
        <v>109</v>
      </c>
      <c r="I11" s="40" t="s">
        <v>109</v>
      </c>
    </row>
    <row r="12" spans="1:9" ht="21" customHeight="1" x14ac:dyDescent="0.15">
      <c r="A12" s="45" t="s">
        <v>211</v>
      </c>
      <c r="B12" s="40" t="s">
        <v>109</v>
      </c>
      <c r="C12" s="40" t="s">
        <v>109</v>
      </c>
      <c r="D12" s="21">
        <v>40</v>
      </c>
      <c r="E12" s="21">
        <v>60</v>
      </c>
      <c r="F12" s="21">
        <v>80</v>
      </c>
      <c r="G12" s="36">
        <v>99</v>
      </c>
      <c r="H12" s="40" t="s">
        <v>109</v>
      </c>
      <c r="I12" s="40" t="s">
        <v>109</v>
      </c>
    </row>
    <row r="13" spans="1:9" ht="21" customHeight="1" x14ac:dyDescent="0.15">
      <c r="A13" s="45" t="s">
        <v>207</v>
      </c>
      <c r="B13" s="40" t="s">
        <v>109</v>
      </c>
      <c r="C13" s="40" t="s">
        <v>109</v>
      </c>
      <c r="D13" s="21">
        <v>40</v>
      </c>
      <c r="E13" s="21">
        <v>60</v>
      </c>
      <c r="F13" s="92">
        <v>80</v>
      </c>
      <c r="G13" s="40" t="s">
        <v>109</v>
      </c>
      <c r="H13" s="40" t="s">
        <v>109</v>
      </c>
      <c r="I13" s="40" t="s">
        <v>109</v>
      </c>
    </row>
    <row r="14" spans="1:9" ht="21" customHeight="1" x14ac:dyDescent="0.15">
      <c r="A14" s="51" t="s">
        <v>247</v>
      </c>
      <c r="B14" s="40" t="s">
        <v>109</v>
      </c>
      <c r="C14" s="40" t="s">
        <v>109</v>
      </c>
      <c r="D14" s="21">
        <v>40</v>
      </c>
      <c r="E14" s="21">
        <v>60</v>
      </c>
      <c r="F14" s="21">
        <v>80</v>
      </c>
      <c r="G14" s="40" t="s">
        <v>109</v>
      </c>
      <c r="H14" s="40" t="s">
        <v>109</v>
      </c>
      <c r="I14" s="40" t="s">
        <v>109</v>
      </c>
    </row>
    <row r="15" spans="1:9" ht="21" customHeight="1" x14ac:dyDescent="0.15">
      <c r="A15" s="45" t="s">
        <v>248</v>
      </c>
      <c r="B15" s="40" t="s">
        <v>109</v>
      </c>
      <c r="C15" s="40" t="s">
        <v>109</v>
      </c>
      <c r="D15" s="21">
        <v>40</v>
      </c>
      <c r="E15" s="21">
        <v>60</v>
      </c>
      <c r="F15" s="21">
        <v>80</v>
      </c>
      <c r="G15" s="40" t="s">
        <v>109</v>
      </c>
      <c r="H15" s="40" t="s">
        <v>109</v>
      </c>
      <c r="I15" s="40" t="s">
        <v>109</v>
      </c>
    </row>
    <row r="16" spans="1:9" ht="21" customHeight="1" x14ac:dyDescent="0.15">
      <c r="A16" s="45" t="s">
        <v>105</v>
      </c>
      <c r="B16" s="40" t="s">
        <v>109</v>
      </c>
      <c r="C16" s="21">
        <v>30</v>
      </c>
      <c r="D16" s="21">
        <v>40</v>
      </c>
      <c r="E16" s="21">
        <v>60</v>
      </c>
      <c r="F16" s="40" t="s">
        <v>109</v>
      </c>
      <c r="G16" s="40" t="s">
        <v>109</v>
      </c>
      <c r="H16" s="40" t="s">
        <v>109</v>
      </c>
      <c r="I16" s="40" t="s">
        <v>109</v>
      </c>
    </row>
    <row r="17" spans="1:9" ht="21" customHeight="1" x14ac:dyDescent="0.15">
      <c r="A17" s="45" t="s">
        <v>250</v>
      </c>
      <c r="B17" s="40" t="s">
        <v>109</v>
      </c>
      <c r="C17" s="21">
        <v>30</v>
      </c>
      <c r="D17" s="21">
        <v>40</v>
      </c>
      <c r="E17" s="21">
        <v>60</v>
      </c>
      <c r="F17" s="40" t="s">
        <v>109</v>
      </c>
      <c r="G17" s="40" t="s">
        <v>109</v>
      </c>
      <c r="H17" s="40" t="s">
        <v>109</v>
      </c>
      <c r="I17" s="40" t="s">
        <v>109</v>
      </c>
    </row>
    <row r="18" spans="1:9" ht="21" customHeight="1" x14ac:dyDescent="0.15">
      <c r="A18" s="45" t="s">
        <v>8</v>
      </c>
      <c r="B18" s="21">
        <v>15</v>
      </c>
      <c r="C18" s="21">
        <v>30</v>
      </c>
      <c r="D18" s="21">
        <v>40</v>
      </c>
      <c r="E18" s="40" t="s">
        <v>109</v>
      </c>
      <c r="F18" s="40" t="s">
        <v>109</v>
      </c>
      <c r="G18" s="40" t="s">
        <v>109</v>
      </c>
      <c r="H18" s="40" t="s">
        <v>109</v>
      </c>
      <c r="I18" s="40" t="s">
        <v>109</v>
      </c>
    </row>
    <row r="19" spans="1:9" ht="21" customHeight="1" x14ac:dyDescent="0.15">
      <c r="A19" s="46" t="s">
        <v>7</v>
      </c>
      <c r="B19" s="21">
        <v>15</v>
      </c>
      <c r="C19" s="21">
        <v>30</v>
      </c>
      <c r="D19" s="21">
        <v>40</v>
      </c>
      <c r="E19" s="40" t="s">
        <v>217</v>
      </c>
      <c r="F19" s="40" t="s">
        <v>217</v>
      </c>
      <c r="G19" s="40" t="s">
        <v>217</v>
      </c>
      <c r="H19" s="40" t="s">
        <v>217</v>
      </c>
      <c r="I19" s="40" t="s">
        <v>217</v>
      </c>
    </row>
    <row r="20" spans="1:9" ht="21" customHeight="1" x14ac:dyDescent="0.15">
      <c r="A20" s="47" t="s">
        <v>251</v>
      </c>
      <c r="B20" s="21">
        <v>10</v>
      </c>
      <c r="C20" s="21">
        <v>20</v>
      </c>
      <c r="D20" s="40" t="s">
        <v>217</v>
      </c>
      <c r="E20" s="40" t="s">
        <v>217</v>
      </c>
      <c r="F20" s="40" t="s">
        <v>217</v>
      </c>
      <c r="G20" s="40" t="s">
        <v>217</v>
      </c>
      <c r="H20" s="40" t="s">
        <v>217</v>
      </c>
      <c r="I20" s="40" t="s">
        <v>217</v>
      </c>
    </row>
    <row r="21" spans="1:9" ht="21" customHeight="1" x14ac:dyDescent="0.15">
      <c r="A21" s="22" t="s">
        <v>252</v>
      </c>
      <c r="B21" s="21">
        <v>1</v>
      </c>
      <c r="C21" s="21">
        <v>1</v>
      </c>
      <c r="D21" s="21">
        <v>1</v>
      </c>
      <c r="E21" s="21">
        <v>1</v>
      </c>
      <c r="F21" s="21">
        <v>1</v>
      </c>
      <c r="G21" s="21">
        <v>1</v>
      </c>
      <c r="H21" s="21">
        <v>1</v>
      </c>
      <c r="I21" s="21">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8"/>
  </cols>
  <sheetData>
    <row r="1" spans="1:11" ht="21" customHeight="1" x14ac:dyDescent="0.15">
      <c r="A1" s="27" t="s">
        <v>10</v>
      </c>
      <c r="B1" s="28">
        <v>1</v>
      </c>
      <c r="C1" s="28">
        <v>2</v>
      </c>
      <c r="D1" s="28">
        <v>3</v>
      </c>
      <c r="E1" s="28">
        <v>4</v>
      </c>
      <c r="F1" s="28">
        <v>5</v>
      </c>
      <c r="G1" s="28">
        <v>6</v>
      </c>
      <c r="H1" s="28">
        <v>7</v>
      </c>
      <c r="I1" s="28">
        <v>8</v>
      </c>
    </row>
    <row r="2" spans="1:11" s="4" customFormat="1" ht="21" customHeight="1" x14ac:dyDescent="0.15">
      <c r="A2" s="65" t="s">
        <v>236</v>
      </c>
      <c r="B2" s="66"/>
      <c r="C2" s="67"/>
      <c r="D2" s="75" t="s">
        <v>109</v>
      </c>
      <c r="E2" s="76" t="s">
        <v>59</v>
      </c>
      <c r="F2" s="76" t="s">
        <v>59</v>
      </c>
      <c r="G2" s="76" t="s">
        <v>253</v>
      </c>
      <c r="H2" s="67"/>
      <c r="I2" s="67"/>
    </row>
    <row r="3" spans="1:11" s="4" customFormat="1" ht="21" customHeight="1" x14ac:dyDescent="0.15">
      <c r="A3" s="65" t="s">
        <v>238</v>
      </c>
      <c r="B3" s="69"/>
      <c r="C3" s="70"/>
      <c r="D3" s="76" t="s">
        <v>59</v>
      </c>
      <c r="E3" s="76" t="s">
        <v>59</v>
      </c>
      <c r="F3" s="76" t="s">
        <v>59</v>
      </c>
      <c r="G3" s="76" t="s">
        <v>231</v>
      </c>
      <c r="H3" s="70"/>
      <c r="I3" s="70"/>
    </row>
    <row r="4" spans="1:11" s="4" customFormat="1" ht="21" customHeight="1" x14ac:dyDescent="0.15">
      <c r="A4" s="65" t="s">
        <v>232</v>
      </c>
      <c r="B4" s="72"/>
      <c r="C4" s="73"/>
      <c r="D4" s="77" t="s">
        <v>59</v>
      </c>
      <c r="E4" s="77" t="s">
        <v>59</v>
      </c>
      <c r="F4" s="77" t="s">
        <v>59</v>
      </c>
      <c r="G4" s="76" t="s">
        <v>231</v>
      </c>
      <c r="H4" s="73"/>
      <c r="I4" s="73"/>
    </row>
    <row r="5" spans="1:11" s="4" customFormat="1" ht="21" customHeight="1" x14ac:dyDescent="0.15">
      <c r="A5" s="84" t="s">
        <v>240</v>
      </c>
      <c r="B5" s="79"/>
      <c r="C5" s="80"/>
      <c r="D5" s="77" t="s">
        <v>59</v>
      </c>
      <c r="E5" s="77" t="s">
        <v>59</v>
      </c>
      <c r="F5" s="77" t="s">
        <v>59</v>
      </c>
      <c r="G5" s="76" t="s">
        <v>221</v>
      </c>
      <c r="H5" s="80"/>
      <c r="I5" s="80"/>
    </row>
    <row r="6" spans="1:11" s="4" customFormat="1" ht="21" customHeight="1" x14ac:dyDescent="0.15">
      <c r="A6" s="84" t="s">
        <v>241</v>
      </c>
      <c r="B6" s="79"/>
      <c r="C6" s="80"/>
      <c r="D6" s="85" t="s">
        <v>60</v>
      </c>
      <c r="E6" s="85" t="s">
        <v>60</v>
      </c>
      <c r="F6" s="75" t="s">
        <v>109</v>
      </c>
      <c r="G6" s="75" t="s">
        <v>109</v>
      </c>
      <c r="H6" s="80"/>
      <c r="I6" s="80"/>
    </row>
    <row r="7" spans="1:11" ht="21" customHeight="1" x14ac:dyDescent="0.15">
      <c r="A7" s="43" t="s">
        <v>208</v>
      </c>
      <c r="B7" s="24" t="s">
        <v>109</v>
      </c>
      <c r="C7" s="24" t="s">
        <v>109</v>
      </c>
      <c r="D7" s="24" t="s">
        <v>109</v>
      </c>
      <c r="E7" s="24" t="s">
        <v>109</v>
      </c>
      <c r="F7" s="24" t="s">
        <v>109</v>
      </c>
      <c r="G7" s="24" t="s">
        <v>109</v>
      </c>
      <c r="H7" s="24" t="s">
        <v>109</v>
      </c>
      <c r="I7" s="24" t="s">
        <v>109</v>
      </c>
    </row>
    <row r="8" spans="1:11" ht="21" customHeight="1" x14ac:dyDescent="0.15">
      <c r="A8" s="44" t="s">
        <v>243</v>
      </c>
      <c r="B8" s="24" t="s">
        <v>109</v>
      </c>
      <c r="C8" s="24" t="s">
        <v>109</v>
      </c>
      <c r="D8" s="24" t="s">
        <v>218</v>
      </c>
      <c r="E8" s="30" t="s">
        <v>115</v>
      </c>
      <c r="F8" s="30" t="s">
        <v>115</v>
      </c>
      <c r="G8" s="30" t="s">
        <v>219</v>
      </c>
      <c r="H8" s="24" t="s">
        <v>218</v>
      </c>
      <c r="I8" s="24" t="s">
        <v>109</v>
      </c>
    </row>
    <row r="9" spans="1:11" s="25" customFormat="1" ht="21" customHeight="1" x14ac:dyDescent="0.15">
      <c r="A9" s="45" t="s">
        <v>313</v>
      </c>
      <c r="B9" s="36" t="s">
        <v>109</v>
      </c>
      <c r="C9" s="36" t="s">
        <v>109</v>
      </c>
      <c r="D9" s="36" t="s">
        <v>109</v>
      </c>
      <c r="E9" s="36" t="s">
        <v>109</v>
      </c>
      <c r="F9" s="30" t="s">
        <v>59</v>
      </c>
      <c r="G9" s="30" t="s">
        <v>115</v>
      </c>
      <c r="H9" s="36" t="s">
        <v>109</v>
      </c>
      <c r="I9" s="36" t="s">
        <v>109</v>
      </c>
    </row>
    <row r="10" spans="1:11" s="25" customFormat="1" ht="21" customHeight="1" x14ac:dyDescent="0.15">
      <c r="A10" s="45" t="s">
        <v>244</v>
      </c>
      <c r="B10" s="36" t="s">
        <v>109</v>
      </c>
      <c r="C10" s="36" t="s">
        <v>109</v>
      </c>
      <c r="D10" s="36" t="s">
        <v>109</v>
      </c>
      <c r="E10" s="30" t="s">
        <v>59</v>
      </c>
      <c r="F10" s="30" t="s">
        <v>59</v>
      </c>
      <c r="G10" s="30" t="s">
        <v>115</v>
      </c>
      <c r="H10" s="36" t="s">
        <v>220</v>
      </c>
      <c r="I10" s="36" t="s">
        <v>220</v>
      </c>
    </row>
    <row r="11" spans="1:11" ht="21" customHeight="1" x14ac:dyDescent="0.15">
      <c r="A11" s="45" t="s">
        <v>9</v>
      </c>
      <c r="B11" s="40" t="s">
        <v>109</v>
      </c>
      <c r="C11" s="40" t="s">
        <v>109</v>
      </c>
      <c r="D11" s="30" t="s">
        <v>59</v>
      </c>
      <c r="E11" s="30" t="s">
        <v>59</v>
      </c>
      <c r="F11" s="30" t="s">
        <v>59</v>
      </c>
      <c r="G11" s="30" t="s">
        <v>221</v>
      </c>
      <c r="H11" s="40" t="s">
        <v>220</v>
      </c>
      <c r="I11" s="40" t="s">
        <v>220</v>
      </c>
      <c r="K11" s="12" t="s">
        <v>12</v>
      </c>
    </row>
    <row r="12" spans="1:11" ht="21" customHeight="1" x14ac:dyDescent="0.15">
      <c r="A12" s="45" t="s">
        <v>211</v>
      </c>
      <c r="B12" s="40" t="s">
        <v>109</v>
      </c>
      <c r="C12" s="40" t="s">
        <v>109</v>
      </c>
      <c r="D12" s="31" t="s">
        <v>59</v>
      </c>
      <c r="E12" s="31" t="s">
        <v>59</v>
      </c>
      <c r="F12" s="31" t="s">
        <v>59</v>
      </c>
      <c r="G12" s="30" t="s">
        <v>221</v>
      </c>
      <c r="H12" s="40" t="s">
        <v>220</v>
      </c>
      <c r="I12" s="40" t="s">
        <v>220</v>
      </c>
      <c r="K12" s="14" t="s">
        <v>13</v>
      </c>
    </row>
    <row r="13" spans="1:11" ht="21" customHeight="1" x14ac:dyDescent="0.15">
      <c r="A13" s="45" t="s">
        <v>207</v>
      </c>
      <c r="B13" s="40" t="s">
        <v>109</v>
      </c>
      <c r="C13" s="40" t="s">
        <v>109</v>
      </c>
      <c r="D13" s="32" t="s">
        <v>60</v>
      </c>
      <c r="E13" s="32" t="s">
        <v>60</v>
      </c>
      <c r="F13" s="93" t="s">
        <v>59</v>
      </c>
      <c r="G13" s="40" t="s">
        <v>109</v>
      </c>
      <c r="H13" s="40" t="s">
        <v>109</v>
      </c>
      <c r="I13" s="40" t="s">
        <v>109</v>
      </c>
      <c r="K13" s="41" t="s">
        <v>35</v>
      </c>
    </row>
    <row r="14" spans="1:11" ht="21" customHeight="1" x14ac:dyDescent="0.15">
      <c r="A14" s="51" t="s">
        <v>247</v>
      </c>
      <c r="B14" s="40" t="s">
        <v>109</v>
      </c>
      <c r="C14" s="40" t="s">
        <v>109</v>
      </c>
      <c r="D14" s="33" t="s">
        <v>59</v>
      </c>
      <c r="E14" s="33" t="s">
        <v>59</v>
      </c>
      <c r="F14" s="33" t="s">
        <v>59</v>
      </c>
      <c r="G14" s="40" t="s">
        <v>109</v>
      </c>
      <c r="H14" s="40" t="s">
        <v>109</v>
      </c>
      <c r="I14" s="40" t="s">
        <v>109</v>
      </c>
      <c r="K14" s="42"/>
    </row>
    <row r="15" spans="1:11" ht="21" customHeight="1" x14ac:dyDescent="0.15">
      <c r="A15" s="45" t="s">
        <v>248</v>
      </c>
      <c r="B15" s="40" t="s">
        <v>109</v>
      </c>
      <c r="C15" s="40" t="s">
        <v>109</v>
      </c>
      <c r="D15" s="33" t="s">
        <v>59</v>
      </c>
      <c r="E15" s="33" t="s">
        <v>59</v>
      </c>
      <c r="F15" s="33" t="s">
        <v>59</v>
      </c>
      <c r="G15" s="40" t="s">
        <v>109</v>
      </c>
      <c r="H15" s="40" t="s">
        <v>109</v>
      </c>
      <c r="I15" s="40" t="s">
        <v>109</v>
      </c>
    </row>
    <row r="16" spans="1:11" ht="21" customHeight="1" x14ac:dyDescent="0.15">
      <c r="A16" s="45" t="s">
        <v>105</v>
      </c>
      <c r="B16" s="40" t="s">
        <v>109</v>
      </c>
      <c r="C16" s="40" t="s">
        <v>109</v>
      </c>
      <c r="D16" s="33" t="s">
        <v>60</v>
      </c>
      <c r="E16" s="33" t="s">
        <v>60</v>
      </c>
      <c r="F16" s="40" t="s">
        <v>109</v>
      </c>
      <c r="G16" s="40" t="s">
        <v>109</v>
      </c>
      <c r="H16" s="40" t="s">
        <v>109</v>
      </c>
      <c r="I16" s="40" t="s">
        <v>109</v>
      </c>
    </row>
    <row r="17" spans="1:9" ht="21" customHeight="1" x14ac:dyDescent="0.15">
      <c r="A17" s="45" t="s">
        <v>250</v>
      </c>
      <c r="B17" s="40" t="s">
        <v>109</v>
      </c>
      <c r="C17" s="33" t="s">
        <v>60</v>
      </c>
      <c r="D17" s="33" t="s">
        <v>60</v>
      </c>
      <c r="E17" s="33" t="s">
        <v>60</v>
      </c>
      <c r="F17" s="40" t="s">
        <v>109</v>
      </c>
      <c r="G17" s="40" t="s">
        <v>109</v>
      </c>
      <c r="H17" s="40" t="s">
        <v>109</v>
      </c>
      <c r="I17" s="40" t="s">
        <v>109</v>
      </c>
    </row>
    <row r="18" spans="1:9" ht="21" customHeight="1" x14ac:dyDescent="0.15">
      <c r="A18" s="45" t="s">
        <v>8</v>
      </c>
      <c r="B18" s="34" t="s">
        <v>61</v>
      </c>
      <c r="C18" s="34" t="s">
        <v>61</v>
      </c>
      <c r="D18" s="34" t="s">
        <v>61</v>
      </c>
      <c r="E18" s="40" t="s">
        <v>109</v>
      </c>
      <c r="F18" s="40" t="s">
        <v>109</v>
      </c>
      <c r="G18" s="40" t="s">
        <v>109</v>
      </c>
      <c r="H18" s="40" t="s">
        <v>109</v>
      </c>
      <c r="I18" s="40" t="s">
        <v>109</v>
      </c>
    </row>
    <row r="19" spans="1:9" ht="21" customHeight="1" x14ac:dyDescent="0.15">
      <c r="A19" s="46" t="s">
        <v>7</v>
      </c>
      <c r="B19" s="29" t="s">
        <v>62</v>
      </c>
      <c r="C19" s="29" t="s">
        <v>62</v>
      </c>
      <c r="D19" s="40" t="s">
        <v>109</v>
      </c>
      <c r="E19" s="40" t="s">
        <v>109</v>
      </c>
      <c r="F19" s="40" t="s">
        <v>109</v>
      </c>
      <c r="G19" s="40" t="s">
        <v>109</v>
      </c>
      <c r="H19" s="40" t="s">
        <v>109</v>
      </c>
      <c r="I19" s="40" t="s">
        <v>109</v>
      </c>
    </row>
    <row r="20" spans="1:9" ht="21" customHeight="1" x14ac:dyDescent="0.15">
      <c r="A20" s="47" t="s">
        <v>251</v>
      </c>
      <c r="B20" s="31" t="s">
        <v>63</v>
      </c>
      <c r="C20" s="31" t="s">
        <v>63</v>
      </c>
      <c r="D20" s="40" t="s">
        <v>109</v>
      </c>
      <c r="E20" s="40" t="s">
        <v>109</v>
      </c>
      <c r="F20" s="40" t="s">
        <v>109</v>
      </c>
      <c r="G20" s="40" t="s">
        <v>109</v>
      </c>
      <c r="H20" s="40" t="s">
        <v>109</v>
      </c>
      <c r="I20" s="40" t="s">
        <v>109</v>
      </c>
    </row>
    <row r="21" spans="1:9" ht="21" customHeight="1" x14ac:dyDescent="0.15">
      <c r="A21" s="22" t="s">
        <v>252</v>
      </c>
      <c r="B21" s="48" t="s">
        <v>47</v>
      </c>
      <c r="C21" s="48" t="s">
        <v>47</v>
      </c>
      <c r="D21" s="48" t="s">
        <v>47</v>
      </c>
      <c r="E21" s="48" t="s">
        <v>47</v>
      </c>
      <c r="F21" s="48" t="s">
        <v>47</v>
      </c>
      <c r="G21" s="48" t="s">
        <v>47</v>
      </c>
      <c r="H21" s="48" t="s">
        <v>47</v>
      </c>
      <c r="I21" s="48" t="s">
        <v>47</v>
      </c>
    </row>
    <row r="26" spans="1:9" ht="21" customHeight="1" x14ac:dyDescent="0.15">
      <c r="A26" s="8" t="s">
        <v>14</v>
      </c>
    </row>
    <row r="27" spans="1:9" ht="21" customHeight="1" x14ac:dyDescent="0.15">
      <c r="A27" s="6" t="s">
        <v>64</v>
      </c>
      <c r="B27" s="6" t="s">
        <v>65</v>
      </c>
    </row>
    <row r="28" spans="1:9" ht="21" customHeight="1" x14ac:dyDescent="0.15">
      <c r="A28" s="9">
        <v>1</v>
      </c>
      <c r="B28" s="9">
        <v>200</v>
      </c>
    </row>
    <row r="29" spans="1:9" ht="21" customHeight="1" x14ac:dyDescent="0.15">
      <c r="A29" s="9">
        <v>2</v>
      </c>
      <c r="B29" s="9">
        <v>600</v>
      </c>
    </row>
    <row r="30" spans="1:9" ht="21" customHeight="1" x14ac:dyDescent="0.15">
      <c r="A30" s="9">
        <v>3</v>
      </c>
      <c r="B30" s="9">
        <v>1500</v>
      </c>
    </row>
    <row r="31" spans="1:9" ht="21" customHeight="1" x14ac:dyDescent="0.15">
      <c r="A31" s="9">
        <v>4</v>
      </c>
      <c r="B31" s="9">
        <v>3400</v>
      </c>
    </row>
    <row r="32" spans="1:9" ht="21" customHeight="1" x14ac:dyDescent="0.15">
      <c r="A32" s="9">
        <v>5</v>
      </c>
      <c r="B32" s="9">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17"/>
  </sheetPr>
  <dimension ref="A1:B21"/>
  <sheetViews>
    <sheetView workbookViewId="0">
      <selection activeCell="E15" sqref="E15"/>
    </sheetView>
  </sheetViews>
  <sheetFormatPr baseColWidth="12" defaultRowHeight="15" x14ac:dyDescent="0.15"/>
  <sheetData>
    <row r="1" spans="1:2" x14ac:dyDescent="0.15">
      <c r="A1" s="56" t="s">
        <v>10</v>
      </c>
      <c r="B1" s="56" t="s">
        <v>342</v>
      </c>
    </row>
    <row r="2" spans="1:2" x14ac:dyDescent="0.15">
      <c r="A2" s="55" t="s">
        <v>343</v>
      </c>
      <c r="B2" s="55">
        <v>16</v>
      </c>
    </row>
    <row r="3" spans="1:2" x14ac:dyDescent="0.15">
      <c r="A3" s="55" t="s">
        <v>344</v>
      </c>
      <c r="B3" s="55">
        <v>16</v>
      </c>
    </row>
    <row r="4" spans="1:2" x14ac:dyDescent="0.15">
      <c r="A4" s="55" t="s">
        <v>345</v>
      </c>
      <c r="B4" s="55">
        <v>7</v>
      </c>
    </row>
    <row r="5" spans="1:2" x14ac:dyDescent="0.15">
      <c r="A5" s="55" t="s">
        <v>346</v>
      </c>
      <c r="B5" s="55">
        <v>5</v>
      </c>
    </row>
    <row r="6" spans="1:2" x14ac:dyDescent="0.15">
      <c r="A6" s="55" t="s">
        <v>347</v>
      </c>
      <c r="B6" s="55">
        <v>5</v>
      </c>
    </row>
    <row r="7" spans="1:2" x14ac:dyDescent="0.15">
      <c r="A7" s="55" t="s">
        <v>348</v>
      </c>
      <c r="B7" s="55" t="s">
        <v>349</v>
      </c>
    </row>
    <row r="8" spans="1:2" x14ac:dyDescent="0.15">
      <c r="A8" s="55" t="s">
        <v>350</v>
      </c>
      <c r="B8" s="55">
        <v>7</v>
      </c>
    </row>
    <row r="9" spans="1:2" x14ac:dyDescent="0.15">
      <c r="A9" s="55" t="s">
        <v>351</v>
      </c>
      <c r="B9" s="55">
        <v>5</v>
      </c>
    </row>
    <row r="10" spans="1:2" x14ac:dyDescent="0.15">
      <c r="A10" s="55" t="s">
        <v>352</v>
      </c>
      <c r="B10" s="55">
        <v>5</v>
      </c>
    </row>
    <row r="11" spans="1:2" x14ac:dyDescent="0.15">
      <c r="A11" s="55" t="s">
        <v>9</v>
      </c>
      <c r="B11" s="55">
        <v>5</v>
      </c>
    </row>
    <row r="12" spans="1:2" x14ac:dyDescent="0.15">
      <c r="A12" s="55" t="s">
        <v>353</v>
      </c>
      <c r="B12" s="55">
        <v>5</v>
      </c>
    </row>
    <row r="13" spans="1:2" x14ac:dyDescent="0.15">
      <c r="A13" s="55" t="s">
        <v>354</v>
      </c>
      <c r="B13" s="55">
        <v>5</v>
      </c>
    </row>
    <row r="14" spans="1:2" x14ac:dyDescent="0.15">
      <c r="A14" s="55" t="s">
        <v>355</v>
      </c>
      <c r="B14" s="55" t="s">
        <v>349</v>
      </c>
    </row>
    <row r="15" spans="1:2" x14ac:dyDescent="0.15">
      <c r="A15" s="55" t="s">
        <v>356</v>
      </c>
      <c r="B15" s="55">
        <v>5</v>
      </c>
    </row>
    <row r="16" spans="1:2" x14ac:dyDescent="0.15">
      <c r="A16" s="55" t="s">
        <v>357</v>
      </c>
      <c r="B16" s="55">
        <v>5</v>
      </c>
    </row>
    <row r="17" spans="1:2" x14ac:dyDescent="0.15">
      <c r="A17" s="55" t="s">
        <v>358</v>
      </c>
      <c r="B17" s="55">
        <v>5</v>
      </c>
    </row>
    <row r="18" spans="1:2" x14ac:dyDescent="0.15">
      <c r="A18" s="55" t="s">
        <v>8</v>
      </c>
      <c r="B18" s="55">
        <v>5</v>
      </c>
    </row>
    <row r="19" spans="1:2" x14ac:dyDescent="0.15">
      <c r="A19" s="55" t="s">
        <v>7</v>
      </c>
      <c r="B19" s="55">
        <v>5</v>
      </c>
    </row>
    <row r="20" spans="1:2" x14ac:dyDescent="0.15">
      <c r="A20" s="55" t="s">
        <v>359</v>
      </c>
      <c r="B20" s="55">
        <v>5</v>
      </c>
    </row>
    <row r="21" spans="1:2" x14ac:dyDescent="0.15">
      <c r="A21" s="55" t="s">
        <v>360</v>
      </c>
      <c r="B21" s="55">
        <v>5</v>
      </c>
    </row>
  </sheetData>
  <phoneticPr fontId="2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8"/>
  </cols>
  <sheetData>
    <row r="1" spans="1:9" s="4" customFormat="1" ht="21" customHeight="1" x14ac:dyDescent="0.15">
      <c r="A1" s="17" t="s">
        <v>10</v>
      </c>
      <c r="B1" s="17">
        <v>1</v>
      </c>
      <c r="C1" s="17">
        <v>2</v>
      </c>
      <c r="D1" s="17">
        <v>3</v>
      </c>
      <c r="E1" s="17">
        <v>4</v>
      </c>
      <c r="F1" s="17">
        <v>5</v>
      </c>
      <c r="G1" s="17">
        <v>6</v>
      </c>
      <c r="H1" s="17">
        <v>7</v>
      </c>
      <c r="I1" s="17">
        <v>8</v>
      </c>
    </row>
    <row r="2" spans="1:9" s="4" customFormat="1" ht="21" customHeight="1" x14ac:dyDescent="0.15">
      <c r="A2" s="65" t="s">
        <v>229</v>
      </c>
      <c r="B2" s="66"/>
      <c r="C2" s="67"/>
      <c r="D2" s="78" t="s">
        <v>11</v>
      </c>
      <c r="E2" s="78">
        <v>8000</v>
      </c>
      <c r="F2" s="78">
        <v>10000</v>
      </c>
      <c r="G2" s="78">
        <v>14000</v>
      </c>
      <c r="H2" s="67"/>
      <c r="I2" s="67"/>
    </row>
    <row r="3" spans="1:9" s="4" customFormat="1" ht="21" customHeight="1" x14ac:dyDescent="0.15">
      <c r="A3" s="65" t="s">
        <v>230</v>
      </c>
      <c r="B3" s="69"/>
      <c r="C3" s="70"/>
      <c r="D3" s="78" t="s">
        <v>11</v>
      </c>
      <c r="E3" s="78">
        <v>7500</v>
      </c>
      <c r="F3" s="78">
        <v>9500</v>
      </c>
      <c r="G3" s="78">
        <v>13000</v>
      </c>
      <c r="H3" s="70"/>
      <c r="I3" s="70"/>
    </row>
    <row r="4" spans="1:9" s="4" customFormat="1" ht="21" customHeight="1" x14ac:dyDescent="0.15">
      <c r="A4" s="65" t="s">
        <v>232</v>
      </c>
      <c r="B4" s="72"/>
      <c r="C4" s="73"/>
      <c r="D4" s="78">
        <v>5000</v>
      </c>
      <c r="E4" s="78">
        <v>7000</v>
      </c>
      <c r="F4" s="78">
        <v>9000</v>
      </c>
      <c r="G4" s="78">
        <v>12000</v>
      </c>
      <c r="H4" s="73"/>
      <c r="I4" s="73"/>
    </row>
    <row r="5" spans="1:9" s="4" customFormat="1" ht="21" customHeight="1" x14ac:dyDescent="0.15">
      <c r="A5" s="84" t="s">
        <v>233</v>
      </c>
      <c r="B5" s="79"/>
      <c r="C5" s="80"/>
      <c r="D5" s="78">
        <v>4900</v>
      </c>
      <c r="E5" s="78">
        <v>6700</v>
      </c>
      <c r="F5" s="78">
        <v>8500</v>
      </c>
      <c r="G5" s="78">
        <v>11000</v>
      </c>
      <c r="H5" s="80"/>
      <c r="I5" s="80"/>
    </row>
    <row r="6" spans="1:9" s="4" customFormat="1" ht="21" customHeight="1" x14ac:dyDescent="0.15">
      <c r="A6" s="84" t="s">
        <v>234</v>
      </c>
      <c r="B6" s="79"/>
      <c r="C6" s="80"/>
      <c r="D6" s="78">
        <v>4800</v>
      </c>
      <c r="E6" s="78">
        <v>6600</v>
      </c>
      <c r="F6" s="78" t="s">
        <v>11</v>
      </c>
      <c r="G6" s="78" t="s">
        <v>11</v>
      </c>
      <c r="H6" s="80"/>
      <c r="I6" s="80"/>
    </row>
    <row r="7" spans="1:9" ht="21" customHeight="1" x14ac:dyDescent="0.15">
      <c r="A7" s="43" t="s">
        <v>208</v>
      </c>
      <c r="B7" s="26" t="s">
        <v>11</v>
      </c>
      <c r="C7" s="26" t="s">
        <v>11</v>
      </c>
      <c r="D7" s="26" t="s">
        <v>11</v>
      </c>
      <c r="E7" s="26" t="s">
        <v>11</v>
      </c>
      <c r="F7" s="26" t="s">
        <v>11</v>
      </c>
      <c r="G7" s="26" t="s">
        <v>11</v>
      </c>
      <c r="H7" s="26" t="s">
        <v>11</v>
      </c>
      <c r="I7" s="26" t="s">
        <v>11</v>
      </c>
    </row>
    <row r="8" spans="1:9" ht="21" customHeight="1" x14ac:dyDescent="0.15">
      <c r="A8" s="44" t="s">
        <v>209</v>
      </c>
      <c r="B8" s="26" t="s">
        <v>11</v>
      </c>
      <c r="C8" s="26" t="s">
        <v>11</v>
      </c>
      <c r="D8" s="26" t="s">
        <v>11</v>
      </c>
      <c r="E8" s="26">
        <v>8000</v>
      </c>
      <c r="F8" s="13">
        <v>10000</v>
      </c>
      <c r="G8" s="26">
        <v>14000</v>
      </c>
      <c r="H8" s="26" t="s">
        <v>11</v>
      </c>
      <c r="I8" s="26" t="s">
        <v>11</v>
      </c>
    </row>
    <row r="9" spans="1:9" s="25" customFormat="1" ht="21" customHeight="1" x14ac:dyDescent="0.15">
      <c r="A9" s="90" t="s">
        <v>315</v>
      </c>
      <c r="B9" s="13" t="s">
        <v>11</v>
      </c>
      <c r="C9" s="13" t="s">
        <v>11</v>
      </c>
      <c r="D9" s="13" t="s">
        <v>11</v>
      </c>
      <c r="E9" s="13" t="s">
        <v>11</v>
      </c>
      <c r="F9" s="13">
        <v>10000</v>
      </c>
      <c r="G9" s="26">
        <v>14000</v>
      </c>
      <c r="H9" s="13" t="s">
        <v>11</v>
      </c>
      <c r="I9" s="13" t="s">
        <v>11</v>
      </c>
    </row>
    <row r="10" spans="1:9" s="25" customFormat="1" ht="21" customHeight="1" x14ac:dyDescent="0.15">
      <c r="A10" s="45" t="s">
        <v>210</v>
      </c>
      <c r="B10" s="13" t="s">
        <v>11</v>
      </c>
      <c r="C10" s="13" t="s">
        <v>11</v>
      </c>
      <c r="D10" s="13" t="s">
        <v>11</v>
      </c>
      <c r="E10" s="13">
        <v>7500</v>
      </c>
      <c r="F10" s="13">
        <v>9500</v>
      </c>
      <c r="G10" s="26">
        <v>13000</v>
      </c>
      <c r="H10" s="13" t="s">
        <v>11</v>
      </c>
      <c r="I10" s="13" t="s">
        <v>11</v>
      </c>
    </row>
    <row r="11" spans="1:9" ht="21" customHeight="1" x14ac:dyDescent="0.15">
      <c r="A11" s="45" t="s">
        <v>9</v>
      </c>
      <c r="B11" s="38" t="s">
        <v>11</v>
      </c>
      <c r="C11" s="38" t="s">
        <v>11</v>
      </c>
      <c r="D11" s="13">
        <v>5000</v>
      </c>
      <c r="E11" s="13">
        <v>7000</v>
      </c>
      <c r="F11" s="13">
        <v>9000</v>
      </c>
      <c r="G11" s="26">
        <v>12000</v>
      </c>
      <c r="H11" s="38" t="s">
        <v>11</v>
      </c>
      <c r="I11" s="38" t="s">
        <v>11</v>
      </c>
    </row>
    <row r="12" spans="1:9" ht="21" customHeight="1" x14ac:dyDescent="0.15">
      <c r="A12" s="45" t="s">
        <v>211</v>
      </c>
      <c r="B12" s="38" t="s">
        <v>11</v>
      </c>
      <c r="C12" s="38" t="s">
        <v>11</v>
      </c>
      <c r="D12" s="13">
        <v>4900</v>
      </c>
      <c r="E12" s="13">
        <v>6700</v>
      </c>
      <c r="F12" s="13">
        <v>8500</v>
      </c>
      <c r="G12" s="26">
        <v>11000</v>
      </c>
      <c r="H12" s="38" t="s">
        <v>11</v>
      </c>
      <c r="I12" s="38" t="s">
        <v>11</v>
      </c>
    </row>
    <row r="13" spans="1:9" ht="21" customHeight="1" x14ac:dyDescent="0.15">
      <c r="A13" s="45" t="s">
        <v>106</v>
      </c>
      <c r="B13" s="38" t="s">
        <v>11</v>
      </c>
      <c r="C13" s="38" t="s">
        <v>11</v>
      </c>
      <c r="D13" s="13">
        <v>4800</v>
      </c>
      <c r="E13" s="13">
        <v>6600</v>
      </c>
      <c r="F13" s="91">
        <v>9000</v>
      </c>
      <c r="G13" s="38" t="s">
        <v>11</v>
      </c>
      <c r="H13" s="38" t="s">
        <v>11</v>
      </c>
      <c r="I13" s="38" t="s">
        <v>11</v>
      </c>
    </row>
    <row r="14" spans="1:9" ht="21" customHeight="1" x14ac:dyDescent="0.15">
      <c r="A14" s="45" t="s">
        <v>212</v>
      </c>
      <c r="B14" s="38" t="s">
        <v>11</v>
      </c>
      <c r="C14" s="38" t="s">
        <v>11</v>
      </c>
      <c r="D14" s="38" t="s">
        <v>11</v>
      </c>
      <c r="E14" s="13">
        <v>6300</v>
      </c>
      <c r="F14" s="38" t="s">
        <v>11</v>
      </c>
      <c r="G14" s="38" t="s">
        <v>11</v>
      </c>
      <c r="H14" s="38" t="s">
        <v>11</v>
      </c>
      <c r="I14" s="38" t="s">
        <v>11</v>
      </c>
    </row>
    <row r="15" spans="1:9" ht="21" customHeight="1" x14ac:dyDescent="0.15">
      <c r="A15" s="45" t="s">
        <v>213</v>
      </c>
      <c r="B15" s="38" t="s">
        <v>11</v>
      </c>
      <c r="C15" s="38" t="s">
        <v>11</v>
      </c>
      <c r="D15" s="13">
        <v>4600</v>
      </c>
      <c r="E15" s="13">
        <v>5800</v>
      </c>
      <c r="F15" s="13">
        <v>7600</v>
      </c>
      <c r="G15" s="38" t="s">
        <v>11</v>
      </c>
      <c r="H15" s="38" t="s">
        <v>11</v>
      </c>
      <c r="I15" s="38" t="s">
        <v>11</v>
      </c>
    </row>
    <row r="16" spans="1:9" ht="21" customHeight="1" x14ac:dyDescent="0.15">
      <c r="A16" s="45" t="s">
        <v>105</v>
      </c>
      <c r="B16" s="38" t="s">
        <v>11</v>
      </c>
      <c r="C16" s="38" t="s">
        <v>11</v>
      </c>
      <c r="D16" s="13">
        <v>4400</v>
      </c>
      <c r="E16" s="13">
        <v>5600</v>
      </c>
      <c r="F16" s="38" t="s">
        <v>11</v>
      </c>
      <c r="G16" s="38" t="s">
        <v>11</v>
      </c>
      <c r="H16" s="38" t="s">
        <v>11</v>
      </c>
      <c r="I16" s="38" t="s">
        <v>11</v>
      </c>
    </row>
    <row r="17" spans="1:9" ht="21" customHeight="1" x14ac:dyDescent="0.15">
      <c r="A17" s="45" t="s">
        <v>214</v>
      </c>
      <c r="B17" s="38" t="s">
        <v>11</v>
      </c>
      <c r="C17" s="13">
        <v>3000</v>
      </c>
      <c r="D17" s="13">
        <v>4200</v>
      </c>
      <c r="E17" s="13">
        <v>5400</v>
      </c>
      <c r="F17" s="38" t="s">
        <v>11</v>
      </c>
      <c r="G17" s="38" t="s">
        <v>11</v>
      </c>
      <c r="H17" s="38" t="s">
        <v>11</v>
      </c>
      <c r="I17" s="38" t="s">
        <v>11</v>
      </c>
    </row>
    <row r="18" spans="1:9" ht="21" customHeight="1" x14ac:dyDescent="0.15">
      <c r="A18" s="45" t="s">
        <v>8</v>
      </c>
      <c r="B18" s="13">
        <v>2000</v>
      </c>
      <c r="C18" s="13">
        <v>2800</v>
      </c>
      <c r="D18" s="13">
        <v>4000</v>
      </c>
      <c r="E18" s="38" t="s">
        <v>11</v>
      </c>
      <c r="F18" s="38" t="s">
        <v>11</v>
      </c>
      <c r="G18" s="38" t="s">
        <v>11</v>
      </c>
      <c r="H18" s="38" t="s">
        <v>11</v>
      </c>
      <c r="I18" s="38" t="s">
        <v>11</v>
      </c>
    </row>
    <row r="19" spans="1:9" ht="21" customHeight="1" x14ac:dyDescent="0.15">
      <c r="A19" s="46" t="s">
        <v>7</v>
      </c>
      <c r="B19" s="13">
        <v>1750</v>
      </c>
      <c r="C19" s="13">
        <v>2550</v>
      </c>
      <c r="D19" s="38" t="s">
        <v>11</v>
      </c>
      <c r="E19" s="38" t="s">
        <v>11</v>
      </c>
      <c r="F19" s="38" t="s">
        <v>11</v>
      </c>
      <c r="G19" s="38" t="s">
        <v>11</v>
      </c>
      <c r="H19" s="38" t="s">
        <v>11</v>
      </c>
      <c r="I19" s="38" t="s">
        <v>11</v>
      </c>
    </row>
    <row r="20" spans="1:9" ht="21" customHeight="1" x14ac:dyDescent="0.15">
      <c r="A20" s="46" t="s">
        <v>215</v>
      </c>
      <c r="B20" s="13">
        <v>1500</v>
      </c>
      <c r="C20" s="13">
        <v>2300</v>
      </c>
      <c r="D20" s="38" t="s">
        <v>11</v>
      </c>
      <c r="E20" s="38" t="s">
        <v>11</v>
      </c>
      <c r="F20" s="38" t="s">
        <v>11</v>
      </c>
      <c r="G20" s="38" t="s">
        <v>11</v>
      </c>
      <c r="H20" s="38" t="s">
        <v>11</v>
      </c>
      <c r="I20" s="38" t="s">
        <v>11</v>
      </c>
    </row>
    <row r="21" spans="1:9" ht="21" customHeight="1" x14ac:dyDescent="0.15">
      <c r="A21" s="22" t="s">
        <v>216</v>
      </c>
      <c r="B21" s="21">
        <v>1000</v>
      </c>
      <c r="C21" s="21">
        <v>1000</v>
      </c>
      <c r="D21" s="21">
        <v>1000</v>
      </c>
      <c r="E21" s="21">
        <v>1000</v>
      </c>
      <c r="F21" s="21">
        <v>1000</v>
      </c>
      <c r="G21" s="21">
        <v>1000</v>
      </c>
      <c r="H21" s="21">
        <v>1000</v>
      </c>
      <c r="I21" s="21">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8"/>
  </cols>
  <sheetData>
    <row r="1" spans="1:8" ht="21" customHeight="1" x14ac:dyDescent="0.15">
      <c r="A1" s="8" t="s">
        <v>111</v>
      </c>
      <c r="G1" s="8" t="s">
        <v>112</v>
      </c>
    </row>
    <row r="2" spans="1:8" ht="21" customHeight="1" x14ac:dyDescent="0.15">
      <c r="A2" s="6" t="s">
        <v>15</v>
      </c>
      <c r="B2" s="6" t="s">
        <v>16</v>
      </c>
      <c r="G2" s="6" t="s">
        <v>15</v>
      </c>
      <c r="H2" s="6" t="s">
        <v>16</v>
      </c>
    </row>
    <row r="3" spans="1:8" ht="21" customHeight="1" x14ac:dyDescent="0.15">
      <c r="A3" s="9">
        <v>1</v>
      </c>
      <c r="B3" s="18">
        <v>5000</v>
      </c>
      <c r="G3" s="9">
        <v>1</v>
      </c>
      <c r="H3" s="9">
        <v>75</v>
      </c>
    </row>
    <row r="4" spans="1:8" ht="21" customHeight="1" x14ac:dyDescent="0.15">
      <c r="A4" s="9">
        <v>2</v>
      </c>
      <c r="B4" s="10">
        <v>10000</v>
      </c>
      <c r="G4" s="9">
        <v>2</v>
      </c>
      <c r="H4" s="9">
        <v>150</v>
      </c>
    </row>
    <row r="5" spans="1:8" ht="21" customHeight="1" x14ac:dyDescent="0.15">
      <c r="A5" s="9">
        <v>3</v>
      </c>
      <c r="B5" s="10">
        <v>20000</v>
      </c>
      <c r="G5" s="9">
        <v>3</v>
      </c>
      <c r="H5" s="9">
        <v>300</v>
      </c>
    </row>
    <row r="6" spans="1:8" ht="21" customHeight="1" x14ac:dyDescent="0.15">
      <c r="A6" s="9">
        <v>4</v>
      </c>
      <c r="B6" s="10">
        <v>50000</v>
      </c>
      <c r="G6" s="9">
        <v>4</v>
      </c>
      <c r="H6" s="9">
        <v>600</v>
      </c>
    </row>
    <row r="7" spans="1:8" ht="21" customHeight="1" x14ac:dyDescent="0.15">
      <c r="A7" s="9">
        <v>5</v>
      </c>
      <c r="B7" s="10">
        <v>200000</v>
      </c>
      <c r="G7" s="9">
        <v>5</v>
      </c>
      <c r="H7" s="9">
        <v>900</v>
      </c>
    </row>
    <row r="8" spans="1:8" ht="21" customHeight="1" x14ac:dyDescent="0.15">
      <c r="A8" s="9">
        <v>6</v>
      </c>
      <c r="B8" s="19">
        <v>0</v>
      </c>
      <c r="G8" s="9">
        <v>6</v>
      </c>
      <c r="H8" s="20">
        <v>1200</v>
      </c>
    </row>
    <row r="9" spans="1:8" ht="21" customHeight="1" x14ac:dyDescent="0.15">
      <c r="A9" s="9">
        <v>7</v>
      </c>
      <c r="B9" s="19"/>
      <c r="G9" s="9">
        <v>7</v>
      </c>
      <c r="H9" s="19"/>
    </row>
    <row r="10" spans="1:8" ht="21" customHeight="1" x14ac:dyDescent="0.15">
      <c r="A10" s="9">
        <v>8</v>
      </c>
      <c r="B10" s="19"/>
      <c r="G10" s="9">
        <v>8</v>
      </c>
      <c r="H10" s="19"/>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1"/>
  <sheetViews>
    <sheetView workbookViewId="0">
      <selection activeCell="G33" sqref="G33"/>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s>
  <sheetData>
    <row r="1" spans="1:11" s="8" customFormat="1" ht="21" customHeight="1" x14ac:dyDescent="0.15">
      <c r="A1" s="87" t="s">
        <v>303</v>
      </c>
      <c r="B1" s="57" t="s">
        <v>304</v>
      </c>
      <c r="C1" s="58" t="s">
        <v>305</v>
      </c>
      <c r="D1" s="59" t="s">
        <v>306</v>
      </c>
      <c r="E1" s="59" t="s">
        <v>307</v>
      </c>
      <c r="F1" s="59" t="s">
        <v>308</v>
      </c>
      <c r="G1" s="59" t="s">
        <v>309</v>
      </c>
      <c r="H1" s="59" t="s">
        <v>310</v>
      </c>
      <c r="I1" s="89" t="s">
        <v>311</v>
      </c>
      <c r="J1" s="59" t="s">
        <v>341</v>
      </c>
      <c r="K1" s="88" t="s">
        <v>312</v>
      </c>
    </row>
  </sheetData>
  <phoneticPr fontId="22"/>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activeCell="L26" sqref="L26"/>
    </sheetView>
  </sheetViews>
  <sheetFormatPr baseColWidth="12" defaultRowHeight="15" x14ac:dyDescent="0.15"/>
  <sheetData>
    <row r="1" spans="1:2" x14ac:dyDescent="0.15">
      <c r="A1" t="s">
        <v>321</v>
      </c>
      <c r="B1" t="s">
        <v>322</v>
      </c>
    </row>
    <row r="2" spans="1:2" x14ac:dyDescent="0.15">
      <c r="A2" t="s">
        <v>323</v>
      </c>
      <c r="B2">
        <v>1</v>
      </c>
    </row>
    <row r="3" spans="1:2" x14ac:dyDescent="0.15">
      <c r="A3" t="s">
        <v>324</v>
      </c>
      <c r="B3">
        <v>1</v>
      </c>
    </row>
    <row r="4" spans="1:2" x14ac:dyDescent="0.15">
      <c r="A4" t="s">
        <v>325</v>
      </c>
      <c r="B4">
        <v>1</v>
      </c>
    </row>
    <row r="5" spans="1:2" x14ac:dyDescent="0.15">
      <c r="A5" t="s">
        <v>326</v>
      </c>
      <c r="B5">
        <v>1</v>
      </c>
    </row>
    <row r="6" spans="1:2" x14ac:dyDescent="0.15">
      <c r="A6" t="s">
        <v>327</v>
      </c>
      <c r="B6">
        <v>1</v>
      </c>
    </row>
    <row r="7" spans="1:2" x14ac:dyDescent="0.15">
      <c r="A7" t="s">
        <v>328</v>
      </c>
      <c r="B7">
        <v>1</v>
      </c>
    </row>
    <row r="8" spans="1:2" x14ac:dyDescent="0.15">
      <c r="A8" t="s">
        <v>329</v>
      </c>
      <c r="B8">
        <v>1</v>
      </c>
    </row>
    <row r="9" spans="1:2" x14ac:dyDescent="0.15">
      <c r="A9" t="s">
        <v>330</v>
      </c>
      <c r="B9">
        <v>1</v>
      </c>
    </row>
    <row r="10" spans="1:2" x14ac:dyDescent="0.15">
      <c r="A10" t="s">
        <v>331</v>
      </c>
      <c r="B10">
        <v>1</v>
      </c>
    </row>
    <row r="11" spans="1:2" x14ac:dyDescent="0.15">
      <c r="A11" t="s">
        <v>332</v>
      </c>
      <c r="B11">
        <v>1</v>
      </c>
    </row>
    <row r="12" spans="1:2" x14ac:dyDescent="0.15">
      <c r="A12" t="s">
        <v>333</v>
      </c>
      <c r="B12">
        <v>1</v>
      </c>
    </row>
    <row r="13" spans="1:2" x14ac:dyDescent="0.15">
      <c r="A13" t="s">
        <v>334</v>
      </c>
      <c r="B13">
        <v>0</v>
      </c>
    </row>
    <row r="14" spans="1:2" x14ac:dyDescent="0.15">
      <c r="A14" t="s">
        <v>335</v>
      </c>
      <c r="B14">
        <v>500</v>
      </c>
    </row>
    <row r="15" spans="1:2" x14ac:dyDescent="0.15">
      <c r="A15" t="s">
        <v>336</v>
      </c>
      <c r="B15">
        <v>600</v>
      </c>
    </row>
    <row r="16" spans="1:2" x14ac:dyDescent="0.15">
      <c r="A16" t="s">
        <v>337</v>
      </c>
      <c r="B16">
        <v>700</v>
      </c>
    </row>
    <row r="17" spans="1:2" x14ac:dyDescent="0.15">
      <c r="A17" t="s">
        <v>338</v>
      </c>
      <c r="B17">
        <v>5500</v>
      </c>
    </row>
    <row r="18" spans="1:2" x14ac:dyDescent="0.15">
      <c r="A18" t="s">
        <v>339</v>
      </c>
      <c r="B18">
        <v>6000</v>
      </c>
    </row>
    <row r="19" spans="1:2" x14ac:dyDescent="0.15">
      <c r="A19" t="s">
        <v>340</v>
      </c>
      <c r="B19">
        <v>30000</v>
      </c>
    </row>
  </sheetData>
  <phoneticPr fontId="2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5">
        <v>591</v>
      </c>
    </row>
    <row r="3" spans="1:4" x14ac:dyDescent="0.15">
      <c r="A3" t="s">
        <v>201</v>
      </c>
      <c r="B3" s="63">
        <v>592</v>
      </c>
    </row>
    <row r="4" spans="1:4" x14ac:dyDescent="0.15">
      <c r="A4" t="s">
        <v>202</v>
      </c>
      <c r="B4" s="63">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IFERROR(VLOOKUP($B$2,unit_skills!A:J,3),"なし")</f>
        <v>なし</v>
      </c>
    </row>
    <row r="21" spans="1:1" x14ac:dyDescent="0.15">
      <c r="A21" t="str">
        <f>IFERROR(VLOOKUP($B$2,unit_skills!A:J,4),"なし")</f>
        <v>なし</v>
      </c>
    </row>
    <row r="22" spans="1:1" x14ac:dyDescent="0.15">
      <c r="A22" t="str">
        <f>"cost:"&amp;IFERROR(VLOOKUP($B$2,unit_skills!A:J,6),"なし")</f>
        <v>cost:なし</v>
      </c>
    </row>
    <row r="23" spans="1:1" x14ac:dyDescent="0.15">
      <c r="A23" t="str">
        <f>IFERROR(VLOOKUP($B$2,unit_skills!A:J,9),"なし")</f>
        <v>なし</v>
      </c>
    </row>
    <row r="25" spans="1:1" x14ac:dyDescent="0.15">
      <c r="A25" t="str">
        <f>IFERROR(VLOOKUP($B$3,unit_skills!A:J,3),"なし")</f>
        <v>なし</v>
      </c>
    </row>
    <row r="26" spans="1:1" x14ac:dyDescent="0.15">
      <c r="A26" t="str">
        <f>IFERROR(VLOOKUP($B$3,unit_skills!A:J,4),"なし")</f>
        <v>なし</v>
      </c>
    </row>
    <row r="27" spans="1:1" x14ac:dyDescent="0.15">
      <c r="A27" t="str">
        <f>"cost:"&amp;IFERROR(VLOOKUP($B$3,unit_skills!A:J,6),"なし")</f>
        <v>cost:なし</v>
      </c>
    </row>
    <row r="28" spans="1:1" x14ac:dyDescent="0.15">
      <c r="A28" t="str">
        <f>IFERROR(VLOOKUP($B$3,unit_skills!A:J,9),"なし")</f>
        <v>なし</v>
      </c>
    </row>
    <row r="30" spans="1:1" x14ac:dyDescent="0.15">
      <c r="A30" t="str">
        <f>IFERROR(VLOOKUP($B$4,unit_skills!A:J,3),"なし")</f>
        <v>なし</v>
      </c>
    </row>
    <row r="31" spans="1:1" x14ac:dyDescent="0.15">
      <c r="A31" t="str">
        <f>IFERROR(VLOOKUP($B$4,unit_skills!A:J,4),"なし")</f>
        <v>なし</v>
      </c>
    </row>
    <row r="32" spans="1:1" x14ac:dyDescent="0.15">
      <c r="A32" t="str">
        <f>"cost:"&amp;IFERROR(VLOOKUP($B$4,unit_skills!A:J,6),"なし")</f>
        <v>cost:なし</v>
      </c>
    </row>
    <row r="33" spans="1:1" x14ac:dyDescent="0.15">
      <c r="A33" t="str">
        <f>IFERROR(VLOOKUP($B$4,unit_skills!A:J,9),"なし")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64"/>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18</vt:i4>
      </vt:variant>
    </vt:vector>
  </HeadingPairs>
  <TitlesOfParts>
    <vt:vector size="18" baseType="lpstr">
      <vt:lpstr>output</vt:lpstr>
      <vt:lpstr>units</vt:lpstr>
      <vt:lpstr>unit_skills</vt:lpstr>
      <vt:lpstr>crash_skills</vt:lpstr>
      <vt:lpstr>unit_serifs</vt:lpstr>
      <vt:lpstr>fork_awake_units</vt:lpstr>
      <vt:lpstr>awake_materials</vt:lpstr>
      <vt:lpstr>unit_abilities</vt:lpstr>
      <vt:lpstr>→base値</vt:lpstr>
      <vt:lpstr>コスト</vt:lpstr>
      <vt:lpstr>レベル</vt:lpstr>
      <vt:lpstr>経験値</vt:lpstr>
      <vt:lpstr>スキルターン</vt:lpstr>
      <vt:lpstr>RC6SV</vt:lpstr>
      <vt:lpstr>ビット</vt:lpstr>
      <vt:lpstr>abilities</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2017-06-08T06:49:52Z</dcterms:modified>
</cp:coreProperties>
</file>