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3"/>
  </bookViews>
  <sheets>
    <sheet name="output" sheetId="103" r:id="rId1"/>
    <sheet name="gacha_163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gacha_163_base!$A$42:$B$68</definedName>
    <definedName name="_xlnm._FilterDatabase" localSheetId="4" hidden="1">gacha_bonus_tables!$B$1:$G$1</definedName>
    <definedName name="_xlnm._FilterDatabase" localSheetId="2" hidden="1">gacha_select_tables!$A$1:$S$345</definedName>
    <definedName name="_xlnm._FilterDatabase" localSheetId="3" hidden="1">gacha_settle_tables!$A$1:$R$6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96" l="1"/>
  <c r="L9" i="96"/>
  <c r="L8" i="96"/>
  <c r="L7" i="96"/>
  <c r="L6" i="96"/>
  <c r="L5" i="96"/>
  <c r="L4" i="96"/>
  <c r="L3" i="96"/>
  <c r="L2" i="96"/>
  <c r="B6" i="104"/>
  <c r="B7" i="104"/>
  <c r="B8" i="104"/>
  <c r="B9" i="104"/>
  <c r="B10" i="104"/>
  <c r="B11" i="104"/>
  <c r="B3" i="104"/>
  <c r="B4" i="104"/>
  <c r="B2" i="104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B196" i="82"/>
  <c r="B197" i="82"/>
  <c r="B198" i="82"/>
  <c r="B199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D10" i="105"/>
  <c r="G9" i="96"/>
  <c r="H9" i="96"/>
  <c r="C9" i="96"/>
  <c r="F9" i="96"/>
  <c r="I9" i="96"/>
  <c r="J9" i="96"/>
  <c r="K9" i="96"/>
  <c r="M9" i="96"/>
  <c r="N9" i="96"/>
  <c r="O9" i="96"/>
  <c r="P9" i="96"/>
  <c r="Q9" i="96"/>
  <c r="R9" i="96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38" i="82"/>
  <c r="I338" i="82"/>
  <c r="D338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2" i="82"/>
  <c r="I2" i="82"/>
  <c r="D2" i="82"/>
  <c r="R3" i="96"/>
  <c r="R4" i="96"/>
  <c r="R5" i="96"/>
  <c r="R6" i="96"/>
  <c r="R7" i="96"/>
  <c r="R8" i="96"/>
  <c r="R2" i="96"/>
  <c r="Q3" i="96"/>
  <c r="Q4" i="96"/>
  <c r="Q5" i="96"/>
  <c r="Q6" i="96"/>
  <c r="Q7" i="96"/>
  <c r="Q8" i="96"/>
  <c r="Q2" i="96"/>
  <c r="P3" i="96"/>
  <c r="P4" i="96"/>
  <c r="P5" i="96"/>
  <c r="P6" i="96"/>
  <c r="P7" i="96"/>
  <c r="P8" i="96"/>
  <c r="P2" i="96"/>
  <c r="O3" i="96"/>
  <c r="O4" i="96"/>
  <c r="O5" i="96"/>
  <c r="O6" i="96"/>
  <c r="O7" i="96"/>
  <c r="O8" i="96"/>
  <c r="O2" i="96"/>
  <c r="N3" i="96"/>
  <c r="N4" i="96"/>
  <c r="N5" i="96"/>
  <c r="N6" i="96"/>
  <c r="N7" i="96"/>
  <c r="N8" i="96"/>
  <c r="N2" i="96"/>
  <c r="M3" i="96"/>
  <c r="M4" i="96"/>
  <c r="M5" i="96"/>
  <c r="M6" i="96"/>
  <c r="M7" i="96"/>
  <c r="M8" i="96"/>
  <c r="M2" i="96"/>
  <c r="K8" i="96"/>
  <c r="J8" i="96"/>
  <c r="I8" i="96"/>
  <c r="H8" i="96"/>
  <c r="G8" i="96"/>
  <c r="F8" i="96"/>
  <c r="C8" i="96"/>
  <c r="A8" i="9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06" i="82"/>
  <c r="P206" i="82"/>
  <c r="Q206" i="82"/>
  <c r="R206" i="82"/>
  <c r="O207" i="82"/>
  <c r="P207" i="82"/>
  <c r="Q207" i="82"/>
  <c r="R207" i="82"/>
  <c r="O208" i="82"/>
  <c r="P208" i="82"/>
  <c r="Q208" i="82"/>
  <c r="R208" i="82"/>
  <c r="O209" i="82"/>
  <c r="P209" i="82"/>
  <c r="Q209" i="82"/>
  <c r="R209" i="82"/>
  <c r="O210" i="82"/>
  <c r="P210" i="82"/>
  <c r="Q210" i="82"/>
  <c r="R210" i="82"/>
  <c r="O211" i="82"/>
  <c r="P211" i="82"/>
  <c r="Q211" i="82"/>
  <c r="R211" i="82"/>
  <c r="O212" i="82"/>
  <c r="P212" i="82"/>
  <c r="Q212" i="82"/>
  <c r="R212" i="82"/>
  <c r="O213" i="82"/>
  <c r="P213" i="82"/>
  <c r="Q213" i="82"/>
  <c r="R213" i="82"/>
  <c r="O214" i="82"/>
  <c r="P214" i="82"/>
  <c r="Q214" i="82"/>
  <c r="R214" i="82"/>
  <c r="O215" i="82"/>
  <c r="P215" i="82"/>
  <c r="Q215" i="82"/>
  <c r="R215" i="82"/>
  <c r="O216" i="82"/>
  <c r="P216" i="82"/>
  <c r="Q216" i="82"/>
  <c r="R216" i="82"/>
  <c r="O217" i="82"/>
  <c r="P217" i="82"/>
  <c r="Q217" i="82"/>
  <c r="R217" i="82"/>
  <c r="O218" i="82"/>
  <c r="P218" i="82"/>
  <c r="Q218" i="82"/>
  <c r="R218" i="82"/>
  <c r="O219" i="82"/>
  <c r="P219" i="82"/>
  <c r="Q219" i="82"/>
  <c r="R219" i="82"/>
  <c r="O220" i="82"/>
  <c r="P220" i="82"/>
  <c r="Q220" i="82"/>
  <c r="R220" i="82"/>
  <c r="O221" i="82"/>
  <c r="P221" i="82"/>
  <c r="Q221" i="82"/>
  <c r="R221" i="82"/>
  <c r="O222" i="82"/>
  <c r="P222" i="82"/>
  <c r="Q222" i="82"/>
  <c r="R222" i="82"/>
  <c r="O223" i="82"/>
  <c r="P223" i="82"/>
  <c r="Q223" i="82"/>
  <c r="R223" i="82"/>
  <c r="O224" i="82"/>
  <c r="P224" i="82"/>
  <c r="Q224" i="82"/>
  <c r="R224" i="82"/>
  <c r="O225" i="82"/>
  <c r="P225" i="82"/>
  <c r="Q225" i="82"/>
  <c r="R225" i="82"/>
  <c r="O226" i="82"/>
  <c r="P226" i="82"/>
  <c r="Q226" i="82"/>
  <c r="R226" i="82"/>
  <c r="O227" i="82"/>
  <c r="P227" i="82"/>
  <c r="Q227" i="82"/>
  <c r="R227" i="82"/>
  <c r="O228" i="82"/>
  <c r="P228" i="82"/>
  <c r="Q228" i="82"/>
  <c r="R228" i="82"/>
  <c r="O229" i="82"/>
  <c r="P229" i="82"/>
  <c r="Q229" i="82"/>
  <c r="R229" i="82"/>
  <c r="O230" i="82"/>
  <c r="P230" i="82"/>
  <c r="Q230" i="82"/>
  <c r="R230" i="82"/>
  <c r="O231" i="82"/>
  <c r="P231" i="82"/>
  <c r="Q231" i="82"/>
  <c r="R231" i="82"/>
  <c r="O232" i="82"/>
  <c r="P232" i="82"/>
  <c r="Q232" i="82"/>
  <c r="R232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2" i="82"/>
  <c r="P2" i="82"/>
  <c r="Q2" i="82"/>
  <c r="R2" i="82"/>
  <c r="B12" i="104"/>
  <c r="A204" i="82"/>
  <c r="C204" i="82"/>
  <c r="L204" i="82"/>
  <c r="G204" i="82"/>
  <c r="J204" i="82"/>
  <c r="K204" i="82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M204" i="82"/>
  <c r="A205" i="82"/>
  <c r="C205" i="82"/>
  <c r="L205" i="82"/>
  <c r="G205" i="82"/>
  <c r="J205" i="82"/>
  <c r="K205" i="82"/>
  <c r="M205" i="82"/>
  <c r="G2" i="96"/>
  <c r="H2" i="96"/>
  <c r="C2" i="96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2" i="82"/>
  <c r="G10" i="105"/>
  <c r="B5" i="105"/>
  <c r="E5" i="105"/>
  <c r="H5" i="105"/>
  <c r="A10" i="105"/>
  <c r="G3" i="96"/>
  <c r="G4" i="96"/>
  <c r="G5" i="96"/>
  <c r="G6" i="96"/>
  <c r="G7" i="96"/>
  <c r="G7" i="105"/>
  <c r="A7" i="105"/>
  <c r="D7" i="105"/>
  <c r="B5" i="104"/>
  <c r="K2" i="96"/>
  <c r="J2" i="96"/>
  <c r="I2" i="96"/>
  <c r="F2" i="96"/>
  <c r="A2" i="96"/>
  <c r="A3" i="96"/>
  <c r="H3" i="96"/>
  <c r="C3" i="96"/>
  <c r="F3" i="96"/>
  <c r="I3" i="96"/>
  <c r="J3" i="96"/>
  <c r="K3" i="96"/>
  <c r="A7" i="96"/>
  <c r="H7" i="96"/>
  <c r="C7" i="96"/>
  <c r="F7" i="96"/>
  <c r="I7" i="96"/>
  <c r="J7" i="96"/>
  <c r="K7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A4" i="96"/>
  <c r="A5" i="96"/>
  <c r="A6" i="96"/>
  <c r="C4" i="96"/>
  <c r="C5" i="96"/>
  <c r="C6" i="96"/>
  <c r="M203" i="82"/>
  <c r="K203" i="82"/>
  <c r="J203" i="82"/>
  <c r="G203" i="82"/>
  <c r="C203" i="82"/>
  <c r="A203" i="82"/>
  <c r="M202" i="82"/>
  <c r="K202" i="82"/>
  <c r="J202" i="82"/>
  <c r="G202" i="82"/>
  <c r="C202" i="82"/>
  <c r="A202" i="82"/>
  <c r="M201" i="82"/>
  <c r="K201" i="82"/>
  <c r="J201" i="82"/>
  <c r="G201" i="82"/>
  <c r="C201" i="82"/>
  <c r="A201" i="82"/>
  <c r="M200" i="82"/>
  <c r="K200" i="82"/>
  <c r="J200" i="82"/>
  <c r="G200" i="82"/>
  <c r="C200" i="82"/>
  <c r="A200" i="82"/>
  <c r="M199" i="82"/>
  <c r="K199" i="82"/>
  <c r="J199" i="82"/>
  <c r="G199" i="82"/>
  <c r="C199" i="82"/>
  <c r="A199" i="82"/>
  <c r="M198" i="82"/>
  <c r="K198" i="82"/>
  <c r="J198" i="82"/>
  <c r="G198" i="82"/>
  <c r="C198" i="82"/>
  <c r="A198" i="82"/>
  <c r="M197" i="82"/>
  <c r="K197" i="82"/>
  <c r="J197" i="82"/>
  <c r="G197" i="82"/>
  <c r="C197" i="82"/>
  <c r="A197" i="82"/>
  <c r="M196" i="82"/>
  <c r="K196" i="82"/>
  <c r="J196" i="82"/>
  <c r="G196" i="82"/>
  <c r="C196" i="82"/>
  <c r="A196" i="82"/>
  <c r="A338" i="82"/>
  <c r="C338" i="82"/>
  <c r="G338" i="82"/>
  <c r="J338" i="82"/>
  <c r="K338" i="82"/>
  <c r="M338" i="82"/>
  <c r="A339" i="82"/>
  <c r="C339" i="82"/>
  <c r="G339" i="82"/>
  <c r="J339" i="82"/>
  <c r="K339" i="82"/>
  <c r="M339" i="82"/>
  <c r="A340" i="82"/>
  <c r="C340" i="82"/>
  <c r="G340" i="82"/>
  <c r="J340" i="82"/>
  <c r="K340" i="82"/>
  <c r="M340" i="82"/>
  <c r="A341" i="82"/>
  <c r="C341" i="82"/>
  <c r="G341" i="82"/>
  <c r="J341" i="82"/>
  <c r="K341" i="82"/>
  <c r="M341" i="82"/>
  <c r="A342" i="82"/>
  <c r="C342" i="82"/>
  <c r="G342" i="82"/>
  <c r="J342" i="82"/>
  <c r="K342" i="82"/>
  <c r="M342" i="82"/>
  <c r="A343" i="82"/>
  <c r="C343" i="82"/>
  <c r="G343" i="82"/>
  <c r="J343" i="82"/>
  <c r="K343" i="82"/>
  <c r="M343" i="82"/>
  <c r="A344" i="82"/>
  <c r="C344" i="82"/>
  <c r="G344" i="82"/>
  <c r="J344" i="82"/>
  <c r="K344" i="82"/>
  <c r="M344" i="82"/>
  <c r="A345" i="82"/>
  <c r="C345" i="82"/>
  <c r="G345" i="82"/>
  <c r="J345" i="82"/>
  <c r="K345" i="82"/>
  <c r="M345" i="82"/>
  <c r="M195" i="82"/>
  <c r="K195" i="82"/>
  <c r="J195" i="82"/>
  <c r="G195" i="82"/>
  <c r="C195" i="82"/>
  <c r="A195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337" i="82"/>
  <c r="M336" i="82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M2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K214" i="82"/>
  <c r="J214" i="82"/>
  <c r="G214" i="82"/>
  <c r="C214" i="82"/>
  <c r="K213" i="82"/>
  <c r="J213" i="82"/>
  <c r="G213" i="82"/>
  <c r="C213" i="82"/>
  <c r="K212" i="82"/>
  <c r="J212" i="82"/>
  <c r="G212" i="82"/>
  <c r="C212" i="82"/>
  <c r="K211" i="82"/>
  <c r="J211" i="82"/>
  <c r="G211" i="82"/>
  <c r="C211" i="82"/>
  <c r="K210" i="82"/>
  <c r="J210" i="82"/>
  <c r="G210" i="82"/>
  <c r="C210" i="82"/>
  <c r="K209" i="82"/>
  <c r="J209" i="82"/>
  <c r="G209" i="82"/>
  <c r="C209" i="82"/>
  <c r="K208" i="82"/>
  <c r="J208" i="82"/>
  <c r="G208" i="82"/>
  <c r="C208" i="82"/>
  <c r="K207" i="82"/>
  <c r="J207" i="82"/>
  <c r="G207" i="82"/>
  <c r="C207" i="82"/>
  <c r="K206" i="82"/>
  <c r="J206" i="82"/>
  <c r="G206" i="82"/>
  <c r="C20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<sst xmlns="http://schemas.openxmlformats.org/spreadsheetml/2006/main" count="173" uniqueCount="104">
  <si>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</si>
  <si>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</si>
  <si>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</si>
  <si>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</si>
  <si>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</si>
  <si>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</si>
  <si>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</si>
  <si>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</si>
  <si>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</si>
  <si>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</si>
  <si>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</si>
  <si>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</si>
  <si>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</si>
  <si>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</si>
  <si>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</si>
  <si>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</si>
  <si>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</si>
  <si>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</si>
  <si>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</si>
  <si>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</si>
  <si>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</si>
  <si>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</si>
  <si>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</si>
  <si>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</si>
  <si>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</si>
  <si>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</si>
  <si>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</si>
  <si>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</si>
  <si>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</si>
  <si>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</si>
  <si>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</si>
  <si>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</si>
  <si>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</si>
  <si>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</si>
  <si>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</si>
  <si>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</si>
  <si>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</si>
  <si>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</si>
  <si>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</si>
  <si>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</si>
  <si>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</si>
  <si>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</si>
  <si>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</si>
  <si>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</si>
  <si>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</si>
  <si>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</si>
  <si>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</si>
  <si>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</si>
  <si>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</si>
  <si>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</si>
  <si>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</si>
  <si>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</si>
  <si>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</si>
  <si>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</si>
  <si>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</si>
  <si>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</si>
  <si>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</si>
  <si>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</si>
  <si>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</si>
  <si>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</si>
  <si>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</si>
  <si>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</si>
  <si>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</si>
  <si>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</si>
  <si>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</si>
  <si>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</si>
  <si>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</si>
  <si>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</si>
  <si>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</si>
  <si>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</si>
  <si>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</si>
  <si>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</si>
  <si>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</si>
  <si>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</si>
  <si>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</si>
  <si>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</si>
  <si>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</si>
  <si>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</si>
  <si>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</si>
  <si>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</si>
  <si>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</si>
  <si>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</si>
  <si>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</si>
  <si>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</si>
  <si>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</si>
  <si>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</si>
  <si>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</si>
  <si>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</si>
  <si>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</si>
  <si>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new</t>
    <phoneticPr fontId="11"/>
  </si>
  <si>
    <t>new</t>
    <phoneticPr fontId="11"/>
  </si>
  <si>
    <t>new</t>
    <phoneticPr fontId="11"/>
  </si>
  <si>
    <t>PremiumS</t>
    <phoneticPr fontId="11"/>
  </si>
  <si>
    <t>PremiumSS</t>
    <phoneticPr fontId="11"/>
  </si>
  <si>
    <t>new</t>
    <phoneticPr fontId="11"/>
  </si>
  <si>
    <t>new</t>
    <phoneticPr fontId="11"/>
  </si>
  <si>
    <t>PremiumS</t>
    <phoneticPr fontId="11"/>
  </si>
  <si>
    <t>PremiumSS</t>
    <phoneticPr fontId="11"/>
  </si>
  <si>
    <t>PremiumSS</t>
    <phoneticPr fontId="11"/>
  </si>
  <si>
    <t>unit</t>
  </si>
  <si>
    <t>ja</t>
  </si>
  <si>
    <t>10連ガチャのおまけ</t>
  </si>
  <si>
    <t>10連ガチャを引いてくれたおまけとして秘術の果実×3をプレゼント致します</t>
    <phoneticPr fontId="11"/>
  </si>
  <si>
    <t>秘術の果実×3</t>
    <rPh sb="0" eb="3">
      <t>ヒジュt</t>
    </rPh>
    <rPh sb="3" eb="5">
      <t>カz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</si>
</sst>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46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6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  <xf numFmtId="0" fontId="44" fillId="0" borderId="25" xfId="0" applyFont="1" applyFill="1" applyBorder="1" applyAlignment="1">
      <alignment horizontal="left" vertical="center"/>
    </xf>
    <xf numFmtId="0" fontId="44" fillId="0" borderId="0" xfId="0" applyFont="1" applyAlignment="1">
      <alignment vertical="center"/>
    </xf>
  </cellXfs>
  <cellStyles count="346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33" sqref="C3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163</v>
      </c>
      <c r="D2" s="25" t="s">
        <v>60</v>
      </c>
      <c r="E2" s="23" t="str">
        <f ca="1">B2&amp;C2&amp;D2</f>
        <v>gacha_select_tables_163.tmp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163</v>
      </c>
      <c r="D3" s="25" t="s">
        <v>61</v>
      </c>
      <c r="E3" s="23" t="str">
        <f ca="1">B3&amp;C3&amp;D3</f>
        <v>gacha_settle_tables_163.tmp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163</v>
      </c>
      <c r="D4" s="25" t="s">
        <v>61</v>
      </c>
      <c r="E4" s="23" t="str">
        <f ca="1">B4&amp;C4&amp;D4</f>
        <v>gacha_bonus_tables_163.tmp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163</v>
      </c>
      <c r="D5" s="25" t="s">
        <v>61</v>
      </c>
      <c r="E5" s="23" t="str">
        <f ca="1">B5&amp;C5&amp;D5</f>
        <v>gifts_tmp_163.tmp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163</v>
      </c>
      <c r="D6" s="25" t="s">
        <v>61</v>
      </c>
      <c r="E6" s="23" t="str">
        <f ca="1">B6&amp;C6&amp;D6</f>
        <v>gifts_i18n_163.tmp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D31" sqref="D31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3" si="0">0&amp;C3&amp;D3&amp;E3</f>
        <v>0PremiumW4</v>
      </c>
      <c r="B3">
        <v>12115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22777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22777</v>
      </c>
      <c r="C5" s="37" t="s">
        <v>74</v>
      </c>
      <c r="D5">
        <v>4</v>
      </c>
    </row>
    <row r="6" spans="1:5">
      <c r="A6" s="15" t="str">
        <f t="shared" si="0"/>
        <v>0PremiumS4new</v>
      </c>
      <c r="B6">
        <v>32900</v>
      </c>
      <c r="C6" s="37" t="s">
        <v>92</v>
      </c>
      <c r="D6">
        <v>4</v>
      </c>
      <c r="E6" t="s">
        <v>89</v>
      </c>
    </row>
    <row r="7" spans="1:5">
      <c r="A7" s="15" t="str">
        <f t="shared" si="0"/>
        <v>0PremiumSS4</v>
      </c>
      <c r="B7">
        <v>2820</v>
      </c>
      <c r="C7" s="37" t="s">
        <v>75</v>
      </c>
      <c r="D7">
        <v>4</v>
      </c>
    </row>
    <row r="8" spans="1:5">
      <c r="A8" s="15" t="str">
        <f t="shared" si="0"/>
        <v>0PremiumSS4new</v>
      </c>
      <c r="B8">
        <v>13160</v>
      </c>
      <c r="C8" s="37" t="s">
        <v>93</v>
      </c>
      <c r="D8">
        <v>4</v>
      </c>
      <c r="E8" t="s">
        <v>90</v>
      </c>
    </row>
    <row r="9" spans="1:5">
      <c r="A9" s="15" t="str">
        <f t="shared" si="0"/>
        <v>0PremiumN5</v>
      </c>
      <c r="B9">
        <v>1454</v>
      </c>
      <c r="C9" s="38" t="s">
        <v>73</v>
      </c>
      <c r="D9">
        <v>5</v>
      </c>
    </row>
    <row r="10" spans="1:5">
      <c r="A10" s="15" t="str">
        <f t="shared" si="0"/>
        <v>0PremiumS5</v>
      </c>
      <c r="B10">
        <v>1454</v>
      </c>
      <c r="C10" s="37" t="s">
        <v>74</v>
      </c>
      <c r="D10">
        <v>5</v>
      </c>
    </row>
    <row r="11" spans="1:5">
      <c r="A11" s="15" t="str">
        <f t="shared" si="0"/>
        <v>0PremiumS5new</v>
      </c>
      <c r="B11">
        <v>2100</v>
      </c>
      <c r="C11" s="37" t="s">
        <v>92</v>
      </c>
      <c r="D11">
        <v>5</v>
      </c>
      <c r="E11" t="s">
        <v>91</v>
      </c>
    </row>
    <row r="12" spans="1:5">
      <c r="A12" s="15" t="str">
        <f t="shared" si="0"/>
        <v>0PremiumSS5</v>
      </c>
      <c r="B12">
        <v>180</v>
      </c>
      <c r="C12" s="37" t="s">
        <v>75</v>
      </c>
      <c r="D12">
        <v>5</v>
      </c>
    </row>
    <row r="13" spans="1:5">
      <c r="A13" s="15" t="str">
        <f t="shared" si="0"/>
        <v>0PremiumSS5new</v>
      </c>
      <c r="B13">
        <v>840</v>
      </c>
      <c r="C13" s="37" t="s">
        <v>93</v>
      </c>
      <c r="D13">
        <v>5</v>
      </c>
      <c r="E13" t="s">
        <v>91</v>
      </c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5">
      <c r="A17" s="15"/>
    </row>
    <row r="18" spans="1:5">
      <c r="A18" s="15"/>
    </row>
    <row r="19" spans="1:5">
      <c r="A19" s="9"/>
    </row>
    <row r="20" spans="1:5">
      <c r="A20" s="9" t="str">
        <f t="shared" ref="A20:A34" si="1">1&amp;C20&amp;D20&amp;E20</f>
        <v>1PremiumW3</v>
      </c>
      <c r="B20">
        <v>16812</v>
      </c>
      <c r="C20" t="s">
        <v>72</v>
      </c>
      <c r="D20">
        <v>3</v>
      </c>
    </row>
    <row r="21" spans="1:5">
      <c r="A21" s="9" t="str">
        <f t="shared" si="1"/>
        <v>1PremiumN3</v>
      </c>
      <c r="B21">
        <v>25217</v>
      </c>
      <c r="C21" t="s">
        <v>73</v>
      </c>
      <c r="D21">
        <v>3</v>
      </c>
    </row>
    <row r="22" spans="1:5">
      <c r="A22" s="9" t="str">
        <f t="shared" si="1"/>
        <v>1PremiumS3</v>
      </c>
      <c r="B22">
        <v>25217</v>
      </c>
      <c r="C22" t="s">
        <v>74</v>
      </c>
      <c r="D22">
        <v>3</v>
      </c>
    </row>
    <row r="23" spans="1:5">
      <c r="A23" s="9" t="str">
        <f t="shared" si="1"/>
        <v>1PremiumS3new</v>
      </c>
      <c r="B23">
        <v>38760</v>
      </c>
      <c r="C23" t="s">
        <v>96</v>
      </c>
      <c r="D23">
        <v>3</v>
      </c>
      <c r="E23" t="s">
        <v>91</v>
      </c>
    </row>
    <row r="24" spans="1:5">
      <c r="A24" s="9" t="str">
        <f t="shared" si="1"/>
        <v>1PremiumW4</v>
      </c>
      <c r="B24">
        <v>5309</v>
      </c>
      <c r="C24" t="s">
        <v>72</v>
      </c>
      <c r="D24">
        <v>4</v>
      </c>
    </row>
    <row r="25" spans="1:5">
      <c r="A25" s="9" t="str">
        <f t="shared" si="1"/>
        <v>1PremiumN4</v>
      </c>
      <c r="B25">
        <v>6304</v>
      </c>
      <c r="C25" t="s">
        <v>73</v>
      </c>
      <c r="D25">
        <v>4</v>
      </c>
    </row>
    <row r="26" spans="1:5">
      <c r="A26" s="9" t="str">
        <f t="shared" si="1"/>
        <v>1PremiumS4</v>
      </c>
      <c r="B26">
        <v>6304</v>
      </c>
      <c r="C26" t="s">
        <v>74</v>
      </c>
      <c r="D26">
        <v>4</v>
      </c>
    </row>
    <row r="27" spans="1:5">
      <c r="A27" s="9" t="str">
        <f t="shared" si="1"/>
        <v>1PremiumS4new</v>
      </c>
      <c r="B27">
        <v>9690</v>
      </c>
      <c r="C27" t="s">
        <v>96</v>
      </c>
      <c r="D27">
        <v>4</v>
      </c>
      <c r="E27" t="s">
        <v>91</v>
      </c>
    </row>
    <row r="28" spans="1:5">
      <c r="A28" s="9" t="str">
        <f t="shared" si="1"/>
        <v>1PremiumSS4</v>
      </c>
      <c r="B28">
        <v>3497</v>
      </c>
      <c r="C28" t="s">
        <v>75</v>
      </c>
      <c r="D28">
        <v>4</v>
      </c>
    </row>
    <row r="29" spans="1:5">
      <c r="A29" s="9" t="str">
        <f t="shared" si="1"/>
        <v>1PremiumSS4new</v>
      </c>
      <c r="B29">
        <v>16320</v>
      </c>
      <c r="C29" t="s">
        <v>97</v>
      </c>
      <c r="D29">
        <v>4</v>
      </c>
      <c r="E29" t="s">
        <v>94</v>
      </c>
    </row>
    <row r="30" spans="1:5">
      <c r="A30" s="9" t="str">
        <f t="shared" si="1"/>
        <v>1PremiumN5</v>
      </c>
      <c r="B30">
        <v>1659</v>
      </c>
      <c r="C30" t="s">
        <v>73</v>
      </c>
      <c r="D30">
        <v>5</v>
      </c>
    </row>
    <row r="31" spans="1:5">
      <c r="A31" s="9" t="str">
        <f t="shared" si="1"/>
        <v>1PremiumS5</v>
      </c>
      <c r="B31">
        <v>1659</v>
      </c>
      <c r="C31" t="s">
        <v>74</v>
      </c>
      <c r="D31">
        <v>5</v>
      </c>
    </row>
    <row r="32" spans="1:5">
      <c r="A32" s="9" t="str">
        <f t="shared" si="1"/>
        <v>1PremiumS5new</v>
      </c>
      <c r="B32">
        <v>2550</v>
      </c>
      <c r="C32" t="s">
        <v>96</v>
      </c>
      <c r="D32">
        <v>5</v>
      </c>
      <c r="E32" t="s">
        <v>95</v>
      </c>
    </row>
    <row r="33" spans="1:5">
      <c r="A33" s="9" t="str">
        <f t="shared" si="1"/>
        <v>1PremiumSS5</v>
      </c>
      <c r="B33">
        <v>874</v>
      </c>
      <c r="C33" t="s">
        <v>75</v>
      </c>
      <c r="D33">
        <v>5</v>
      </c>
    </row>
    <row r="34" spans="1:5">
      <c r="A34" s="9" t="str">
        <f t="shared" si="1"/>
        <v>1PremiumSS5new</v>
      </c>
      <c r="B34">
        <v>4080</v>
      </c>
      <c r="C34" t="s">
        <v>98</v>
      </c>
      <c r="D34">
        <v>5</v>
      </c>
      <c r="E34" t="s">
        <v>91</v>
      </c>
    </row>
    <row r="35" spans="1:5">
      <c r="A35" s="9"/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55"/>
  <sheetViews>
    <sheetView showGridLines="0" zoomScale="75" zoomScaleNormal="75" zoomScalePageLayoutView="75" workbookViewId="0">
      <pane ySplit="1" topLeftCell="A326" activePane="bottomLeft" state="frozen"/>
      <selection activeCell="M24" sqref="M24"/>
      <selection pane="bottomLeft" activeCell="R345" sqref="R345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1631126</v>
      </c>
      <c r="B2" s="2" t="str">
        <f>163&amp;E2</f>
        <v>1631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VLOOKUP(D2,gacha_163_base!A:B,2,FALSE)</f>
        <v>16812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1631127</v>
      </c>
      <c r="B3" s="2" t="str">
        <f t="shared" ref="B3:B66" si="2">163&amp;E3</f>
        <v>1631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VLOOKUP(D3,gacha_163_base!A:B,2,FALSE)</f>
        <v>5309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1631128</v>
      </c>
      <c r="B4" s="2" t="str">
        <f t="shared" si="2"/>
        <v>1631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VLOOKUP(D4,gacha_163_base!A:B,2,FALSE)</f>
        <v>16812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1631129</v>
      </c>
      <c r="B5" s="2" t="str">
        <f t="shared" si="2"/>
        <v>1631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VLOOKUP(D5,gacha_163_base!A:B,2,FALSE)</f>
        <v>5309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1631130</v>
      </c>
      <c r="B6" s="2" t="str">
        <f t="shared" si="2"/>
        <v>1631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VLOOKUP(D6,gacha_163_base!A:B,2,FALSE)</f>
        <v>16812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1631131</v>
      </c>
      <c r="B7" s="2" t="str">
        <f t="shared" si="2"/>
        <v>1631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VLOOKUP(D7,gacha_163_base!A:B,2,FALSE)</f>
        <v>5309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1631132</v>
      </c>
      <c r="B8" s="2" t="str">
        <f t="shared" si="2"/>
        <v>1631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VLOOKUP(D8,gacha_163_base!A:B,2,FALSE)</f>
        <v>16812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1631133</v>
      </c>
      <c r="B9" s="2" t="str">
        <f t="shared" si="2"/>
        <v>1631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VLOOKUP(D9,gacha_163_base!A:B,2,FALSE)</f>
        <v>5309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1631134</v>
      </c>
      <c r="B10" s="2" t="str">
        <f t="shared" si="2"/>
        <v>1631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VLOOKUP(D10,gacha_163_base!A:B,2,FALSE)</f>
        <v>16812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1631135</v>
      </c>
      <c r="B11" s="2" t="str">
        <f t="shared" si="2"/>
        <v>1631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VLOOKUP(D11,gacha_163_base!A:B,2,FALSE)</f>
        <v>5309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1631136</v>
      </c>
      <c r="B12" s="2" t="str">
        <f t="shared" si="2"/>
        <v>1631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VLOOKUP(D12,gacha_163_base!A:B,2,FALSE)</f>
        <v>16812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1631137</v>
      </c>
      <c r="B13" s="2" t="str">
        <f t="shared" si="2"/>
        <v>1631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VLOOKUP(D13,gacha_163_base!A:B,2,FALSE)</f>
        <v>5309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1631138</v>
      </c>
      <c r="B14" s="2" t="str">
        <f t="shared" si="2"/>
        <v>1631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VLOOKUP(D14,gacha_163_base!A:B,2,FALSE)</f>
        <v>16812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1631139</v>
      </c>
      <c r="B15" s="2" t="str">
        <f t="shared" si="2"/>
        <v>1631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VLOOKUP(D15,gacha_163_base!A:B,2,FALSE)</f>
        <v>5309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1631140</v>
      </c>
      <c r="B16" s="2" t="str">
        <f t="shared" si="2"/>
        <v>1631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VLOOKUP(D16,gacha_163_base!A:B,2,FALSE)</f>
        <v>16812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1631141</v>
      </c>
      <c r="B17" s="2" t="str">
        <f t="shared" si="2"/>
        <v>1631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VLOOKUP(D17,gacha_163_base!A:B,2,FALSE)</f>
        <v>5309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1631142</v>
      </c>
      <c r="B18" s="2" t="str">
        <f t="shared" si="2"/>
        <v>1631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VLOOKUP(D18,gacha_163_base!A:B,2,FALSE)</f>
        <v>16812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1631143</v>
      </c>
      <c r="B19" s="2" t="str">
        <f t="shared" si="2"/>
        <v>1631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VLOOKUP(D19,gacha_163_base!A:B,2,FALSE)</f>
        <v>5309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1631144</v>
      </c>
      <c r="B20" s="2" t="str">
        <f t="shared" si="2"/>
        <v>1631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VLOOKUP(D20,gacha_163_base!A:B,2,FALSE)</f>
        <v>16812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1631145</v>
      </c>
      <c r="B21" s="2" t="str">
        <f t="shared" si="2"/>
        <v>1631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VLOOKUP(D21,gacha_163_base!A:B,2,FALSE)</f>
        <v>5309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1631146</v>
      </c>
      <c r="B22" s="2" t="str">
        <f t="shared" si="2"/>
        <v>1631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VLOOKUP(D22,gacha_163_base!A:B,2,FALSE)</f>
        <v>16812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1631147</v>
      </c>
      <c r="B23" s="2" t="str">
        <f t="shared" si="2"/>
        <v>1631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VLOOKUP(D23,gacha_163_base!A:B,2,FALSE)</f>
        <v>5309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1631148</v>
      </c>
      <c r="B24" s="2" t="str">
        <f t="shared" si="2"/>
        <v>1631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VLOOKUP(D24,gacha_163_base!A:B,2,FALSE)</f>
        <v>16812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1631149</v>
      </c>
      <c r="B25" s="2" t="str">
        <f t="shared" si="2"/>
        <v>1631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VLOOKUP(D25,gacha_163_base!A:B,2,FALSE)</f>
        <v>5309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1631150</v>
      </c>
      <c r="B26" s="2" t="str">
        <f t="shared" si="2"/>
        <v>1631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VLOOKUP(D26,gacha_163_base!A:B,2,FALSE)</f>
        <v>16812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1631151</v>
      </c>
      <c r="B27" s="2" t="str">
        <f t="shared" si="2"/>
        <v>1631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VLOOKUP(D27,gacha_163_base!A:B,2,FALSE)</f>
        <v>5309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1631152</v>
      </c>
      <c r="B28" s="2" t="str">
        <f t="shared" si="2"/>
        <v>1631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VLOOKUP(D28,gacha_163_base!A:B,2,FALSE)</f>
        <v>16812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1631153</v>
      </c>
      <c r="B29" s="2" t="str">
        <f t="shared" si="2"/>
        <v>1631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VLOOKUP(D29,gacha_163_base!A:B,2,FALSE)</f>
        <v>5309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1631154</v>
      </c>
      <c r="B30" s="2" t="str">
        <f t="shared" si="2"/>
        <v>1631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VLOOKUP(D30,gacha_163_base!A:B,2,FALSE)</f>
        <v>16812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1631155</v>
      </c>
      <c r="B31" s="2" t="str">
        <f t="shared" si="2"/>
        <v>1631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VLOOKUP(D31,gacha_163_base!A:B,2,FALSE)</f>
        <v>5309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1631156</v>
      </c>
      <c r="B32" s="2" t="str">
        <f t="shared" si="2"/>
        <v>1631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VLOOKUP(D32,gacha_163_base!A:B,2,FALSE)</f>
        <v>16812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1631157</v>
      </c>
      <c r="B33" s="2" t="str">
        <f t="shared" si="2"/>
        <v>1631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VLOOKUP(D33,gacha_163_base!A:B,2,FALSE)</f>
        <v>5309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1631158</v>
      </c>
      <c r="B34" s="2" t="str">
        <f t="shared" si="2"/>
        <v>1631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VLOOKUP(D34,gacha_163_base!A:B,2,FALSE)</f>
        <v>16812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1631159</v>
      </c>
      <c r="B35" s="2" t="str">
        <f t="shared" si="2"/>
        <v>1631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VLOOKUP(D35,gacha_163_base!A:B,2,FALSE)</f>
        <v>5309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1631160</v>
      </c>
      <c r="B36" s="2" t="str">
        <f t="shared" si="2"/>
        <v>1631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VLOOKUP(D36,gacha_163_base!A:B,2,FALSE)</f>
        <v>16812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1631161</v>
      </c>
      <c r="B37" s="2" t="str">
        <f t="shared" si="2"/>
        <v>1631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VLOOKUP(D37,gacha_163_base!A:B,2,FALSE)</f>
        <v>5309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1631162</v>
      </c>
      <c r="B38" s="2" t="str">
        <f t="shared" si="2"/>
        <v>1631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VLOOKUP(D38,gacha_163_base!A:B,2,FALSE)</f>
        <v>16812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1631163</v>
      </c>
      <c r="B39" s="2" t="str">
        <f t="shared" si="2"/>
        <v>1631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VLOOKUP(D39,gacha_163_base!A:B,2,FALSE)</f>
        <v>5309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1631164</v>
      </c>
      <c r="B40" s="2" t="str">
        <f t="shared" si="2"/>
        <v>1631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VLOOKUP(D40,gacha_163_base!A:B,2,FALSE)</f>
        <v>16812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1631165</v>
      </c>
      <c r="B41" s="2" t="str">
        <f t="shared" si="2"/>
        <v>1631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VLOOKUP(D41,gacha_163_base!A:B,2,FALSE)</f>
        <v>5309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1631166</v>
      </c>
      <c r="B42" s="2" t="str">
        <f t="shared" si="2"/>
        <v>1631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VLOOKUP(D42,gacha_163_base!A:B,2,FALSE)</f>
        <v>25217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1631167</v>
      </c>
      <c r="B43" s="2" t="str">
        <f t="shared" si="2"/>
        <v>1631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VLOOKUP(D43,gacha_163_base!A:B,2,FALSE)</f>
        <v>6304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1631168</v>
      </c>
      <c r="B44" s="2" t="str">
        <f t="shared" si="2"/>
        <v>1631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VLOOKUP(D44,gacha_163_base!A:B,2,FALSE)</f>
        <v>1659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1631169</v>
      </c>
      <c r="B45" s="2" t="str">
        <f t="shared" si="2"/>
        <v>1631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VLOOKUP(D45,gacha_163_base!A:B,2,FALSE)</f>
        <v>25217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1631170</v>
      </c>
      <c r="B46" s="2" t="str">
        <f t="shared" si="2"/>
        <v>1631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VLOOKUP(D46,gacha_163_base!A:B,2,FALSE)</f>
        <v>6304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1631171</v>
      </c>
      <c r="B47" s="2" t="str">
        <f t="shared" si="2"/>
        <v>1631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VLOOKUP(D47,gacha_163_base!A:B,2,FALSE)</f>
        <v>1659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1631172</v>
      </c>
      <c r="B48" s="2" t="str">
        <f t="shared" si="2"/>
        <v>1631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VLOOKUP(D48,gacha_163_base!A:B,2,FALSE)</f>
        <v>25217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1631173</v>
      </c>
      <c r="B49" s="2" t="str">
        <f t="shared" si="2"/>
        <v>1631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VLOOKUP(D49,gacha_163_base!A:B,2,FALSE)</f>
        <v>6304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1631174</v>
      </c>
      <c r="B50" s="2" t="str">
        <f t="shared" si="2"/>
        <v>1631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VLOOKUP(D50,gacha_163_base!A:B,2,FALSE)</f>
        <v>1659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1631175</v>
      </c>
      <c r="B51" s="2" t="str">
        <f t="shared" si="2"/>
        <v>1631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VLOOKUP(D51,gacha_163_base!A:B,2,FALSE)</f>
        <v>25217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1631176</v>
      </c>
      <c r="B52" s="2" t="str">
        <f t="shared" si="2"/>
        <v>1631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VLOOKUP(D52,gacha_163_base!A:B,2,FALSE)</f>
        <v>6304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1631177</v>
      </c>
      <c r="B53" s="2" t="str">
        <f t="shared" si="2"/>
        <v>1631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VLOOKUP(D53,gacha_163_base!A:B,2,FALSE)</f>
        <v>1659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1631178</v>
      </c>
      <c r="B54" s="2" t="str">
        <f t="shared" si="2"/>
        <v>1631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VLOOKUP(D54,gacha_163_base!A:B,2,FALSE)</f>
        <v>25217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1631179</v>
      </c>
      <c r="B55" s="2" t="str">
        <f t="shared" si="2"/>
        <v>1631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VLOOKUP(D55,gacha_163_base!A:B,2,FALSE)</f>
        <v>6304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1631180</v>
      </c>
      <c r="B56" s="2" t="str">
        <f t="shared" si="2"/>
        <v>1631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VLOOKUP(D56,gacha_163_base!A:B,2,FALSE)</f>
        <v>1659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1631181</v>
      </c>
      <c r="B57" s="2" t="str">
        <f t="shared" si="2"/>
        <v>1631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VLOOKUP(D57,gacha_163_base!A:B,2,FALSE)</f>
        <v>25217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1631182</v>
      </c>
      <c r="B58" s="2" t="str">
        <f t="shared" si="2"/>
        <v>1631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VLOOKUP(D58,gacha_163_base!A:B,2,FALSE)</f>
        <v>6304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1631183</v>
      </c>
      <c r="B59" s="2" t="str">
        <f t="shared" si="2"/>
        <v>1631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VLOOKUP(D59,gacha_163_base!A:B,2,FALSE)</f>
        <v>1659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1631184</v>
      </c>
      <c r="B60" s="2" t="str">
        <f t="shared" si="2"/>
        <v>1631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VLOOKUP(D60,gacha_163_base!A:B,2,FALSE)</f>
        <v>25217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1631185</v>
      </c>
      <c r="B61" s="2" t="str">
        <f t="shared" si="2"/>
        <v>1631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VLOOKUP(D61,gacha_163_base!A:B,2,FALSE)</f>
        <v>6304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1631186</v>
      </c>
      <c r="B62" s="2" t="str">
        <f t="shared" si="2"/>
        <v>1631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VLOOKUP(D62,gacha_163_base!A:B,2,FALSE)</f>
        <v>1659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1631187</v>
      </c>
      <c r="B63" s="2" t="str">
        <f t="shared" si="2"/>
        <v>1631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VLOOKUP(D63,gacha_163_base!A:B,2,FALSE)</f>
        <v>25217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1631188</v>
      </c>
      <c r="B64" s="2" t="str">
        <f t="shared" si="2"/>
        <v>1631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VLOOKUP(D64,gacha_163_base!A:B,2,FALSE)</f>
        <v>6304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1631189</v>
      </c>
      <c r="B65" s="2" t="str">
        <f t="shared" si="2"/>
        <v>1631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VLOOKUP(D65,gacha_163_base!A:B,2,FALSE)</f>
        <v>1659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1631190</v>
      </c>
      <c r="B66" s="2" t="str">
        <f t="shared" si="2"/>
        <v>1631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VLOOKUP(D66,gacha_163_base!A:B,2,FALSE)</f>
        <v>25217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1631191</v>
      </c>
      <c r="B67" s="2" t="str">
        <f t="shared" ref="B67:B130" si="6">163&amp;E67</f>
        <v>1631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VLOOKUP(D67,gacha_163_base!A:B,2,FALSE)</f>
        <v>6304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1631192</v>
      </c>
      <c r="B68" s="2" t="str">
        <f t="shared" si="6"/>
        <v>1631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VLOOKUP(D68,gacha_163_base!A:B,2,FALSE)</f>
        <v>1659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1631193</v>
      </c>
      <c r="B69" s="2" t="str">
        <f t="shared" si="6"/>
        <v>1631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VLOOKUP(D69,gacha_163_base!A:B,2,FALSE)</f>
        <v>25217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1631194</v>
      </c>
      <c r="B70" s="2" t="str">
        <f t="shared" si="6"/>
        <v>1631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VLOOKUP(D70,gacha_163_base!A:B,2,FALSE)</f>
        <v>6304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1631195</v>
      </c>
      <c r="B71" s="2" t="str">
        <f t="shared" si="6"/>
        <v>1631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VLOOKUP(D71,gacha_163_base!A:B,2,FALSE)</f>
        <v>1659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1631196</v>
      </c>
      <c r="B72" s="2" t="str">
        <f t="shared" si="6"/>
        <v>1631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VLOOKUP(D72,gacha_163_base!A:B,2,FALSE)</f>
        <v>25217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1631197</v>
      </c>
      <c r="B73" s="2" t="str">
        <f t="shared" si="6"/>
        <v>1631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VLOOKUP(D73,gacha_163_base!A:B,2,FALSE)</f>
        <v>6304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1631198</v>
      </c>
      <c r="B74" s="2" t="str">
        <f t="shared" si="6"/>
        <v>1631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VLOOKUP(D74,gacha_163_base!A:B,2,FALSE)</f>
        <v>1659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1631199</v>
      </c>
      <c r="B75" s="2" t="str">
        <f t="shared" si="6"/>
        <v>1631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VLOOKUP(D75,gacha_163_base!A:B,2,FALSE)</f>
        <v>25217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1631200</v>
      </c>
      <c r="B76" s="2" t="str">
        <f t="shared" si="6"/>
        <v>1631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VLOOKUP(D76,gacha_163_base!A:B,2,FALSE)</f>
        <v>6304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1631201</v>
      </c>
      <c r="B77" s="2" t="str">
        <f t="shared" si="6"/>
        <v>1631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VLOOKUP(D77,gacha_163_base!A:B,2,FALSE)</f>
        <v>1659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1631202</v>
      </c>
      <c r="B78" s="2" t="str">
        <f t="shared" si="6"/>
        <v>1631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VLOOKUP(D78,gacha_163_base!A:B,2,FALSE)</f>
        <v>25217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1631203</v>
      </c>
      <c r="B79" s="2" t="str">
        <f t="shared" si="6"/>
        <v>1631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VLOOKUP(D79,gacha_163_base!A:B,2,FALSE)</f>
        <v>6304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1631204</v>
      </c>
      <c r="B80" s="2" t="str">
        <f t="shared" si="6"/>
        <v>1631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VLOOKUP(D80,gacha_163_base!A:B,2,FALSE)</f>
        <v>1659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1631205</v>
      </c>
      <c r="B81" s="2" t="str">
        <f t="shared" si="6"/>
        <v>1631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VLOOKUP(D81,gacha_163_base!A:B,2,FALSE)</f>
        <v>25217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1631206</v>
      </c>
      <c r="B82" s="2" t="str">
        <f t="shared" si="6"/>
        <v>1631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VLOOKUP(D82,gacha_163_base!A:B,2,FALSE)</f>
        <v>6304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1631207</v>
      </c>
      <c r="B83" s="2" t="str">
        <f t="shared" si="6"/>
        <v>1631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VLOOKUP(D83,gacha_163_base!A:B,2,FALSE)</f>
        <v>1659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1631208</v>
      </c>
      <c r="B84" s="2" t="str">
        <f t="shared" si="6"/>
        <v>1631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VLOOKUP(D84,gacha_163_base!A:B,2,FALSE)</f>
        <v>25217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1631209</v>
      </c>
      <c r="B85" s="2" t="str">
        <f t="shared" si="6"/>
        <v>1631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VLOOKUP(D85,gacha_163_base!A:B,2,FALSE)</f>
        <v>6304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1631210</v>
      </c>
      <c r="B86" s="2" t="str">
        <f t="shared" si="6"/>
        <v>1631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VLOOKUP(D86,gacha_163_base!A:B,2,FALSE)</f>
        <v>1659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1631211</v>
      </c>
      <c r="B87" s="2" t="str">
        <f t="shared" si="6"/>
        <v>1631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VLOOKUP(D87,gacha_163_base!A:B,2,FALSE)</f>
        <v>25217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1631212</v>
      </c>
      <c r="B88" s="2" t="str">
        <f t="shared" si="6"/>
        <v>1631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VLOOKUP(D88,gacha_163_base!A:B,2,FALSE)</f>
        <v>6304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1631213</v>
      </c>
      <c r="B89" s="2" t="str">
        <f t="shared" si="6"/>
        <v>1631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VLOOKUP(D89,gacha_163_base!A:B,2,FALSE)</f>
        <v>1659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1631214</v>
      </c>
      <c r="B90" s="2" t="str">
        <f t="shared" si="6"/>
        <v>1631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VLOOKUP(D90,gacha_163_base!A:B,2,FALSE)</f>
        <v>25217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1631215</v>
      </c>
      <c r="B91" s="2" t="str">
        <f t="shared" si="6"/>
        <v>1631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VLOOKUP(D91,gacha_163_base!A:B,2,FALSE)</f>
        <v>6304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1631216</v>
      </c>
      <c r="B92" s="2" t="str">
        <f t="shared" si="6"/>
        <v>1631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VLOOKUP(D92,gacha_163_base!A:B,2,FALSE)</f>
        <v>1659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1631217</v>
      </c>
      <c r="B93" s="2" t="str">
        <f t="shared" si="6"/>
        <v>1631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VLOOKUP(D93,gacha_163_base!A:B,2,FALSE)</f>
        <v>25217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1631218</v>
      </c>
      <c r="B94" s="2" t="str">
        <f t="shared" si="6"/>
        <v>1631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VLOOKUP(D94,gacha_163_base!A:B,2,FALSE)</f>
        <v>6304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1631219</v>
      </c>
      <c r="B95" s="2" t="str">
        <f t="shared" si="6"/>
        <v>1631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VLOOKUP(D95,gacha_163_base!A:B,2,FALSE)</f>
        <v>1659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1631220</v>
      </c>
      <c r="B96" s="2" t="str">
        <f t="shared" si="6"/>
        <v>1631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VLOOKUP(D96,gacha_163_base!A:B,2,FALSE)</f>
        <v>25217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1631221</v>
      </c>
      <c r="B97" s="2" t="str">
        <f t="shared" si="6"/>
        <v>1631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VLOOKUP(D97,gacha_163_base!A:B,2,FALSE)</f>
        <v>6304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1631222</v>
      </c>
      <c r="B98" s="2" t="str">
        <f t="shared" si="6"/>
        <v>1631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VLOOKUP(D98,gacha_163_base!A:B,2,FALSE)</f>
        <v>1659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1631223</v>
      </c>
      <c r="B99" s="2" t="str">
        <f t="shared" si="6"/>
        <v>1631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VLOOKUP(D99,gacha_163_base!A:B,2,FALSE)</f>
        <v>25217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1631224</v>
      </c>
      <c r="B100" s="2" t="str">
        <f t="shared" si="6"/>
        <v>1631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VLOOKUP(D100,gacha_163_base!A:B,2,FALSE)</f>
        <v>6304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1631225</v>
      </c>
      <c r="B101" s="2" t="str">
        <f t="shared" si="6"/>
        <v>1631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VLOOKUP(D101,gacha_163_base!A:B,2,FALSE)</f>
        <v>1659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1631226</v>
      </c>
      <c r="B102" s="2" t="str">
        <f t="shared" si="6"/>
        <v>1631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VLOOKUP(D102,gacha_163_base!A:B,2,FALSE)</f>
        <v>25217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1631227</v>
      </c>
      <c r="B103" s="2" t="str">
        <f t="shared" si="6"/>
        <v>1631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VLOOKUP(D103,gacha_163_base!A:B,2,FALSE)</f>
        <v>6304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1631228</v>
      </c>
      <c r="B104" s="2" t="str">
        <f t="shared" si="6"/>
        <v>1631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VLOOKUP(D104,gacha_163_base!A:B,2,FALSE)</f>
        <v>1659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1631229</v>
      </c>
      <c r="B105" s="2" t="str">
        <f t="shared" si="6"/>
        <v>1631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VLOOKUP(D105,gacha_163_base!A:B,2,FALSE)</f>
        <v>25217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1631230</v>
      </c>
      <c r="B106" s="2" t="str">
        <f t="shared" si="6"/>
        <v>1631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VLOOKUP(D106,gacha_163_base!A:B,2,FALSE)</f>
        <v>6304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1631231</v>
      </c>
      <c r="B107" s="2" t="str">
        <f t="shared" si="6"/>
        <v>1631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VLOOKUP(D107,gacha_163_base!A:B,2,FALSE)</f>
        <v>1659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1631232</v>
      </c>
      <c r="B108" s="2" t="str">
        <f t="shared" si="6"/>
        <v>1631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VLOOKUP(D108,gacha_163_base!A:B,2,FALSE)</f>
        <v>25217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1631233</v>
      </c>
      <c r="B109" s="2" t="str">
        <f t="shared" si="6"/>
        <v>1631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VLOOKUP(D109,gacha_163_base!A:B,2,FALSE)</f>
        <v>6304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1631234</v>
      </c>
      <c r="B110" s="2" t="str">
        <f t="shared" si="6"/>
        <v>1631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VLOOKUP(D110,gacha_163_base!A:B,2,FALSE)</f>
        <v>1659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1631235</v>
      </c>
      <c r="B111" s="2" t="str">
        <f t="shared" si="6"/>
        <v>1631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VLOOKUP(D111,gacha_163_base!A:B,2,FALSE)</f>
        <v>25217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1631236</v>
      </c>
      <c r="B112" s="2" t="str">
        <f t="shared" si="6"/>
        <v>1631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VLOOKUP(D112,gacha_163_base!A:B,2,FALSE)</f>
        <v>6304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1631237</v>
      </c>
      <c r="B113" s="2" t="str">
        <f t="shared" si="6"/>
        <v>1631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VLOOKUP(D113,gacha_163_base!A:B,2,FALSE)</f>
        <v>1659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1631238</v>
      </c>
      <c r="B114" s="2" t="str">
        <f t="shared" si="6"/>
        <v>1631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VLOOKUP(D114,gacha_163_base!A:B,2,FALSE)</f>
        <v>25217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1631239</v>
      </c>
      <c r="B115" s="2" t="str">
        <f t="shared" si="6"/>
        <v>1631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VLOOKUP(D115,gacha_163_base!A:B,2,FALSE)</f>
        <v>6304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1631240</v>
      </c>
      <c r="B116" s="2" t="str">
        <f t="shared" si="6"/>
        <v>1631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VLOOKUP(D116,gacha_163_base!A:B,2,FALSE)</f>
        <v>1659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1631241</v>
      </c>
      <c r="B117" s="2" t="str">
        <f t="shared" si="6"/>
        <v>1631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VLOOKUP(D117,gacha_163_base!A:B,2,FALSE)</f>
        <v>25217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1631242</v>
      </c>
      <c r="B118" s="2" t="str">
        <f t="shared" si="6"/>
        <v>1631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VLOOKUP(D118,gacha_163_base!A:B,2,FALSE)</f>
        <v>6304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1631243</v>
      </c>
      <c r="B119" s="2" t="str">
        <f t="shared" si="6"/>
        <v>1631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VLOOKUP(D119,gacha_163_base!A:B,2,FALSE)</f>
        <v>1659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1631244</v>
      </c>
      <c r="B120" s="2" t="str">
        <f t="shared" si="6"/>
        <v>1631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VLOOKUP(D120,gacha_163_base!A:B,2,FALSE)</f>
        <v>25217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1631245</v>
      </c>
      <c r="B121" s="2" t="str">
        <f t="shared" si="6"/>
        <v>1631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VLOOKUP(D121,gacha_163_base!A:B,2,FALSE)</f>
        <v>6304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1631246</v>
      </c>
      <c r="B122" s="2" t="str">
        <f t="shared" si="6"/>
        <v>1631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VLOOKUP(D122,gacha_163_base!A:B,2,FALSE)</f>
        <v>1659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1631247</v>
      </c>
      <c r="B123" s="2" t="str">
        <f t="shared" si="6"/>
        <v>1631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VLOOKUP(D123,gacha_163_base!A:B,2,FALSE)</f>
        <v>25217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1631248</v>
      </c>
      <c r="B124" s="2" t="str">
        <f t="shared" si="6"/>
        <v>1631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VLOOKUP(D124,gacha_163_base!A:B,2,FALSE)</f>
        <v>6304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1631249</v>
      </c>
      <c r="B125" s="2" t="str">
        <f t="shared" si="6"/>
        <v>1631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VLOOKUP(D125,gacha_163_base!A:B,2,FALSE)</f>
        <v>1659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1631250</v>
      </c>
      <c r="B126" s="2" t="str">
        <f t="shared" si="6"/>
        <v>1631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VLOOKUP(D126,gacha_163_base!A:B,2,FALSE)</f>
        <v>25217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1631251</v>
      </c>
      <c r="B127" s="2" t="str">
        <f t="shared" si="6"/>
        <v>1631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VLOOKUP(D127,gacha_163_base!A:B,2,FALSE)</f>
        <v>6304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1631252</v>
      </c>
      <c r="B128" s="2" t="str">
        <f t="shared" si="6"/>
        <v>1631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VLOOKUP(D128,gacha_163_base!A:B,2,FALSE)</f>
        <v>1659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1631253</v>
      </c>
      <c r="B129" s="2" t="str">
        <f t="shared" si="6"/>
        <v>1631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VLOOKUP(D129,gacha_163_base!A:B,2,FALSE)</f>
        <v>25217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1631254</v>
      </c>
      <c r="B130" s="2" t="str">
        <f t="shared" si="6"/>
        <v>1631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VLOOKUP(D130,gacha_163_base!A:B,2,FALSE)</f>
        <v>6304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1631255</v>
      </c>
      <c r="B131" s="2" t="str">
        <f t="shared" ref="B131:B194" si="10">163&amp;E131</f>
        <v>1631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VLOOKUP(D131,gacha_163_base!A:B,2,FALSE)</f>
        <v>1659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1631256</v>
      </c>
      <c r="B132" s="2" t="str">
        <f t="shared" si="10"/>
        <v>1631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VLOOKUP(D132,gacha_163_base!A:B,2,FALSE)</f>
        <v>25217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1631257</v>
      </c>
      <c r="B133" s="2" t="str">
        <f t="shared" si="10"/>
        <v>1631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VLOOKUP(D133,gacha_163_base!A:B,2,FALSE)</f>
        <v>6304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1631258</v>
      </c>
      <c r="B134" s="2" t="str">
        <f t="shared" si="10"/>
        <v>1631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VLOOKUP(D134,gacha_163_base!A:B,2,FALSE)</f>
        <v>1659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1631259</v>
      </c>
      <c r="B135" s="2" t="str">
        <f t="shared" si="10"/>
        <v>1631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VLOOKUP(D135,gacha_163_base!A:B,2,FALSE)</f>
        <v>25217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1631260</v>
      </c>
      <c r="B136" s="2" t="str">
        <f t="shared" si="10"/>
        <v>1631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VLOOKUP(D136,gacha_163_base!A:B,2,FALSE)</f>
        <v>6304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1631261</v>
      </c>
      <c r="B137" s="2" t="str">
        <f t="shared" si="10"/>
        <v>1631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VLOOKUP(D137,gacha_163_base!A:B,2,FALSE)</f>
        <v>1659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1631320</v>
      </c>
      <c r="B138" s="2" t="str">
        <f t="shared" si="10"/>
        <v>1631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VLOOKUP(D138,gacha_163_base!A:B,2,FALSE)</f>
        <v>3497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1631321</v>
      </c>
      <c r="B139" s="2" t="str">
        <f t="shared" si="10"/>
        <v>1631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VLOOKUP(D139,gacha_163_base!A:B,2,FALSE)</f>
        <v>874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1631322</v>
      </c>
      <c r="B140" s="2" t="str">
        <f t="shared" si="10"/>
        <v>1631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VLOOKUP(D140,gacha_163_base!A:B,2,FALSE)</f>
        <v>3497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1631323</v>
      </c>
      <c r="B141" s="2" t="str">
        <f t="shared" si="10"/>
        <v>1631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VLOOKUP(D141,gacha_163_base!A:B,2,FALSE)</f>
        <v>874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1631324</v>
      </c>
      <c r="B142" s="2" t="str">
        <f t="shared" si="10"/>
        <v>1631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VLOOKUP(D142,gacha_163_base!A:B,2,FALSE)</f>
        <v>3497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1631325</v>
      </c>
      <c r="B143" s="2" t="str">
        <f t="shared" si="10"/>
        <v>1631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VLOOKUP(D143,gacha_163_base!A:B,2,FALSE)</f>
        <v>874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1631326</v>
      </c>
      <c r="B144" s="2" t="str">
        <f t="shared" si="10"/>
        <v>1631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VLOOKUP(D144,gacha_163_base!A:B,2,FALSE)</f>
        <v>3497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1631327</v>
      </c>
      <c r="B145" s="2" t="str">
        <f t="shared" si="10"/>
        <v>1631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VLOOKUP(D145,gacha_163_base!A:B,2,FALSE)</f>
        <v>874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1631380</v>
      </c>
      <c r="B146" s="2" t="str">
        <f t="shared" si="10"/>
        <v>1631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VLOOKUP(D146,gacha_163_base!A:B,2,FALSE)</f>
        <v>25217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1631381</v>
      </c>
      <c r="B147" s="2" t="str">
        <f t="shared" si="10"/>
        <v>1631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VLOOKUP(D147,gacha_163_base!A:B,2,FALSE)</f>
        <v>6304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1631382</v>
      </c>
      <c r="B148" s="2" t="str">
        <f t="shared" si="10"/>
        <v>1631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VLOOKUP(D148,gacha_163_base!A:B,2,FALSE)</f>
        <v>1659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1631383</v>
      </c>
      <c r="B149" s="2" t="str">
        <f t="shared" si="10"/>
        <v>1631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VLOOKUP(D149,gacha_163_base!A:B,2,FALSE)</f>
        <v>3497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1631384</v>
      </c>
      <c r="B150" s="2" t="str">
        <f t="shared" si="10"/>
        <v>1631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VLOOKUP(D150,gacha_163_base!A:B,2,FALSE)</f>
        <v>874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1631385</v>
      </c>
      <c r="B151" s="2" t="str">
        <f t="shared" si="10"/>
        <v>1631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VLOOKUP(D151,gacha_163_base!A:B,2,FALSE)</f>
        <v>3497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1631386</v>
      </c>
      <c r="B152" s="2" t="str">
        <f t="shared" si="10"/>
        <v>1631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VLOOKUP(D152,gacha_163_base!A:B,2,FALSE)</f>
        <v>874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1631387</v>
      </c>
      <c r="B153" s="2" t="str">
        <f t="shared" si="10"/>
        <v>1631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VLOOKUP(D153,gacha_163_base!A:B,2,FALSE)</f>
        <v>25217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1631388</v>
      </c>
      <c r="B154" s="2" t="str">
        <f t="shared" si="10"/>
        <v>1631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VLOOKUP(D154,gacha_163_base!A:B,2,FALSE)</f>
        <v>6304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1631389</v>
      </c>
      <c r="B155" s="2" t="str">
        <f t="shared" si="10"/>
        <v>1631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VLOOKUP(D155,gacha_163_base!A:B,2,FALSE)</f>
        <v>1659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1631390</v>
      </c>
      <c r="B156" s="2" t="str">
        <f t="shared" si="10"/>
        <v>1631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VLOOKUP(D156,gacha_163_base!A:B,2,FALSE)</f>
        <v>3497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1631391</v>
      </c>
      <c r="B157" s="2" t="str">
        <f t="shared" si="10"/>
        <v>1631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VLOOKUP(D157,gacha_163_base!A:B,2,FALSE)</f>
        <v>874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1631392</v>
      </c>
      <c r="B158" s="2" t="str">
        <f t="shared" si="10"/>
        <v>1631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VLOOKUP(D158,gacha_163_base!A:B,2,FALSE)</f>
        <v>25217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1631393</v>
      </c>
      <c r="B159" s="2" t="str">
        <f t="shared" si="10"/>
        <v>1631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VLOOKUP(D159,gacha_163_base!A:B,2,FALSE)</f>
        <v>6304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1631394</v>
      </c>
      <c r="B160" s="2" t="str">
        <f t="shared" si="10"/>
        <v>1631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VLOOKUP(D160,gacha_163_base!A:B,2,FALSE)</f>
        <v>1659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1631395</v>
      </c>
      <c r="B161" s="2" t="str">
        <f t="shared" si="10"/>
        <v>1631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VLOOKUP(D161,gacha_163_base!A:B,2,FALSE)</f>
        <v>25217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1631396</v>
      </c>
      <c r="B162" s="2" t="str">
        <f t="shared" si="10"/>
        <v>1631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VLOOKUP(D162,gacha_163_base!A:B,2,FALSE)</f>
        <v>6304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1631397</v>
      </c>
      <c r="B163" s="2" t="str">
        <f t="shared" si="10"/>
        <v>1631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VLOOKUP(D163,gacha_163_base!A:B,2,FALSE)</f>
        <v>1659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1631398</v>
      </c>
      <c r="B164" s="2" t="str">
        <f t="shared" si="10"/>
        <v>1631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VLOOKUP(D164,gacha_163_base!A:B,2,FALSE)</f>
        <v>3497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1631399</v>
      </c>
      <c r="B165" s="2" t="str">
        <f t="shared" si="10"/>
        <v>1631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VLOOKUP(D165,gacha_163_base!A:B,2,FALSE)</f>
        <v>874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1631400</v>
      </c>
      <c r="B166" s="2" t="str">
        <f t="shared" si="10"/>
        <v>1631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VLOOKUP(D166,gacha_163_base!A:B,2,FALSE)</f>
        <v>25217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1631401</v>
      </c>
      <c r="B167" s="2" t="str">
        <f t="shared" si="10"/>
        <v>1631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VLOOKUP(D167,gacha_163_base!A:B,2,FALSE)</f>
        <v>6304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1631402</v>
      </c>
      <c r="B168" s="2" t="str">
        <f t="shared" si="10"/>
        <v>1631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VLOOKUP(D168,gacha_163_base!A:B,2,FALSE)</f>
        <v>1659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1631403</v>
      </c>
      <c r="B169" s="2" t="str">
        <f t="shared" si="10"/>
        <v>1631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VLOOKUP(D169,gacha_163_base!A:B,2,FALSE)</f>
        <v>3497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1631404</v>
      </c>
      <c r="B170" s="2" t="str">
        <f t="shared" si="10"/>
        <v>1631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VLOOKUP(D170,gacha_163_base!A:B,2,FALSE)</f>
        <v>874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1631405</v>
      </c>
      <c r="B171" s="2" t="str">
        <f t="shared" si="10"/>
        <v>1631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VLOOKUP(D171,gacha_163_base!A:B,2,FALSE)</f>
        <v>25217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1631406</v>
      </c>
      <c r="B172" s="2" t="str">
        <f t="shared" si="10"/>
        <v>1631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VLOOKUP(D172,gacha_163_base!A:B,2,FALSE)</f>
        <v>6304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1631407</v>
      </c>
      <c r="B173" s="2" t="str">
        <f t="shared" si="10"/>
        <v>1631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VLOOKUP(D173,gacha_163_base!A:B,2,FALSE)</f>
        <v>1659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1631408</v>
      </c>
      <c r="B174" s="2" t="str">
        <f t="shared" si="10"/>
        <v>1631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VLOOKUP(D174,gacha_163_base!A:B,2,FALSE)</f>
        <v>3497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1631409</v>
      </c>
      <c r="B175" s="2" t="str">
        <f t="shared" si="10"/>
        <v>1631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VLOOKUP(D175,gacha_163_base!A:B,2,FALSE)</f>
        <v>874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1631434</v>
      </c>
      <c r="B176" s="2" t="str">
        <f t="shared" si="10"/>
        <v>1631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VLOOKUP(D176,gacha_163_base!A:B,2,FALSE)</f>
        <v>3497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1631435</v>
      </c>
      <c r="B177" s="2" t="str">
        <f t="shared" si="10"/>
        <v>1631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VLOOKUP(D177,gacha_163_base!A:B,2,FALSE)</f>
        <v>874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1631436</v>
      </c>
      <c r="B178" s="2" t="str">
        <f t="shared" si="10"/>
        <v>1631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VLOOKUP(D178,gacha_163_base!A:B,2,FALSE)</f>
        <v>25217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1631437</v>
      </c>
      <c r="B179" s="2" t="str">
        <f t="shared" si="10"/>
        <v>1631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VLOOKUP(D179,gacha_163_base!A:B,2,FALSE)</f>
        <v>6304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1631438</v>
      </c>
      <c r="B180" s="2" t="str">
        <f t="shared" si="10"/>
        <v>1631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VLOOKUP(D180,gacha_163_base!A:B,2,FALSE)</f>
        <v>1659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1631439</v>
      </c>
      <c r="B181" s="2" t="str">
        <f t="shared" si="10"/>
        <v>1631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VLOOKUP(D181,gacha_163_base!A:B,2,FALSE)</f>
        <v>25217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1631440</v>
      </c>
      <c r="B182" s="2" t="str">
        <f t="shared" si="10"/>
        <v>1631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VLOOKUP(D182,gacha_163_base!A:B,2,FALSE)</f>
        <v>6304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1631441</v>
      </c>
      <c r="B183" s="2" t="str">
        <f t="shared" si="10"/>
        <v>1631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VLOOKUP(D183,gacha_163_base!A:B,2,FALSE)</f>
        <v>1659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1631442</v>
      </c>
      <c r="B184" s="2" t="str">
        <f t="shared" si="10"/>
        <v>1631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VLOOKUP(D184,gacha_163_base!A:B,2,FALSE)</f>
        <v>3497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1631443</v>
      </c>
      <c r="B185" s="2" t="str">
        <f t="shared" si="10"/>
        <v>1631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VLOOKUP(D185,gacha_163_base!A:B,2,FALSE)</f>
        <v>874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1631462</v>
      </c>
      <c r="B186" s="2" t="str">
        <f t="shared" si="10"/>
        <v>1631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VLOOKUP(D186,gacha_163_base!A:B,2,FALSE)</f>
        <v>25217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1631463</v>
      </c>
      <c r="B187" s="2" t="str">
        <f t="shared" si="10"/>
        <v>1631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VLOOKUP(D187,gacha_163_base!A:B,2,FALSE)</f>
        <v>6304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1631464</v>
      </c>
      <c r="B188" s="2" t="str">
        <f t="shared" si="10"/>
        <v>1631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VLOOKUP(D188,gacha_163_base!A:B,2,FALSE)</f>
        <v>1659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1631465</v>
      </c>
      <c r="B189" s="2" t="str">
        <f t="shared" si="10"/>
        <v>1631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VLOOKUP(D189,gacha_163_base!A:B,2,FALSE)</f>
        <v>3497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1631466</v>
      </c>
      <c r="B190" s="2" t="str">
        <f t="shared" si="10"/>
        <v>1631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VLOOKUP(D190,gacha_163_base!A:B,2,FALSE)</f>
        <v>874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1631467</v>
      </c>
      <c r="B191" s="2" t="str">
        <f t="shared" si="10"/>
        <v>1631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VLOOKUP(D191,gacha_163_base!A:B,2,FALSE)</f>
        <v>3497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1631468</v>
      </c>
      <c r="B192" s="2" t="str">
        <f t="shared" si="10"/>
        <v>1631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VLOOKUP(D192,gacha_163_base!A:B,2,FALSE)</f>
        <v>874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1631469</v>
      </c>
      <c r="B193" s="2" t="str">
        <f t="shared" si="10"/>
        <v>1631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VLOOKUP(D193,gacha_163_base!A:B,2,FALSE)</f>
        <v>25217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1631470</v>
      </c>
      <c r="B194" s="2" t="str">
        <f t="shared" si="10"/>
        <v>1631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VLOOKUP(D194,gacha_163_base!A:B,2,FALSE)</f>
        <v>6304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1631471</v>
      </c>
      <c r="B195" s="2" t="str">
        <f t="shared" ref="B195:B258" si="14">163&amp;E195</f>
        <v>1631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VLOOKUP(D195,gacha_163_base!A:B,2,FALSE)</f>
        <v>1659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1631474</v>
      </c>
      <c r="B196" s="2" t="str">
        <f t="shared" si="14"/>
        <v>1631</v>
      </c>
      <c r="C196" s="8" t="str">
        <f t="shared" si="15"/>
        <v>1PremiumSS4</v>
      </c>
      <c r="D196" s="8" t="str">
        <f>E196&amp;H196&amp;I196&amp;"new"</f>
        <v>1PremiumSS4new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VLOOKUP(D196,gacha_163_base!A:B,2,FALSE)</f>
        <v>16320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3</v>
      </c>
    </row>
    <row r="197" spans="1:19" ht="21" customHeight="1">
      <c r="A197" s="7" t="str">
        <f t="shared" si="13"/>
        <v>1631475</v>
      </c>
      <c r="B197" s="2" t="str">
        <f t="shared" si="14"/>
        <v>1631</v>
      </c>
      <c r="C197" s="8" t="str">
        <f t="shared" si="15"/>
        <v>1PremiumSS5</v>
      </c>
      <c r="D197" s="8" t="str">
        <f t="shared" ref="D197:D205" si="17">E197&amp;H197&amp;I197&amp;"new"</f>
        <v>1PremiumSS5new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VLOOKUP(D197,gacha_163_base!A:B,2,FALSE)</f>
        <v>4080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3</v>
      </c>
    </row>
    <row r="198" spans="1:19" ht="21" customHeight="1">
      <c r="A198" s="7" t="str">
        <f t="shared" si="13"/>
        <v>1631476</v>
      </c>
      <c r="B198" s="2" t="str">
        <f t="shared" si="14"/>
        <v>1631</v>
      </c>
      <c r="C198" s="8" t="str">
        <f t="shared" si="15"/>
        <v>1PremiumS3</v>
      </c>
      <c r="D198" s="8" t="str">
        <f t="shared" si="17"/>
        <v>1PremiumS3new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VLOOKUP(D198,gacha_163_base!A:B,2,FALSE)</f>
        <v>38760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3</v>
      </c>
    </row>
    <row r="199" spans="1:19" ht="21" customHeight="1">
      <c r="A199" s="7" t="str">
        <f t="shared" si="13"/>
        <v>1631477</v>
      </c>
      <c r="B199" s="2" t="str">
        <f t="shared" si="14"/>
        <v>1631</v>
      </c>
      <c r="C199" s="8" t="str">
        <f t="shared" si="15"/>
        <v>1PremiumS4</v>
      </c>
      <c r="D199" s="8" t="str">
        <f t="shared" si="17"/>
        <v>1PremiumS4new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VLOOKUP(D199,gacha_163_base!A:B,2,FALSE)</f>
        <v>9690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3</v>
      </c>
    </row>
    <row r="200" spans="1:19" ht="21" customHeight="1">
      <c r="A200" s="7" t="str">
        <f t="shared" si="13"/>
        <v>1631478</v>
      </c>
      <c r="B200" s="2" t="str">
        <f t="shared" si="14"/>
        <v>1631</v>
      </c>
      <c r="C200" s="8" t="str">
        <f t="shared" si="15"/>
        <v>1PremiumS5</v>
      </c>
      <c r="D200" s="8" t="str">
        <f t="shared" si="17"/>
        <v>1PremiumS5new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VLOOKUP(D200,gacha_163_base!A:B,2,FALSE)</f>
        <v>2550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3</v>
      </c>
    </row>
    <row r="201" spans="1:19" ht="21" customHeight="1">
      <c r="A201" s="7" t="str">
        <f t="shared" si="13"/>
        <v>1631479</v>
      </c>
      <c r="B201" s="2" t="str">
        <f t="shared" si="14"/>
        <v>1631</v>
      </c>
      <c r="C201" s="8" t="str">
        <f t="shared" si="15"/>
        <v>1PremiumSS4</v>
      </c>
      <c r="D201" s="8" t="str">
        <f t="shared" si="17"/>
        <v>1PremiumSS4new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VLOOKUP(D201,gacha_163_base!A:B,2,FALSE)</f>
        <v>16320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3</v>
      </c>
    </row>
    <row r="202" spans="1:19" ht="21" customHeight="1">
      <c r="A202" s="7" t="str">
        <f t="shared" si="13"/>
        <v>1631480</v>
      </c>
      <c r="B202" s="2" t="str">
        <f t="shared" si="14"/>
        <v>1631</v>
      </c>
      <c r="C202" s="8" t="str">
        <f t="shared" si="15"/>
        <v>1PremiumSS5</v>
      </c>
      <c r="D202" s="8" t="str">
        <f t="shared" si="17"/>
        <v>1PremiumSS5new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VLOOKUP(D202,gacha_163_base!A:B,2,FALSE)</f>
        <v>4080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3</v>
      </c>
    </row>
    <row r="203" spans="1:19" ht="21" customHeight="1">
      <c r="A203" s="7" t="str">
        <f t="shared" si="13"/>
        <v>1631481</v>
      </c>
      <c r="B203" s="2" t="str">
        <f t="shared" si="14"/>
        <v>1631</v>
      </c>
      <c r="C203" s="8" t="str">
        <f t="shared" si="15"/>
        <v>1PremiumS3</v>
      </c>
      <c r="D203" s="8" t="str">
        <f t="shared" si="17"/>
        <v>1PremiumS3new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VLOOKUP(D203,gacha_163_base!A:B,2,FALSE)</f>
        <v>38760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3</v>
      </c>
    </row>
    <row r="204" spans="1:19" ht="21" customHeight="1">
      <c r="A204" s="7" t="str">
        <f t="shared" ref="A204:A205" si="18">B204&amp;F204</f>
        <v>1631482</v>
      </c>
      <c r="B204" s="2" t="str">
        <f t="shared" si="14"/>
        <v>1631</v>
      </c>
      <c r="C204" s="8" t="str">
        <f t="shared" ref="C204:C205" si="19">E204&amp;H204&amp;I204</f>
        <v>1PremiumS4</v>
      </c>
      <c r="D204" s="8" t="str">
        <f t="shared" si="17"/>
        <v>1PremiumS4new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VLOOKUP(D204,gacha_163_base!A:B,2,FALSE)</f>
        <v>9690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3</v>
      </c>
    </row>
    <row r="205" spans="1:19" ht="21" customHeight="1">
      <c r="A205" s="7" t="str">
        <f t="shared" si="18"/>
        <v>1631483</v>
      </c>
      <c r="B205" s="2" t="str">
        <f t="shared" si="14"/>
        <v>1631</v>
      </c>
      <c r="C205" s="8" t="str">
        <f t="shared" si="19"/>
        <v>1PremiumS5</v>
      </c>
      <c r="D205" s="8" t="str">
        <f t="shared" si="17"/>
        <v>1PremiumS5new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VLOOKUP(D205,gacha_163_base!A:B,2,FALSE)</f>
        <v>2550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3</v>
      </c>
    </row>
    <row r="206" spans="1:19" ht="21" customHeight="1">
      <c r="A206" s="7" t="str">
        <f t="shared" ref="A206:A268" si="20">B206&amp;F206</f>
        <v>1630127</v>
      </c>
      <c r="B206" s="2" t="str">
        <f t="shared" si="14"/>
        <v>1630</v>
      </c>
      <c r="C206" s="8" t="str">
        <f t="shared" ref="C206:C240" si="21">E206&amp;H206&amp;I206</f>
        <v>0PremiumW4</v>
      </c>
      <c r="D206" s="8" t="str">
        <f t="shared" si="16"/>
        <v>0PremiumW4</v>
      </c>
      <c r="E206" s="10">
        <v>0</v>
      </c>
      <c r="F206" s="6">
        <v>127</v>
      </c>
      <c r="G206" s="8" t="str">
        <f>VLOOKUP(F206,[1]characters!$A:$C,3,FALSE)</f>
        <v>狂喜の賢者 ユノ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VLOOKUP(D206,gacha_163_base!A:B,2,FALSE)</f>
        <v>12115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20"/>
        <v>1630129</v>
      </c>
      <c r="B207" s="2" t="str">
        <f t="shared" si="14"/>
        <v>1630</v>
      </c>
      <c r="C207" s="8" t="str">
        <f t="shared" si="21"/>
        <v>0PremiumW4</v>
      </c>
      <c r="D207" s="8" t="str">
        <f t="shared" si="16"/>
        <v>0PremiumW4</v>
      </c>
      <c r="E207" s="10">
        <v>0</v>
      </c>
      <c r="F207" s="6">
        <v>129</v>
      </c>
      <c r="G207" s="8" t="str">
        <f>VLOOKUP(F207,[1]characters!$A:$C,3,FALSE)</f>
        <v>孤高の狼憑き アマラ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VLOOKUP(D207,gacha_163_base!A:B,2,FALSE)</f>
        <v>12115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20"/>
        <v>1630131</v>
      </c>
      <c r="B208" s="2" t="str">
        <f t="shared" si="14"/>
        <v>1630</v>
      </c>
      <c r="C208" s="8" t="str">
        <f t="shared" si="21"/>
        <v>0PremiumW4</v>
      </c>
      <c r="D208" s="8" t="str">
        <f t="shared" si="16"/>
        <v>0PremiumW4</v>
      </c>
      <c r="E208" s="10">
        <v>0</v>
      </c>
      <c r="F208" s="6">
        <v>131</v>
      </c>
      <c r="G208" s="8" t="str">
        <f>VLOOKUP(F208,[1]characters!$A:$C,3,FALSE)</f>
        <v>月下の人狼 ローレンス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animal</v>
      </c>
      <c r="M208" s="16">
        <f>VLOOKUP(D208,gacha_163_base!A:B,2,FALSE)</f>
        <v>12115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20"/>
        <v>1630133</v>
      </c>
      <c r="B209" s="2" t="str">
        <f t="shared" si="14"/>
        <v>1630</v>
      </c>
      <c r="C209" s="8" t="str">
        <f t="shared" si="21"/>
        <v>0PremiumW4</v>
      </c>
      <c r="D209" s="8" t="str">
        <f t="shared" si="16"/>
        <v>0PremiumW4</v>
      </c>
      <c r="E209" s="10">
        <v>0</v>
      </c>
      <c r="F209" s="6">
        <v>133</v>
      </c>
      <c r="G209" s="8" t="str">
        <f>VLOOKUP(F209,[1]characters!$A:$C,3,FALSE)</f>
        <v>迅雷の刀剣 ハヤト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human</v>
      </c>
      <c r="M209" s="16">
        <f>VLOOKUP(D209,gacha_163_base!A:B,2,FALSE)</f>
        <v>12115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si="20"/>
        <v>1630135</v>
      </c>
      <c r="B210" s="2" t="str">
        <f t="shared" si="14"/>
        <v>1630</v>
      </c>
      <c r="C210" s="8" t="str">
        <f t="shared" si="21"/>
        <v>0PremiumW4</v>
      </c>
      <c r="D210" s="8" t="str">
        <f t="shared" si="16"/>
        <v>0PremiumW4</v>
      </c>
      <c r="E210" s="10">
        <v>0</v>
      </c>
      <c r="F210" s="6">
        <v>135</v>
      </c>
      <c r="G210" s="8" t="str">
        <f>VLOOKUP(F210,[1]characters!$A:$C,3,FALSE)</f>
        <v>京の炎華夕霧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VLOOKUP(D210,gacha_163_base!A:B,2,FALSE)</f>
        <v>12115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20"/>
        <v>1630137</v>
      </c>
      <c r="B211" s="2" t="str">
        <f t="shared" si="14"/>
        <v>1630</v>
      </c>
      <c r="C211" s="8" t="str">
        <f t="shared" si="21"/>
        <v>0PremiumW4</v>
      </c>
      <c r="D211" s="8" t="str">
        <f t="shared" si="16"/>
        <v>0PremiumW4</v>
      </c>
      <c r="E211" s="10">
        <v>0</v>
      </c>
      <c r="F211" s="9">
        <v>137</v>
      </c>
      <c r="G211" s="8" t="str">
        <f>VLOOKUP(F211,[1]characters!$A:$C,3,FALSE)</f>
        <v>清福の仕立屋 チハヤ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balance</v>
      </c>
      <c r="L211" s="8" t="str">
        <f>VLOOKUP(F211,[1]characters!$A:$M,13,FALSE)</f>
        <v>human</v>
      </c>
      <c r="M211" s="16">
        <f>VLOOKUP(D211,gacha_163_base!A:B,2,FALSE)</f>
        <v>12115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20"/>
        <v>1630139</v>
      </c>
      <c r="B212" s="2" t="str">
        <f t="shared" si="14"/>
        <v>1630</v>
      </c>
      <c r="C212" s="8" t="str">
        <f t="shared" si="21"/>
        <v>0PremiumW4</v>
      </c>
      <c r="D212" s="8" t="str">
        <f t="shared" si="16"/>
        <v>0PremiumW4</v>
      </c>
      <c r="E212" s="10">
        <v>0</v>
      </c>
      <c r="F212" s="6">
        <v>139</v>
      </c>
      <c r="G212" s="8" t="str">
        <f>VLOOKUP(F212,[1]characters!$A:$C,3,FALSE)</f>
        <v>蒼昇刃姫 トモエ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balance</v>
      </c>
      <c r="L212" s="8" t="str">
        <f>VLOOKUP(F212,[1]characters!$A:$M,13,FALSE)</f>
        <v>human</v>
      </c>
      <c r="M212" s="16">
        <f>VLOOKUP(D212,gacha_163_base!A:B,2,FALSE)</f>
        <v>12115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20"/>
        <v>1630141</v>
      </c>
      <c r="B213" s="2" t="str">
        <f t="shared" si="14"/>
        <v>1630</v>
      </c>
      <c r="C213" s="8" t="str">
        <f t="shared" si="21"/>
        <v>0PremiumW4</v>
      </c>
      <c r="D213" s="8" t="str">
        <f t="shared" si="16"/>
        <v>0PremiumW4</v>
      </c>
      <c r="E213" s="10">
        <v>0</v>
      </c>
      <c r="F213" s="6">
        <v>141</v>
      </c>
      <c r="G213" s="8" t="str">
        <f>VLOOKUP(F213,[1]characters!$A:$C,3,FALSE)</f>
        <v>妖狐演舞 タマモ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animal</v>
      </c>
      <c r="M213" s="16">
        <f>VLOOKUP(D213,gacha_163_base!A:B,2,FALSE)</f>
        <v>12115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20"/>
        <v>1630143</v>
      </c>
      <c r="B214" s="2" t="str">
        <f t="shared" si="14"/>
        <v>1630</v>
      </c>
      <c r="C214" s="8" t="str">
        <f t="shared" si="21"/>
        <v>0PremiumW4</v>
      </c>
      <c r="D214" s="8" t="str">
        <f t="shared" si="16"/>
        <v>0PremiumW4</v>
      </c>
      <c r="E214" s="10">
        <v>0</v>
      </c>
      <c r="F214" s="6">
        <v>143</v>
      </c>
      <c r="G214" s="8" t="str">
        <f>VLOOKUP(F214,[1]characters!$A:$C,3,FALSE)</f>
        <v>深紅の死神 赤ずきん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VLOOKUP(D214,gacha_163_base!A:B,2,FALSE)</f>
        <v>12115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si="20"/>
        <v>1630145</v>
      </c>
      <c r="B215" s="2" t="str">
        <f t="shared" si="14"/>
        <v>1630</v>
      </c>
      <c r="C215" s="8" t="str">
        <f t="shared" si="21"/>
        <v>0PremiumW4</v>
      </c>
      <c r="D215" s="8" t="str">
        <f t="shared" si="16"/>
        <v>0PremiumW4</v>
      </c>
      <c r="E215" s="10">
        <v>0</v>
      </c>
      <c r="F215" s="6">
        <v>145</v>
      </c>
      <c r="G215" s="8" t="str">
        <f>VLOOKUP(F215,[1]characters!$A:$C,3,FALSE)</f>
        <v>魔性妖艶 かぐや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human</v>
      </c>
      <c r="M215" s="16">
        <f>VLOOKUP(D215,gacha_163_base!A:B,2,FALSE)</f>
        <v>12115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20"/>
        <v>1630147</v>
      </c>
      <c r="B216" s="2" t="str">
        <f t="shared" si="14"/>
        <v>1630</v>
      </c>
      <c r="C216" s="8" t="str">
        <f t="shared" si="21"/>
        <v>0PremiumW4</v>
      </c>
      <c r="D216" s="8" t="str">
        <f t="shared" si="16"/>
        <v>0PremiumW4</v>
      </c>
      <c r="E216" s="10">
        <v>0</v>
      </c>
      <c r="F216" s="6">
        <v>147</v>
      </c>
      <c r="G216" s="8" t="str">
        <f>VLOOKUP(F216,[1]characters!$A:$C,3,FALSE)</f>
        <v>蒼き閃光 元マーメイド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hp</v>
      </c>
      <c r="L216" s="8" t="str">
        <f>VLOOKUP(F216,[1]characters!$A:$M,13,FALSE)</f>
        <v>human</v>
      </c>
      <c r="M216" s="16">
        <f>VLOOKUP(D216,gacha_163_base!A:B,2,FALSE)</f>
        <v>12115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0"/>
        <v>1630149</v>
      </c>
      <c r="B217" s="2" t="str">
        <f t="shared" si="14"/>
        <v>1630</v>
      </c>
      <c r="C217" s="8" t="str">
        <f t="shared" si="21"/>
        <v>0PremiumW4</v>
      </c>
      <c r="D217" s="8" t="str">
        <f t="shared" si="16"/>
        <v>0PremiumW4</v>
      </c>
      <c r="E217" s="10">
        <v>0</v>
      </c>
      <c r="F217" s="6">
        <v>149</v>
      </c>
      <c r="G217" s="8" t="str">
        <f>VLOOKUP(F217,[1]characters!$A:$C,3,FALSE)</f>
        <v>雷撃蹴技を極めし者 シンデレラ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VLOOKUP(D217,gacha_163_base!A:B,2,FALSE)</f>
        <v>12115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0"/>
        <v>1630151</v>
      </c>
      <c r="B218" s="2" t="str">
        <f t="shared" si="14"/>
        <v>1630</v>
      </c>
      <c r="C218" s="8" t="str">
        <f t="shared" si="21"/>
        <v>0PremiumW4</v>
      </c>
      <c r="D218" s="8" t="str">
        <f t="shared" si="16"/>
        <v>0PremiumW4</v>
      </c>
      <c r="E218" s="10">
        <v>0</v>
      </c>
      <c r="F218" s="6">
        <v>151</v>
      </c>
      <c r="G218" s="8" t="str">
        <f>VLOOKUP(F218,[1]characters!$A:$C,3,FALSE)</f>
        <v>毒煙の処刑人サキ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technical</v>
      </c>
      <c r="L218" s="8" t="str">
        <f>VLOOKUP(F218,[1]characters!$A:$M,13,FALSE)</f>
        <v>human</v>
      </c>
      <c r="M218" s="16">
        <f>VLOOKUP(D218,gacha_163_base!A:B,2,FALSE)</f>
        <v>12115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0"/>
        <v>1630153</v>
      </c>
      <c r="B219" s="2" t="str">
        <f t="shared" si="14"/>
        <v>1630</v>
      </c>
      <c r="C219" s="8" t="str">
        <f t="shared" si="21"/>
        <v>0PremiumW4</v>
      </c>
      <c r="D219" s="8" t="str">
        <f t="shared" si="16"/>
        <v>0PremiumW4</v>
      </c>
      <c r="E219" s="10">
        <v>0</v>
      </c>
      <c r="F219" s="6">
        <v>153</v>
      </c>
      <c r="G219" s="8" t="str">
        <f>VLOOKUP(F219,[1]characters!$A:$C,3,FALSE)</f>
        <v>拳聖ランラン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6">
        <f>VLOOKUP(D219,gacha_163_base!A:B,2,FALSE)</f>
        <v>12115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0"/>
        <v>1630155</v>
      </c>
      <c r="B220" s="2" t="str">
        <f t="shared" si="14"/>
        <v>1630</v>
      </c>
      <c r="C220" s="8" t="str">
        <f t="shared" si="21"/>
        <v>0PremiumW4</v>
      </c>
      <c r="D220" s="8" t="str">
        <f t="shared" si="16"/>
        <v>0PremiumW4</v>
      </c>
      <c r="E220" s="10">
        <v>0</v>
      </c>
      <c r="F220" s="6">
        <v>155</v>
      </c>
      <c r="G220" s="8" t="str">
        <f>VLOOKUP(F220,[1]characters!$A:$C,3,FALSE)</f>
        <v>隻眼の掃除屋 ハンナ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heal</v>
      </c>
      <c r="L220" s="8" t="str">
        <f>VLOOKUP(F220,[1]characters!$A:$M,13,FALSE)</f>
        <v>human</v>
      </c>
      <c r="M220" s="16">
        <f>VLOOKUP(D220,gacha_163_base!A:B,2,FALSE)</f>
        <v>12115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0"/>
        <v>1630157</v>
      </c>
      <c r="B221" s="2" t="str">
        <f t="shared" si="14"/>
        <v>1630</v>
      </c>
      <c r="C221" s="8" t="str">
        <f t="shared" si="21"/>
        <v>0PremiumW4</v>
      </c>
      <c r="D221" s="8" t="str">
        <f t="shared" si="16"/>
        <v>0PremiumW4</v>
      </c>
      <c r="E221" s="10">
        <v>0</v>
      </c>
      <c r="F221" s="6">
        <v>157</v>
      </c>
      <c r="G221" s="8" t="str">
        <f>VLOOKUP(F221,[1]characters!$A:$C,3,FALSE)</f>
        <v>雷光舞姫 エレナ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heal</v>
      </c>
      <c r="L221" s="8" t="str">
        <f>VLOOKUP(F221,[1]characters!$A:$M,13,FALSE)</f>
        <v>human</v>
      </c>
      <c r="M221" s="16">
        <f>VLOOKUP(D221,gacha_163_base!A:B,2,FALSE)</f>
        <v>12115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0"/>
        <v>1630159</v>
      </c>
      <c r="B222" s="2" t="str">
        <f t="shared" si="14"/>
        <v>1630</v>
      </c>
      <c r="C222" s="8" t="str">
        <f t="shared" si="21"/>
        <v>0PremiumW4</v>
      </c>
      <c r="D222" s="8" t="str">
        <f t="shared" si="16"/>
        <v>0PremiumW4</v>
      </c>
      <c r="E222" s="10">
        <v>0</v>
      </c>
      <c r="F222" s="6">
        <v>159</v>
      </c>
      <c r="G222" s="8" t="str">
        <f>VLOOKUP(F222,[1]characters!$A:$C,3,FALSE)</f>
        <v>邪を狩りし者 シャルロッテ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heal</v>
      </c>
      <c r="L222" s="8" t="str">
        <f>VLOOKUP(F222,[1]characters!$A:$M,13,FALSE)</f>
        <v>human</v>
      </c>
      <c r="M222" s="16">
        <f>VLOOKUP(D222,gacha_163_base!A:B,2,FALSE)</f>
        <v>12115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0"/>
        <v>1630161</v>
      </c>
      <c r="B223" s="2" t="str">
        <f t="shared" si="14"/>
        <v>1630</v>
      </c>
      <c r="C223" s="8" t="str">
        <f t="shared" si="21"/>
        <v>0PremiumW4</v>
      </c>
      <c r="D223" s="8" t="str">
        <f t="shared" si="16"/>
        <v>0PremiumW4</v>
      </c>
      <c r="E223" s="10">
        <v>0</v>
      </c>
      <c r="F223" s="6">
        <v>161</v>
      </c>
      <c r="G223" s="8" t="str">
        <f>VLOOKUP(F223,[1]characters!$A:$C,3,FALSE)</f>
        <v>咆哮の先導者 クリエ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VLOOKUP(D223,gacha_163_base!A:B,2,FALSE)</f>
        <v>12115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0"/>
        <v>1630163</v>
      </c>
      <c r="B224" s="2" t="str">
        <f t="shared" si="14"/>
        <v>1630</v>
      </c>
      <c r="C224" s="8" t="str">
        <f t="shared" si="21"/>
        <v>0PremiumW4</v>
      </c>
      <c r="D224" s="8" t="str">
        <f t="shared" si="16"/>
        <v>0PremiumW4</v>
      </c>
      <c r="E224" s="10">
        <v>0</v>
      </c>
      <c r="F224" s="6">
        <v>163</v>
      </c>
      <c r="G224" s="8" t="str">
        <f>VLOOKUP(F224,[1]characters!$A:$C,3,FALSE)</f>
        <v>冷酷な狂嬢 クララ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blue</v>
      </c>
      <c r="K224" s="8" t="str">
        <f>VLOOKUP(F224,[1]characters!$A:$K,11,FALSE)</f>
        <v>attack</v>
      </c>
      <c r="L224" s="8" t="str">
        <f>VLOOKUP(F224,[1]characters!$A:$M,13,FALSE)</f>
        <v>human</v>
      </c>
      <c r="M224" s="16">
        <f>VLOOKUP(D224,gacha_163_base!A:B,2,FALSE)</f>
        <v>12115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0"/>
        <v>1630165</v>
      </c>
      <c r="B225" s="2" t="str">
        <f t="shared" si="14"/>
        <v>1630</v>
      </c>
      <c r="C225" s="8" t="str">
        <f t="shared" si="21"/>
        <v>0PremiumW4</v>
      </c>
      <c r="D225" s="8" t="str">
        <f t="shared" si="16"/>
        <v>0PremiumW4</v>
      </c>
      <c r="E225" s="10">
        <v>0</v>
      </c>
      <c r="F225" s="6">
        <v>165</v>
      </c>
      <c r="G225" s="8" t="str">
        <f>VLOOKUP(F225,[1]characters!$A:$C,3,FALSE)</f>
        <v>イブとたったひとりのトモダチ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technical</v>
      </c>
      <c r="L225" s="8" t="str">
        <f>VLOOKUP(F225,[1]characters!$A:$M,13,FALSE)</f>
        <v>human</v>
      </c>
      <c r="M225" s="16">
        <f>VLOOKUP(D225,gacha_163_base!A:B,2,FALSE)</f>
        <v>12115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0"/>
        <v>1630167</v>
      </c>
      <c r="B226" s="2" t="str">
        <f t="shared" si="14"/>
        <v>1630</v>
      </c>
      <c r="C226" s="8" t="str">
        <f t="shared" si="21"/>
        <v>0PremiumN4</v>
      </c>
      <c r="D226" s="8" t="str">
        <f t="shared" si="16"/>
        <v>0PremiumN4</v>
      </c>
      <c r="E226" s="10">
        <v>0</v>
      </c>
      <c r="F226" s="6">
        <v>167</v>
      </c>
      <c r="G226" s="8" t="str">
        <f>VLOOKUP(F226,[1]characters!$A:$C,3,FALSE)</f>
        <v>逆徒 ベリアル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VLOOKUP(D226,gacha_163_base!A:B,2,FALSE)</f>
        <v>22777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0"/>
        <v>1630168</v>
      </c>
      <c r="B227" s="2" t="str">
        <f t="shared" si="14"/>
        <v>1630</v>
      </c>
      <c r="C227" s="8" t="str">
        <f t="shared" si="21"/>
        <v>0PremiumN5</v>
      </c>
      <c r="D227" s="8" t="str">
        <f t="shared" si="16"/>
        <v>0PremiumN5</v>
      </c>
      <c r="E227" s="10">
        <v>0</v>
      </c>
      <c r="F227" s="6">
        <v>168</v>
      </c>
      <c r="G227" s="8" t="str">
        <f>VLOOKUP(F227,[1]characters!$A:$C,3,FALSE)</f>
        <v>猛進の大逆者 ベリアル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VLOOKUP(D227,gacha_163_base!A:B,2,FALSE)</f>
        <v>1454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0"/>
        <v>1630170</v>
      </c>
      <c r="B228" s="2" t="str">
        <f t="shared" si="14"/>
        <v>1630</v>
      </c>
      <c r="C228" s="8" t="str">
        <f t="shared" si="21"/>
        <v>0PremiumN4</v>
      </c>
      <c r="D228" s="8" t="str">
        <f t="shared" si="16"/>
        <v>0PremiumN4</v>
      </c>
      <c r="E228" s="10">
        <v>0</v>
      </c>
      <c r="F228" s="6">
        <v>170</v>
      </c>
      <c r="G228" s="8" t="str">
        <f>VLOOKUP(F228,[1]characters!$A:$C,3,FALSE)</f>
        <v>識徒 オセ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VLOOKUP(D228,gacha_163_base!A:B,2,FALSE)</f>
        <v>22777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0"/>
        <v>1630171</v>
      </c>
      <c r="B229" s="2" t="str">
        <f t="shared" si="14"/>
        <v>1630</v>
      </c>
      <c r="C229" s="8" t="str">
        <f t="shared" si="21"/>
        <v>0PremiumN5</v>
      </c>
      <c r="D229" s="8" t="str">
        <f t="shared" si="16"/>
        <v>0PremiumN5</v>
      </c>
      <c r="E229" s="10">
        <v>0</v>
      </c>
      <c r="F229" s="6">
        <v>171</v>
      </c>
      <c r="G229" s="8" t="str">
        <f>VLOOKUP(F229,[1]characters!$A:$C,3,FALSE)</f>
        <v>精解の預知者 オセ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VLOOKUP(D229,gacha_163_base!A:B,2,FALSE)</f>
        <v>1454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0"/>
        <v>1630173</v>
      </c>
      <c r="B230" s="2" t="str">
        <f t="shared" si="14"/>
        <v>1630</v>
      </c>
      <c r="C230" s="8" t="str">
        <f t="shared" si="21"/>
        <v>0PremiumN4</v>
      </c>
      <c r="D230" s="8" t="str">
        <f t="shared" si="16"/>
        <v>0PremiumN4</v>
      </c>
      <c r="E230" s="10">
        <v>0</v>
      </c>
      <c r="F230" s="6">
        <v>173</v>
      </c>
      <c r="G230" s="8" t="str">
        <f>VLOOKUP(F230,[1]characters!$A:$C,3,FALSE)</f>
        <v>公爵 フォルネウス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VLOOKUP(D230,gacha_163_base!A:B,2,FALSE)</f>
        <v>22777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0"/>
        <v>1630174</v>
      </c>
      <c r="B231" s="2" t="str">
        <f t="shared" si="14"/>
        <v>1630</v>
      </c>
      <c r="C231" s="8" t="str">
        <f t="shared" si="21"/>
        <v>0PremiumN5</v>
      </c>
      <c r="D231" s="8" t="str">
        <f t="shared" si="16"/>
        <v>0PremiumN5</v>
      </c>
      <c r="E231" s="10">
        <v>0</v>
      </c>
      <c r="F231" s="6">
        <v>174</v>
      </c>
      <c r="G231" s="8" t="str">
        <f>VLOOKUP(F231,[1]characters!$A:$C,3,FALSE)</f>
        <v>偽愛の大公爵 フォルネウス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VLOOKUP(D231,gacha_163_base!A:B,2,FALSE)</f>
        <v>1454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0"/>
        <v>1630176</v>
      </c>
      <c r="B232" s="2" t="str">
        <f t="shared" si="14"/>
        <v>1630</v>
      </c>
      <c r="C232" s="8" t="str">
        <f t="shared" si="21"/>
        <v>0PremiumN4</v>
      </c>
      <c r="D232" s="8" t="str">
        <f t="shared" si="16"/>
        <v>0PremiumN4</v>
      </c>
      <c r="E232" s="10">
        <v>0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VLOOKUP(D232,gacha_163_base!A:B,2,FALSE)</f>
        <v>22777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0"/>
        <v>1630177</v>
      </c>
      <c r="B233" s="2" t="str">
        <f t="shared" si="14"/>
        <v>1630</v>
      </c>
      <c r="C233" s="8" t="str">
        <f t="shared" si="21"/>
        <v>0PremiumN5</v>
      </c>
      <c r="D233" s="8" t="str">
        <f t="shared" si="16"/>
        <v>0PremiumN5</v>
      </c>
      <c r="E233" s="10">
        <v>0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VLOOKUP(D233,gacha_163_base!A:B,2,FALSE)</f>
        <v>1454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0"/>
        <v>1630179</v>
      </c>
      <c r="B234" s="2" t="str">
        <f t="shared" si="14"/>
        <v>1630</v>
      </c>
      <c r="C234" s="8" t="str">
        <f t="shared" si="21"/>
        <v>0PremiumN4</v>
      </c>
      <c r="D234" s="8" t="str">
        <f t="shared" si="16"/>
        <v>0PremiumN4</v>
      </c>
      <c r="E234" s="10">
        <v>0</v>
      </c>
      <c r="F234" s="6">
        <v>179</v>
      </c>
      <c r="G234" s="8" t="str">
        <f>VLOOKUP(F234,[1]characters!$A:$C,3,FALSE)</f>
        <v>番犬 ケルベロス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VLOOKUP(D234,gacha_163_base!A:B,2,FALSE)</f>
        <v>22777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0"/>
        <v>1630180</v>
      </c>
      <c r="B235" s="2" t="str">
        <f t="shared" si="14"/>
        <v>1630</v>
      </c>
      <c r="C235" s="8" t="str">
        <f t="shared" si="21"/>
        <v>0PremiumN5</v>
      </c>
      <c r="D235" s="8" t="str">
        <f t="shared" si="16"/>
        <v>0PremiumN5</v>
      </c>
      <c r="E235" s="10">
        <v>0</v>
      </c>
      <c r="F235" s="6">
        <v>180</v>
      </c>
      <c r="G235" s="8" t="str">
        <f>VLOOKUP(F235,[1]characters!$A:$C,3,FALSE)</f>
        <v>地獄の大門番 ケルベロス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VLOOKUP(D235,gacha_163_base!A:B,2,FALSE)</f>
        <v>1454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0"/>
        <v>1630182</v>
      </c>
      <c r="B236" s="2" t="str">
        <f t="shared" si="14"/>
        <v>1630</v>
      </c>
      <c r="C236" s="8" t="str">
        <f t="shared" si="21"/>
        <v>0PremiumN4</v>
      </c>
      <c r="D236" s="8" t="str">
        <f t="shared" si="16"/>
        <v>0PremiumN4</v>
      </c>
      <c r="E236" s="10">
        <v>0</v>
      </c>
      <c r="F236" s="6">
        <v>182</v>
      </c>
      <c r="G236" s="8" t="str">
        <f>VLOOKUP(F236,[1]characters!$A:$C,3,FALSE)</f>
        <v>放蕩者 ベヒモス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hp</v>
      </c>
      <c r="L236" s="8" t="str">
        <f>VLOOKUP(F236,[1]characters!$A:$M,13,FALSE)</f>
        <v>animal</v>
      </c>
      <c r="M236" s="16">
        <f>VLOOKUP(D236,gacha_163_base!A:B,2,FALSE)</f>
        <v>22777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0"/>
        <v>1630183</v>
      </c>
      <c r="B237" s="2" t="str">
        <f t="shared" si="14"/>
        <v>1630</v>
      </c>
      <c r="C237" s="8" t="str">
        <f t="shared" si="21"/>
        <v>0PremiumN5</v>
      </c>
      <c r="D237" s="8" t="str">
        <f t="shared" si="16"/>
        <v>0PremiumN5</v>
      </c>
      <c r="E237" s="10">
        <v>0</v>
      </c>
      <c r="F237" s="6">
        <v>183</v>
      </c>
      <c r="G237" s="8" t="str">
        <f>VLOOKUP(F237,[1]characters!$A:$C,3,FALSE)</f>
        <v>鈍重な彷徨者 ベヒモス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VLOOKUP(D237,gacha_163_base!A:B,2,FALSE)</f>
        <v>1454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0"/>
        <v>1630185</v>
      </c>
      <c r="B238" s="2" t="str">
        <f t="shared" si="14"/>
        <v>1630</v>
      </c>
      <c r="C238" s="8" t="str">
        <f t="shared" si="21"/>
        <v>0PremiumN4</v>
      </c>
      <c r="D238" s="8" t="str">
        <f t="shared" si="16"/>
        <v>0PremiumN4</v>
      </c>
      <c r="E238" s="10">
        <v>0</v>
      </c>
      <c r="F238" s="6">
        <v>185</v>
      </c>
      <c r="G238" s="8" t="str">
        <f>VLOOKUP(F238,[1]characters!$A:$C,3,FALSE)</f>
        <v>海姫 クラーケン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heal</v>
      </c>
      <c r="L238" s="8" t="str">
        <f>VLOOKUP(F238,[1]characters!$A:$M,13,FALSE)</f>
        <v>animal</v>
      </c>
      <c r="M238" s="16">
        <f>VLOOKUP(D238,gacha_163_base!A:B,2,FALSE)</f>
        <v>22777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0"/>
        <v>1630186</v>
      </c>
      <c r="B239" s="2" t="str">
        <f t="shared" si="14"/>
        <v>1630</v>
      </c>
      <c r="C239" s="8" t="str">
        <f t="shared" si="21"/>
        <v>0PremiumN5</v>
      </c>
      <c r="D239" s="8" t="str">
        <f t="shared" si="16"/>
        <v>0PremiumN5</v>
      </c>
      <c r="E239" s="10">
        <v>0</v>
      </c>
      <c r="F239" s="9">
        <v>186</v>
      </c>
      <c r="G239" s="8" t="str">
        <f>VLOOKUP(F239,[1]characters!$A:$C,3,FALSE)</f>
        <v>誇り高き多触姫・クラーケン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heal</v>
      </c>
      <c r="L239" s="8" t="str">
        <f>VLOOKUP(F239,[1]characters!$A:$M,13,FALSE)</f>
        <v>animal</v>
      </c>
      <c r="M239" s="16">
        <f>VLOOKUP(D239,gacha_163_base!A:B,2,FALSE)</f>
        <v>1454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0"/>
        <v>1630188</v>
      </c>
      <c r="B240" s="2" t="str">
        <f t="shared" si="14"/>
        <v>1630</v>
      </c>
      <c r="C240" s="8" t="str">
        <f t="shared" si="21"/>
        <v>0PremiumN4</v>
      </c>
      <c r="D240" s="8" t="str">
        <f t="shared" si="16"/>
        <v>0PremiumN4</v>
      </c>
      <c r="E240" s="10">
        <v>0</v>
      </c>
      <c r="F240" s="9">
        <v>188</v>
      </c>
      <c r="G240" s="8" t="str">
        <f>VLOOKUP(F240,[1]characters!$A:$C,3,FALSE)</f>
        <v>猛禽 ホルス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animal</v>
      </c>
      <c r="M240" s="16">
        <f>VLOOKUP(D240,gacha_163_base!A:B,2,FALSE)</f>
        <v>22777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0"/>
        <v>1630189</v>
      </c>
      <c r="B241" s="2" t="str">
        <f t="shared" si="14"/>
        <v>1630</v>
      </c>
      <c r="C241" s="8" t="str">
        <f t="shared" ref="C241:C283" si="22">E241&amp;H241&amp;I241</f>
        <v>0PremiumN5</v>
      </c>
      <c r="D241" s="8" t="str">
        <f t="shared" si="16"/>
        <v>0PremiumN5</v>
      </c>
      <c r="E241" s="10">
        <v>0</v>
      </c>
      <c r="F241" s="9">
        <v>189</v>
      </c>
      <c r="G241" s="8" t="str">
        <f>VLOOKUP(F241,[1]characters!$A:$C,3,FALSE)</f>
        <v>迅雷の王禽 ホルス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animal</v>
      </c>
      <c r="M241" s="16">
        <f>VLOOKUP(D241,gacha_163_base!A:B,2,FALSE)</f>
        <v>1454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0"/>
        <v>1630191</v>
      </c>
      <c r="B242" s="2" t="str">
        <f t="shared" si="14"/>
        <v>1630</v>
      </c>
      <c r="C242" s="8" t="str">
        <f t="shared" si="22"/>
        <v>0PremiumN4</v>
      </c>
      <c r="D242" s="8" t="str">
        <f t="shared" si="16"/>
        <v>0PremiumN4</v>
      </c>
      <c r="E242" s="10">
        <v>0</v>
      </c>
      <c r="F242" s="6">
        <v>191</v>
      </c>
      <c r="G242" s="8" t="str">
        <f>VLOOKUP(F242,[1]characters!$A:$C,3,FALSE)</f>
        <v>始祖 卑弥呼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VLOOKUP(D242,gacha_163_base!A:B,2,FALSE)</f>
        <v>22777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0"/>
        <v>1630192</v>
      </c>
      <c r="B243" s="2" t="str">
        <f t="shared" si="14"/>
        <v>1630</v>
      </c>
      <c r="C243" s="8" t="str">
        <f t="shared" si="22"/>
        <v>0PremiumN5</v>
      </c>
      <c r="D243" s="8" t="str">
        <f t="shared" si="16"/>
        <v>0PremiumN5</v>
      </c>
      <c r="E243" s="10">
        <v>0</v>
      </c>
      <c r="F243" s="6">
        <v>192</v>
      </c>
      <c r="G243" s="8" t="str">
        <f>VLOOKUP(F243,[1]characters!$A:$C,3,FALSE)</f>
        <v>荘厳なる始祖帝 卑弥呼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VLOOKUP(D243,gacha_163_base!A:B,2,FALSE)</f>
        <v>1454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0"/>
        <v>1630194</v>
      </c>
      <c r="B244" s="2" t="str">
        <f t="shared" si="14"/>
        <v>1630</v>
      </c>
      <c r="C244" s="8" t="str">
        <f t="shared" si="22"/>
        <v>0PremiumN4</v>
      </c>
      <c r="D244" s="8" t="str">
        <f t="shared" si="16"/>
        <v>0PremiumN4</v>
      </c>
      <c r="E244" s="10">
        <v>0</v>
      </c>
      <c r="F244" s="6">
        <v>194</v>
      </c>
      <c r="G244" s="8" t="str">
        <f>VLOOKUP(F244,[1]characters!$A:$C,3,FALSE)</f>
        <v>スナイパー ロビンフッド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VLOOKUP(D244,gacha_163_base!A:B,2,FALSE)</f>
        <v>22777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0"/>
        <v>1630195</v>
      </c>
      <c r="B245" s="2" t="str">
        <f t="shared" si="14"/>
        <v>1630</v>
      </c>
      <c r="C245" s="8" t="str">
        <f t="shared" si="22"/>
        <v>0PremiumN5</v>
      </c>
      <c r="D245" s="8" t="str">
        <f t="shared" si="16"/>
        <v>0PremiumN5</v>
      </c>
      <c r="E245" s="10">
        <v>0</v>
      </c>
      <c r="F245" s="6">
        <v>195</v>
      </c>
      <c r="G245" s="8" t="str">
        <f>VLOOKUP(F245,[1]characters!$A:$C,3,FALSE)</f>
        <v>グランドハンター ロビンフッド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VLOOKUP(D245,gacha_163_base!A:B,2,FALSE)</f>
        <v>1454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0"/>
        <v>1630197</v>
      </c>
      <c r="B246" s="2" t="str">
        <f t="shared" si="14"/>
        <v>1630</v>
      </c>
      <c r="C246" s="8" t="str">
        <f t="shared" si="22"/>
        <v>0PremiumN4</v>
      </c>
      <c r="D246" s="8" t="str">
        <f t="shared" si="16"/>
        <v>0PremiumN4</v>
      </c>
      <c r="E246" s="10">
        <v>0</v>
      </c>
      <c r="F246" s="6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VLOOKUP(D246,gacha_163_base!A:B,2,FALSE)</f>
        <v>22777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0"/>
        <v>1630198</v>
      </c>
      <c r="B247" s="2" t="str">
        <f t="shared" si="14"/>
        <v>1630</v>
      </c>
      <c r="C247" s="8" t="str">
        <f t="shared" si="22"/>
        <v>0PremiumN5</v>
      </c>
      <c r="D247" s="8" t="str">
        <f t="shared" si="16"/>
        <v>0PremiumN5</v>
      </c>
      <c r="E247" s="10">
        <v>0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VLOOKUP(D247,gacha_163_base!A:B,2,FALSE)</f>
        <v>1454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0"/>
        <v>1630200</v>
      </c>
      <c r="B248" s="2" t="str">
        <f t="shared" si="14"/>
        <v>1630</v>
      </c>
      <c r="C248" s="8" t="str">
        <f t="shared" si="22"/>
        <v>0PremiumN4</v>
      </c>
      <c r="D248" s="8" t="str">
        <f t="shared" si="16"/>
        <v>0PremiumN4</v>
      </c>
      <c r="E248" s="10">
        <v>0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VLOOKUP(D248,gacha_163_base!A:B,2,FALSE)</f>
        <v>22777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0"/>
        <v>1630201</v>
      </c>
      <c r="B249" s="2" t="str">
        <f t="shared" si="14"/>
        <v>1630</v>
      </c>
      <c r="C249" s="8" t="str">
        <f t="shared" si="22"/>
        <v>0PremiumN5</v>
      </c>
      <c r="D249" s="8" t="str">
        <f t="shared" si="16"/>
        <v>0PremiumN5</v>
      </c>
      <c r="E249" s="10">
        <v>0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VLOOKUP(D249,gacha_163_base!A:B,2,FALSE)</f>
        <v>1454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0"/>
        <v>1630203</v>
      </c>
      <c r="B250" s="2" t="str">
        <f t="shared" si="14"/>
        <v>1630</v>
      </c>
      <c r="C250" s="8" t="str">
        <f t="shared" si="22"/>
        <v>0PremiumN4</v>
      </c>
      <c r="D250" s="8" t="str">
        <f t="shared" si="16"/>
        <v>0PremiumN4</v>
      </c>
      <c r="E250" s="10">
        <v>0</v>
      </c>
      <c r="F250" s="5">
        <v>203</v>
      </c>
      <c r="G250" s="8" t="str">
        <f>VLOOKUP(F250,[1]characters!$A:$C,3,FALSE)</f>
        <v>焔神 プロメテウス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VLOOKUP(D250,gacha_163_base!A:B,2,FALSE)</f>
        <v>22777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0"/>
        <v>1630204</v>
      </c>
      <c r="B251" s="2" t="str">
        <f t="shared" si="14"/>
        <v>1630</v>
      </c>
      <c r="C251" s="8" t="str">
        <f t="shared" si="22"/>
        <v>0PremiumN5</v>
      </c>
      <c r="D251" s="8" t="str">
        <f t="shared" si="16"/>
        <v>0PremiumN5</v>
      </c>
      <c r="E251" s="10">
        <v>0</v>
      </c>
      <c r="F251" s="5">
        <v>204</v>
      </c>
      <c r="G251" s="8" t="str">
        <f>VLOOKUP(F251,[1]characters!$A:$C,3,FALSE)</f>
        <v>慟哭の巨焔 プロメテウス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VLOOKUP(D251,gacha_163_base!A:B,2,FALSE)</f>
        <v>1454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0"/>
        <v>1630206</v>
      </c>
      <c r="B252" s="2" t="str">
        <f t="shared" si="14"/>
        <v>1630</v>
      </c>
      <c r="C252" s="8" t="str">
        <f t="shared" si="22"/>
        <v>0PremiumN4</v>
      </c>
      <c r="D252" s="8" t="str">
        <f t="shared" si="16"/>
        <v>0PremiumN4</v>
      </c>
      <c r="E252" s="10">
        <v>0</v>
      </c>
      <c r="F252" s="5">
        <v>206</v>
      </c>
      <c r="G252" s="8" t="str">
        <f>VLOOKUP(F252,[1]characters!$A:$C,3,FALSE)</f>
        <v>美神 アフロディーテ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VLOOKUP(D252,gacha_163_base!A:B,2,FALSE)</f>
        <v>22777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0"/>
        <v>1630207</v>
      </c>
      <c r="B253" s="2" t="str">
        <f t="shared" si="14"/>
        <v>1630</v>
      </c>
      <c r="C253" s="8" t="str">
        <f t="shared" si="22"/>
        <v>0PremiumN5</v>
      </c>
      <c r="D253" s="8" t="str">
        <f t="shared" si="16"/>
        <v>0PremiumN5</v>
      </c>
      <c r="E253" s="10">
        <v>0</v>
      </c>
      <c r="F253" s="5">
        <v>207</v>
      </c>
      <c r="G253" s="8" t="str">
        <f>VLOOKUP(F253,[1]characters!$A:$C,3,FALSE)</f>
        <v>豊穣の麗神・アフロディーテ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VLOOKUP(D253,gacha_163_base!A:B,2,FALSE)</f>
        <v>1454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0"/>
        <v>1630209</v>
      </c>
      <c r="B254" s="2" t="str">
        <f t="shared" si="14"/>
        <v>1630</v>
      </c>
      <c r="C254" s="8" t="str">
        <f t="shared" si="22"/>
        <v>0PremiumN4</v>
      </c>
      <c r="D254" s="8" t="str">
        <f t="shared" si="16"/>
        <v>0PremiumN4</v>
      </c>
      <c r="E254" s="10">
        <v>0</v>
      </c>
      <c r="F254" s="5">
        <v>209</v>
      </c>
      <c r="G254" s="8" t="str">
        <f>VLOOKUP(F254,[1]characters!$A:$C,3,FALSE)</f>
        <v>孤神 テティス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VLOOKUP(D254,gacha_163_base!A:B,2,FALSE)</f>
        <v>22777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0"/>
        <v>1630210</v>
      </c>
      <c r="B255" s="2" t="str">
        <f t="shared" si="14"/>
        <v>1630</v>
      </c>
      <c r="C255" s="8" t="str">
        <f t="shared" si="22"/>
        <v>0PremiumN5</v>
      </c>
      <c r="D255" s="8" t="str">
        <f t="shared" si="16"/>
        <v>0PremiumN5</v>
      </c>
      <c r="E255" s="10">
        <v>0</v>
      </c>
      <c r="F255" s="5">
        <v>210</v>
      </c>
      <c r="G255" s="8" t="str">
        <f>VLOOKUP(F255,[1]characters!$A:$C,3,FALSE)</f>
        <v>海底の孤高神 テティス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blue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VLOOKUP(D255,gacha_163_base!A:B,2,FALSE)</f>
        <v>1454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0"/>
        <v>1630212</v>
      </c>
      <c r="B256" s="2" t="str">
        <f t="shared" si="14"/>
        <v>1630</v>
      </c>
      <c r="C256" s="8" t="str">
        <f t="shared" si="22"/>
        <v>0PremiumN4</v>
      </c>
      <c r="D256" s="8" t="str">
        <f t="shared" si="16"/>
        <v>0PremiumN4</v>
      </c>
      <c r="E256" s="10">
        <v>0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VLOOKUP(D256,gacha_163_base!A:B,2,FALSE)</f>
        <v>22777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0"/>
        <v>1630213</v>
      </c>
      <c r="B257" s="2" t="str">
        <f t="shared" si="14"/>
        <v>1630</v>
      </c>
      <c r="C257" s="8" t="str">
        <f t="shared" si="22"/>
        <v>0PremiumN5</v>
      </c>
      <c r="D257" s="8" t="str">
        <f t="shared" si="16"/>
        <v>0PremiumN5</v>
      </c>
      <c r="E257" s="10">
        <v>0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VLOOKUP(D257,gacha_163_base!A:B,2,FALSE)</f>
        <v>1454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0"/>
        <v>1630215</v>
      </c>
      <c r="B258" s="2" t="str">
        <f t="shared" si="14"/>
        <v>1630</v>
      </c>
      <c r="C258" s="8" t="str">
        <f t="shared" si="22"/>
        <v>0PremiumN4</v>
      </c>
      <c r="D258" s="8" t="str">
        <f t="shared" si="16"/>
        <v>0PremiumN4</v>
      </c>
      <c r="E258" s="10">
        <v>0</v>
      </c>
      <c r="F258" s="5">
        <v>215</v>
      </c>
      <c r="G258" s="8" t="str">
        <f>VLOOKUP(F258,[1]characters!$A:$C,3,FALSE)</f>
        <v>死導者 アズラエル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VLOOKUP(D258,gacha_163_base!A:B,2,FALSE)</f>
        <v>22777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0"/>
        <v>1630216</v>
      </c>
      <c r="B259" s="2" t="str">
        <f t="shared" ref="B259:B322" si="23">163&amp;E259</f>
        <v>1630</v>
      </c>
      <c r="C259" s="8" t="str">
        <f t="shared" si="22"/>
        <v>0PremiumN5</v>
      </c>
      <c r="D259" s="8" t="str">
        <f t="shared" ref="D259:D322" si="24">E259&amp;H259&amp;I259</f>
        <v>0PremiumN5</v>
      </c>
      <c r="E259" s="10">
        <v>0</v>
      </c>
      <c r="F259" s="5">
        <v>216</v>
      </c>
      <c r="G259" s="8" t="str">
        <f>VLOOKUP(F259,[1]characters!$A:$C,3,FALSE)</f>
        <v>百読の死導司書 アズラエル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VLOOKUP(D259,gacha_163_base!A:B,2,FALSE)</f>
        <v>1454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0"/>
        <v>1630218</v>
      </c>
      <c r="B260" s="2" t="str">
        <f t="shared" si="23"/>
        <v>1630</v>
      </c>
      <c r="C260" s="8" t="str">
        <f t="shared" si="22"/>
        <v>0PremiumN4</v>
      </c>
      <c r="D260" s="8" t="str">
        <f t="shared" si="24"/>
        <v>0PremiumN4</v>
      </c>
      <c r="E260" s="10">
        <v>0</v>
      </c>
      <c r="F260" s="5">
        <v>218</v>
      </c>
      <c r="G260" s="8" t="str">
        <f>VLOOKUP(F260,[1]characters!$A:$C,3,FALSE)</f>
        <v>聖蛇 ケツァクアトル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16">
        <f>VLOOKUP(D260,gacha_163_base!A:B,2,FALSE)</f>
        <v>22777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0"/>
        <v>1630219</v>
      </c>
      <c r="B261" s="2" t="str">
        <f t="shared" si="23"/>
        <v>1630</v>
      </c>
      <c r="C261" s="8" t="str">
        <f t="shared" si="22"/>
        <v>0PremiumN5</v>
      </c>
      <c r="D261" s="8" t="str">
        <f t="shared" si="24"/>
        <v>0PremiumN5</v>
      </c>
      <c r="E261" s="10">
        <v>0</v>
      </c>
      <c r="F261" s="5">
        <v>219</v>
      </c>
      <c r="G261" s="8" t="str">
        <f>VLOOKUP(F261,[1]characters!$A:$C,3,FALSE)</f>
        <v>覇翼の聖蛇竜 ケツァクアトル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VLOOKUP(D261,gacha_163_base!A:B,2,FALSE)</f>
        <v>1454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0"/>
        <v>1630221</v>
      </c>
      <c r="B262" s="2" t="str">
        <f t="shared" si="23"/>
        <v>1630</v>
      </c>
      <c r="C262" s="8" t="str">
        <f t="shared" si="22"/>
        <v>0PremiumN4</v>
      </c>
      <c r="D262" s="8" t="str">
        <f t="shared" si="24"/>
        <v>0PremiumN4</v>
      </c>
      <c r="E262" s="10">
        <v>0</v>
      </c>
      <c r="F262" s="5">
        <v>221</v>
      </c>
      <c r="G262" s="8" t="str">
        <f>VLOOKUP(F262,[1]characters!$A:$C,3,FALSE)</f>
        <v>宰相 ルキフグス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VLOOKUP(D262,gacha_163_base!A:B,2,FALSE)</f>
        <v>22777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0"/>
        <v>1630222</v>
      </c>
      <c r="B263" s="2" t="str">
        <f t="shared" si="23"/>
        <v>1630</v>
      </c>
      <c r="C263" s="8" t="str">
        <f t="shared" si="22"/>
        <v>0PremiumN5</v>
      </c>
      <c r="D263" s="8" t="str">
        <f t="shared" si="24"/>
        <v>0PremiumN5</v>
      </c>
      <c r="E263" s="10">
        <v>0</v>
      </c>
      <c r="F263" s="5">
        <v>222</v>
      </c>
      <c r="G263" s="8" t="str">
        <f>VLOOKUP(F263,[1]characters!$A:$C,3,FALSE)</f>
        <v>避光の鉄鎖宰相 ルキフグス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VLOOKUP(D263,gacha_163_base!A:B,2,FALSE)</f>
        <v>1454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0"/>
        <v>1630224</v>
      </c>
      <c r="B264" s="2" t="str">
        <f t="shared" si="23"/>
        <v>1630</v>
      </c>
      <c r="C264" s="8" t="str">
        <f t="shared" si="22"/>
        <v>0PremiumN4</v>
      </c>
      <c r="D264" s="8" t="str">
        <f t="shared" si="24"/>
        <v>0PremiumN4</v>
      </c>
      <c r="E264" s="10">
        <v>0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VLOOKUP(D264,gacha_163_base!A:B,2,FALSE)</f>
        <v>22777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0"/>
        <v>1630225</v>
      </c>
      <c r="B265" s="2" t="str">
        <f t="shared" si="23"/>
        <v>1630</v>
      </c>
      <c r="C265" s="8" t="str">
        <f t="shared" si="22"/>
        <v>0PremiumN5</v>
      </c>
      <c r="D265" s="8" t="str">
        <f t="shared" si="24"/>
        <v>0PremiumN5</v>
      </c>
      <c r="E265" s="10">
        <v>0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VLOOKUP(D265,gacha_163_base!A:B,2,FALSE)</f>
        <v>1454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0"/>
        <v>1630227</v>
      </c>
      <c r="B266" s="2" t="str">
        <f t="shared" si="23"/>
        <v>1630</v>
      </c>
      <c r="C266" s="8" t="str">
        <f t="shared" si="22"/>
        <v>0PremiumS4</v>
      </c>
      <c r="D266" s="8" t="str">
        <f t="shared" si="24"/>
        <v>0PremiumS4</v>
      </c>
      <c r="E266" s="10">
        <v>0</v>
      </c>
      <c r="F266" s="5">
        <v>227</v>
      </c>
      <c r="G266" s="8" t="str">
        <f>VLOOKUP(F266,[1]characters!$A:$C,3,FALSE)</f>
        <v>滅弾 アレス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VLOOKUP(D266,gacha_163_base!A:B,2,FALSE)</f>
        <v>22777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0"/>
        <v>1630228</v>
      </c>
      <c r="B267" s="2" t="str">
        <f t="shared" si="23"/>
        <v>1630</v>
      </c>
      <c r="C267" s="8" t="str">
        <f t="shared" si="22"/>
        <v>0PremiumS5</v>
      </c>
      <c r="D267" s="8" t="str">
        <f t="shared" si="24"/>
        <v>0PremiumS5</v>
      </c>
      <c r="E267" s="10">
        <v>0</v>
      </c>
      <c r="F267" s="5">
        <v>228</v>
      </c>
      <c r="G267" s="8" t="str">
        <f>VLOOKUP(F267,[1]characters!$A:$C,3,FALSE)</f>
        <v>殲滅の掃射砲 アレス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VLOOKUP(D267,gacha_163_base!A:B,2,FALSE)</f>
        <v>1454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0"/>
        <v>1630230</v>
      </c>
      <c r="B268" s="2" t="str">
        <f t="shared" si="23"/>
        <v>1630</v>
      </c>
      <c r="C268" s="8" t="str">
        <f t="shared" si="22"/>
        <v>0PremiumS4</v>
      </c>
      <c r="D268" s="8" t="str">
        <f t="shared" si="24"/>
        <v>0PremiumS4</v>
      </c>
      <c r="E268" s="10">
        <v>0</v>
      </c>
      <c r="F268" s="5">
        <v>230</v>
      </c>
      <c r="G268" s="8" t="str">
        <f>VLOOKUP(F268,[1]characters!$A:$C,3,FALSE)</f>
        <v>毒銃 ヨルムンガンド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technical</v>
      </c>
      <c r="L268" s="8" t="str">
        <f>VLOOKUP(F268,[1]characters!$A:$M,13,FALSE)</f>
        <v>dragon</v>
      </c>
      <c r="M268" s="16">
        <f>VLOOKUP(D268,gacha_163_base!A:B,2,FALSE)</f>
        <v>22777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ref="A269:A332" si="25">B269&amp;F269</f>
        <v>1630231</v>
      </c>
      <c r="B269" s="2" t="str">
        <f t="shared" si="23"/>
        <v>1630</v>
      </c>
      <c r="C269" s="8" t="str">
        <f t="shared" si="22"/>
        <v>0PremiumS5</v>
      </c>
      <c r="D269" s="8" t="str">
        <f t="shared" si="24"/>
        <v>0PremiumS5</v>
      </c>
      <c r="E269" s="10">
        <v>0</v>
      </c>
      <c r="F269" s="5">
        <v>231</v>
      </c>
      <c r="G269" s="8" t="str">
        <f>VLOOKUP(F269,[1]characters!$A:$C,3,FALSE)</f>
        <v>必中の咬銃 ヨルムンガンド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VLOOKUP(D269,gacha_163_base!A:B,2,FALSE)</f>
        <v>1454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1630233</v>
      </c>
      <c r="B270" s="2" t="str">
        <f t="shared" si="23"/>
        <v>1630</v>
      </c>
      <c r="C270" s="8" t="str">
        <f t="shared" si="22"/>
        <v>0PremiumS4</v>
      </c>
      <c r="D270" s="8" t="str">
        <f t="shared" si="24"/>
        <v>0PremiumS4</v>
      </c>
      <c r="E270" s="10">
        <v>0</v>
      </c>
      <c r="F270" s="5">
        <v>233</v>
      </c>
      <c r="G270" s="8" t="str">
        <f>VLOOKUP(F270,[1]characters!$A:$C,3,FALSE)</f>
        <v>遂行 パーシヴァル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16">
        <f>VLOOKUP(D270,gacha_163_base!A:B,2,FALSE)</f>
        <v>22777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1630234</v>
      </c>
      <c r="B271" s="2" t="str">
        <f t="shared" si="23"/>
        <v>1630</v>
      </c>
      <c r="C271" s="8" t="str">
        <f t="shared" si="22"/>
        <v>0PremiumS5</v>
      </c>
      <c r="D271" s="8" t="str">
        <f t="shared" si="24"/>
        <v>0PremiumS5</v>
      </c>
      <c r="E271" s="10">
        <v>0</v>
      </c>
      <c r="F271" s="5">
        <v>234</v>
      </c>
      <c r="G271" s="8" t="str">
        <f>VLOOKUP(F271,[1]characters!$A:$C,3,FALSE)</f>
        <v>精密なる照準 パーシヴァル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16">
        <f>VLOOKUP(D271,gacha_163_base!A:B,2,FALSE)</f>
        <v>1454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1630236</v>
      </c>
      <c r="B272" s="2" t="str">
        <f t="shared" si="23"/>
        <v>1630</v>
      </c>
      <c r="C272" s="8" t="str">
        <f t="shared" si="22"/>
        <v>0PremiumS4</v>
      </c>
      <c r="D272" s="8" t="str">
        <f t="shared" si="24"/>
        <v>0PremiumS4</v>
      </c>
      <c r="E272" s="10">
        <v>0</v>
      </c>
      <c r="F272" s="5">
        <v>236</v>
      </c>
      <c r="G272" s="8" t="str">
        <f>VLOOKUP(F272,[1]characters!$A:$C,3,FALSE)</f>
        <v>神産 イザナミ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VLOOKUP(D272,gacha_163_base!A:B,2,FALSE)</f>
        <v>22777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1630237</v>
      </c>
      <c r="B273" s="2" t="str">
        <f t="shared" si="23"/>
        <v>1630</v>
      </c>
      <c r="C273" s="8" t="str">
        <f t="shared" si="22"/>
        <v>0PremiumS5</v>
      </c>
      <c r="D273" s="8" t="str">
        <f t="shared" si="24"/>
        <v>0PremiumS5</v>
      </c>
      <c r="E273" s="10">
        <v>0</v>
      </c>
      <c r="F273" s="5">
        <v>237</v>
      </c>
      <c r="G273" s="8" t="str">
        <f>VLOOKUP(F273,[1]characters!$A:$C,3,FALSE)</f>
        <v>森羅万象の神母 イザナミ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VLOOKUP(D273,gacha_163_base!A:B,2,FALSE)</f>
        <v>1454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1630239</v>
      </c>
      <c r="B274" s="2" t="str">
        <f t="shared" si="23"/>
        <v>1630</v>
      </c>
      <c r="C274" s="8" t="str">
        <f t="shared" si="22"/>
        <v>0PremiumS4</v>
      </c>
      <c r="D274" s="8" t="str">
        <f t="shared" si="24"/>
        <v>0PremiumS4</v>
      </c>
      <c r="E274" s="10">
        <v>0</v>
      </c>
      <c r="F274" s="5">
        <v>239</v>
      </c>
      <c r="G274" s="8" t="str">
        <f>VLOOKUP(F274,[1]characters!$A:$C,3,FALSE)</f>
        <v>豪炎の天使 ウリエル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hp</v>
      </c>
      <c r="L274" s="8" t="str">
        <f>VLOOKUP(F274,[1]characters!$A:$M,13,FALSE)</f>
        <v>machine</v>
      </c>
      <c r="M274" s="16">
        <f>VLOOKUP(D274,gacha_163_base!A:B,2,FALSE)</f>
        <v>22777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1630240</v>
      </c>
      <c r="B275" s="2" t="str">
        <f t="shared" si="23"/>
        <v>1630</v>
      </c>
      <c r="C275" s="8" t="str">
        <f t="shared" si="22"/>
        <v>0PremiumS5</v>
      </c>
      <c r="D275" s="8" t="str">
        <f t="shared" si="24"/>
        <v>0PremiumS5</v>
      </c>
      <c r="E275" s="10">
        <v>0</v>
      </c>
      <c r="F275" s="5">
        <v>240</v>
      </c>
      <c r="G275" s="8" t="str">
        <f>VLOOKUP(F275,[1]characters!$A:$C,3,FALSE)</f>
        <v>轟炎の天使 ウリエル・スレイヤー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hp</v>
      </c>
      <c r="L275" s="8" t="str">
        <f>VLOOKUP(F275,[1]characters!$A:$M,13,FALSE)</f>
        <v>machine</v>
      </c>
      <c r="M275" s="16">
        <f>VLOOKUP(D275,gacha_163_base!A:B,2,FALSE)</f>
        <v>1454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1630242</v>
      </c>
      <c r="B276" s="2" t="str">
        <f t="shared" si="23"/>
        <v>1630</v>
      </c>
      <c r="C276" s="8" t="str">
        <f t="shared" si="22"/>
        <v>0PremiumS4</v>
      </c>
      <c r="D276" s="8" t="str">
        <f t="shared" si="24"/>
        <v>0PremiumS4</v>
      </c>
      <c r="E276" s="10">
        <v>0</v>
      </c>
      <c r="F276" s="5">
        <v>242</v>
      </c>
      <c r="G276" s="8" t="str">
        <f>VLOOKUP(F276,[1]characters!$A:$C,3,FALSE)</f>
        <v>百花の天使 ガブリエル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VLOOKUP(D276,gacha_163_base!A:B,2,FALSE)</f>
        <v>22777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1630243</v>
      </c>
      <c r="B277" s="2" t="str">
        <f t="shared" si="23"/>
        <v>1630</v>
      </c>
      <c r="C277" s="8" t="str">
        <f t="shared" si="22"/>
        <v>0PremiumS5</v>
      </c>
      <c r="D277" s="8" t="str">
        <f t="shared" si="24"/>
        <v>0PremiumS5</v>
      </c>
      <c r="E277" s="10">
        <v>0</v>
      </c>
      <c r="F277" s="5">
        <v>243</v>
      </c>
      <c r="G277" s="8" t="str">
        <f>VLOOKUP(F277,[1]characters!$A:$C,3,FALSE)</f>
        <v>万花の天使 ガブリエル・ブルーム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VLOOKUP(D277,gacha_163_base!A:B,2,FALSE)</f>
        <v>1454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1630245</v>
      </c>
      <c r="B278" s="2" t="str">
        <f t="shared" si="23"/>
        <v>1630</v>
      </c>
      <c r="C278" s="8" t="str">
        <f t="shared" si="22"/>
        <v>0PremiumS4</v>
      </c>
      <c r="D278" s="8" t="str">
        <f t="shared" si="24"/>
        <v>0PremiumS4</v>
      </c>
      <c r="E278" s="10">
        <v>0</v>
      </c>
      <c r="F278" s="5">
        <v>245</v>
      </c>
      <c r="G278" s="8" t="str">
        <f>VLOOKUP(F278,[1]characters!$A:$C,3,FALSE)</f>
        <v>鎮癒の天使 ラファエル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VLOOKUP(D278,gacha_163_base!A:B,2,FALSE)</f>
        <v>22777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5"/>
        <v>1630246</v>
      </c>
      <c r="B279" s="2" t="str">
        <f t="shared" si="23"/>
        <v>1630</v>
      </c>
      <c r="C279" s="8" t="str">
        <f t="shared" si="22"/>
        <v>0PremiumS5</v>
      </c>
      <c r="D279" s="8" t="str">
        <f t="shared" si="24"/>
        <v>0PremiumS5</v>
      </c>
      <c r="E279" s="10">
        <v>0</v>
      </c>
      <c r="F279" s="5">
        <v>246</v>
      </c>
      <c r="G279" s="8" t="str">
        <f>VLOOKUP(F279,[1]characters!$A:$C,3,FALSE)</f>
        <v>真癒の天使 ラファエル・メディカ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machine</v>
      </c>
      <c r="M279" s="16">
        <f>VLOOKUP(D279,gacha_163_base!A:B,2,FALSE)</f>
        <v>1454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5"/>
        <v>1630248</v>
      </c>
      <c r="B280" s="2" t="str">
        <f t="shared" si="23"/>
        <v>1630</v>
      </c>
      <c r="C280" s="8" t="str">
        <f t="shared" si="22"/>
        <v>0PremiumS4</v>
      </c>
      <c r="D280" s="8" t="str">
        <f t="shared" si="24"/>
        <v>0PremiumS4</v>
      </c>
      <c r="E280" s="10">
        <v>0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VLOOKUP(D280,gacha_163_base!A:B,2,FALSE)</f>
        <v>22777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5"/>
        <v>1630249</v>
      </c>
      <c r="B281" s="2" t="str">
        <f t="shared" si="23"/>
        <v>1630</v>
      </c>
      <c r="C281" s="8" t="str">
        <f t="shared" si="22"/>
        <v>0PremiumS5</v>
      </c>
      <c r="D281" s="8" t="str">
        <f t="shared" si="24"/>
        <v>0PremiumS5</v>
      </c>
      <c r="E281" s="10">
        <v>0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VLOOKUP(D281,gacha_163_base!A:B,2,FALSE)</f>
        <v>1454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5"/>
        <v>1630251</v>
      </c>
      <c r="B282" s="2" t="str">
        <f t="shared" si="23"/>
        <v>1630</v>
      </c>
      <c r="C282" s="8" t="str">
        <f t="shared" si="22"/>
        <v>0PremiumS4</v>
      </c>
      <c r="D282" s="8" t="str">
        <f t="shared" si="24"/>
        <v>0PremiumS4</v>
      </c>
      <c r="E282" s="10">
        <v>0</v>
      </c>
      <c r="F282" s="6">
        <v>251</v>
      </c>
      <c r="G282" s="8" t="str">
        <f>VLOOKUP(F282,[1]characters!$A:$C,3,FALSE)</f>
        <v>強欲 マンモン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VLOOKUP(D282,gacha_163_base!A:B,2,FALSE)</f>
        <v>22777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5"/>
        <v>1630252</v>
      </c>
      <c r="B283" s="2" t="str">
        <f t="shared" si="23"/>
        <v>1630</v>
      </c>
      <c r="C283" s="8" t="str">
        <f t="shared" si="22"/>
        <v>0PremiumS5</v>
      </c>
      <c r="D283" s="8" t="str">
        <f t="shared" si="24"/>
        <v>0PremiumS5</v>
      </c>
      <c r="E283" s="10">
        <v>0</v>
      </c>
      <c r="F283" s="6">
        <v>252</v>
      </c>
      <c r="G283" s="8" t="str">
        <f>VLOOKUP(F283,[1]characters!$A:$C,3,FALSE)</f>
        <v>強欲の沸騰 マンモン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VLOOKUP(D283,gacha_163_base!A:B,2,FALSE)</f>
        <v>1454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5"/>
        <v>1630254</v>
      </c>
      <c r="B284" s="2" t="str">
        <f t="shared" si="23"/>
        <v>1630</v>
      </c>
      <c r="C284" s="8" t="str">
        <f t="shared" ref="C284:C335" si="26">E284&amp;H284&amp;I284</f>
        <v>0PremiumS4</v>
      </c>
      <c r="D284" s="8" t="str">
        <f t="shared" si="24"/>
        <v>0PremiumS4</v>
      </c>
      <c r="E284" s="10">
        <v>0</v>
      </c>
      <c r="F284" s="6">
        <v>254</v>
      </c>
      <c r="G284" s="8" t="str">
        <f>VLOOKUP(F284,[1]characters!$A:$C,3,FALSE)</f>
        <v>怠惰 ベルフェゴール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green</v>
      </c>
      <c r="K284" s="8" t="str">
        <f>VLOOKUP(F284,[1]characters!$A:$K,11,FALSE)</f>
        <v>technical</v>
      </c>
      <c r="L284" s="8" t="str">
        <f>VLOOKUP(F284,[1]characters!$A:$M,13,FALSE)</f>
        <v>god</v>
      </c>
      <c r="M284" s="16">
        <f>VLOOKUP(D284,gacha_163_base!A:B,2,FALSE)</f>
        <v>22777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5"/>
        <v>1630255</v>
      </c>
      <c r="B285" s="2" t="str">
        <f t="shared" si="23"/>
        <v>1630</v>
      </c>
      <c r="C285" s="8" t="str">
        <f t="shared" si="26"/>
        <v>0PremiumS5</v>
      </c>
      <c r="D285" s="8" t="str">
        <f t="shared" si="24"/>
        <v>0PremiumS5</v>
      </c>
      <c r="E285" s="10">
        <v>0</v>
      </c>
      <c r="F285" s="6">
        <v>255</v>
      </c>
      <c r="G285" s="8" t="str">
        <f>VLOOKUP(F285,[1]characters!$A:$C,3,FALSE)</f>
        <v>怠惰の頂点 ベルフェゴール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VLOOKUP(D285,gacha_163_base!A:B,2,FALSE)</f>
        <v>1454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5"/>
        <v>1630257</v>
      </c>
      <c r="B286" s="2" t="str">
        <f t="shared" si="23"/>
        <v>1630</v>
      </c>
      <c r="C286" s="8" t="str">
        <f t="shared" si="26"/>
        <v>0PremiumS4</v>
      </c>
      <c r="D286" s="8" t="str">
        <f t="shared" si="24"/>
        <v>0PremiumS4</v>
      </c>
      <c r="E286" s="10">
        <v>0</v>
      </c>
      <c r="F286" s="6">
        <v>257</v>
      </c>
      <c r="G286" s="8" t="str">
        <f>VLOOKUP(F286,[1]characters!$A:$C,3,FALSE)</f>
        <v>色欲 アスモデウス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VLOOKUP(D286,gacha_163_base!A:B,2,FALSE)</f>
        <v>22777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5"/>
        <v>1630258</v>
      </c>
      <c r="B287" s="2" t="str">
        <f t="shared" si="23"/>
        <v>1630</v>
      </c>
      <c r="C287" s="8" t="str">
        <f t="shared" si="26"/>
        <v>0PremiumS5</v>
      </c>
      <c r="D287" s="8" t="str">
        <f t="shared" si="24"/>
        <v>0PremiumS5</v>
      </c>
      <c r="E287" s="10">
        <v>0</v>
      </c>
      <c r="F287" s="6">
        <v>258</v>
      </c>
      <c r="G287" s="8" t="str">
        <f>VLOOKUP(F287,[1]characters!$A:$C,3,FALSE)</f>
        <v>色欲の源流 アスモデウス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attack</v>
      </c>
      <c r="L287" s="8" t="str">
        <f>VLOOKUP(F287,[1]characters!$A:$M,13,FALSE)</f>
        <v>god</v>
      </c>
      <c r="M287" s="16">
        <f>VLOOKUP(D287,gacha_163_base!A:B,2,FALSE)</f>
        <v>1454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5"/>
        <v>1630260</v>
      </c>
      <c r="B288" s="2" t="str">
        <f t="shared" si="23"/>
        <v>1630</v>
      </c>
      <c r="C288" s="8" t="str">
        <f t="shared" si="26"/>
        <v>0PremiumS4</v>
      </c>
      <c r="D288" s="8" t="str">
        <f t="shared" si="24"/>
        <v>0PremiumS4</v>
      </c>
      <c r="E288" s="10">
        <v>0</v>
      </c>
      <c r="F288" s="9">
        <v>260</v>
      </c>
      <c r="G288" s="8" t="str">
        <f>VLOOKUP(F288,[1]characters!$A:$C,3,FALSE)</f>
        <v>輪廻 ウロボロス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dragon</v>
      </c>
      <c r="M288" s="16">
        <f>VLOOKUP(D288,gacha_163_base!A:B,2,FALSE)</f>
        <v>22777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5"/>
        <v>1630261</v>
      </c>
      <c r="B289" s="2" t="str">
        <f t="shared" si="23"/>
        <v>1630</v>
      </c>
      <c r="C289" s="8" t="str">
        <f t="shared" si="26"/>
        <v>0PremiumS5</v>
      </c>
      <c r="D289" s="8" t="str">
        <f t="shared" si="24"/>
        <v>0PremiumS5</v>
      </c>
      <c r="E289" s="10">
        <v>0</v>
      </c>
      <c r="F289" s="9">
        <v>261</v>
      </c>
      <c r="G289" s="8" t="str">
        <f>VLOOKUP(F289,[1]characters!$A:$C,3,FALSE)</f>
        <v>輪廻の蛇龍 ウロボロス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dragon</v>
      </c>
      <c r="M289" s="16">
        <f>VLOOKUP(D289,gacha_163_base!A:B,2,FALSE)</f>
        <v>1454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5"/>
        <v>1630320</v>
      </c>
      <c r="B290" s="2" t="str">
        <f t="shared" si="23"/>
        <v>1630</v>
      </c>
      <c r="C290" s="8" t="str">
        <f t="shared" si="26"/>
        <v>0PremiumSS4</v>
      </c>
      <c r="D290" s="8" t="str">
        <f t="shared" si="24"/>
        <v>0PremiumSS4</v>
      </c>
      <c r="E290" s="10">
        <v>0</v>
      </c>
      <c r="F290" s="6">
        <v>320</v>
      </c>
      <c r="G290" s="8" t="str">
        <f>VLOOKUP(F290,[1]characters!$A:$C,3,FALSE)</f>
        <v>烈志士 近藤勇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red</v>
      </c>
      <c r="K290" s="8" t="str">
        <f>VLOOKUP(F290,[1]characters!$A:$K,11,FALSE)</f>
        <v>hp</v>
      </c>
      <c r="L290" s="8" t="str">
        <f>VLOOKUP(F290,[1]characters!$A:$M,13,FALSE)</f>
        <v>human</v>
      </c>
      <c r="M290" s="16">
        <f>VLOOKUP(D290,gacha_163_base!A:B,2,FALSE)</f>
        <v>2820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5"/>
        <v>1630321</v>
      </c>
      <c r="B291" s="2" t="str">
        <f t="shared" si="23"/>
        <v>1630</v>
      </c>
      <c r="C291" s="8" t="str">
        <f t="shared" si="26"/>
        <v>0PremiumSS5</v>
      </c>
      <c r="D291" s="8" t="str">
        <f t="shared" si="24"/>
        <v>0PremiumSS5</v>
      </c>
      <c r="E291" s="10">
        <v>0</v>
      </c>
      <c r="F291" s="6">
        <v>321</v>
      </c>
      <c r="G291" s="8" t="str">
        <f>VLOOKUP(F291,[1]characters!$A:$C,3,FALSE)</f>
        <v>巌鉄の烈志士 近藤勇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red</v>
      </c>
      <c r="K291" s="8" t="str">
        <f>VLOOKUP(F291,[1]characters!$A:$K,11,FALSE)</f>
        <v>hp</v>
      </c>
      <c r="L291" s="8" t="str">
        <f>VLOOKUP(F291,[1]characters!$A:$M,13,FALSE)</f>
        <v>human</v>
      </c>
      <c r="M291" s="16">
        <f>VLOOKUP(D291,gacha_163_base!A:B,2,FALSE)</f>
        <v>180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5"/>
        <v>1630322</v>
      </c>
      <c r="B292" s="2" t="str">
        <f t="shared" si="23"/>
        <v>1630</v>
      </c>
      <c r="C292" s="8" t="str">
        <f t="shared" si="26"/>
        <v>0PremiumSS4</v>
      </c>
      <c r="D292" s="8" t="str">
        <f t="shared" si="24"/>
        <v>0PremiumSS4</v>
      </c>
      <c r="E292" s="10">
        <v>0</v>
      </c>
      <c r="F292" s="6">
        <v>322</v>
      </c>
      <c r="G292" s="8" t="str">
        <f>VLOOKUP(F292,[1]characters!$A:$C,3,FALSE)</f>
        <v>愛志士 土方歳三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green</v>
      </c>
      <c r="K292" s="8" t="str">
        <f>VLOOKUP(F292,[1]characters!$A:$K,11,FALSE)</f>
        <v>attack</v>
      </c>
      <c r="L292" s="8" t="str">
        <f>VLOOKUP(F292,[1]characters!$A:$M,13,FALSE)</f>
        <v>human</v>
      </c>
      <c r="M292" s="16">
        <f>VLOOKUP(D292,gacha_163_base!A:B,2,FALSE)</f>
        <v>2820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5"/>
        <v>1630323</v>
      </c>
      <c r="B293" s="2" t="str">
        <f t="shared" si="23"/>
        <v>1630</v>
      </c>
      <c r="C293" s="8" t="str">
        <f t="shared" si="26"/>
        <v>0PremiumSS5</v>
      </c>
      <c r="D293" s="8" t="str">
        <f t="shared" si="24"/>
        <v>0PremiumSS5</v>
      </c>
      <c r="E293" s="10">
        <v>0</v>
      </c>
      <c r="F293" s="6">
        <v>323</v>
      </c>
      <c r="G293" s="8" t="str">
        <f>VLOOKUP(F293,[1]characters!$A:$C,3,FALSE)</f>
        <v>流麗の愛志士 土方歳三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human</v>
      </c>
      <c r="M293" s="16">
        <f>VLOOKUP(D293,gacha_163_base!A:B,2,FALSE)</f>
        <v>180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5"/>
        <v>1630324</v>
      </c>
      <c r="B294" s="2" t="str">
        <f t="shared" si="23"/>
        <v>1630</v>
      </c>
      <c r="C294" s="8" t="str">
        <f t="shared" si="26"/>
        <v>0PremiumSS4</v>
      </c>
      <c r="D294" s="8" t="str">
        <f t="shared" si="24"/>
        <v>0PremiumSS4</v>
      </c>
      <c r="E294" s="10">
        <v>0</v>
      </c>
      <c r="F294" s="6">
        <v>324</v>
      </c>
      <c r="G294" s="8" t="str">
        <f>VLOOKUP(F294,[1]characters!$A:$C,3,FALSE)</f>
        <v>凛志士 沖田総司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VLOOKUP(D294,gacha_163_base!A:B,2,FALSE)</f>
        <v>2820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5"/>
        <v>1630325</v>
      </c>
      <c r="B295" s="2" t="str">
        <f t="shared" si="23"/>
        <v>1630</v>
      </c>
      <c r="C295" s="8" t="str">
        <f t="shared" si="26"/>
        <v>0PremiumSS5</v>
      </c>
      <c r="D295" s="8" t="str">
        <f t="shared" si="24"/>
        <v>0PremiumSS5</v>
      </c>
      <c r="E295" s="10">
        <v>0</v>
      </c>
      <c r="F295" s="6">
        <v>325</v>
      </c>
      <c r="G295" s="8" t="str">
        <f>VLOOKUP(F295,[1]characters!$A:$C,3,FALSE)</f>
        <v>天賦の凛志士 沖田総司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VLOOKUP(D295,gacha_163_base!A:B,2,FALSE)</f>
        <v>180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5"/>
        <v>1630326</v>
      </c>
      <c r="B296" s="2" t="str">
        <f t="shared" si="23"/>
        <v>1630</v>
      </c>
      <c r="C296" s="8" t="str">
        <f t="shared" si="26"/>
        <v>0PremiumSS4</v>
      </c>
      <c r="D296" s="8" t="str">
        <f t="shared" si="24"/>
        <v>0PremiumSS4</v>
      </c>
      <c r="E296" s="10">
        <v>0</v>
      </c>
      <c r="F296" s="6">
        <v>326</v>
      </c>
      <c r="G296" s="8" t="str">
        <f>VLOOKUP(F296,[1]characters!$A:$C,3,FALSE)</f>
        <v>妖志士 斎藤一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technical</v>
      </c>
      <c r="L296" s="8" t="str">
        <f>VLOOKUP(F296,[1]characters!$A:$M,13,FALSE)</f>
        <v>human</v>
      </c>
      <c r="M296" s="16">
        <f>VLOOKUP(D296,gacha_163_base!A:B,2,FALSE)</f>
        <v>2820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5"/>
        <v>1630327</v>
      </c>
      <c r="B297" s="2" t="str">
        <f t="shared" si="23"/>
        <v>1630</v>
      </c>
      <c r="C297" s="8" t="str">
        <f t="shared" si="26"/>
        <v>0PremiumSS5</v>
      </c>
      <c r="D297" s="8" t="str">
        <f t="shared" si="24"/>
        <v>0PremiumSS5</v>
      </c>
      <c r="E297" s="10">
        <v>0</v>
      </c>
      <c r="F297" s="6">
        <v>327</v>
      </c>
      <c r="G297" s="8" t="str">
        <f>VLOOKUP(F297,[1]characters!$A:$C,3,FALSE)</f>
        <v>千殺の妖志士 斎藤一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VLOOKUP(D297,gacha_163_base!A:B,2,FALSE)</f>
        <v>180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5"/>
        <v>1630381</v>
      </c>
      <c r="B298" s="2" t="str">
        <f t="shared" si="23"/>
        <v>1630</v>
      </c>
      <c r="C298" s="8" t="str">
        <f t="shared" si="26"/>
        <v>0PremiumS4</v>
      </c>
      <c r="D298" s="8" t="str">
        <f t="shared" si="24"/>
        <v>0PremiumS4</v>
      </c>
      <c r="E298" s="10">
        <v>0</v>
      </c>
      <c r="F298" s="6">
        <v>381</v>
      </c>
      <c r="G298" s="8" t="str">
        <f>VLOOKUP(F298,[1]characters!$A:$C,3,FALSE)</f>
        <v>肉食の恋火 バハムート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VLOOKUP(D298,gacha_163_base!A:B,2,FALSE)</f>
        <v>22777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5"/>
        <v>1630382</v>
      </c>
      <c r="B299" s="2" t="str">
        <f t="shared" si="23"/>
        <v>1630</v>
      </c>
      <c r="C299" s="8" t="str">
        <f t="shared" si="26"/>
        <v>0PremiumS5</v>
      </c>
      <c r="D299" s="8" t="str">
        <f t="shared" si="24"/>
        <v>0PremiumS5</v>
      </c>
      <c r="E299" s="10">
        <v>0</v>
      </c>
      <c r="F299" s="6">
        <v>382</v>
      </c>
      <c r="G299" s="8" t="str">
        <f>VLOOKUP(F299,[1]characters!$A:$C,3,FALSE)</f>
        <v>激情の愛炎 バハムート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VLOOKUP(D299,gacha_163_base!A:B,2,FALSE)</f>
        <v>1454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5"/>
        <v>1630383</v>
      </c>
      <c r="B300" s="2" t="str">
        <f t="shared" si="23"/>
        <v>1630</v>
      </c>
      <c r="C300" s="8" t="str">
        <f t="shared" si="26"/>
        <v>0PremiumSS4</v>
      </c>
      <c r="D300" s="8" t="str">
        <f t="shared" si="24"/>
        <v>0PremiumSS4</v>
      </c>
      <c r="E300" s="10">
        <v>0</v>
      </c>
      <c r="F300" s="6">
        <v>383</v>
      </c>
      <c r="G300" s="8" t="str">
        <f>VLOOKUP(F300,[1]characters!$A:$C,3,FALSE)</f>
        <v>酒宴の蟒蛇 ヤマタノオロチ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hp</v>
      </c>
      <c r="L300" s="8" t="str">
        <f>VLOOKUP(F300,[1]characters!$A:$M,13,FALSE)</f>
        <v>dragon</v>
      </c>
      <c r="M300" s="16">
        <f>VLOOKUP(D300,gacha_163_base!A:B,2,FALSE)</f>
        <v>2820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5"/>
        <v>1630384</v>
      </c>
      <c r="B301" s="2" t="str">
        <f t="shared" si="23"/>
        <v>1630</v>
      </c>
      <c r="C301" s="8" t="str">
        <f t="shared" si="26"/>
        <v>0PremiumSS5</v>
      </c>
      <c r="D301" s="8" t="str">
        <f t="shared" si="24"/>
        <v>0PremiumSS5</v>
      </c>
      <c r="E301" s="10">
        <v>0</v>
      </c>
      <c r="F301" s="6">
        <v>384</v>
      </c>
      <c r="G301" s="8" t="str">
        <f>VLOOKUP(F301,[1]characters!$A:$C,3,FALSE)</f>
        <v>破国の呑龍 ヤマタノオロチ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hp</v>
      </c>
      <c r="L301" s="8" t="str">
        <f>VLOOKUP(F301,[1]characters!$A:$M,13,FALSE)</f>
        <v>dragon</v>
      </c>
      <c r="M301" s="16">
        <f>VLOOKUP(D301,gacha_163_base!A:B,2,FALSE)</f>
        <v>180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5"/>
        <v>1630385</v>
      </c>
      <c r="B302" s="2" t="str">
        <f t="shared" si="23"/>
        <v>1630</v>
      </c>
      <c r="C302" s="8" t="str">
        <f t="shared" si="26"/>
        <v>0PremiumSS4</v>
      </c>
      <c r="D302" s="8" t="str">
        <f t="shared" si="24"/>
        <v>0PremiumSS4</v>
      </c>
      <c r="E302" s="10">
        <v>0</v>
      </c>
      <c r="F302" s="6">
        <v>385</v>
      </c>
      <c r="G302" s="8" t="str">
        <f>VLOOKUP(F302,[1]characters!$A:$C,3,FALSE)</f>
        <v>波烈の出奔 リヴァイアサン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dragon</v>
      </c>
      <c r="M302" s="16">
        <f>VLOOKUP(D302,gacha_163_base!A:B,2,FALSE)</f>
        <v>2820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5"/>
        <v>1630386</v>
      </c>
      <c r="B303" s="2" t="str">
        <f t="shared" si="23"/>
        <v>1630</v>
      </c>
      <c r="C303" s="8" t="str">
        <f t="shared" si="26"/>
        <v>0PremiumSS5</v>
      </c>
      <c r="D303" s="8" t="str">
        <f t="shared" si="24"/>
        <v>0PremiumSS5</v>
      </c>
      <c r="E303" s="10">
        <v>0</v>
      </c>
      <c r="F303" s="6">
        <v>386</v>
      </c>
      <c r="G303" s="8" t="str">
        <f>VLOOKUP(F303,[1]characters!$A:$C,3,FALSE)</f>
        <v>氾乱の海龍 リヴァイアサン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VLOOKUP(D303,gacha_163_base!A:B,2,FALSE)</f>
        <v>180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5"/>
        <v>1630388</v>
      </c>
      <c r="B304" s="2" t="str">
        <f t="shared" si="23"/>
        <v>1630</v>
      </c>
      <c r="C304" s="8" t="str">
        <f t="shared" si="26"/>
        <v>0PremiumS4</v>
      </c>
      <c r="D304" s="8" t="str">
        <f t="shared" si="24"/>
        <v>0PremiumS4</v>
      </c>
      <c r="E304" s="10">
        <v>0</v>
      </c>
      <c r="F304" s="6">
        <v>388</v>
      </c>
      <c r="G304" s="8" t="str">
        <f>VLOOKUP(F304,[1]characters!$A:$C,3,FALSE)</f>
        <v>神円の恋姫 スフィンクス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heal</v>
      </c>
      <c r="L304" s="8" t="str">
        <f>VLOOKUP(F304,[1]characters!$A:$M,13,FALSE)</f>
        <v>animal</v>
      </c>
      <c r="M304" s="16">
        <f>VLOOKUP(D304,gacha_163_base!A:B,2,FALSE)</f>
        <v>22777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5"/>
        <v>1630389</v>
      </c>
      <c r="B305" s="2" t="str">
        <f t="shared" si="23"/>
        <v>1630</v>
      </c>
      <c r="C305" s="8" t="str">
        <f t="shared" si="26"/>
        <v>0PremiumS5</v>
      </c>
      <c r="D305" s="8" t="str">
        <f t="shared" si="24"/>
        <v>0PremiumS5</v>
      </c>
      <c r="E305" s="10">
        <v>0</v>
      </c>
      <c r="F305" s="6">
        <v>389</v>
      </c>
      <c r="G305" s="8" t="str">
        <f>VLOOKUP(F305,[1]characters!$A:$C,3,FALSE)</f>
        <v>操神の愛姫 スフィンクス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heal</v>
      </c>
      <c r="L305" s="8" t="str">
        <f>VLOOKUP(F305,[1]characters!$A:$M,13,FALSE)</f>
        <v>animal</v>
      </c>
      <c r="M305" s="16">
        <f>VLOOKUP(D305,gacha_163_base!A:B,2,FALSE)</f>
        <v>1454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5"/>
        <v>1630390</v>
      </c>
      <c r="B306" s="2" t="str">
        <f t="shared" si="23"/>
        <v>1630</v>
      </c>
      <c r="C306" s="8" t="str">
        <f t="shared" si="26"/>
        <v>0PremiumSS4</v>
      </c>
      <c r="D306" s="8" t="str">
        <f t="shared" si="24"/>
        <v>0PremiumSS4</v>
      </c>
      <c r="E306" s="10">
        <v>0</v>
      </c>
      <c r="F306" s="6">
        <v>390</v>
      </c>
      <c r="G306" s="8" t="str">
        <f>VLOOKUP(F306,[1]characters!$A:$C,3,FALSE)</f>
        <v>華環の旅客 親指姫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heal</v>
      </c>
      <c r="L306" s="8" t="str">
        <f>VLOOKUP(F306,[1]characters!$A:$M,13,FALSE)</f>
        <v>human</v>
      </c>
      <c r="M306" s="16">
        <f>VLOOKUP(D306,gacha_163_base!A:B,2,FALSE)</f>
        <v>2820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5"/>
        <v>1630391</v>
      </c>
      <c r="B307" s="2" t="str">
        <f t="shared" si="23"/>
        <v>1630</v>
      </c>
      <c r="C307" s="8" t="str">
        <f t="shared" si="26"/>
        <v>0PremiumSS5</v>
      </c>
      <c r="D307" s="8" t="str">
        <f t="shared" si="24"/>
        <v>0PremiumSS5</v>
      </c>
      <c r="E307" s="10">
        <v>0</v>
      </c>
      <c r="F307" s="6">
        <v>391</v>
      </c>
      <c r="G307" s="8" t="str">
        <f>VLOOKUP(F307,[1]characters!$A:$C,3,FALSE)</f>
        <v>燕翼の旅人 親指姫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heal</v>
      </c>
      <c r="L307" s="8" t="str">
        <f>VLOOKUP(F307,[1]characters!$A:$M,13,FALSE)</f>
        <v>human</v>
      </c>
      <c r="M307" s="16">
        <f>VLOOKUP(D307,gacha_163_base!A:B,2,FALSE)</f>
        <v>180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5"/>
        <v>1630393</v>
      </c>
      <c r="B308" s="2" t="str">
        <f t="shared" si="23"/>
        <v>1630</v>
      </c>
      <c r="C308" s="8" t="str">
        <f t="shared" si="26"/>
        <v>0PremiumS4</v>
      </c>
      <c r="D308" s="8" t="str">
        <f t="shared" si="24"/>
        <v>0PremiumS4</v>
      </c>
      <c r="E308" s="10">
        <v>0</v>
      </c>
      <c r="F308" s="6">
        <v>393</v>
      </c>
      <c r="G308" s="8" t="str">
        <f>VLOOKUP(F308,[1]characters!$A:$C,3,FALSE)</f>
        <v>影縫い ピーターパン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VLOOKUP(D308,gacha_163_base!A:B,2,FALSE)</f>
        <v>22777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5"/>
        <v>1630394</v>
      </c>
      <c r="B309" s="2" t="str">
        <f t="shared" si="23"/>
        <v>1630</v>
      </c>
      <c r="C309" s="8" t="str">
        <f t="shared" si="26"/>
        <v>0PremiumS5</v>
      </c>
      <c r="D309" s="8" t="str">
        <f t="shared" si="24"/>
        <v>0PremiumS5</v>
      </c>
      <c r="E309" s="10">
        <v>0</v>
      </c>
      <c r="F309" s="6">
        <v>394</v>
      </c>
      <c r="G309" s="8" t="str">
        <f>VLOOKUP(F309,[1]characters!$A:$C,3,FALSE)</f>
        <v>影求の悪童 ピーターパン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VLOOKUP(D309,gacha_163_base!A:B,2,FALSE)</f>
        <v>1454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5"/>
        <v>1630396</v>
      </c>
      <c r="B310" s="2" t="str">
        <f t="shared" si="23"/>
        <v>1630</v>
      </c>
      <c r="C310" s="8" t="str">
        <f t="shared" si="26"/>
        <v>0PremiumS4</v>
      </c>
      <c r="D310" s="8" t="str">
        <f t="shared" si="24"/>
        <v>0PremiumS4</v>
      </c>
      <c r="E310" s="10">
        <v>0</v>
      </c>
      <c r="F310" s="6">
        <v>396</v>
      </c>
      <c r="G310" s="8" t="str">
        <f>VLOOKUP(F310,[1]characters!$A:$C,3,FALSE)</f>
        <v>竜宮の水雷 乙姫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VLOOKUP(D310,gacha_163_base!A:B,2,FALSE)</f>
        <v>22777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5"/>
        <v>1630397</v>
      </c>
      <c r="B311" s="2" t="str">
        <f t="shared" si="23"/>
        <v>1630</v>
      </c>
      <c r="C311" s="8" t="str">
        <f t="shared" si="26"/>
        <v>0PremiumS5</v>
      </c>
      <c r="D311" s="8" t="str">
        <f t="shared" si="24"/>
        <v>0PremiumS5</v>
      </c>
      <c r="E311" s="10">
        <v>0</v>
      </c>
      <c r="F311" s="6">
        <v>397</v>
      </c>
      <c r="G311" s="8" t="str">
        <f>VLOOKUP(F311,[1]characters!$A:$C,3,FALSE)</f>
        <v>禁断の追箱 乙姫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VLOOKUP(D311,gacha_163_base!A:B,2,FALSE)</f>
        <v>1454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5"/>
        <v>1630398</v>
      </c>
      <c r="B312" s="2" t="str">
        <f t="shared" si="23"/>
        <v>1630</v>
      </c>
      <c r="C312" s="8" t="str">
        <f t="shared" si="26"/>
        <v>0PremiumSS4</v>
      </c>
      <c r="D312" s="8" t="str">
        <f t="shared" si="24"/>
        <v>0PremiumSS4</v>
      </c>
      <c r="E312" s="10">
        <v>0</v>
      </c>
      <c r="F312" s="6">
        <v>398</v>
      </c>
      <c r="G312" s="8" t="str">
        <f>VLOOKUP(F312,[1]characters!$A:$C,3,FALSE)</f>
        <v>ヘンゼル＆グレーテル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16">
        <f>VLOOKUP(D312,gacha_163_base!A:B,2,FALSE)</f>
        <v>2820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5"/>
        <v>1630399</v>
      </c>
      <c r="B313" s="2" t="str">
        <f t="shared" si="23"/>
        <v>1630</v>
      </c>
      <c r="C313" s="8" t="str">
        <f t="shared" si="26"/>
        <v>0PremiumSS5</v>
      </c>
      <c r="D313" s="8" t="str">
        <f t="shared" si="24"/>
        <v>0PremiumSS5</v>
      </c>
      <c r="E313" s="10">
        <v>0</v>
      </c>
      <c r="F313" s="6">
        <v>399</v>
      </c>
      <c r="G313" s="8" t="str">
        <f>VLOOKUP(F313,[1]characters!$A:$C,3,FALSE)</f>
        <v>信愛の兄妹 ヘンゼル＆グレーテル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16">
        <f>VLOOKUP(D313,gacha_163_base!A:B,2,FALSE)</f>
        <v>180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5"/>
        <v>1630401</v>
      </c>
      <c r="B314" s="2" t="str">
        <f t="shared" si="23"/>
        <v>1630</v>
      </c>
      <c r="C314" s="8" t="str">
        <f t="shared" si="26"/>
        <v>0PremiumS4</v>
      </c>
      <c r="D314" s="8" t="str">
        <f t="shared" si="24"/>
        <v>0PremiumS4</v>
      </c>
      <c r="E314" s="10">
        <v>0</v>
      </c>
      <c r="F314" s="6">
        <v>401</v>
      </c>
      <c r="G314" s="8" t="str">
        <f>VLOOKUP(F314,[1]characters!$A:$C,3,FALSE)</f>
        <v>紅銀の孤狼 フェンリル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red</v>
      </c>
      <c r="K314" s="8" t="str">
        <f>VLOOKUP(F314,[1]characters!$A:$K,11,FALSE)</f>
        <v>attack</v>
      </c>
      <c r="L314" s="8" t="str">
        <f>VLOOKUP(F314,[1]characters!$A:$M,13,FALSE)</f>
        <v>animal</v>
      </c>
      <c r="M314" s="16">
        <f>VLOOKUP(D314,gacha_163_base!A:B,2,FALSE)</f>
        <v>22777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5"/>
        <v>1630402</v>
      </c>
      <c r="B315" s="2" t="str">
        <f t="shared" si="23"/>
        <v>1630</v>
      </c>
      <c r="C315" s="8" t="str">
        <f t="shared" si="26"/>
        <v>0PremiumS5</v>
      </c>
      <c r="D315" s="8" t="str">
        <f t="shared" si="24"/>
        <v>0PremiumS5</v>
      </c>
      <c r="E315" s="10">
        <v>0</v>
      </c>
      <c r="F315" s="6">
        <v>402</v>
      </c>
      <c r="G315" s="8" t="str">
        <f>VLOOKUP(F315,[1]characters!$A:$C,3,FALSE)</f>
        <v>天災の神狼 フェンリル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red</v>
      </c>
      <c r="K315" s="8" t="str">
        <f>VLOOKUP(F315,[1]characters!$A:$K,11,FALSE)</f>
        <v>attack</v>
      </c>
      <c r="L315" s="8" t="str">
        <f>VLOOKUP(F315,[1]characters!$A:$M,13,FALSE)</f>
        <v>animal</v>
      </c>
      <c r="M315" s="16">
        <f>VLOOKUP(D315,gacha_163_base!A:B,2,FALSE)</f>
        <v>1454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5"/>
        <v>1630403</v>
      </c>
      <c r="B316" s="2" t="str">
        <f t="shared" si="23"/>
        <v>1630</v>
      </c>
      <c r="C316" s="8" t="str">
        <f t="shared" si="26"/>
        <v>0PremiumSS4</v>
      </c>
      <c r="D316" s="8" t="str">
        <f t="shared" si="24"/>
        <v>0PremiumSS4</v>
      </c>
      <c r="E316" s="10">
        <v>0</v>
      </c>
      <c r="F316" s="6">
        <v>403</v>
      </c>
      <c r="G316" s="8" t="str">
        <f>VLOOKUP(F316,[1]characters!$A:$C,3,FALSE)</f>
        <v>静撃の翠眼 八咫烏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green</v>
      </c>
      <c r="K316" s="8" t="str">
        <f>VLOOKUP(F316,[1]characters!$A:$K,11,FALSE)</f>
        <v>balance</v>
      </c>
      <c r="L316" s="8" t="str">
        <f>VLOOKUP(F316,[1]characters!$A:$M,13,FALSE)</f>
        <v>animal</v>
      </c>
      <c r="M316" s="16">
        <f>VLOOKUP(D316,gacha_163_base!A:B,2,FALSE)</f>
        <v>2820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5"/>
        <v>1630404</v>
      </c>
      <c r="B317" s="2" t="str">
        <f t="shared" si="23"/>
        <v>1630</v>
      </c>
      <c r="C317" s="8" t="str">
        <f t="shared" si="26"/>
        <v>0PremiumSS5</v>
      </c>
      <c r="D317" s="8" t="str">
        <f t="shared" si="24"/>
        <v>0PremiumSS5</v>
      </c>
      <c r="E317" s="10">
        <v>0</v>
      </c>
      <c r="F317" s="6">
        <v>404</v>
      </c>
      <c r="G317" s="8" t="str">
        <f>VLOOKUP(F317,[1]characters!$A:$C,3,FALSE)</f>
        <v>空襲の神眼 八咫烏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green</v>
      </c>
      <c r="K317" s="8" t="str">
        <f>VLOOKUP(F317,[1]characters!$A:$K,11,FALSE)</f>
        <v>balance</v>
      </c>
      <c r="L317" s="8" t="str">
        <f>VLOOKUP(F317,[1]characters!$A:$M,13,FALSE)</f>
        <v>animal</v>
      </c>
      <c r="M317" s="16">
        <f>VLOOKUP(D317,gacha_163_base!A:B,2,FALSE)</f>
        <v>180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5"/>
        <v>1630406</v>
      </c>
      <c r="B318" s="2" t="str">
        <f t="shared" si="23"/>
        <v>1630</v>
      </c>
      <c r="C318" s="8" t="str">
        <f t="shared" si="26"/>
        <v>0PremiumS4</v>
      </c>
      <c r="D318" s="8" t="str">
        <f t="shared" si="24"/>
        <v>0PremiumS4</v>
      </c>
      <c r="E318" s="10">
        <v>0</v>
      </c>
      <c r="F318" s="6">
        <v>406</v>
      </c>
      <c r="G318" s="8" t="str">
        <f>VLOOKUP(F318,[1]characters!$A:$C,3,FALSE)</f>
        <v>美笑の蒼蛇 エキドナ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technical</v>
      </c>
      <c r="L318" s="8" t="str">
        <f>VLOOKUP(F318,[1]characters!$A:$M,13,FALSE)</f>
        <v>animal</v>
      </c>
      <c r="M318" s="16">
        <f>VLOOKUP(D318,gacha_163_base!A:B,2,FALSE)</f>
        <v>22777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5"/>
        <v>1630407</v>
      </c>
      <c r="B319" s="2" t="str">
        <f t="shared" si="23"/>
        <v>1630</v>
      </c>
      <c r="C319" s="8" t="str">
        <f t="shared" si="26"/>
        <v>0PremiumS5</v>
      </c>
      <c r="D319" s="8" t="str">
        <f t="shared" si="24"/>
        <v>0PremiumS5</v>
      </c>
      <c r="E319" s="10">
        <v>0</v>
      </c>
      <c r="F319" s="6">
        <v>407</v>
      </c>
      <c r="G319" s="8" t="str">
        <f>VLOOKUP(F319,[1]characters!$A:$C,3,FALSE)</f>
        <v>蠱惑の飛刀 エキドナ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technical</v>
      </c>
      <c r="L319" s="8" t="str">
        <f>VLOOKUP(F319,[1]characters!$A:$M,13,FALSE)</f>
        <v>animal</v>
      </c>
      <c r="M319" s="16">
        <f>VLOOKUP(D319,gacha_163_base!A:B,2,FALSE)</f>
        <v>1454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5"/>
        <v>1630408</v>
      </c>
      <c r="B320" s="2" t="str">
        <f t="shared" si="23"/>
        <v>1630</v>
      </c>
      <c r="C320" s="8" t="str">
        <f t="shared" si="26"/>
        <v>0PremiumSS4</v>
      </c>
      <c r="D320" s="8" t="str">
        <f t="shared" si="24"/>
        <v>0PremiumSS4</v>
      </c>
      <c r="E320" s="10">
        <v>0</v>
      </c>
      <c r="F320" s="6">
        <v>408</v>
      </c>
      <c r="G320" s="8" t="str">
        <f>VLOOKUP(F320,[1]characters!$A:$C,3,FALSE)</f>
        <v>皇魔 アスタロト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attack</v>
      </c>
      <c r="L320" s="8" t="str">
        <f>VLOOKUP(F320,[1]characters!$A:$M,13,FALSE)</f>
        <v>god</v>
      </c>
      <c r="M320" s="16">
        <f>VLOOKUP(D320,gacha_163_base!A:B,2,FALSE)</f>
        <v>2820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5"/>
        <v>1630409</v>
      </c>
      <c r="B321" s="2" t="str">
        <f t="shared" si="23"/>
        <v>1630</v>
      </c>
      <c r="C321" s="8" t="str">
        <f t="shared" si="26"/>
        <v>0PremiumSS5</v>
      </c>
      <c r="D321" s="8" t="str">
        <f t="shared" si="24"/>
        <v>0PremiumSS5</v>
      </c>
      <c r="E321" s="10">
        <v>0</v>
      </c>
      <c r="F321" s="6">
        <v>409</v>
      </c>
      <c r="G321" s="8" t="str">
        <f>VLOOKUP(F321,[1]characters!$A:$C,3,FALSE)</f>
        <v>天眼の皇貴魔 アスタロト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attack</v>
      </c>
      <c r="L321" s="8" t="str">
        <f>VLOOKUP(F321,[1]characters!$A:$M,13,FALSE)</f>
        <v>god</v>
      </c>
      <c r="M321" s="16">
        <f>VLOOKUP(D321,gacha_163_base!A:B,2,FALSE)</f>
        <v>180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5"/>
        <v>1630434</v>
      </c>
      <c r="B322" s="2" t="str">
        <f t="shared" si="23"/>
        <v>1630</v>
      </c>
      <c r="C322" s="8" t="str">
        <f t="shared" si="26"/>
        <v>0PremiumSS4</v>
      </c>
      <c r="D322" s="8" t="str">
        <f t="shared" si="24"/>
        <v>0PremiumSS4</v>
      </c>
      <c r="E322" s="10">
        <v>0</v>
      </c>
      <c r="F322" s="6">
        <v>434</v>
      </c>
      <c r="G322" s="8" t="str">
        <f>VLOOKUP(F322,[1]characters!$A:$C,3,FALSE)</f>
        <v>D.R.T.H.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VLOOKUP(D322,gacha_163_base!A:B,2,FALSE)</f>
        <v>2820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5"/>
        <v>1630435</v>
      </c>
      <c r="B323" s="2" t="str">
        <f t="shared" ref="B323:B345" si="27">163&amp;E323</f>
        <v>1630</v>
      </c>
      <c r="C323" s="8" t="str">
        <f t="shared" si="26"/>
        <v>0PremiumSS5</v>
      </c>
      <c r="D323" s="8" t="str">
        <f t="shared" ref="D323:D337" si="28">E323&amp;H323&amp;I323</f>
        <v>0PremiumSS5</v>
      </c>
      <c r="E323" s="10">
        <v>0</v>
      </c>
      <c r="F323" s="6">
        <v>435</v>
      </c>
      <c r="G323" s="8" t="str">
        <f>VLOOKUP(F323,[1]characters!$A:$C,3,FALSE)</f>
        <v>曝弾の密偵 D.R.T.H.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VLOOKUP(D323,gacha_163_base!A:B,2,FALSE)</f>
        <v>180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5"/>
        <v>1630437</v>
      </c>
      <c r="B324" s="2" t="str">
        <f t="shared" si="27"/>
        <v>1630</v>
      </c>
      <c r="C324" s="8" t="str">
        <f t="shared" si="26"/>
        <v>0PremiumS4</v>
      </c>
      <c r="D324" s="8" t="str">
        <f t="shared" si="28"/>
        <v>0PremiumS4</v>
      </c>
      <c r="E324" s="10">
        <v>0</v>
      </c>
      <c r="F324" s="6">
        <v>437</v>
      </c>
      <c r="G324" s="8" t="str">
        <f>VLOOKUP(F324,[1]characters!$A:$C,3,FALSE)</f>
        <v>忘却者 カカシ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VLOOKUP(D324,gacha_163_base!A:B,2,FALSE)</f>
        <v>22777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5"/>
        <v>1630438</v>
      </c>
      <c r="B325" s="2" t="str">
        <f t="shared" si="27"/>
        <v>1630</v>
      </c>
      <c r="C325" s="8" t="str">
        <f t="shared" si="26"/>
        <v>0PremiumS5</v>
      </c>
      <c r="D325" s="8" t="str">
        <f t="shared" si="28"/>
        <v>0PremiumS5</v>
      </c>
      <c r="E325" s="10">
        <v>0</v>
      </c>
      <c r="F325" s="6">
        <v>438</v>
      </c>
      <c r="G325" s="8" t="str">
        <f>VLOOKUP(F325,[1]characters!$A:$C,3,FALSE)</f>
        <v>記憶の奪還 カカシ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VLOOKUP(D325,gacha_163_base!A:B,2,FALSE)</f>
        <v>1454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5"/>
        <v>1630440</v>
      </c>
      <c r="B326" s="2" t="str">
        <f t="shared" si="27"/>
        <v>1630</v>
      </c>
      <c r="C326" s="8" t="str">
        <f t="shared" si="26"/>
        <v>0PremiumS4</v>
      </c>
      <c r="D326" s="8" t="str">
        <f t="shared" si="28"/>
        <v>0PremiumS4</v>
      </c>
      <c r="E326" s="10">
        <v>0</v>
      </c>
      <c r="F326" s="6">
        <v>440</v>
      </c>
      <c r="G326" s="8" t="str">
        <f>VLOOKUP(F326,[1]characters!$A:$C,3,FALSE)</f>
        <v>改良型 ブリキロガー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attack</v>
      </c>
      <c r="L326" s="8" t="str">
        <f>VLOOKUP(F326,[1]characters!$A:$M,13,FALSE)</f>
        <v>machine</v>
      </c>
      <c r="M326" s="16">
        <f>VLOOKUP(D326,gacha_163_base!A:B,2,FALSE)</f>
        <v>22777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5"/>
        <v>1630441</v>
      </c>
      <c r="B327" s="2" t="str">
        <f t="shared" si="27"/>
        <v>1630</v>
      </c>
      <c r="C327" s="8" t="str">
        <f t="shared" si="26"/>
        <v>0PremiumS5</v>
      </c>
      <c r="D327" s="8" t="str">
        <f t="shared" si="28"/>
        <v>0PremiumS5</v>
      </c>
      <c r="E327" s="10">
        <v>0</v>
      </c>
      <c r="F327" s="6">
        <v>441</v>
      </c>
      <c r="G327" s="8" t="str">
        <f>VLOOKUP(F327,[1]characters!$A:$C,3,FALSE)</f>
        <v>求心の錻装 ブリキロガー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attack</v>
      </c>
      <c r="L327" s="8" t="str">
        <f>VLOOKUP(F327,[1]characters!$A:$M,13,FALSE)</f>
        <v>machine</v>
      </c>
      <c r="M327" s="16">
        <f>VLOOKUP(D327,gacha_163_base!A:B,2,FALSE)</f>
        <v>1454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5"/>
        <v>1630442</v>
      </c>
      <c r="B328" s="2" t="str">
        <f t="shared" si="27"/>
        <v>1630</v>
      </c>
      <c r="C328" s="8" t="str">
        <f t="shared" si="26"/>
        <v>0PremiumSS4</v>
      </c>
      <c r="D328" s="8" t="str">
        <f t="shared" si="28"/>
        <v>0PremiumSS4</v>
      </c>
      <c r="E328" s="10">
        <v>0</v>
      </c>
      <c r="F328" s="6">
        <v>442</v>
      </c>
      <c r="G328" s="8" t="str">
        <f>VLOOKUP(F328,[1]characters!$A:$C,3,FALSE)</f>
        <v>ブレイブリー・ライオン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hp</v>
      </c>
      <c r="L328" s="8" t="str">
        <f>VLOOKUP(F328,[1]characters!$A:$M,13,FALSE)</f>
        <v>animal</v>
      </c>
      <c r="M328" s="16">
        <f>VLOOKUP(D328,gacha_163_base!A:B,2,FALSE)</f>
        <v>2820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5"/>
        <v>1630443</v>
      </c>
      <c r="B329" s="2" t="str">
        <f t="shared" si="27"/>
        <v>1630</v>
      </c>
      <c r="C329" s="8" t="str">
        <f t="shared" si="26"/>
        <v>0PremiumSS5</v>
      </c>
      <c r="D329" s="8" t="str">
        <f t="shared" si="28"/>
        <v>0PremiumSS5</v>
      </c>
      <c r="E329" s="10">
        <v>0</v>
      </c>
      <c r="F329" s="6">
        <v>443</v>
      </c>
      <c r="G329" s="8" t="str">
        <f>VLOOKUP(F329,[1]characters!$A:$C,3,FALSE)</f>
        <v>勇機結集 ブレイブリー・ライオン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hp</v>
      </c>
      <c r="L329" s="8" t="str">
        <f>VLOOKUP(F329,[1]characters!$A:$M,13,FALSE)</f>
        <v>animal</v>
      </c>
      <c r="M329" s="16">
        <f>VLOOKUP(D329,gacha_163_base!A:B,2,FALSE)</f>
        <v>180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5"/>
        <v>1630463</v>
      </c>
      <c r="B330" s="2" t="str">
        <f t="shared" si="27"/>
        <v>1630</v>
      </c>
      <c r="C330" s="8" t="str">
        <f t="shared" si="26"/>
        <v>0PremiumS4</v>
      </c>
      <c r="D330" s="8" t="str">
        <f t="shared" si="28"/>
        <v>0PremiumS4</v>
      </c>
      <c r="E330" s="10">
        <v>0</v>
      </c>
      <c r="F330" s="9">
        <v>463</v>
      </c>
      <c r="G330" s="8" t="str">
        <f>VLOOKUP(F330,[1]characters!$A:$C,3,FALSE)</f>
        <v>燻銀 ガウェイン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red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VLOOKUP(D330,gacha_163_base!A:B,2,FALSE)</f>
        <v>22777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5"/>
        <v>1630464</v>
      </c>
      <c r="B331" s="2" t="str">
        <f t="shared" si="27"/>
        <v>1630</v>
      </c>
      <c r="C331" s="8" t="str">
        <f t="shared" si="26"/>
        <v>0PremiumS5</v>
      </c>
      <c r="D331" s="8" t="str">
        <f t="shared" si="28"/>
        <v>0PremiumS5</v>
      </c>
      <c r="E331" s="10">
        <v>0</v>
      </c>
      <c r="F331" s="9">
        <v>464</v>
      </c>
      <c r="G331" s="8" t="str">
        <f>VLOOKUP(F331,[1]characters!$A:$C,3,FALSE)</f>
        <v>円熟の弾導 ガウェイン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red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VLOOKUP(D331,gacha_163_base!A:B,2,FALSE)</f>
        <v>1454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5"/>
        <v>1630465</v>
      </c>
      <c r="B332" s="2" t="str">
        <f t="shared" si="27"/>
        <v>1630</v>
      </c>
      <c r="C332" s="8" t="str">
        <f t="shared" si="26"/>
        <v>0PremiumSS4</v>
      </c>
      <c r="D332" s="8" t="str">
        <f t="shared" si="28"/>
        <v>0PremiumSS4</v>
      </c>
      <c r="E332" s="10">
        <v>0</v>
      </c>
      <c r="F332" s="9">
        <v>465</v>
      </c>
      <c r="G332" s="8" t="str">
        <f>VLOOKUP(F332,[1]characters!$A:$C,3,FALSE)</f>
        <v>真撃 ランスロット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VLOOKUP(D332,gacha_163_base!A:B,2,FALSE)</f>
        <v>2820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ref="A333:A337" si="29">B333&amp;F333</f>
        <v>1630466</v>
      </c>
      <c r="B333" s="2" t="str">
        <f t="shared" si="27"/>
        <v>1630</v>
      </c>
      <c r="C333" s="8" t="str">
        <f t="shared" si="26"/>
        <v>0PremiumSS5</v>
      </c>
      <c r="D333" s="8" t="str">
        <f t="shared" si="28"/>
        <v>0PremiumSS5</v>
      </c>
      <c r="E333" s="10">
        <v>0</v>
      </c>
      <c r="F333" s="6">
        <v>466</v>
      </c>
      <c r="G333" s="8" t="str">
        <f>VLOOKUP(F333,[1]characters!$A:$C,3,FALSE)</f>
        <v>真断の勇覇 ランスロット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VLOOKUP(D333,gacha_163_base!A:B,2,FALSE)</f>
        <v>180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1630467</v>
      </c>
      <c r="B334" s="2" t="str">
        <f t="shared" si="27"/>
        <v>1630</v>
      </c>
      <c r="C334" s="8" t="str">
        <f t="shared" si="26"/>
        <v>0PremiumSS4</v>
      </c>
      <c r="D334" s="8" t="str">
        <f t="shared" si="28"/>
        <v>0PremiumSS4</v>
      </c>
      <c r="E334" s="10">
        <v>0</v>
      </c>
      <c r="F334" s="6">
        <v>467</v>
      </c>
      <c r="G334" s="8" t="str">
        <f>VLOOKUP(F334,[1]characters!$A:$C,3,FALSE)</f>
        <v>報復 モルドレッド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VLOOKUP(D334,gacha_163_base!A:B,2,FALSE)</f>
        <v>2820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1630468</v>
      </c>
      <c r="B335" s="2" t="str">
        <f t="shared" si="27"/>
        <v>1630</v>
      </c>
      <c r="C335" s="8" t="str">
        <f t="shared" si="26"/>
        <v>0PremiumSS5</v>
      </c>
      <c r="D335" s="8" t="str">
        <f t="shared" si="28"/>
        <v>0PremiumSS5</v>
      </c>
      <c r="E335" s="10">
        <v>0</v>
      </c>
      <c r="F335" s="6">
        <v>468</v>
      </c>
      <c r="G335" s="8" t="str">
        <f>VLOOKUP(F335,[1]characters!$A:$C,3,FALSE)</f>
        <v>憎愛の尖鋒 モルドレッド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VLOOKUP(D335,gacha_163_base!A:B,2,FALSE)</f>
        <v>180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1630470</v>
      </c>
      <c r="B336" s="2" t="str">
        <f t="shared" si="27"/>
        <v>1630</v>
      </c>
      <c r="C336" s="8" t="str">
        <f t="shared" ref="C336:C337" si="30">E336&amp;H336&amp;I336</f>
        <v>0PremiumS4</v>
      </c>
      <c r="D336" s="8" t="str">
        <f t="shared" si="28"/>
        <v>0PremiumS4</v>
      </c>
      <c r="E336" s="10">
        <v>0</v>
      </c>
      <c r="F336" s="6">
        <v>470</v>
      </c>
      <c r="G336" s="8" t="str">
        <f>VLOOKUP(F336,[1]characters!$A:$C,3,FALSE)</f>
        <v>純心 トリスタン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VLOOKUP(D336,gacha_163_base!A:B,2,FALSE)</f>
        <v>22777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1630471</v>
      </c>
      <c r="B337" s="2" t="str">
        <f t="shared" si="27"/>
        <v>1630</v>
      </c>
      <c r="C337" s="8" t="str">
        <f t="shared" si="30"/>
        <v>0PremiumS5</v>
      </c>
      <c r="D337" s="8" t="str">
        <f t="shared" si="28"/>
        <v>0PremiumS5</v>
      </c>
      <c r="E337" s="10">
        <v>0</v>
      </c>
      <c r="F337" s="6">
        <v>471</v>
      </c>
      <c r="G337" s="8" t="str">
        <f>VLOOKUP(F337,[1]characters!$A:$C,3,FALSE)</f>
        <v>不可避の爆激 トリスタン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attack</v>
      </c>
      <c r="L337" s="8" t="str">
        <f>VLOOKUP(F337,[1]characters!$A:$M,13,FALSE)</f>
        <v>human</v>
      </c>
      <c r="M337" s="16">
        <f>VLOOKUP(D337,gacha_163_base!A:B,2,FALSE)</f>
        <v>1454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ref="A338:A345" si="31">B338&amp;F338</f>
        <v>1630474</v>
      </c>
      <c r="B338" s="2" t="str">
        <f t="shared" si="27"/>
        <v>1630</v>
      </c>
      <c r="C338" s="8" t="str">
        <f t="shared" ref="C338:C345" si="32">E338&amp;H338&amp;I338</f>
        <v>0PremiumSS4</v>
      </c>
      <c r="D338" s="8" t="str">
        <f>E338&amp;H338&amp;I338&amp;"new"</f>
        <v>0PremiumSS4new</v>
      </c>
      <c r="E338" s="10">
        <v>0</v>
      </c>
      <c r="F338" s="6">
        <v>474</v>
      </c>
      <c r="G338" s="8" t="str">
        <f>VLOOKUP(F338,[1]characters!$A:$C,3,FALSE)</f>
        <v>キング・ドライグ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dragon</v>
      </c>
      <c r="M338" s="16">
        <f>VLOOKUP(D338,gacha_163_base!A:B,2,FALSE)</f>
        <v>13160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3</v>
      </c>
    </row>
    <row r="339" spans="1:19" ht="21" customHeight="1">
      <c r="A339" s="7" t="str">
        <f t="shared" si="31"/>
        <v>1630475</v>
      </c>
      <c r="B339" s="2" t="str">
        <f t="shared" si="27"/>
        <v>1630</v>
      </c>
      <c r="C339" s="8" t="str">
        <f t="shared" si="32"/>
        <v>0PremiumSS5</v>
      </c>
      <c r="D339" s="8" t="str">
        <f t="shared" ref="D339:D345" si="33">E339&amp;H339&amp;I339&amp;"new"</f>
        <v>0PremiumSS5new</v>
      </c>
      <c r="E339" s="10">
        <v>0</v>
      </c>
      <c r="F339" s="6">
        <v>475</v>
      </c>
      <c r="G339" s="8" t="str">
        <f>VLOOKUP(F339,[1]characters!$A:$C,3,FALSE)</f>
        <v>緋王 キング・ドライグ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dragon</v>
      </c>
      <c r="M339" s="16">
        <f>VLOOKUP(D339,gacha_163_base!A:B,2,FALSE)</f>
        <v>840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3</v>
      </c>
    </row>
    <row r="340" spans="1:19" ht="21" customHeight="1">
      <c r="A340" s="7" t="str">
        <f t="shared" si="31"/>
        <v>1630477</v>
      </c>
      <c r="B340" s="2" t="str">
        <f t="shared" si="27"/>
        <v>1630</v>
      </c>
      <c r="C340" s="8" t="str">
        <f t="shared" si="32"/>
        <v>0PremiumS4</v>
      </c>
      <c r="D340" s="8" t="str">
        <f t="shared" si="33"/>
        <v>0PremiumS4new</v>
      </c>
      <c r="E340" s="10">
        <v>0</v>
      </c>
      <c r="F340" s="6">
        <v>477</v>
      </c>
      <c r="G340" s="8" t="str">
        <f>VLOOKUP(F340,[1]characters!$A:$C,3,FALSE)</f>
        <v>愛羽妖精 ファータ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green</v>
      </c>
      <c r="K340" s="8" t="str">
        <f>VLOOKUP(F340,[1]characters!$A:$K,11,FALSE)</f>
        <v>heal</v>
      </c>
      <c r="L340" s="8" t="str">
        <f>VLOOKUP(F340,[1]characters!$A:$M,13,FALSE)</f>
        <v>unknown</v>
      </c>
      <c r="M340" s="16">
        <f>VLOOKUP(D340,gacha_163_base!A:B,2,FALSE)</f>
        <v>32900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3</v>
      </c>
    </row>
    <row r="341" spans="1:19" ht="21" customHeight="1">
      <c r="A341" s="7" t="str">
        <f t="shared" si="31"/>
        <v>1630478</v>
      </c>
      <c r="B341" s="2" t="str">
        <f t="shared" si="27"/>
        <v>1630</v>
      </c>
      <c r="C341" s="8" t="str">
        <f t="shared" si="32"/>
        <v>0PremiumS5</v>
      </c>
      <c r="D341" s="8" t="str">
        <f t="shared" si="33"/>
        <v>0PremiumS5new</v>
      </c>
      <c r="E341" s="10">
        <v>0</v>
      </c>
      <c r="F341" s="6">
        <v>478</v>
      </c>
      <c r="G341" s="8" t="str">
        <f>VLOOKUP(F341,[1]characters!$A:$C,3,FALSE)</f>
        <v>時計仕掛けの愛羽妖精 ファータ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heal</v>
      </c>
      <c r="L341" s="8" t="str">
        <f>VLOOKUP(F341,[1]characters!$A:$M,13,FALSE)</f>
        <v>unknown</v>
      </c>
      <c r="M341" s="16">
        <f>VLOOKUP(D341,gacha_163_base!A:B,2,FALSE)</f>
        <v>2100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3</v>
      </c>
    </row>
    <row r="342" spans="1:19" ht="21" customHeight="1">
      <c r="A342" s="7" t="str">
        <f t="shared" si="31"/>
        <v>1630479</v>
      </c>
      <c r="B342" s="2" t="str">
        <f t="shared" si="27"/>
        <v>1630</v>
      </c>
      <c r="C342" s="8" t="str">
        <f t="shared" si="32"/>
        <v>0PremiumSS4</v>
      </c>
      <c r="D342" s="8" t="str">
        <f t="shared" si="33"/>
        <v>0PremiumSS4new</v>
      </c>
      <c r="E342" s="10">
        <v>0</v>
      </c>
      <c r="F342" s="6">
        <v>479</v>
      </c>
      <c r="G342" s="8" t="str">
        <f>VLOOKUP(F342,[1]characters!$A:$C,3,FALSE)</f>
        <v>フール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technical</v>
      </c>
      <c r="L342" s="8" t="str">
        <f>VLOOKUP(F342,[1]characters!$A:$M,13,FALSE)</f>
        <v>god</v>
      </c>
      <c r="M342" s="16">
        <f>VLOOKUP(D342,gacha_163_base!A:B,2,FALSE)</f>
        <v>13160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3</v>
      </c>
    </row>
    <row r="343" spans="1:19" ht="21" customHeight="1">
      <c r="A343" s="7" t="str">
        <f t="shared" si="31"/>
        <v>1630480</v>
      </c>
      <c r="B343" s="2" t="str">
        <f t="shared" si="27"/>
        <v>1630</v>
      </c>
      <c r="C343" s="8" t="str">
        <f t="shared" si="32"/>
        <v>0PremiumSS5</v>
      </c>
      <c r="D343" s="8" t="str">
        <f t="shared" si="33"/>
        <v>0PremiumSS5new</v>
      </c>
      <c r="E343" s="10">
        <v>0</v>
      </c>
      <c r="F343" s="6">
        <v>480</v>
      </c>
      <c r="G343" s="8" t="str">
        <f>VLOOKUP(F343,[1]characters!$A:$C,3,FALSE)</f>
        <v>夢幻の愚者フール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god</v>
      </c>
      <c r="M343" s="16">
        <f>VLOOKUP(D343,gacha_163_base!A:B,2,FALSE)</f>
        <v>840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3</v>
      </c>
    </row>
    <row r="344" spans="1:19" ht="21" customHeight="1">
      <c r="A344" s="7" t="str">
        <f t="shared" si="31"/>
        <v>1630482</v>
      </c>
      <c r="B344" s="2" t="str">
        <f t="shared" si="27"/>
        <v>1630</v>
      </c>
      <c r="C344" s="8" t="str">
        <f t="shared" si="32"/>
        <v>0PremiumS4</v>
      </c>
      <c r="D344" s="8" t="str">
        <f t="shared" si="33"/>
        <v>0PremiumS4new</v>
      </c>
      <c r="E344" s="10">
        <v>0</v>
      </c>
      <c r="F344" s="6">
        <v>482</v>
      </c>
      <c r="G344" s="8" t="str">
        <f>VLOOKUP(F344,[1]characters!$A:$C,3,FALSE)</f>
        <v>魁僧 沢庵宗彭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VLOOKUP(D344,gacha_163_base!A:B,2,FALSE)</f>
        <v>32900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3</v>
      </c>
    </row>
    <row r="345" spans="1:19" ht="21" customHeight="1">
      <c r="A345" s="7" t="str">
        <f t="shared" si="31"/>
        <v>1630483</v>
      </c>
      <c r="B345" s="2" t="str">
        <f t="shared" si="27"/>
        <v>1630</v>
      </c>
      <c r="C345" s="8" t="str">
        <f t="shared" si="32"/>
        <v>0PremiumS5</v>
      </c>
      <c r="D345" s="8" t="str">
        <f t="shared" si="33"/>
        <v>0PremiumS5new</v>
      </c>
      <c r="E345" s="10">
        <v>0</v>
      </c>
      <c r="F345" s="6">
        <v>483</v>
      </c>
      <c r="G345" s="8" t="str">
        <f>VLOOKUP(F345,[1]characters!$A:$C,3,FALSE)</f>
        <v xml:space="preserve">命経死遂 沢庵宗彭 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hp</v>
      </c>
      <c r="L345" s="8" t="str">
        <f>VLOOKUP(F345,[1]characters!$A:$M,13,FALSE)</f>
        <v>human</v>
      </c>
      <c r="M345" s="16">
        <f>VLOOKUP(D345,gacha_163_base!A:B,2,FALSE)</f>
        <v>2100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3</v>
      </c>
    </row>
    <row r="346" spans="1:19" ht="21" customHeight="1">
      <c r="F346" s="54"/>
    </row>
    <row r="347" spans="1:19" ht="21" customHeight="1">
      <c r="F347" s="53"/>
    </row>
    <row r="348" spans="1:19" ht="21" customHeight="1">
      <c r="F348" s="53"/>
    </row>
    <row r="349" spans="1:19" ht="21" customHeight="1">
      <c r="F349" s="53"/>
    </row>
    <row r="350" spans="1:19" ht="21" customHeight="1">
      <c r="F350" s="53"/>
    </row>
    <row r="351" spans="1:19" ht="21" customHeight="1">
      <c r="F351" s="53"/>
    </row>
    <row r="352" spans="1:19" ht="21" customHeight="1">
      <c r="F352" s="53"/>
    </row>
    <row r="353" spans="6:6" ht="21" customHeight="1">
      <c r="F353" s="53"/>
    </row>
    <row r="354" spans="6:6" ht="21" customHeight="1">
      <c r="F354" s="53"/>
    </row>
    <row r="355" spans="6:6" ht="21" customHeight="1">
      <c r="F355" s="53"/>
    </row>
  </sheetData>
  <autoFilter ref="A1:S345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9"/>
  <sheetViews>
    <sheetView showGridLines="0" tabSelected="1" workbookViewId="0">
      <pane ySplit="1" topLeftCell="A2" activePane="bottomLeft" state="frozen"/>
      <selection activeCell="M24" sqref="M24"/>
      <selection pane="bottomLeft" activeCell="G24" sqref="G24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A2" s="7" t="str">
        <f t="shared" ref="A2:A7" si="0">B2&amp;E2&amp;M2</f>
        <v>16334741</v>
      </c>
      <c r="B2" s="2">
        <v>1633</v>
      </c>
      <c r="C2" s="8" t="str">
        <f>D2&amp;G2&amp;H2</f>
        <v>PremiumSS4</v>
      </c>
      <c r="E2" s="6">
        <v>474</v>
      </c>
      <c r="F2" s="8" t="str">
        <f>VLOOKUP(E2,[1]characters!$A:$C,3,FALSE)</f>
        <v>キング・ドライグ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dragon</v>
      </c>
      <c r="L2" s="39">
        <f>ROUND(15*0.95*100,0)</f>
        <v>1425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3</v>
      </c>
    </row>
    <row r="3" spans="1:18" ht="21" customHeight="1">
      <c r="A3" s="7" t="str">
        <f t="shared" si="0"/>
        <v>16334751</v>
      </c>
      <c r="B3" s="2">
        <v>1633</v>
      </c>
      <c r="C3" s="8" t="str">
        <f t="shared" ref="C3:C6" si="1">D3&amp;G3&amp;H3</f>
        <v>PremiumSS5</v>
      </c>
      <c r="E3" s="6">
        <v>475</v>
      </c>
      <c r="F3" s="8" t="str">
        <f>VLOOKUP(E3,[1]characters!$A:$C,3,FALSE)</f>
        <v>緋王 キング・ドライグ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attack</v>
      </c>
      <c r="K3" s="8" t="str">
        <f>VLOOKUP(E3,[1]characters!$A:$M,13,FALSE)</f>
        <v>dragon</v>
      </c>
      <c r="L3" s="39">
        <f>ROUND(15*0.05*100,0)</f>
        <v>75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3</v>
      </c>
    </row>
    <row r="4" spans="1:18" ht="21" customHeight="1">
      <c r="A4" s="7" t="str">
        <f t="shared" si="0"/>
        <v>16334771</v>
      </c>
      <c r="B4" s="2">
        <v>1633</v>
      </c>
      <c r="C4" s="8" t="str">
        <f t="shared" si="1"/>
        <v>PremiumS4</v>
      </c>
      <c r="E4" s="6">
        <v>477</v>
      </c>
      <c r="F4" s="8" t="str">
        <f>VLOOKUP(E4,[1]characters!$A:$C,3,FALSE)</f>
        <v>愛羽妖精 ファータ</v>
      </c>
      <c r="G4" s="8" t="str">
        <f>VLOOKUP(E4,[1]characters!$A:$J,10,FALSE)</f>
        <v>PremiumS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heal</v>
      </c>
      <c r="K4" s="8" t="str">
        <f>VLOOKUP(E4,[1]characters!$A:$M,13,FALSE)</f>
        <v>unknown</v>
      </c>
      <c r="L4" s="39">
        <f>ROUND(35*0.95*100,0)</f>
        <v>3325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3</v>
      </c>
    </row>
    <row r="5" spans="1:18" ht="21" customHeight="1">
      <c r="A5" s="7" t="str">
        <f t="shared" si="0"/>
        <v>16334781</v>
      </c>
      <c r="B5" s="2">
        <v>1633</v>
      </c>
      <c r="C5" s="8" t="str">
        <f t="shared" si="1"/>
        <v>PremiumS5</v>
      </c>
      <c r="E5" s="6">
        <v>478</v>
      </c>
      <c r="F5" s="8" t="str">
        <f>VLOOKUP(E5,[1]characters!$A:$C,3,FALSE)</f>
        <v>時計仕掛けの愛羽妖精 ファータ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heal</v>
      </c>
      <c r="K5" s="8" t="str">
        <f>VLOOKUP(E5,[1]characters!$A:$M,13,FALSE)</f>
        <v>unknown</v>
      </c>
      <c r="L5" s="39">
        <f>ROUND(35*0.05*100,0)</f>
        <v>175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3</v>
      </c>
    </row>
    <row r="6" spans="1:18" ht="21" customHeight="1">
      <c r="A6" s="7" t="str">
        <f t="shared" si="0"/>
        <v>16334791</v>
      </c>
      <c r="B6" s="2">
        <v>1633</v>
      </c>
      <c r="C6" s="8" t="str">
        <f t="shared" si="1"/>
        <v>PremiumSS4</v>
      </c>
      <c r="E6" s="6">
        <v>479</v>
      </c>
      <c r="F6" s="8" t="str">
        <f>VLOOKUP(E6,[1]characters!$A:$C,3,FALSE)</f>
        <v>フール</v>
      </c>
      <c r="G6" s="8" t="str">
        <f>VLOOKUP(E6,[1]characters!$A:$J,10,FALSE)</f>
        <v>PremiumSS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technical</v>
      </c>
      <c r="K6" s="8" t="str">
        <f>VLOOKUP(E6,[1]characters!$A:$M,13,FALSE)</f>
        <v>god</v>
      </c>
      <c r="L6" s="39">
        <f>ROUND(15*0.95*100,0)</f>
        <v>1425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3</v>
      </c>
    </row>
    <row r="7" spans="1:18" ht="21" customHeight="1">
      <c r="A7" s="7" t="str">
        <f t="shared" si="0"/>
        <v>16334801</v>
      </c>
      <c r="B7" s="2">
        <v>1633</v>
      </c>
      <c r="C7" s="8" t="str">
        <f t="shared" ref="C7" si="2">D7&amp;G7&amp;H7</f>
        <v>PremiumSS5</v>
      </c>
      <c r="E7" s="6">
        <v>480</v>
      </c>
      <c r="F7" s="8" t="str">
        <f>VLOOKUP(E7,[1]characters!$A:$C,3,FALSE)</f>
        <v>夢幻の愚者フール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god</v>
      </c>
      <c r="L7" s="39">
        <f>ROUND(15*0.05*100,0)</f>
        <v>75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3</v>
      </c>
    </row>
    <row r="8" spans="1:18" ht="21" customHeight="1">
      <c r="A8" s="7" t="str">
        <f t="shared" ref="A8:A9" si="3">B8&amp;E8&amp;M8</f>
        <v>16334821</v>
      </c>
      <c r="B8" s="2">
        <v>1633</v>
      </c>
      <c r="C8" s="8" t="str">
        <f t="shared" ref="C8:C9" si="4">D8&amp;G8&amp;H8</f>
        <v>PremiumS4</v>
      </c>
      <c r="E8" s="6">
        <v>482</v>
      </c>
      <c r="F8" s="8" t="str">
        <f>VLOOKUP(E8,[1]characters!$A:$C,3,FALSE)</f>
        <v>魁僧 沢庵宗彭</v>
      </c>
      <c r="G8" s="8" t="str">
        <f>VLOOKUP(E8,[1]characters!$A:$J,10,FALSE)</f>
        <v>PremiumS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hp</v>
      </c>
      <c r="K8" s="8" t="str">
        <f>VLOOKUP(E8,[1]characters!$A:$M,13,FALSE)</f>
        <v>human</v>
      </c>
      <c r="L8" s="39">
        <f>ROUND(35*0.95*100,0)</f>
        <v>3325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3</v>
      </c>
    </row>
    <row r="9" spans="1:18" ht="21" customHeight="1">
      <c r="A9" s="7" t="str">
        <f t="shared" si="3"/>
        <v>16334831</v>
      </c>
      <c r="B9" s="2">
        <v>1633</v>
      </c>
      <c r="C9" s="8" t="str">
        <f t="shared" si="4"/>
        <v>PremiumS5</v>
      </c>
      <c r="E9" s="6">
        <v>483</v>
      </c>
      <c r="F9" s="8" t="str">
        <f>VLOOKUP(E9,[1]characters!$A:$C,3,FALSE)</f>
        <v xml:space="preserve">命経死遂 沢庵宗彭 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hp</v>
      </c>
      <c r="K9" s="8" t="str">
        <f>VLOOKUP(E9,[1]characters!$A:$M,13,FALSE)</f>
        <v>human</v>
      </c>
      <c r="L9" s="39">
        <f>ROUND(35*0.05*100,0)</f>
        <v>175</v>
      </c>
      <c r="M9" s="41">
        <f>IFERROR(VLOOKUP($E9,bug_conf_sheet!$A:$H,3,FALSE),VLOOKUP("other",bug_conf_sheet!$A:$H,3,FALSE))</f>
        <v>1</v>
      </c>
      <c r="N9" s="41">
        <f>IFERROR(VLOOKUP($E9,bug_conf_sheet!$A:$H,4,FALSE),VLOOKUP("other",bug_conf_sheet!$A:$H,4,FALSE))</f>
        <v>0</v>
      </c>
      <c r="O9" s="41">
        <f>IFERROR(VLOOKUP($E9,bug_conf_sheet!$A:$H,5,FALSE),VLOOKUP("other",bug_conf_sheet!$A:$H,5,FALSE))</f>
        <v>0</v>
      </c>
      <c r="P9" s="41">
        <f>IFERROR(VLOOKUP($E9,bug_conf_sheet!$A:$H,6,FALSE),VLOOKUP("other",bug_conf_sheet!$A:$H,6,FALSE))</f>
        <v>0</v>
      </c>
      <c r="Q9" s="41">
        <f>IFERROR(VLOOKUP($E9,bug_conf_sheet!$A:$H,7,FALSE),VLOOKUP("other",bug_conf_sheet!$A:$H,7,FALSE))</f>
        <v>0</v>
      </c>
      <c r="R9" s="41">
        <f>IFERROR(VLOOKUP($E9,bug_conf_sheet!$A:$H,8,FALSE),VLOOKUP("other",bug_conf_sheet!$A:$H,8,FALSE))</f>
        <v>3</v>
      </c>
    </row>
  </sheetData>
  <autoFilter ref="A1:R6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M24" sqref="M24"/>
      <selection pane="bottomLeft" activeCell="C2" sqref="C2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55">
        <v>163</v>
      </c>
      <c r="C2" s="55">
        <v>1631</v>
      </c>
      <c r="D2" s="55" t="s">
        <v>99</v>
      </c>
      <c r="E2" s="55">
        <v>125</v>
      </c>
      <c r="F2" s="55">
        <v>3</v>
      </c>
      <c r="G2" s="55">
        <v>1</v>
      </c>
      <c r="H2" s="55" t="s">
        <v>100</v>
      </c>
      <c r="I2" s="55" t="s">
        <v>103</v>
      </c>
      <c r="J2" s="55" t="s">
        <v>101</v>
      </c>
      <c r="K2" s="55" t="s">
        <v>102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G2" sqref="G2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474</v>
      </c>
      <c r="B2" s="8" t="str">
        <f>IFERROR(VLOOKUP(A2,[1]characters!$A:$C,3,FALSE),"")</f>
        <v>キング・ドライグ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475</v>
      </c>
      <c r="B3" s="8" t="str">
        <f>IFERROR(VLOOKUP(A3,[1]characters!$A:$C,3,FALSE),"")</f>
        <v>緋王 キング・ドライグ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476</v>
      </c>
      <c r="B4" s="8" t="str">
        <f>IFERROR(VLOOKUP(A4,[1]characters!$A:$C,3,FALSE),"")</f>
        <v>ファータ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477</v>
      </c>
      <c r="B5" s="8" t="str">
        <f>IFERROR(VLOOKUP(A5,[1]characters!$A:$C,3,FALSE),"")</f>
        <v>愛羽妖精 ファータ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478</v>
      </c>
      <c r="B6" s="8" t="str">
        <f>IFERROR(VLOOKUP(A6,[1]characters!$A:$C,3,FALSE),"")</f>
        <v>時計仕掛けの愛羽妖精 ファータ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479</v>
      </c>
      <c r="B7" s="8" t="str">
        <f>IFERROR(VLOOKUP(A7,[1]characters!$A:$C,3,FALSE),"")</f>
        <v>フール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480</v>
      </c>
      <c r="B8" s="8" t="str">
        <f>IFERROR(VLOOKUP(A8,[1]characters!$A:$C,3,FALSE),"")</f>
        <v>夢幻の愚者フール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481</v>
      </c>
      <c r="B9" s="8" t="str">
        <f>IFERROR(VLOOKUP(A9,[1]characters!$A:$C,3,FALSE),"")</f>
        <v>沢庵宗彭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482</v>
      </c>
      <c r="B10" s="8" t="str">
        <f>IFERROR(VLOOKUP(A10,[1]characters!$A:$C,3,FALSE),"")</f>
        <v>魁僧 沢庵宗彭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483</v>
      </c>
      <c r="B11" s="8" t="str">
        <f>IFERROR(VLOOKUP(A11,[1]characters!$A:$C,3,FALSE),"")</f>
        <v xml:space="preserve">命経死遂 沢庵宗彭 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16" t="s">
        <v>88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G10" sqref="G10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163</v>
      </c>
    </row>
    <row r="5" spans="1:8">
      <c r="A5" s="45" t="s">
        <v>82</v>
      </c>
      <c r="B5" s="46" t="str">
        <f>$A$3 &amp; "1"</f>
        <v>1631</v>
      </c>
      <c r="D5" s="45" t="s">
        <v>85</v>
      </c>
      <c r="E5" s="46" t="str">
        <f>$A$3 &amp; "0"</f>
        <v>1630</v>
      </c>
      <c r="G5" s="45" t="s">
        <v>86</v>
      </c>
      <c r="H5" s="46" t="str">
        <f>$A$3 &amp; "3"</f>
        <v>1633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10</v>
      </c>
      <c r="B10" s="49"/>
      <c r="D10" s="51">
        <f>COUNTIFS(gacha_select_tables!$S:$S,"&gt;1", gacha_select_tables!$B:$B,E5)</f>
        <v>8</v>
      </c>
      <c r="E10" s="49"/>
      <c r="G10" s="51">
        <f>COUNTIF(gacha_settle_tables!$R:$R,"&gt;1")</f>
        <v>8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gacha_163_base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2015-12-24T12:19:51Z</dcterms:modified>
</cp:coreProperties>
</file>