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/>
  </bookViews>
  <sheets>
    <sheet name="確率の考え方" sheetId="110" r:id="rId1"/>
    <sheet name="Sheet1" sheetId="107" r:id="rId2"/>
    <sheet name="output" sheetId="103" r:id="rId3"/>
    <sheet name="tables_7313010" sheetId="131" r:id="rId4"/>
    <sheet name="tables_7314010" sheetId="136" r:id="rId5"/>
    <sheet name="tables_7315010" sheetId="137" r:id="rId6"/>
    <sheet name="tables_7316010" sheetId="13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3" hidden="1">tables_7313010!$A$1:$V$19</definedName>
    <definedName name="_xlnm._FilterDatabase" localSheetId="4" hidden="1">tables_7314010!$A$1:$V$17</definedName>
    <definedName name="_xlnm._FilterDatabase" localSheetId="5" hidden="1">tables_7315010!$A$1:$V$19</definedName>
    <definedName name="_xlnm._FilterDatabase" localSheetId="6" hidden="1">tables_7316010!$A$1:$V$20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8" i="136" l="1"/>
  <c r="N18" i="136"/>
  <c r="M18" i="136"/>
  <c r="L18" i="136"/>
  <c r="K18" i="136"/>
  <c r="J18" i="136"/>
  <c r="I18" i="136"/>
  <c r="H18" i="136"/>
  <c r="F18" i="136"/>
  <c r="E18" i="136"/>
  <c r="D18" i="136"/>
  <c r="C18" i="136"/>
  <c r="P20" i="138"/>
  <c r="N20" i="138"/>
  <c r="M20" i="138"/>
  <c r="L20" i="138"/>
  <c r="K20" i="138"/>
  <c r="J20" i="138"/>
  <c r="I20" i="138"/>
  <c r="H20" i="138"/>
  <c r="F20" i="138"/>
  <c r="E20" i="138"/>
  <c r="D20" i="138"/>
  <c r="C20" i="138"/>
  <c r="P19" i="138"/>
  <c r="N19" i="138"/>
  <c r="M19" i="138"/>
  <c r="L19" i="138"/>
  <c r="K19" i="138"/>
  <c r="J19" i="138"/>
  <c r="I19" i="138"/>
  <c r="H19" i="138"/>
  <c r="F19" i="138"/>
  <c r="E19" i="138"/>
  <c r="D19" i="138"/>
  <c r="C19" i="138"/>
  <c r="P18" i="138"/>
  <c r="N18" i="138"/>
  <c r="M18" i="138"/>
  <c r="L18" i="138"/>
  <c r="K18" i="138"/>
  <c r="J18" i="138"/>
  <c r="I18" i="138"/>
  <c r="H18" i="138"/>
  <c r="F18" i="138"/>
  <c r="E18" i="138"/>
  <c r="D18" i="138"/>
  <c r="C18" i="138"/>
  <c r="P17" i="138"/>
  <c r="N17" i="138"/>
  <c r="M17" i="138"/>
  <c r="L17" i="138"/>
  <c r="K17" i="138"/>
  <c r="J17" i="138"/>
  <c r="I17" i="138"/>
  <c r="H17" i="138"/>
  <c r="F17" i="138"/>
  <c r="E17" i="138"/>
  <c r="D17" i="138"/>
  <c r="C17" i="138"/>
  <c r="P16" i="138"/>
  <c r="N16" i="138"/>
  <c r="M16" i="138"/>
  <c r="L16" i="138"/>
  <c r="K16" i="138"/>
  <c r="J16" i="138"/>
  <c r="I16" i="138"/>
  <c r="H16" i="138"/>
  <c r="F16" i="138"/>
  <c r="E16" i="138"/>
  <c r="D16" i="138"/>
  <c r="C16" i="138"/>
  <c r="P15" i="138"/>
  <c r="N15" i="138"/>
  <c r="M15" i="138"/>
  <c r="L15" i="138"/>
  <c r="K15" i="138"/>
  <c r="J15" i="138"/>
  <c r="I15" i="138"/>
  <c r="H15" i="138"/>
  <c r="F15" i="138"/>
  <c r="E15" i="138"/>
  <c r="D15" i="138"/>
  <c r="C15" i="138"/>
  <c r="P14" i="138"/>
  <c r="N14" i="138"/>
  <c r="M14" i="138"/>
  <c r="L14" i="138"/>
  <c r="K14" i="138"/>
  <c r="J14" i="138"/>
  <c r="I14" i="138"/>
  <c r="H14" i="138"/>
  <c r="F14" i="138"/>
  <c r="E14" i="138"/>
  <c r="D14" i="138"/>
  <c r="C14" i="138"/>
  <c r="P13" i="138"/>
  <c r="N13" i="138"/>
  <c r="M13" i="138"/>
  <c r="L13" i="138"/>
  <c r="K13" i="138"/>
  <c r="J13" i="138"/>
  <c r="I13" i="138"/>
  <c r="H13" i="138"/>
  <c r="F13" i="138"/>
  <c r="E13" i="138"/>
  <c r="D13" i="138"/>
  <c r="C13" i="138"/>
  <c r="P12" i="138"/>
  <c r="N12" i="138"/>
  <c r="M12" i="138"/>
  <c r="L12" i="138"/>
  <c r="K12" i="138"/>
  <c r="J12" i="138"/>
  <c r="I12" i="138"/>
  <c r="H12" i="138"/>
  <c r="F12" i="138"/>
  <c r="E12" i="138"/>
  <c r="D12" i="138"/>
  <c r="C12" i="138"/>
  <c r="P11" i="138"/>
  <c r="N11" i="138"/>
  <c r="M11" i="138"/>
  <c r="L11" i="138"/>
  <c r="K11" i="138"/>
  <c r="J11" i="138"/>
  <c r="I11" i="138"/>
  <c r="H11" i="138"/>
  <c r="F11" i="138"/>
  <c r="E11" i="138"/>
  <c r="D11" i="138"/>
  <c r="C11" i="138"/>
  <c r="P10" i="138"/>
  <c r="N10" i="138"/>
  <c r="M10" i="138"/>
  <c r="L10" i="138"/>
  <c r="K10" i="138"/>
  <c r="J10" i="138"/>
  <c r="I10" i="138"/>
  <c r="H10" i="138"/>
  <c r="F10" i="138"/>
  <c r="E10" i="138"/>
  <c r="D10" i="138"/>
  <c r="C10" i="138"/>
  <c r="P9" i="138"/>
  <c r="N9" i="138"/>
  <c r="M9" i="138"/>
  <c r="L9" i="138"/>
  <c r="K9" i="138"/>
  <c r="J9" i="138"/>
  <c r="I9" i="138"/>
  <c r="H9" i="138"/>
  <c r="F9" i="138"/>
  <c r="E9" i="138"/>
  <c r="D9" i="138"/>
  <c r="C9" i="138"/>
  <c r="P8" i="138"/>
  <c r="N8" i="138"/>
  <c r="M8" i="138"/>
  <c r="L8" i="138"/>
  <c r="K8" i="138"/>
  <c r="J8" i="138"/>
  <c r="I8" i="138"/>
  <c r="H8" i="138"/>
  <c r="F8" i="138"/>
  <c r="E8" i="138"/>
  <c r="D8" i="138"/>
  <c r="C8" i="138"/>
  <c r="P7" i="138"/>
  <c r="N7" i="138"/>
  <c r="M7" i="138"/>
  <c r="L7" i="138"/>
  <c r="K7" i="138"/>
  <c r="J7" i="138"/>
  <c r="I7" i="138"/>
  <c r="H7" i="138"/>
  <c r="F7" i="138"/>
  <c r="E7" i="138"/>
  <c r="D7" i="138"/>
  <c r="C7" i="138"/>
  <c r="P6" i="138"/>
  <c r="N6" i="138"/>
  <c r="M6" i="138"/>
  <c r="L6" i="138"/>
  <c r="K6" i="138"/>
  <c r="J6" i="138"/>
  <c r="I6" i="138"/>
  <c r="H6" i="138"/>
  <c r="F6" i="138"/>
  <c r="E6" i="138"/>
  <c r="D6" i="138"/>
  <c r="C6" i="138"/>
  <c r="P5" i="138"/>
  <c r="N5" i="138"/>
  <c r="M5" i="138"/>
  <c r="L5" i="138"/>
  <c r="K5" i="138"/>
  <c r="J5" i="138"/>
  <c r="I5" i="138"/>
  <c r="H5" i="138"/>
  <c r="F5" i="138"/>
  <c r="E5" i="138"/>
  <c r="D5" i="138"/>
  <c r="C5" i="138"/>
  <c r="P4" i="138"/>
  <c r="N4" i="138"/>
  <c r="M4" i="138"/>
  <c r="L4" i="138"/>
  <c r="K4" i="138"/>
  <c r="J4" i="138"/>
  <c r="I4" i="138"/>
  <c r="H4" i="138"/>
  <c r="F4" i="138"/>
  <c r="E4" i="138"/>
  <c r="D4" i="138"/>
  <c r="C4" i="138"/>
  <c r="P3" i="138"/>
  <c r="N3" i="138"/>
  <c r="M3" i="138"/>
  <c r="L3" i="138"/>
  <c r="K3" i="138"/>
  <c r="J3" i="138"/>
  <c r="I3" i="138"/>
  <c r="H3" i="138"/>
  <c r="F3" i="138"/>
  <c r="E3" i="138"/>
  <c r="D3" i="138"/>
  <c r="C3" i="138"/>
  <c r="P2" i="138"/>
  <c r="N2" i="138"/>
  <c r="M2" i="138"/>
  <c r="L2" i="138"/>
  <c r="K2" i="138"/>
  <c r="J2" i="138"/>
  <c r="I2" i="138"/>
  <c r="H2" i="138"/>
  <c r="F2" i="138"/>
  <c r="E2" i="138"/>
  <c r="D2" i="138"/>
  <c r="C2" i="138"/>
  <c r="P19" i="137"/>
  <c r="N19" i="137"/>
  <c r="M19" i="137"/>
  <c r="L19" i="137"/>
  <c r="K19" i="137"/>
  <c r="J19" i="137"/>
  <c r="I19" i="137"/>
  <c r="H19" i="137"/>
  <c r="F19" i="137"/>
  <c r="E19" i="137"/>
  <c r="D19" i="137"/>
  <c r="C19" i="137"/>
  <c r="P18" i="137"/>
  <c r="N18" i="137"/>
  <c r="M18" i="137"/>
  <c r="L18" i="137"/>
  <c r="K18" i="137"/>
  <c r="J18" i="137"/>
  <c r="I18" i="137"/>
  <c r="H18" i="137"/>
  <c r="F18" i="137"/>
  <c r="E18" i="137"/>
  <c r="D18" i="137"/>
  <c r="C18" i="137"/>
  <c r="P17" i="137"/>
  <c r="N17" i="137"/>
  <c r="M17" i="137"/>
  <c r="L17" i="137"/>
  <c r="K17" i="137"/>
  <c r="J17" i="137"/>
  <c r="I17" i="137"/>
  <c r="H17" i="137"/>
  <c r="F17" i="137"/>
  <c r="E17" i="137"/>
  <c r="D17" i="137"/>
  <c r="C17" i="137"/>
  <c r="P16" i="137"/>
  <c r="N16" i="137"/>
  <c r="M16" i="137"/>
  <c r="L16" i="137"/>
  <c r="K16" i="137"/>
  <c r="J16" i="137"/>
  <c r="I16" i="137"/>
  <c r="H16" i="137"/>
  <c r="F16" i="137"/>
  <c r="E16" i="137"/>
  <c r="D16" i="137"/>
  <c r="C16" i="137"/>
  <c r="P15" i="137"/>
  <c r="N15" i="137"/>
  <c r="M15" i="137"/>
  <c r="L15" i="137"/>
  <c r="K15" i="137"/>
  <c r="J15" i="137"/>
  <c r="I15" i="137"/>
  <c r="H15" i="137"/>
  <c r="F15" i="137"/>
  <c r="E15" i="137"/>
  <c r="D15" i="137"/>
  <c r="C15" i="137"/>
  <c r="P14" i="137"/>
  <c r="N14" i="137"/>
  <c r="M14" i="137"/>
  <c r="L14" i="137"/>
  <c r="K14" i="137"/>
  <c r="J14" i="137"/>
  <c r="I14" i="137"/>
  <c r="H14" i="137"/>
  <c r="F14" i="137"/>
  <c r="E14" i="137"/>
  <c r="D14" i="137"/>
  <c r="C14" i="137"/>
  <c r="P13" i="137"/>
  <c r="N13" i="137"/>
  <c r="M13" i="137"/>
  <c r="L13" i="137"/>
  <c r="K13" i="137"/>
  <c r="J13" i="137"/>
  <c r="I13" i="137"/>
  <c r="H13" i="137"/>
  <c r="F13" i="137"/>
  <c r="E13" i="137"/>
  <c r="D13" i="137"/>
  <c r="C13" i="137"/>
  <c r="P12" i="137"/>
  <c r="N12" i="137"/>
  <c r="M12" i="137"/>
  <c r="L12" i="137"/>
  <c r="K12" i="137"/>
  <c r="J12" i="137"/>
  <c r="I12" i="137"/>
  <c r="H12" i="137"/>
  <c r="F12" i="137"/>
  <c r="E12" i="137"/>
  <c r="D12" i="137"/>
  <c r="C12" i="137"/>
  <c r="P11" i="137"/>
  <c r="N11" i="137"/>
  <c r="M11" i="137"/>
  <c r="L11" i="137"/>
  <c r="K11" i="137"/>
  <c r="J11" i="137"/>
  <c r="I11" i="137"/>
  <c r="H11" i="137"/>
  <c r="F11" i="137"/>
  <c r="E11" i="137"/>
  <c r="D11" i="137"/>
  <c r="C11" i="137"/>
  <c r="P10" i="137"/>
  <c r="N10" i="137"/>
  <c r="M10" i="137"/>
  <c r="L10" i="137"/>
  <c r="K10" i="137"/>
  <c r="J10" i="137"/>
  <c r="I10" i="137"/>
  <c r="H10" i="137"/>
  <c r="F10" i="137"/>
  <c r="E10" i="137"/>
  <c r="D10" i="137"/>
  <c r="C10" i="137"/>
  <c r="P9" i="137"/>
  <c r="N9" i="137"/>
  <c r="M9" i="137"/>
  <c r="L9" i="137"/>
  <c r="K9" i="137"/>
  <c r="J9" i="137"/>
  <c r="I9" i="137"/>
  <c r="H9" i="137"/>
  <c r="F9" i="137"/>
  <c r="E9" i="137"/>
  <c r="D9" i="137"/>
  <c r="C9" i="137"/>
  <c r="P8" i="137"/>
  <c r="N8" i="137"/>
  <c r="M8" i="137"/>
  <c r="L8" i="137"/>
  <c r="K8" i="137"/>
  <c r="J8" i="137"/>
  <c r="I8" i="137"/>
  <c r="H8" i="137"/>
  <c r="F8" i="137"/>
  <c r="E8" i="137"/>
  <c r="D8" i="137"/>
  <c r="C8" i="137"/>
  <c r="P7" i="137"/>
  <c r="N7" i="137"/>
  <c r="M7" i="137"/>
  <c r="L7" i="137"/>
  <c r="K7" i="137"/>
  <c r="J7" i="137"/>
  <c r="I7" i="137"/>
  <c r="H7" i="137"/>
  <c r="F7" i="137"/>
  <c r="E7" i="137"/>
  <c r="D7" i="137"/>
  <c r="C7" i="137"/>
  <c r="P6" i="137"/>
  <c r="N6" i="137"/>
  <c r="M6" i="137"/>
  <c r="L6" i="137"/>
  <c r="K6" i="137"/>
  <c r="J6" i="137"/>
  <c r="I6" i="137"/>
  <c r="H6" i="137"/>
  <c r="F6" i="137"/>
  <c r="E6" i="137"/>
  <c r="D6" i="137"/>
  <c r="C6" i="137"/>
  <c r="P5" i="137"/>
  <c r="N5" i="137"/>
  <c r="M5" i="137"/>
  <c r="L5" i="137"/>
  <c r="K5" i="137"/>
  <c r="J5" i="137"/>
  <c r="I5" i="137"/>
  <c r="H5" i="137"/>
  <c r="F5" i="137"/>
  <c r="E5" i="137"/>
  <c r="D5" i="137"/>
  <c r="C5" i="137"/>
  <c r="P4" i="137"/>
  <c r="N4" i="137"/>
  <c r="M4" i="137"/>
  <c r="L4" i="137"/>
  <c r="K4" i="137"/>
  <c r="J4" i="137"/>
  <c r="I4" i="137"/>
  <c r="H4" i="137"/>
  <c r="F4" i="137"/>
  <c r="E4" i="137"/>
  <c r="D4" i="137"/>
  <c r="C4" i="137"/>
  <c r="P3" i="137"/>
  <c r="N3" i="137"/>
  <c r="M3" i="137"/>
  <c r="L3" i="137"/>
  <c r="K3" i="137"/>
  <c r="J3" i="137"/>
  <c r="I3" i="137"/>
  <c r="H3" i="137"/>
  <c r="F3" i="137"/>
  <c r="E3" i="137"/>
  <c r="D3" i="137"/>
  <c r="C3" i="137"/>
  <c r="P2" i="137"/>
  <c r="N2" i="137"/>
  <c r="M2" i="137"/>
  <c r="L2" i="137"/>
  <c r="K2" i="137"/>
  <c r="J2" i="137"/>
  <c r="I2" i="137"/>
  <c r="H2" i="137"/>
  <c r="F2" i="137"/>
  <c r="E2" i="137"/>
  <c r="D2" i="137"/>
  <c r="C2" i="137"/>
  <c r="P17" i="136"/>
  <c r="N17" i="136"/>
  <c r="M17" i="136"/>
  <c r="L17" i="136"/>
  <c r="K17" i="136"/>
  <c r="J17" i="136"/>
  <c r="I17" i="136"/>
  <c r="H17" i="136"/>
  <c r="F17" i="136"/>
  <c r="E17" i="136"/>
  <c r="D17" i="136"/>
  <c r="C17" i="136"/>
  <c r="P16" i="136"/>
  <c r="N16" i="136"/>
  <c r="M16" i="136"/>
  <c r="L16" i="136"/>
  <c r="K16" i="136"/>
  <c r="J16" i="136"/>
  <c r="I16" i="136"/>
  <c r="H16" i="136"/>
  <c r="F16" i="136"/>
  <c r="E16" i="136"/>
  <c r="D16" i="136"/>
  <c r="C16" i="136"/>
  <c r="P15" i="136"/>
  <c r="N15" i="136"/>
  <c r="M15" i="136"/>
  <c r="L15" i="136"/>
  <c r="K15" i="136"/>
  <c r="J15" i="136"/>
  <c r="I15" i="136"/>
  <c r="H15" i="136"/>
  <c r="F15" i="136"/>
  <c r="E15" i="136"/>
  <c r="D15" i="136"/>
  <c r="C15" i="136"/>
  <c r="P14" i="136"/>
  <c r="N14" i="136"/>
  <c r="M14" i="136"/>
  <c r="L14" i="136"/>
  <c r="K14" i="136"/>
  <c r="J14" i="136"/>
  <c r="I14" i="136"/>
  <c r="H14" i="136"/>
  <c r="F14" i="136"/>
  <c r="E14" i="136"/>
  <c r="D14" i="136"/>
  <c r="C14" i="136"/>
  <c r="P13" i="136"/>
  <c r="N13" i="136"/>
  <c r="M13" i="136"/>
  <c r="L13" i="136"/>
  <c r="K13" i="136"/>
  <c r="J13" i="136"/>
  <c r="I13" i="136"/>
  <c r="H13" i="136"/>
  <c r="F13" i="136"/>
  <c r="E13" i="136"/>
  <c r="D13" i="136"/>
  <c r="C13" i="136"/>
  <c r="P12" i="136"/>
  <c r="N12" i="136"/>
  <c r="M12" i="136"/>
  <c r="L12" i="136"/>
  <c r="K12" i="136"/>
  <c r="J12" i="136"/>
  <c r="I12" i="136"/>
  <c r="H12" i="136"/>
  <c r="F12" i="136"/>
  <c r="E12" i="136"/>
  <c r="D12" i="136"/>
  <c r="C12" i="136"/>
  <c r="P11" i="136"/>
  <c r="N11" i="136"/>
  <c r="M11" i="136"/>
  <c r="L11" i="136"/>
  <c r="K11" i="136"/>
  <c r="J11" i="136"/>
  <c r="I11" i="136"/>
  <c r="H11" i="136"/>
  <c r="F11" i="136"/>
  <c r="E11" i="136"/>
  <c r="D11" i="136"/>
  <c r="C11" i="136"/>
  <c r="P10" i="136"/>
  <c r="N10" i="136"/>
  <c r="M10" i="136"/>
  <c r="L10" i="136"/>
  <c r="K10" i="136"/>
  <c r="J10" i="136"/>
  <c r="I10" i="136"/>
  <c r="H10" i="136"/>
  <c r="F10" i="136"/>
  <c r="E10" i="136"/>
  <c r="D10" i="136"/>
  <c r="C10" i="136"/>
  <c r="P9" i="136"/>
  <c r="N9" i="136"/>
  <c r="M9" i="136"/>
  <c r="L9" i="136"/>
  <c r="K9" i="136"/>
  <c r="J9" i="136"/>
  <c r="I9" i="136"/>
  <c r="H9" i="136"/>
  <c r="F9" i="136"/>
  <c r="E9" i="136"/>
  <c r="D9" i="136"/>
  <c r="C9" i="136"/>
  <c r="P8" i="136"/>
  <c r="N8" i="136"/>
  <c r="M8" i="136"/>
  <c r="L8" i="136"/>
  <c r="K8" i="136"/>
  <c r="J8" i="136"/>
  <c r="I8" i="136"/>
  <c r="H8" i="136"/>
  <c r="F8" i="136"/>
  <c r="E8" i="136"/>
  <c r="D8" i="136"/>
  <c r="C8" i="136"/>
  <c r="P7" i="136"/>
  <c r="N7" i="136"/>
  <c r="M7" i="136"/>
  <c r="L7" i="136"/>
  <c r="K7" i="136"/>
  <c r="J7" i="136"/>
  <c r="I7" i="136"/>
  <c r="H7" i="136"/>
  <c r="F7" i="136"/>
  <c r="E7" i="136"/>
  <c r="D7" i="136"/>
  <c r="C7" i="136"/>
  <c r="P6" i="136"/>
  <c r="N6" i="136"/>
  <c r="M6" i="136"/>
  <c r="L6" i="136"/>
  <c r="K6" i="136"/>
  <c r="J6" i="136"/>
  <c r="I6" i="136"/>
  <c r="H6" i="136"/>
  <c r="F6" i="136"/>
  <c r="E6" i="136"/>
  <c r="D6" i="136"/>
  <c r="C6" i="136"/>
  <c r="P5" i="136"/>
  <c r="N5" i="136"/>
  <c r="M5" i="136"/>
  <c r="L5" i="136"/>
  <c r="K5" i="136"/>
  <c r="J5" i="136"/>
  <c r="I5" i="136"/>
  <c r="H5" i="136"/>
  <c r="F5" i="136"/>
  <c r="E5" i="136"/>
  <c r="D5" i="136"/>
  <c r="C5" i="136"/>
  <c r="P4" i="136"/>
  <c r="N4" i="136"/>
  <c r="M4" i="136"/>
  <c r="L4" i="136"/>
  <c r="K4" i="136"/>
  <c r="J4" i="136"/>
  <c r="I4" i="136"/>
  <c r="H4" i="136"/>
  <c r="F4" i="136"/>
  <c r="E4" i="136"/>
  <c r="D4" i="136"/>
  <c r="C4" i="136"/>
  <c r="P3" i="136"/>
  <c r="N3" i="136"/>
  <c r="M3" i="136"/>
  <c r="L3" i="136"/>
  <c r="K3" i="136"/>
  <c r="J3" i="136"/>
  <c r="I3" i="136"/>
  <c r="H3" i="136"/>
  <c r="F3" i="136"/>
  <c r="E3" i="136"/>
  <c r="D3" i="136"/>
  <c r="C3" i="136"/>
  <c r="P2" i="136"/>
  <c r="N2" i="136"/>
  <c r="M2" i="136"/>
  <c r="L2" i="136"/>
  <c r="K2" i="136"/>
  <c r="J2" i="136"/>
  <c r="I2" i="136"/>
  <c r="H2" i="136"/>
  <c r="F2" i="136"/>
  <c r="E2" i="136"/>
  <c r="D2" i="136"/>
  <c r="C2" i="136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B257" i="111"/>
  <c r="B157" i="111"/>
  <c r="B57" i="111"/>
  <c r="B248" i="111"/>
  <c r="B247" i="111"/>
  <c r="B246" i="111"/>
  <c r="B245" i="111"/>
  <c r="B244" i="111"/>
  <c r="B243" i="111"/>
  <c r="B242" i="111"/>
  <c r="B241" i="111"/>
  <c r="B240" i="111"/>
  <c r="B234" i="111"/>
  <c r="B224" i="111"/>
  <c r="B214" i="111"/>
  <c r="B204" i="111"/>
  <c r="B194" i="111"/>
  <c r="B184" i="111"/>
  <c r="B174" i="111"/>
  <c r="B164" i="111"/>
  <c r="B154" i="111"/>
  <c r="B149" i="111"/>
  <c r="B148" i="111"/>
  <c r="B147" i="111"/>
  <c r="B146" i="111"/>
  <c r="B145" i="111"/>
  <c r="B144" i="111"/>
  <c r="B143" i="111"/>
  <c r="B142" i="111"/>
  <c r="B141" i="111"/>
  <c r="B140" i="111"/>
  <c r="B134" i="111"/>
  <c r="B124" i="111"/>
  <c r="B114" i="111"/>
  <c r="B104" i="111"/>
  <c r="B94" i="111"/>
  <c r="B84" i="111"/>
  <c r="B74" i="111"/>
  <c r="B64" i="111"/>
  <c r="B54" i="111"/>
  <c r="B49" i="111"/>
  <c r="B48" i="111"/>
  <c r="B47" i="111"/>
  <c r="B46" i="111"/>
  <c r="B45" i="111"/>
  <c r="B44" i="111"/>
  <c r="B43" i="111"/>
  <c r="B42" i="111"/>
  <c r="B41" i="111"/>
  <c r="B40" i="111"/>
  <c r="B34" i="111"/>
  <c r="B24" i="111"/>
  <c r="B14" i="111"/>
  <c r="B4" i="111"/>
  <c r="P13" i="131"/>
  <c r="N13" i="131"/>
  <c r="M13" i="131"/>
  <c r="L13" i="131"/>
  <c r="K13" i="131"/>
  <c r="J13" i="131"/>
  <c r="I13" i="131"/>
  <c r="H13" i="131"/>
  <c r="F13" i="131"/>
  <c r="E13" i="131"/>
  <c r="D13" i="131"/>
  <c r="C13" i="131"/>
  <c r="P11" i="131"/>
  <c r="N11" i="131"/>
  <c r="M11" i="131"/>
  <c r="L11" i="131"/>
  <c r="K11" i="131"/>
  <c r="J11" i="131"/>
  <c r="I11" i="131"/>
  <c r="H11" i="131"/>
  <c r="F11" i="131"/>
  <c r="E11" i="131"/>
  <c r="D11" i="131"/>
  <c r="C11" i="131"/>
  <c r="P2" i="131"/>
  <c r="N2" i="131"/>
  <c r="M2" i="131"/>
  <c r="L2" i="131"/>
  <c r="K2" i="131"/>
  <c r="J2" i="131"/>
  <c r="I2" i="131"/>
  <c r="H2" i="131"/>
  <c r="F2" i="131"/>
  <c r="E2" i="131"/>
  <c r="D2" i="131"/>
  <c r="C2" i="131"/>
  <c r="C4" i="103"/>
  <c r="E4" i="103"/>
  <c r="B264" i="111"/>
  <c r="B254" i="111"/>
  <c r="B249" i="111"/>
  <c r="B14" i="112"/>
  <c r="B4" i="112"/>
  <c r="I7" i="131"/>
  <c r="E7" i="131"/>
  <c r="F7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4" i="131"/>
  <c r="D4" i="131"/>
  <c r="J4" i="131"/>
  <c r="E4" i="131"/>
  <c r="F4" i="131"/>
  <c r="C4" i="131"/>
  <c r="H4" i="131"/>
  <c r="K4" i="131"/>
  <c r="L4" i="131"/>
  <c r="M4" i="131"/>
  <c r="N4" i="131"/>
  <c r="P4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D7" i="131"/>
  <c r="J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4" i="131"/>
  <c r="D14" i="131"/>
  <c r="J14" i="131"/>
  <c r="E14" i="131"/>
  <c r="F14" i="131"/>
  <c r="C14" i="131"/>
  <c r="H14" i="131"/>
  <c r="K14" i="131"/>
  <c r="L14" i="131"/>
  <c r="M14" i="131"/>
  <c r="N14" i="131"/>
  <c r="P14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C5" i="103"/>
  <c r="E5" i="103"/>
  <c r="C2" i="103"/>
  <c r="E2" i="103"/>
  <c r="C3" i="103"/>
  <c r="E3" i="103"/>
  <c r="B13" i="112"/>
  <c r="B12" i="112"/>
  <c r="B11" i="112"/>
  <c r="B10" i="112"/>
  <c r="B9" i="112"/>
  <c r="B8" i="112"/>
  <c r="B7" i="112"/>
  <c r="B6" i="112"/>
  <c r="B5" i="112"/>
  <c r="B3" i="112"/>
  <c r="B266" i="111"/>
  <c r="B265" i="111"/>
  <c r="B263" i="111"/>
  <c r="B262" i="111"/>
  <c r="B261" i="111"/>
  <c r="B260" i="111"/>
  <c r="B259" i="111"/>
  <c r="B258" i="111"/>
  <c r="B256" i="111"/>
  <c r="B255" i="111"/>
  <c r="B253" i="111"/>
  <c r="B252" i="111"/>
  <c r="B251" i="111"/>
  <c r="B250" i="111"/>
  <c r="B239" i="111"/>
  <c r="B238" i="111"/>
  <c r="B237" i="111"/>
  <c r="B236" i="111"/>
  <c r="B235" i="111"/>
  <c r="B233" i="111"/>
  <c r="B232" i="111"/>
  <c r="B231" i="111"/>
  <c r="B230" i="111"/>
  <c r="B229" i="111"/>
  <c r="B228" i="111"/>
  <c r="B227" i="111"/>
  <c r="B226" i="111"/>
  <c r="B225" i="111"/>
  <c r="B223" i="111"/>
  <c r="B222" i="111"/>
  <c r="B221" i="111"/>
  <c r="B220" i="111"/>
  <c r="B219" i="111"/>
  <c r="B218" i="111"/>
  <c r="B217" i="111"/>
  <c r="B216" i="111"/>
  <c r="B215" i="111"/>
  <c r="B213" i="111"/>
  <c r="B212" i="111"/>
  <c r="B211" i="111"/>
  <c r="B210" i="111"/>
  <c r="B209" i="111"/>
  <c r="B208" i="111"/>
  <c r="B207" i="111"/>
  <c r="B206" i="111"/>
  <c r="B205" i="111"/>
  <c r="B203" i="111"/>
  <c r="B202" i="111"/>
  <c r="B201" i="111"/>
  <c r="B200" i="111"/>
  <c r="B199" i="111"/>
  <c r="B198" i="111"/>
  <c r="B197" i="111"/>
  <c r="B196" i="111"/>
  <c r="B195" i="111"/>
  <c r="B193" i="111"/>
  <c r="B192" i="111"/>
  <c r="B191" i="111"/>
  <c r="B190" i="111"/>
  <c r="B189" i="111"/>
  <c r="B188" i="111"/>
  <c r="B187" i="111"/>
  <c r="B186" i="111"/>
  <c r="B185" i="111"/>
  <c r="B183" i="111"/>
  <c r="B182" i="111"/>
  <c r="B181" i="111"/>
  <c r="B180" i="111"/>
  <c r="B179" i="111"/>
  <c r="B178" i="111"/>
  <c r="B177" i="111"/>
  <c r="B176" i="111"/>
  <c r="B175" i="111"/>
  <c r="B173" i="111"/>
  <c r="B172" i="111"/>
  <c r="B171" i="111"/>
  <c r="B170" i="111"/>
  <c r="B169" i="111"/>
  <c r="B168" i="111"/>
  <c r="B167" i="111"/>
  <c r="B166" i="111"/>
  <c r="B165" i="111"/>
  <c r="B163" i="111"/>
  <c r="B162" i="111"/>
  <c r="B161" i="111"/>
  <c r="B160" i="111"/>
  <c r="B159" i="111"/>
  <c r="B158" i="111"/>
  <c r="B156" i="111"/>
  <c r="B155" i="111"/>
  <c r="B153" i="111"/>
  <c r="B152" i="111"/>
  <c r="B151" i="111"/>
  <c r="B150" i="111"/>
  <c r="B139" i="111"/>
  <c r="B138" i="111"/>
  <c r="B137" i="111"/>
  <c r="B136" i="111"/>
  <c r="B135" i="111"/>
  <c r="B133" i="111"/>
  <c r="B132" i="111"/>
  <c r="B131" i="111"/>
  <c r="B130" i="111"/>
  <c r="B129" i="111"/>
  <c r="B128" i="111"/>
  <c r="B127" i="111"/>
  <c r="B126" i="111"/>
  <c r="B125" i="111"/>
  <c r="B123" i="111"/>
  <c r="B122" i="111"/>
  <c r="B121" i="111"/>
  <c r="B120" i="111"/>
  <c r="B119" i="111"/>
  <c r="B118" i="111"/>
  <c r="B117" i="111"/>
  <c r="B116" i="111"/>
  <c r="B115" i="111"/>
  <c r="B113" i="111"/>
  <c r="B112" i="111"/>
  <c r="B111" i="111"/>
  <c r="B110" i="111"/>
  <c r="B109" i="111"/>
  <c r="B108" i="111"/>
  <c r="B107" i="111"/>
  <c r="B106" i="111"/>
  <c r="B105" i="111"/>
  <c r="B103" i="111"/>
  <c r="B102" i="111"/>
  <c r="B101" i="111"/>
  <c r="B100" i="111"/>
  <c r="B99" i="111"/>
  <c r="B98" i="111"/>
  <c r="B97" i="111"/>
  <c r="B96" i="111"/>
  <c r="B95" i="111"/>
  <c r="B93" i="111"/>
  <c r="B92" i="111"/>
  <c r="B91" i="111"/>
  <c r="B90" i="111"/>
  <c r="B89" i="111"/>
  <c r="B88" i="111"/>
  <c r="B87" i="111"/>
  <c r="B86" i="111"/>
  <c r="B85" i="111"/>
  <c r="B83" i="111"/>
  <c r="B82" i="111"/>
  <c r="B81" i="111"/>
  <c r="B80" i="111"/>
  <c r="B79" i="111"/>
  <c r="B78" i="111"/>
  <c r="B77" i="111"/>
  <c r="B76" i="111"/>
  <c r="B75" i="111"/>
  <c r="B73" i="111"/>
  <c r="B72" i="111"/>
  <c r="B71" i="111"/>
  <c r="B70" i="111"/>
  <c r="B69" i="111"/>
  <c r="B68" i="111"/>
  <c r="B67" i="111"/>
  <c r="B66" i="111"/>
  <c r="B65" i="111"/>
  <c r="B63" i="111"/>
  <c r="B62" i="111"/>
  <c r="B61" i="111"/>
  <c r="B60" i="111"/>
  <c r="B59" i="111"/>
  <c r="B58" i="111"/>
  <c r="B56" i="111"/>
  <c r="B55" i="111"/>
  <c r="B53" i="111"/>
  <c r="B52" i="111"/>
  <c r="B51" i="111"/>
  <c r="B50" i="111"/>
  <c r="B39" i="111"/>
  <c r="B38" i="111"/>
  <c r="B37" i="111"/>
  <c r="B36" i="111"/>
  <c r="B35" i="111"/>
  <c r="B33" i="111"/>
  <c r="B32" i="111"/>
  <c r="B31" i="111"/>
  <c r="B30" i="111"/>
  <c r="B29" i="111"/>
  <c r="B28" i="111"/>
  <c r="B27" i="111"/>
  <c r="B26" i="111"/>
  <c r="B25" i="111"/>
  <c r="B23" i="111"/>
  <c r="B22" i="111"/>
  <c r="B21" i="111"/>
  <c r="B20" i="111"/>
  <c r="B19" i="111"/>
  <c r="B18" i="111"/>
  <c r="B17" i="111"/>
  <c r="B16" i="111"/>
  <c r="B15" i="111"/>
  <c r="B13" i="111"/>
  <c r="B12" i="111"/>
  <c r="B11" i="111"/>
  <c r="B10" i="111"/>
  <c r="B9" i="111"/>
  <c r="B8" i="111"/>
  <c r="B7" i="111"/>
  <c r="B6" i="111"/>
  <c r="B5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<sst xmlns="http://schemas.openxmlformats.org/spreadsheetml/2006/main" count="267" uniqueCount="126">
  <si>
    <t>character_id</t>
  </si>
  <si>
    <t>character_id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</si>
  <si>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</si>
  <si>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</si>
  <si>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</si>
  <si>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</si>
  <si>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</si>
  <si>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</si>
  <si>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</si>
  <si>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0"/>
  </si>
  <si>
    <t>character_id</t>
    <phoneticPr fontId="10"/>
  </si>
  <si>
    <t>name</t>
    <phoneticPr fontId="10"/>
  </si>
  <si>
    <t>接頭語</t>
    <rPh sb="0" eb="3">
      <t>セットウゴ</t>
    </rPh>
    <phoneticPr fontId="43"/>
  </si>
  <si>
    <t>識別子</t>
    <rPh sb="0" eb="3">
      <t>シキベツシ</t>
    </rPh>
    <phoneticPr fontId="43"/>
  </si>
  <si>
    <t>形式</t>
    <rPh sb="0" eb="2">
      <t>ケイシキ</t>
    </rPh>
    <phoneticPr fontId="43"/>
  </si>
  <si>
    <t>出力ファイル名</t>
    <rPh sb="0" eb="2">
      <t>シュツリョク</t>
    </rPh>
    <rPh sb="6" eb="7">
      <t>メイ</t>
    </rPh>
    <phoneticPr fontId="43"/>
  </si>
  <si>
    <t>入力シート名</t>
    <rPh sb="0" eb="2">
      <t>ニュウリョク</t>
    </rPh>
    <rPh sb="5" eb="6">
      <t>メイ</t>
    </rPh>
    <phoneticPr fontId="43"/>
  </si>
  <si>
    <t>出力データ</t>
    <rPh sb="0" eb="2">
      <t>シュツリョク</t>
    </rPh>
    <phoneticPr fontId="43"/>
  </si>
  <si>
    <t>.tmp</t>
    <phoneticPr fontId="43"/>
  </si>
  <si>
    <t>出力flg</t>
    <rPh sb="0" eb="2">
      <t>シュツリョク</t>
    </rPh>
    <phoneticPr fontId="43"/>
  </si>
  <si>
    <t>性別</t>
    <rPh sb="0" eb="2">
      <t>セイベツ</t>
    </rPh>
    <phoneticPr fontId="10"/>
  </si>
  <si>
    <t>ピックアップ確率</t>
    <rPh sb="6" eb="8">
      <t>カクリツ</t>
    </rPh>
    <phoneticPr fontId="10"/>
  </si>
  <si>
    <t>確率</t>
    <rPh sb="0" eb="2">
      <t>カクリツ</t>
    </rPh>
    <phoneticPr fontId="10"/>
  </si>
  <si>
    <t>名前</t>
    <rPh sb="0" eb="2">
      <t>ナマエ</t>
    </rPh>
    <phoneticPr fontId="10"/>
  </si>
  <si>
    <t>テーブルを増やしたい場合</t>
    <rPh sb="5" eb="6">
      <t>フ</t>
    </rPh>
    <rPh sb="10" eb="12">
      <t>バアイ</t>
    </rPh>
    <phoneticPr fontId="1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</si>
  <si>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</si>
  <si>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0"/>
  </si>
  <si>
    <t>３．outputシートで２で作ったtablesを指定する</t>
    <rPh sb="14" eb="15">
      <t>ツク</t>
    </rPh>
    <rPh sb="24" eb="26">
      <t>シテイ</t>
    </rPh>
    <phoneticPr fontId="10"/>
  </si>
  <si>
    <t>table_no</t>
    <phoneticPr fontId="10"/>
  </si>
  <si>
    <t>ラベル確率で考えましょう</t>
    <rPh sb="6" eb="7">
      <t>カンガエマショウ</t>
    </rPh>
    <phoneticPr fontId="43"/>
  </si>
  <si>
    <t>ラベル</t>
    <phoneticPr fontId="43"/>
  </si>
  <si>
    <t>レアリティ</t>
    <phoneticPr fontId="43"/>
  </si>
  <si>
    <t>{W}</t>
    <phoneticPr fontId="43"/>
  </si>
  <si>
    <t>{N,S}</t>
    <phoneticPr fontId="43"/>
  </si>
  <si>
    <t>{N,S}R3less</t>
    <phoneticPr fontId="43"/>
  </si>
  <si>
    <t>{N,S}R6release</t>
    <phoneticPr fontId="43"/>
  </si>
  <si>
    <t>{SS}</t>
    <phoneticPr fontId="43"/>
  </si>
  <si>
    <t>{SS}R6only</t>
    <phoneticPr fontId="43"/>
  </si>
  <si>
    <t>小計</t>
    <rPh sb="0" eb="2">
      <t>ショウケイ</t>
    </rPh>
    <phoneticPr fontId="43"/>
  </si>
  <si>
    <t>A</t>
    <phoneticPr fontId="43"/>
  </si>
  <si>
    <t>C</t>
    <phoneticPr fontId="43"/>
  </si>
  <si>
    <t>H</t>
    <phoneticPr fontId="43"/>
  </si>
  <si>
    <t>B</t>
    <phoneticPr fontId="43"/>
  </si>
  <si>
    <t>D</t>
    <phoneticPr fontId="43"/>
  </si>
  <si>
    <t>F</t>
    <phoneticPr fontId="43"/>
  </si>
  <si>
    <t>I</t>
    <phoneticPr fontId="43"/>
  </si>
  <si>
    <t>K</t>
    <phoneticPr fontId="43"/>
  </si>
  <si>
    <t>E</t>
    <phoneticPr fontId="43"/>
  </si>
  <si>
    <t>G</t>
    <phoneticPr fontId="43"/>
  </si>
  <si>
    <t>J</t>
    <phoneticPr fontId="43"/>
  </si>
  <si>
    <t>L</t>
    <phoneticPr fontId="43"/>
  </si>
  <si>
    <t>M</t>
    <phoneticPr fontId="43"/>
  </si>
  <si>
    <t>→</t>
    <phoneticPr fontId="43"/>
  </si>
  <si>
    <t>1-SS率</t>
    <rPh sb="4" eb="5">
      <t>リツ</t>
    </rPh>
    <phoneticPr fontId="43"/>
  </si>
  <si>
    <t>SS率</t>
    <rPh sb="2" eb="3">
      <t>リツ</t>
    </rPh>
    <phoneticPr fontId="43"/>
  </si>
  <si>
    <t>考え方を変える</t>
    <rPh sb="0" eb="1">
      <t>カンガエカタ</t>
    </rPh>
    <rPh sb="4" eb="5">
      <t>カエル</t>
    </rPh>
    <phoneticPr fontId="43"/>
  </si>
  <si>
    <t>SS4%は確定事項</t>
    <rPh sb="5" eb="7">
      <t>カクテイ</t>
    </rPh>
    <rPh sb="7" eb="9">
      <t>ジコウ</t>
    </rPh>
    <phoneticPr fontId="43"/>
  </si>
  <si>
    <t>当たりは分配</t>
    <rPh sb="0" eb="1">
      <t>アタリ</t>
    </rPh>
    <rPh sb="4" eb="6">
      <t>ブンパイ</t>
    </rPh>
    <phoneticPr fontId="4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</si>
  <si>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3"/>
  </si>
  <si>
    <t>=</t>
    <phoneticPr fontId="43"/>
  </si>
  <si>
    <t>X*{SS R5only}</t>
    <phoneticPr fontId="43"/>
  </si>
  <si>
    <t>K</t>
    <phoneticPr fontId="43"/>
  </si>
  <si>
    <t>=</t>
    <phoneticPr fontId="43"/>
  </si>
  <si>
    <t>X*{SS}*(R3率+R4率)</t>
    <rPh sb="10" eb="11">
      <t>リツ</t>
    </rPh>
    <rPh sb="14" eb="15">
      <t>リツ</t>
    </rPh>
    <phoneticPr fontId="43"/>
  </si>
  <si>
    <t>L</t>
    <phoneticPr fontId="43"/>
  </si>
  <si>
    <t>X*{SS}*R5率</t>
    <rPh sb="9" eb="10">
      <t>リツ</t>
    </rPh>
    <phoneticPr fontId="43"/>
  </si>
  <si>
    <t>X*{R6release}*R3率</t>
    <rPh sb="16" eb="17">
      <t>リツ</t>
    </rPh>
    <phoneticPr fontId="43"/>
  </si>
  <si>
    <t>X*{R6release}*R4率</t>
    <rPh sb="16" eb="17">
      <t>リツ</t>
    </rPh>
    <phoneticPr fontId="43"/>
  </si>
  <si>
    <t>J</t>
    <phoneticPr fontId="43"/>
  </si>
  <si>
    <t>X*{R6release}*R5率</t>
    <rPh sb="16" eb="17">
      <t>リツ</t>
    </rPh>
    <phoneticPr fontId="43"/>
  </si>
  <si>
    <t>ハズレで確率を整える</t>
    <rPh sb="4" eb="6">
      <t>カクリツ</t>
    </rPh>
    <rPh sb="7" eb="8">
      <t>トトノエル</t>
    </rPh>
    <phoneticPr fontId="4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</si>
  <si>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3"/>
  </si>
  <si>
    <t>A + C</t>
    <phoneticPr fontId="43"/>
  </si>
  <si>
    <t>=</t>
    <phoneticPr fontId="43"/>
  </si>
  <si>
    <t>50%-H</t>
    <phoneticPr fontId="43"/>
  </si>
  <si>
    <t>①</t>
    <phoneticPr fontId="43"/>
  </si>
  <si>
    <t>B + D + F</t>
    <phoneticPr fontId="43"/>
  </si>
  <si>
    <t>45%-I-K</t>
    <phoneticPr fontId="43"/>
  </si>
  <si>
    <t>②</t>
    <phoneticPr fontId="43"/>
  </si>
  <si>
    <t>E+G</t>
    <phoneticPr fontId="43"/>
  </si>
  <si>
    <t>5%-J-L-M</t>
    <phoneticPr fontId="43"/>
  </si>
  <si>
    <t>③</t>
    <phoneticPr fontId="43"/>
  </si>
  <si>
    <t>A+B</t>
    <phoneticPr fontId="43"/>
  </si>
  <si>
    <t>Y*{W}</t>
    <phoneticPr fontId="43"/>
  </si>
  <si>
    <t>④</t>
    <phoneticPr fontId="43"/>
  </si>
  <si>
    <t>C+D+E</t>
    <phoneticPr fontId="43"/>
  </si>
  <si>
    <t>Y*{N,S}</t>
    <phoneticPr fontId="43"/>
  </si>
  <si>
    <t>⑤</t>
    <phoneticPr fontId="43"/>
  </si>
  <si>
    <t>F+G</t>
    <phoneticPr fontId="43"/>
  </si>
  <si>
    <t>Y*{N,S R3less}</t>
    <phoneticPr fontId="43"/>
  </si>
  <si>
    <t>⑥</t>
    <phoneticPr fontId="43"/>
  </si>
  <si>
    <t>A+B+C+D+E+F+G</t>
    <phoneticPr fontId="43"/>
  </si>
  <si>
    <t>⑦</t>
    <phoneticPr fontId="43"/>
  </si>
  <si>
    <t>←これは4,5,6で作れるのでダメだわ</t>
    <rPh sb="10" eb="11">
      <t>ツクレル</t>
    </rPh>
    <phoneticPr fontId="43"/>
  </si>
  <si>
    <t>E*R3率/R5率</t>
    <rPh sb="4" eb="5">
      <t>リツ</t>
    </rPh>
    <rPh sb="8" eb="9">
      <t>リツ</t>
    </rPh>
    <phoneticPr fontId="4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</si>
  <si>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3"/>
  </si>
  <si>
    <t>E*R4率/R5率</t>
    <rPh sb="4" eb="5">
      <t>リツ</t>
    </rPh>
    <rPh sb="8" eb="9">
      <t>リツ</t>
    </rPh>
    <phoneticPr fontId="43"/>
  </si>
  <si>
    <t>∴</t>
    <phoneticPr fontId="43"/>
  </si>
  <si>
    <t>E</t>
    <phoneticPr fontId="43"/>
  </si>
  <si>
    <t>Y*{N,S}*R5率</t>
    <rPh sb="10" eb="11">
      <t>リツ</t>
    </rPh>
    <phoneticPr fontId="43"/>
  </si>
  <si>
    <t>Y*{N,S}*R4率</t>
    <rPh sb="10" eb="11">
      <t>リツ</t>
    </rPh>
    <phoneticPr fontId="43"/>
  </si>
  <si>
    <t>Y*{N,S}*R3率</t>
    <rPh sb="10" eb="11">
      <t>リツ</t>
    </rPh>
    <phoneticPr fontId="43"/>
  </si>
  <si>
    <t>50%-H-C</t>
    <phoneticPr fontId="43"/>
  </si>
  <si>
    <t>Y*{W}-A</t>
    <phoneticPr fontId="43"/>
  </si>
  <si>
    <t>5%-J-L-M-E</t>
    <phoneticPr fontId="43"/>
  </si>
  <si>
    <t>Y*{N,S R3less} - G</t>
    <phoneticPr fontId="43"/>
  </si>
  <si>
    <t>R6境界前後</t>
    <rPh sb="2" eb="4">
      <t>キョウカイ</t>
    </rPh>
    <rPh sb="4" eb="6">
      <t>ゼンゴ</t>
    </rPh>
    <phoneticPr fontId="10"/>
  </si>
  <si>
    <t>R6事後開放N,S</t>
    <rPh sb="2" eb="6">
      <t>ジゴカイホウ</t>
    </rPh>
    <phoneticPr fontId="10"/>
  </si>
  <si>
    <t>table_no</t>
    <phoneticPr fontId="10"/>
  </si>
  <si>
    <t>character_id</t>
    <phoneticPr fontId="10"/>
  </si>
  <si>
    <t>drop_label2</t>
    <phoneticPr fontId="10"/>
  </si>
  <si>
    <t>color2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</si>
  <si>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</si>
  <si>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</si>
  <si>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</si>
  <si>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</si>
  <si>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</si>
  <si>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</si>
  <si>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weight</t>
    <phoneticPr fontId="10"/>
  </si>
  <si>
    <t>unit_level</t>
    <phoneticPr fontId="10"/>
  </si>
  <si>
    <t>old</t>
    <phoneticPr fontId="10"/>
  </si>
  <si>
    <t>gacha_select_tables_</t>
    <phoneticPr fontId="10"/>
  </si>
  <si>
    <t>tables_7313010</t>
    <phoneticPr fontId="10"/>
  </si>
  <si>
    <t>tables_7314010</t>
    <phoneticPr fontId="10"/>
  </si>
  <si>
    <t>tables_7315010</t>
    <phoneticPr fontId="10"/>
  </si>
  <si>
    <t>tables_7316010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</si>
</sst>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0" fillId="5" borderId="2" applyNumberFormat="0" applyAlignment="0" applyProtection="0"/>
    <xf numFmtId="0" fontId="21" fillId="6" borderId="0" applyNumberFormat="0" applyBorder="0" applyAlignment="0" applyProtection="0"/>
    <xf numFmtId="0" fontId="22" fillId="7" borderId="3" applyNumberFormat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0" applyNumberFormat="0" applyBorder="0" applyAlignment="0" applyProtection="0"/>
    <xf numFmtId="0" fontId="30" fillId="6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5" borderId="0" applyNumberFormat="0" applyBorder="0" applyAlignment="0" applyProtection="0"/>
    <xf numFmtId="0" fontId="30" fillId="7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2" fillId="17" borderId="0" applyNumberFormat="0" applyBorder="0" applyAlignment="0" applyProtection="0"/>
    <xf numFmtId="0" fontId="21" fillId="6" borderId="0" applyNumberFormat="0" applyBorder="0" applyAlignment="0" applyProtection="0"/>
    <xf numFmtId="0" fontId="33" fillId="0" borderId="8" applyNumberFormat="0" applyFill="0" applyAlignment="0" applyProtection="0"/>
    <xf numFmtId="0" fontId="34" fillId="7" borderId="9" applyNumberFormat="0" applyAlignment="0" applyProtection="0"/>
    <xf numFmtId="0" fontId="34" fillId="18" borderId="9" applyNumberFormat="0" applyAlignment="0" applyProtection="0"/>
    <xf numFmtId="0" fontId="22" fillId="6" borderId="3" applyNumberFormat="0" applyAlignment="0" applyProtection="0"/>
    <xf numFmtId="0" fontId="35" fillId="0" borderId="10" applyNumberFormat="0" applyFill="0" applyAlignment="0" applyProtection="0"/>
    <xf numFmtId="0" fontId="36" fillId="18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8" fillId="0" borderId="0"/>
    <xf numFmtId="0" fontId="41" fillId="2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/>
    <xf numFmtId="0" fontId="4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4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2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15" fillId="3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5" xfId="2" applyFont="1" applyBorder="1" applyAlignment="1">
      <alignment vertical="center"/>
    </xf>
    <xf numFmtId="0" fontId="15" fillId="2" borderId="1" xfId="2" applyFont="1" applyFill="1" applyBorder="1" applyAlignment="1">
      <alignment horizontal="left" vertical="center"/>
    </xf>
    <xf numFmtId="0" fontId="15" fillId="2" borderId="1" xfId="2" applyFont="1" applyFill="1" applyBorder="1" applyAlignment="1">
      <alignment horizontal="center" vertical="center"/>
    </xf>
    <xf numFmtId="0" fontId="17" fillId="21" borderId="1" xfId="2978" applyFont="1" applyFill="1" applyBorder="1"/>
    <xf numFmtId="0" fontId="7" fillId="21" borderId="1" xfId="2978" applyFill="1" applyBorder="1"/>
    <xf numFmtId="0" fontId="7" fillId="0" borderId="0" xfId="2978"/>
    <xf numFmtId="0" fontId="7" fillId="0" borderId="1" xfId="2978" applyBorder="1"/>
    <xf numFmtId="0" fontId="8" fillId="2" borderId="1" xfId="19" applyFill="1" applyBorder="1"/>
    <xf numFmtId="0" fontId="17" fillId="21" borderId="1" xfId="0" applyFont="1" applyFill="1" applyBorder="1"/>
    <xf numFmtId="0" fontId="42" fillId="22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14" fillId="23" borderId="1" xfId="0" applyFont="1" applyFill="1" applyBorder="1" applyAlignment="1">
      <alignment horizontal="right" vertical="center"/>
    </xf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3" fillId="0" borderId="1" xfId="3036" applyFont="1" applyBorder="1"/>
    <xf numFmtId="0" fontId="15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2" applyFont="1" applyBorder="1" applyAlignment="1">
      <alignment vertical="center"/>
    </xf>
    <xf numFmtId="0" fontId="15" fillId="0" borderId="1" xfId="2" applyFont="1" applyFill="1" applyBorder="1" applyAlignment="1">
      <alignment vertical="center"/>
    </xf>
    <xf numFmtId="0" fontId="14" fillId="0" borderId="1" xfId="0" applyFont="1" applyFill="1" applyBorder="1" applyAlignment="1">
      <alignment horizontal="right" vertical="center"/>
    </xf>
    <xf numFmtId="0" fontId="15" fillId="0" borderId="0" xfId="2" applyFont="1" applyFill="1" applyAlignment="1">
      <alignment vertical="center"/>
    </xf>
    <xf numFmtId="0" fontId="2" fillId="0" borderId="1" xfId="2978" applyFont="1" applyBorder="1"/>
    <xf numFmtId="0" fontId="15" fillId="4" borderId="0" xfId="2" applyFont="1" applyFill="1" applyAlignment="1">
      <alignment vertical="center"/>
    </xf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/>
          <cell r="E1187"/>
          <cell r="F1187"/>
          <cell r="G1187"/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/>
          <cell r="E1188"/>
          <cell r="F1188"/>
          <cell r="G1188"/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/>
          <cell r="E1189"/>
          <cell r="F1189"/>
          <cell r="G1189"/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/>
          <cell r="E1190"/>
          <cell r="F1190"/>
          <cell r="G1190"/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/>
          <cell r="E1191"/>
          <cell r="F1191"/>
          <cell r="G1191"/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/>
          <cell r="E1201"/>
          <cell r="F1201"/>
          <cell r="G1201"/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/>
          <cell r="E1202"/>
          <cell r="F1202"/>
          <cell r="G1202"/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/>
          <cell r="E1203"/>
          <cell r="F1203"/>
          <cell r="G1203"/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/>
          <cell r="E1204"/>
          <cell r="F1204"/>
          <cell r="G1204"/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/>
          <cell r="E1205"/>
          <cell r="F1205"/>
          <cell r="G1205"/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/>
          <cell r="E1206"/>
          <cell r="F1206"/>
          <cell r="G1206"/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/>
          <cell r="E1207"/>
          <cell r="F1207"/>
          <cell r="G1207"/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/>
          <cell r="E1208"/>
          <cell r="F1208"/>
          <cell r="G1208"/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/>
          <cell r="E1209"/>
          <cell r="F1209"/>
          <cell r="G1209"/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/>
          <cell r="E1210"/>
          <cell r="F1210"/>
          <cell r="G1210"/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/>
          <cell r="E1211"/>
          <cell r="F1211"/>
          <cell r="G1211"/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/>
          <cell r="E1212"/>
          <cell r="F1212"/>
          <cell r="G1212"/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/>
          <cell r="E1213"/>
          <cell r="F1213"/>
          <cell r="G1213"/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/>
          <cell r="E1214"/>
          <cell r="F1214"/>
          <cell r="G1214"/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/>
          <cell r="E1215"/>
          <cell r="F1215"/>
          <cell r="G1215"/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/>
          <cell r="E1216"/>
          <cell r="F1216"/>
          <cell r="G1216"/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/>
          <cell r="E1217"/>
          <cell r="F1217"/>
          <cell r="G1217"/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/>
          <cell r="E1218"/>
          <cell r="F1218"/>
          <cell r="G1218"/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/>
          <cell r="E1219"/>
          <cell r="F1219"/>
          <cell r="G1219"/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/>
          <cell r="E1220"/>
          <cell r="F1220"/>
          <cell r="G1220"/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/>
          <cell r="E1221"/>
          <cell r="F1221"/>
          <cell r="G1221"/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/>
          <cell r="E1222"/>
          <cell r="F1222"/>
          <cell r="G1222"/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/>
          <cell r="E1223"/>
          <cell r="F1223"/>
          <cell r="G1223"/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/>
          <cell r="E1224"/>
          <cell r="F1224"/>
          <cell r="G1224"/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/>
          <cell r="E1225"/>
          <cell r="F1225"/>
          <cell r="G1225"/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/>
          <cell r="E1226"/>
          <cell r="F1226"/>
          <cell r="G1226"/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/>
          <cell r="E1227"/>
          <cell r="F1227"/>
          <cell r="G1227"/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/>
          <cell r="E1228"/>
          <cell r="F1228"/>
          <cell r="G1228"/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/>
          <cell r="E1229"/>
          <cell r="F1229"/>
          <cell r="G1229"/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/>
          <cell r="E1230"/>
          <cell r="F1230"/>
          <cell r="G1230"/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/>
          <cell r="E1231"/>
          <cell r="F1231"/>
          <cell r="G1231"/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/>
          <cell r="E1232"/>
          <cell r="F1232"/>
          <cell r="G1232"/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/>
          <cell r="E1233"/>
          <cell r="F1233"/>
          <cell r="G1233"/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/>
          <cell r="E1234"/>
          <cell r="F1234"/>
          <cell r="G1234"/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/>
          <cell r="E1235"/>
          <cell r="F1235"/>
          <cell r="G1235"/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/>
          <cell r="E1236"/>
          <cell r="F1236"/>
          <cell r="G1236"/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/>
          <cell r="E1237"/>
          <cell r="F1237"/>
          <cell r="G1237"/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/>
          <cell r="E1238"/>
          <cell r="F1238"/>
          <cell r="G1238"/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/>
          <cell r="E1239"/>
          <cell r="F1239"/>
          <cell r="G1239"/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/>
          <cell r="E1240"/>
          <cell r="F1240"/>
          <cell r="G1240"/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/>
          <cell r="E1241"/>
          <cell r="F1241"/>
          <cell r="G1241"/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/>
          <cell r="E1242"/>
          <cell r="F1242"/>
          <cell r="G1242"/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/>
          <cell r="E1243"/>
          <cell r="F1243"/>
          <cell r="G1243"/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/>
          <cell r="E1244"/>
          <cell r="F1244"/>
          <cell r="G1244"/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/>
          <cell r="E1245"/>
          <cell r="F1245"/>
          <cell r="G1245"/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/>
          <cell r="E1246"/>
          <cell r="F1246"/>
          <cell r="G1246"/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/>
          <cell r="E1247"/>
          <cell r="F1247"/>
          <cell r="G1247"/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/>
          <cell r="E1248"/>
          <cell r="F1248"/>
          <cell r="G1248"/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/>
          <cell r="E1249"/>
          <cell r="F1249"/>
          <cell r="G1249"/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/>
          <cell r="E1250"/>
          <cell r="F1250"/>
          <cell r="G1250"/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/>
          <cell r="E1251"/>
          <cell r="F1251"/>
          <cell r="G1251"/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/>
          <cell r="E1252"/>
          <cell r="F1252"/>
          <cell r="G1252"/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/>
          <cell r="E1253"/>
          <cell r="F1253"/>
          <cell r="G1253"/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/>
          <cell r="E1254"/>
          <cell r="F1254"/>
          <cell r="G1254"/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/>
          <cell r="E1255"/>
          <cell r="F1255"/>
          <cell r="G1255"/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/>
          <cell r="E1256"/>
          <cell r="F1256"/>
          <cell r="G1256"/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/>
          <cell r="E1257"/>
          <cell r="F1257"/>
          <cell r="G1257"/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/>
          <cell r="E1258"/>
          <cell r="F1258"/>
          <cell r="G1258"/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/>
          <cell r="E1259"/>
          <cell r="F1259"/>
          <cell r="G1259"/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/>
          <cell r="E1260"/>
          <cell r="F1260"/>
          <cell r="G1260"/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/>
          <cell r="E1261"/>
          <cell r="F1261"/>
          <cell r="G1261"/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/>
          <cell r="E1262"/>
          <cell r="F1262"/>
          <cell r="G1262"/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/>
          <cell r="E1263"/>
          <cell r="F1263"/>
          <cell r="G1263"/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/>
          <cell r="E1264"/>
          <cell r="F1264"/>
          <cell r="G1264"/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/>
          <cell r="E1265"/>
          <cell r="F1265"/>
          <cell r="G1265"/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/>
          <cell r="E1266"/>
          <cell r="F1266"/>
          <cell r="G1266"/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/>
          <cell r="E1267"/>
          <cell r="F1267"/>
          <cell r="G1267"/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/>
          <cell r="E1268"/>
          <cell r="F1268"/>
          <cell r="G1268"/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/>
          <cell r="E1269"/>
          <cell r="F1269"/>
          <cell r="G1269"/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/>
          <cell r="E1270"/>
          <cell r="F1270"/>
          <cell r="G1270"/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/>
          <cell r="E1271"/>
          <cell r="F1271"/>
          <cell r="G1271"/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/>
          <cell r="E1272"/>
          <cell r="F1272"/>
          <cell r="G1272"/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/>
          <cell r="E1273"/>
          <cell r="F1273"/>
          <cell r="G1273"/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/>
          <cell r="E1274"/>
          <cell r="F1274"/>
          <cell r="G1274"/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/>
          <cell r="E1275"/>
          <cell r="F1275"/>
          <cell r="G1275"/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/>
          <cell r="E1276"/>
          <cell r="F1276"/>
          <cell r="G1276"/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/>
          <cell r="E1277"/>
          <cell r="F1277"/>
          <cell r="G1277"/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/>
          <cell r="E1278"/>
          <cell r="F1278"/>
          <cell r="G1278"/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/>
          <cell r="E1279"/>
          <cell r="F1279"/>
          <cell r="G1279"/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/>
          <cell r="E1280"/>
          <cell r="F1280"/>
          <cell r="G1280"/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/>
          <cell r="E1281"/>
          <cell r="F1281"/>
          <cell r="G1281"/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/>
          <cell r="E1282"/>
          <cell r="F1282"/>
          <cell r="G1282"/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/>
          <cell r="E1283"/>
          <cell r="F1283"/>
          <cell r="G1283"/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/>
          <cell r="E1284"/>
          <cell r="F1284"/>
          <cell r="G1284"/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/>
          <cell r="E1285"/>
          <cell r="F1285"/>
          <cell r="G1285"/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/>
          <cell r="E1286"/>
          <cell r="F1286"/>
          <cell r="G1286"/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/>
          <cell r="E1287"/>
          <cell r="F1287"/>
          <cell r="G1287"/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/>
          <cell r="E1288"/>
          <cell r="F1288"/>
          <cell r="G1288"/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/>
          <cell r="E1289"/>
          <cell r="F1289"/>
          <cell r="G1289"/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/>
          <cell r="E1290"/>
          <cell r="F1290"/>
          <cell r="G1290"/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/>
          <cell r="E1291"/>
          <cell r="F1291"/>
          <cell r="G1291"/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/>
          <cell r="E1292"/>
          <cell r="F1292"/>
          <cell r="G1292"/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/>
          <cell r="E1293"/>
          <cell r="F1293"/>
          <cell r="G1293"/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/>
          <cell r="E1294"/>
          <cell r="F1294"/>
          <cell r="G1294"/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/>
          <cell r="E1295"/>
          <cell r="F1295"/>
          <cell r="G1295"/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/>
          <cell r="E1296"/>
          <cell r="F1296"/>
          <cell r="G1296"/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/>
          <cell r="E1297"/>
          <cell r="F1297"/>
          <cell r="G1297"/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/>
          <cell r="E1298"/>
          <cell r="F1298"/>
          <cell r="G1298"/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/>
          <cell r="E1299"/>
          <cell r="F1299"/>
          <cell r="G1299"/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/>
          <cell r="E1300"/>
          <cell r="F1300"/>
          <cell r="G1300"/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/>
          <cell r="E1301"/>
          <cell r="F1301"/>
          <cell r="G1301"/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/>
          <cell r="E1302"/>
          <cell r="F1302"/>
          <cell r="G1302"/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/>
          <cell r="E1303"/>
          <cell r="F1303"/>
          <cell r="G1303"/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/>
          <cell r="E1304"/>
          <cell r="F1304"/>
          <cell r="G1304"/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/>
          <cell r="E1305"/>
          <cell r="F1305"/>
          <cell r="G1305"/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/>
          <cell r="E1306"/>
          <cell r="F1306"/>
          <cell r="G1306"/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/>
          <cell r="E1307"/>
          <cell r="F1307"/>
          <cell r="G1307"/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/>
          <cell r="E1308"/>
          <cell r="F1308"/>
          <cell r="G1308"/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/>
          <cell r="E1309"/>
          <cell r="F1309"/>
          <cell r="G1309"/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/>
          <cell r="E1310"/>
          <cell r="F1310"/>
          <cell r="G1310"/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/>
          <cell r="E1311"/>
          <cell r="F1311"/>
          <cell r="G1311"/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/>
          <cell r="E1312"/>
          <cell r="F1312"/>
          <cell r="G1312"/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/>
          <cell r="E1313"/>
          <cell r="F1313"/>
          <cell r="G1313"/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/>
          <cell r="E1314"/>
          <cell r="F1314"/>
          <cell r="G1314"/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/>
          <cell r="E1315"/>
          <cell r="F1315"/>
          <cell r="G1315"/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/>
          <cell r="E1316"/>
          <cell r="F1316"/>
          <cell r="G1316"/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/>
          <cell r="E1317"/>
          <cell r="F1317"/>
          <cell r="G1317"/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/>
          <cell r="E1318"/>
          <cell r="F1318"/>
          <cell r="G1318"/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/>
          <cell r="E1319"/>
          <cell r="F1319"/>
          <cell r="G1319"/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/>
          <cell r="E1320"/>
          <cell r="F1320"/>
          <cell r="G1320"/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/>
          <cell r="E1321"/>
          <cell r="F1321"/>
          <cell r="G1321"/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/>
          <cell r="E1322"/>
          <cell r="F1322"/>
          <cell r="G1322"/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/>
          <cell r="E1323"/>
          <cell r="F1323"/>
          <cell r="G1323"/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/>
          <cell r="E1324"/>
          <cell r="F1324"/>
          <cell r="G1324"/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/>
          <cell r="E1325"/>
          <cell r="F1325"/>
          <cell r="G1325"/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/>
          <cell r="E1326"/>
          <cell r="F1326"/>
          <cell r="G1326"/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/>
          <cell r="E1327"/>
          <cell r="F1327"/>
          <cell r="G1327"/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/>
          <cell r="E1328"/>
          <cell r="F1328"/>
          <cell r="G1328"/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/>
          <cell r="E1329"/>
          <cell r="F1329"/>
          <cell r="G1329"/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/>
          <cell r="E1330"/>
          <cell r="F1330"/>
          <cell r="G1330"/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/>
          <cell r="E1331"/>
          <cell r="F1331"/>
          <cell r="G1331"/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/>
          <cell r="E1332"/>
          <cell r="F1332"/>
          <cell r="G1332"/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/>
          <cell r="E1333"/>
          <cell r="F1333"/>
          <cell r="G1333"/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/>
          <cell r="E1334"/>
          <cell r="F1334"/>
          <cell r="G1334"/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/>
          <cell r="E1335"/>
          <cell r="F1335"/>
          <cell r="G1335"/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/>
          <cell r="E1336"/>
          <cell r="F1336"/>
          <cell r="G1336"/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/>
          <cell r="E1337"/>
          <cell r="F1337"/>
          <cell r="G1337"/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/>
          <cell r="E1338"/>
          <cell r="F1338"/>
          <cell r="G1338"/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/>
          <cell r="E1339"/>
          <cell r="F1339"/>
          <cell r="G1339"/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/>
          <cell r="E1340"/>
          <cell r="F1340"/>
          <cell r="G1340"/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/>
          <cell r="E1341"/>
          <cell r="F1341"/>
          <cell r="G1341"/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/>
          <cell r="E1342"/>
          <cell r="F1342"/>
          <cell r="G1342"/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/>
          <cell r="E1343"/>
          <cell r="F1343"/>
          <cell r="G1343"/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/>
          <cell r="E1344"/>
          <cell r="F1344"/>
          <cell r="G1344"/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/>
          <cell r="E1345"/>
          <cell r="F1345"/>
          <cell r="G1345"/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/>
          <cell r="E1346"/>
          <cell r="F1346"/>
          <cell r="G1346"/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/>
          <cell r="E1347"/>
          <cell r="F1347"/>
          <cell r="G1347"/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/>
          <cell r="E1348"/>
          <cell r="F1348"/>
          <cell r="G1348"/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/>
          <cell r="E1349"/>
          <cell r="F1349"/>
          <cell r="G1349"/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/>
          <cell r="E1350"/>
          <cell r="F1350"/>
          <cell r="G1350"/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/>
          <cell r="E1351"/>
          <cell r="F1351"/>
          <cell r="G1351"/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/>
          <cell r="E1352"/>
          <cell r="F1352"/>
          <cell r="G1352"/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/>
          <cell r="E1353"/>
          <cell r="F1353"/>
          <cell r="G1353"/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/>
          <cell r="E1354"/>
          <cell r="F1354"/>
          <cell r="G1354"/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/>
          <cell r="E1355"/>
          <cell r="F1355"/>
          <cell r="G1355"/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/>
          <cell r="E1356"/>
          <cell r="F1356"/>
          <cell r="G1356"/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/>
          <cell r="E1357"/>
          <cell r="F1357"/>
          <cell r="G1357"/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/>
          <cell r="E1358"/>
          <cell r="F1358"/>
          <cell r="G1358"/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/>
          <cell r="E1359"/>
          <cell r="F1359"/>
          <cell r="G1359"/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/>
          <cell r="E1360"/>
          <cell r="F1360"/>
          <cell r="G1360"/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/>
          <cell r="E1361"/>
          <cell r="F1361"/>
          <cell r="G1361"/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/>
          <cell r="E1362"/>
          <cell r="F1362"/>
          <cell r="G1362"/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/>
          <cell r="E1363"/>
          <cell r="F1363"/>
          <cell r="G1363"/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/>
          <cell r="E1364"/>
          <cell r="F1364"/>
          <cell r="G1364"/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/>
          <cell r="E1365"/>
          <cell r="F1365"/>
          <cell r="G1365"/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/>
          <cell r="E1366"/>
          <cell r="F1366"/>
          <cell r="G1366"/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/>
          <cell r="E1367"/>
          <cell r="F1367"/>
          <cell r="G1367"/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/>
          <cell r="E1368"/>
          <cell r="F1368"/>
          <cell r="G1368"/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/>
          <cell r="E1369"/>
          <cell r="F1369"/>
          <cell r="G1369"/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/>
          <cell r="E1370"/>
          <cell r="F1370"/>
          <cell r="G1370"/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/>
          <cell r="E1371"/>
          <cell r="F1371"/>
          <cell r="G1371"/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/>
          <cell r="E1372"/>
          <cell r="F1372"/>
          <cell r="G1372"/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/>
          <cell r="E1373"/>
          <cell r="F1373"/>
          <cell r="G1373"/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/>
          <cell r="E1374"/>
          <cell r="F1374"/>
          <cell r="G1374"/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/>
          <cell r="E1375"/>
          <cell r="F1375"/>
          <cell r="G1375"/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/>
          <cell r="E1376"/>
          <cell r="F1376"/>
          <cell r="G1376"/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/>
          <cell r="E1377"/>
          <cell r="F1377"/>
          <cell r="G1377"/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/>
          <cell r="E1378"/>
          <cell r="F1378"/>
          <cell r="G1378"/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/>
          <cell r="E1379"/>
          <cell r="F1379"/>
          <cell r="G1379"/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/>
          <cell r="E1380"/>
          <cell r="F1380"/>
          <cell r="G1380"/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/>
          <cell r="E1381"/>
          <cell r="F1381"/>
          <cell r="G1381"/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1409</v>
          </cell>
          <cell r="B1382" t="str">
            <v>ja</v>
          </cell>
          <cell r="C1382" t="str">
            <v>ましろR5</v>
          </cell>
          <cell r="D1382"/>
          <cell r="E1382"/>
          <cell r="F1382"/>
          <cell r="G1382"/>
          <cell r="H1382" t="str">
            <v>green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human</v>
          </cell>
        </row>
        <row r="1383">
          <cell r="A1383">
            <v>1410</v>
          </cell>
          <cell r="B1383" t="str">
            <v>ja</v>
          </cell>
          <cell r="C1383" t="str">
            <v>ましろR6</v>
          </cell>
          <cell r="D1383"/>
          <cell r="E1383"/>
          <cell r="F1383"/>
          <cell r="G1383"/>
          <cell r="H1383" t="str">
            <v>green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human</v>
          </cell>
        </row>
        <row r="1384">
          <cell r="A1384">
            <v>1414</v>
          </cell>
          <cell r="B1384" t="str">
            <v>ja</v>
          </cell>
          <cell r="C1384" t="str">
            <v>炎のミリオンダック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red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1415</v>
          </cell>
          <cell r="B1385" t="str">
            <v>ja</v>
          </cell>
          <cell r="C1385" t="str">
            <v>森のミリオンダック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green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1416</v>
          </cell>
          <cell r="B1386" t="str">
            <v>ja</v>
          </cell>
          <cell r="C1386" t="str">
            <v>水のミリオンダック 7</v>
          </cell>
          <cell r="D1386" t="str">
            <v>未定</v>
          </cell>
          <cell r="E1386" t="str">
            <v>執行者</v>
          </cell>
          <cell r="F1386" t="str">
            <v>格好いい</v>
          </cell>
          <cell r="G1386" t="str">
            <v>不明</v>
          </cell>
          <cell r="H1386" t="str">
            <v>blue</v>
          </cell>
          <cell r="I1386">
            <v>6</v>
          </cell>
          <cell r="J1386" t="str">
            <v>Material</v>
          </cell>
          <cell r="K1386" t="str">
            <v>exp</v>
          </cell>
          <cell r="L1386" t="str">
            <v>強化素材タイプ</v>
          </cell>
          <cell r="M1386" t="str">
            <v>unknown</v>
          </cell>
        </row>
        <row r="1387">
          <cell r="A1387">
            <v>1417</v>
          </cell>
          <cell r="B1387" t="str">
            <v>ja</v>
          </cell>
          <cell r="C1387" t="str">
            <v>雷のミリオンダック 7</v>
          </cell>
          <cell r="D1387" t="str">
            <v>未定</v>
          </cell>
          <cell r="E1387" t="str">
            <v>執行者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6</v>
          </cell>
          <cell r="J1387" t="str">
            <v>Material</v>
          </cell>
          <cell r="K1387" t="str">
            <v>exp</v>
          </cell>
          <cell r="L1387" t="str">
            <v>強化素材タイプ</v>
          </cell>
          <cell r="M1387" t="str">
            <v>unknown</v>
          </cell>
        </row>
        <row r="1388">
          <cell r="A1388">
            <v>1418</v>
          </cell>
          <cell r="B1388" t="str">
            <v>ja</v>
          </cell>
          <cell r="C1388" t="str">
            <v>メリッサR5</v>
          </cell>
          <cell r="D1388"/>
          <cell r="E1388"/>
          <cell r="F1388"/>
          <cell r="G1388"/>
          <cell r="H1388" t="str">
            <v>red</v>
          </cell>
          <cell r="I1388">
            <v>5</v>
          </cell>
          <cell r="J1388" t="str">
            <v>DropWizS</v>
          </cell>
          <cell r="K1388" t="str">
            <v>technical</v>
          </cell>
          <cell r="L1388" t="str">
            <v>テクニカルタイプ</v>
          </cell>
          <cell r="M1388" t="str">
            <v>unknown</v>
          </cell>
        </row>
        <row r="1389">
          <cell r="A1389">
            <v>1419</v>
          </cell>
          <cell r="B1389" t="str">
            <v>ja</v>
          </cell>
          <cell r="C1389" t="str">
            <v>メリッサR6</v>
          </cell>
          <cell r="D1389"/>
          <cell r="E1389"/>
          <cell r="F1389"/>
          <cell r="G1389"/>
          <cell r="H1389" t="str">
            <v>red</v>
          </cell>
          <cell r="I1389">
            <v>6</v>
          </cell>
          <cell r="J1389" t="str">
            <v>DropWizS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1420</v>
          </cell>
          <cell r="B1390" t="str">
            <v>ja</v>
          </cell>
          <cell r="C1390" t="str">
            <v>モリスR5</v>
          </cell>
          <cell r="D1390"/>
          <cell r="E1390"/>
          <cell r="F1390"/>
          <cell r="G1390"/>
          <cell r="H1390" t="str">
            <v>blue</v>
          </cell>
          <cell r="I1390">
            <v>5</v>
          </cell>
          <cell r="J1390" t="str">
            <v>DropWizS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1421</v>
          </cell>
          <cell r="B1391" t="str">
            <v>ja</v>
          </cell>
          <cell r="C1391" t="str">
            <v>モリスR6</v>
          </cell>
          <cell r="D1391"/>
          <cell r="E1391"/>
          <cell r="F1391"/>
          <cell r="G1391"/>
          <cell r="H1391" t="str">
            <v>blue</v>
          </cell>
          <cell r="I1391">
            <v>6</v>
          </cell>
          <cell r="J1391" t="str">
            <v>DropWizS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1422</v>
          </cell>
          <cell r="B1392" t="str">
            <v>ja</v>
          </cell>
          <cell r="C1392" t="str">
            <v>解錠放散性ニムダE</v>
          </cell>
          <cell r="D1392"/>
          <cell r="E1392"/>
          <cell r="F1392"/>
          <cell r="G1392"/>
          <cell r="H1392" t="str">
            <v>yellow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unknown</v>
          </cell>
        </row>
        <row r="1393">
          <cell r="A1393">
            <v>1423</v>
          </cell>
          <cell r="B1393" t="str">
            <v>ja</v>
          </cell>
          <cell r="C1393" t="str">
            <v>電播する環染 ニムダ</v>
          </cell>
          <cell r="D1393"/>
          <cell r="E1393"/>
          <cell r="F1393"/>
          <cell r="G1393"/>
          <cell r="H1393" t="str">
            <v>yellow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unknown</v>
          </cell>
        </row>
        <row r="1394">
          <cell r="A1394">
            <v>1424</v>
          </cell>
          <cell r="B1394" t="str">
            <v>ja</v>
          </cell>
          <cell r="C1394" t="str">
            <v>波打際の宴麗 フロイト</v>
          </cell>
          <cell r="D1394"/>
          <cell r="E1394"/>
          <cell r="F1394"/>
          <cell r="G1394"/>
          <cell r="H1394" t="str">
            <v>blue</v>
          </cell>
          <cell r="I1394">
            <v>6</v>
          </cell>
          <cell r="J1394" t="str">
            <v>PremiumSSS</v>
          </cell>
          <cell r="K1394" t="str">
            <v>balance</v>
          </cell>
          <cell r="L1394" t="str">
            <v>バランスタイプ</v>
          </cell>
          <cell r="M1394" t="str">
            <v>academia</v>
          </cell>
        </row>
        <row r="1395">
          <cell r="A1395">
            <v>1504</v>
          </cell>
          <cell r="B1395" t="str">
            <v>ja</v>
          </cell>
          <cell r="C1395" t="str">
            <v>magenta01</v>
          </cell>
          <cell r="D1395"/>
          <cell r="E1395"/>
          <cell r="F1395"/>
          <cell r="G1395"/>
          <cell r="H1395" t="str">
            <v>red</v>
          </cell>
          <cell r="I1395">
            <v>1</v>
          </cell>
          <cell r="J1395" t="str">
            <v>Drop1T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1505</v>
          </cell>
          <cell r="B1396" t="str">
            <v>ja</v>
          </cell>
          <cell r="C1396" t="str">
            <v>amber01</v>
          </cell>
          <cell r="D1396"/>
          <cell r="E1396"/>
          <cell r="F1396"/>
          <cell r="G1396"/>
          <cell r="H1396" t="str">
            <v>green</v>
          </cell>
          <cell r="I1396">
            <v>1</v>
          </cell>
          <cell r="J1396" t="str">
            <v>Drop1T</v>
          </cell>
          <cell r="K1396" t="str">
            <v>hp</v>
          </cell>
          <cell r="L1396" t="str">
            <v>体力タイプ</v>
          </cell>
          <cell r="M1396" t="str">
            <v>unknown</v>
          </cell>
        </row>
        <row r="1397">
          <cell r="A1397">
            <v>1506</v>
          </cell>
          <cell r="B1397" t="str">
            <v>ja</v>
          </cell>
          <cell r="C1397" t="str">
            <v>pumpkin01</v>
          </cell>
          <cell r="D1397"/>
          <cell r="E1397"/>
          <cell r="F1397"/>
          <cell r="G1397"/>
          <cell r="H1397" t="str">
            <v>yellow</v>
          </cell>
          <cell r="I1397">
            <v>2</v>
          </cell>
          <cell r="J1397" t="str">
            <v>Drop1S</v>
          </cell>
          <cell r="K1397" t="str">
            <v>attack</v>
          </cell>
          <cell r="L1397" t="str">
            <v>攻撃タイプ</v>
          </cell>
          <cell r="M1397" t="str">
            <v>unknown</v>
          </cell>
        </row>
        <row r="1398">
          <cell r="A1398">
            <v>1507</v>
          </cell>
          <cell r="B1398" t="str">
            <v>ja</v>
          </cell>
          <cell r="C1398" t="str">
            <v>rose01</v>
          </cell>
          <cell r="D1398"/>
          <cell r="E1398"/>
          <cell r="F1398"/>
          <cell r="G1398"/>
          <cell r="H1398" t="str">
            <v>blue</v>
          </cell>
          <cell r="I1398">
            <v>3</v>
          </cell>
          <cell r="J1398" t="str">
            <v>Drop2N</v>
          </cell>
          <cell r="K1398" t="str">
            <v>technical</v>
          </cell>
          <cell r="L1398" t="str">
            <v>テクニカルタイプ</v>
          </cell>
          <cell r="M1398" t="str">
            <v>unknown</v>
          </cell>
        </row>
        <row r="1399">
          <cell r="A1399">
            <v>1508</v>
          </cell>
          <cell r="B1399" t="str">
            <v>ja</v>
          </cell>
          <cell r="C1399" t="str">
            <v>burgundy01</v>
          </cell>
          <cell r="D1399"/>
          <cell r="E1399"/>
          <cell r="F1399"/>
          <cell r="G1399"/>
          <cell r="H1399" t="str">
            <v>red</v>
          </cell>
          <cell r="I1399">
            <v>4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unknown</v>
          </cell>
        </row>
        <row r="1400">
          <cell r="A1400">
            <v>1509</v>
          </cell>
          <cell r="B1400" t="str">
            <v>ja</v>
          </cell>
          <cell r="C1400" t="str">
            <v>cyan01</v>
          </cell>
          <cell r="D1400"/>
          <cell r="E1400"/>
          <cell r="F1400"/>
          <cell r="G1400"/>
          <cell r="H1400" t="str">
            <v>green</v>
          </cell>
          <cell r="I1400">
            <v>5</v>
          </cell>
          <cell r="J1400" t="str">
            <v>Drop2N</v>
          </cell>
          <cell r="K1400" t="str">
            <v>hp</v>
          </cell>
          <cell r="L1400" t="str">
            <v>体力タイプ</v>
          </cell>
          <cell r="M1400" t="str">
            <v>god</v>
          </cell>
        </row>
        <row r="1401">
          <cell r="A1401">
            <v>1510</v>
          </cell>
          <cell r="B1401" t="str">
            <v>ja</v>
          </cell>
          <cell r="C1401" t="str">
            <v>scarlet01</v>
          </cell>
          <cell r="D1401"/>
          <cell r="E1401"/>
          <cell r="F1401"/>
          <cell r="G1401"/>
          <cell r="H1401" t="str">
            <v>yellow</v>
          </cell>
          <cell r="I1401">
            <v>4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god</v>
          </cell>
        </row>
        <row r="1402">
          <cell r="A1402">
            <v>1511</v>
          </cell>
          <cell r="B1402" t="str">
            <v>ja</v>
          </cell>
          <cell r="C1402" t="str">
            <v>scarlet02</v>
          </cell>
          <cell r="D1402"/>
          <cell r="E1402"/>
          <cell r="F1402"/>
          <cell r="G1402"/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1512</v>
          </cell>
          <cell r="B1403" t="str">
            <v>ja</v>
          </cell>
          <cell r="C1403" t="str">
            <v>scarlet03</v>
          </cell>
          <cell r="D1403"/>
          <cell r="E1403"/>
          <cell r="F1403"/>
          <cell r="G1403"/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1513</v>
          </cell>
          <cell r="B1404" t="str">
            <v>ja</v>
          </cell>
          <cell r="C1404" t="str">
            <v>gold01</v>
          </cell>
          <cell r="D1404"/>
          <cell r="E1404"/>
          <cell r="F1404"/>
          <cell r="G1404"/>
          <cell r="H1404" t="str">
            <v>yellow</v>
          </cell>
          <cell r="I1404">
            <v>4</v>
          </cell>
          <cell r="J1404" t="str">
            <v>Material</v>
          </cell>
          <cell r="K1404" t="str">
            <v>coin</v>
          </cell>
          <cell r="L1404" t="str">
            <v>コインタイプ</v>
          </cell>
          <cell r="M1404" t="str">
            <v>unknown</v>
          </cell>
        </row>
        <row r="1405">
          <cell r="A1405">
            <v>1514</v>
          </cell>
          <cell r="B1405" t="str">
            <v>ja</v>
          </cell>
          <cell r="C1405" t="str">
            <v>gold02</v>
          </cell>
          <cell r="D1405"/>
          <cell r="E1405"/>
          <cell r="F1405"/>
          <cell r="G1405"/>
          <cell r="H1405" t="str">
            <v>yellow</v>
          </cell>
          <cell r="I1405">
            <v>5</v>
          </cell>
          <cell r="J1405" t="str">
            <v>Material</v>
          </cell>
          <cell r="K1405" t="str">
            <v>coin</v>
          </cell>
          <cell r="L1405" t="str">
            <v>コインタイプ</v>
          </cell>
          <cell r="M1405" t="str">
            <v>unknown</v>
          </cell>
        </row>
        <row r="1406">
          <cell r="A1406">
            <v>1515</v>
          </cell>
          <cell r="B1406" t="str">
            <v>ja</v>
          </cell>
          <cell r="C1406" t="str">
            <v>red01</v>
          </cell>
          <cell r="D1406"/>
          <cell r="E1406"/>
          <cell r="F1406"/>
          <cell r="G1406"/>
          <cell r="H1406" t="str">
            <v>red</v>
          </cell>
          <cell r="I1406">
            <v>4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1516</v>
          </cell>
          <cell r="B1407" t="str">
            <v>ja</v>
          </cell>
          <cell r="C1407" t="str">
            <v>red02</v>
          </cell>
          <cell r="D1407"/>
          <cell r="E1407"/>
          <cell r="F1407"/>
          <cell r="G1407"/>
          <cell r="H1407" t="str">
            <v>red</v>
          </cell>
          <cell r="I1407">
            <v>5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1517</v>
          </cell>
          <cell r="B1408" t="str">
            <v>ja</v>
          </cell>
          <cell r="C1408" t="str">
            <v>blue01</v>
          </cell>
          <cell r="D1408"/>
          <cell r="E1408"/>
          <cell r="F1408"/>
          <cell r="G1408"/>
          <cell r="H1408" t="str">
            <v>blue</v>
          </cell>
          <cell r="I1408">
            <v>4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1518</v>
          </cell>
          <cell r="B1409" t="str">
            <v>ja</v>
          </cell>
          <cell r="C1409" t="str">
            <v>blue02</v>
          </cell>
          <cell r="D1409"/>
          <cell r="E1409"/>
          <cell r="F1409"/>
          <cell r="G1409"/>
          <cell r="H1409" t="str">
            <v>blue</v>
          </cell>
          <cell r="I1409">
            <v>5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1519</v>
          </cell>
          <cell r="B1410" t="str">
            <v>ja</v>
          </cell>
          <cell r="C1410" t="str">
            <v>green01</v>
          </cell>
          <cell r="D1410"/>
          <cell r="E1410"/>
          <cell r="F1410"/>
          <cell r="G1410"/>
          <cell r="H1410" t="str">
            <v>green</v>
          </cell>
          <cell r="I1410">
            <v>4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1520</v>
          </cell>
          <cell r="B1411" t="str">
            <v>ja</v>
          </cell>
          <cell r="C1411" t="str">
            <v>green02</v>
          </cell>
          <cell r="D1411"/>
          <cell r="E1411"/>
          <cell r="F1411"/>
          <cell r="G1411"/>
          <cell r="H1411" t="str">
            <v>green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1521</v>
          </cell>
          <cell r="B1412" t="str">
            <v>ja</v>
          </cell>
          <cell r="C1412" t="str">
            <v>yellow01</v>
          </cell>
          <cell r="D1412"/>
          <cell r="E1412"/>
          <cell r="F1412"/>
          <cell r="G1412"/>
          <cell r="H1412" t="str">
            <v>yellow</v>
          </cell>
          <cell r="I1412">
            <v>4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1522</v>
          </cell>
          <cell r="B1413" t="str">
            <v>ja</v>
          </cell>
          <cell r="C1413" t="str">
            <v>yellow02</v>
          </cell>
          <cell r="D1413"/>
          <cell r="E1413"/>
          <cell r="F1413"/>
          <cell r="G1413"/>
          <cell r="H1413" t="str">
            <v>yellow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1523</v>
          </cell>
          <cell r="B1414" t="str">
            <v>ja</v>
          </cell>
          <cell r="C1414" t="str">
            <v>olive01</v>
          </cell>
          <cell r="D1414"/>
          <cell r="E1414"/>
          <cell r="F1414"/>
          <cell r="G1414"/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animal</v>
          </cell>
        </row>
        <row r="1415">
          <cell r="A1415">
            <v>1524</v>
          </cell>
          <cell r="B1415" t="str">
            <v>ja</v>
          </cell>
          <cell r="C1415" t="str">
            <v>olive02</v>
          </cell>
          <cell r="D1415"/>
          <cell r="E1415"/>
          <cell r="F1415"/>
          <cell r="G1415"/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animal</v>
          </cell>
        </row>
        <row r="1416">
          <cell r="A1416">
            <v>1525</v>
          </cell>
          <cell r="B1416" t="str">
            <v>ja</v>
          </cell>
          <cell r="C1416" t="str">
            <v>white01</v>
          </cell>
          <cell r="D1416"/>
          <cell r="E1416"/>
          <cell r="F1416"/>
          <cell r="G1416"/>
          <cell r="H1416" t="str">
            <v>red</v>
          </cell>
          <cell r="I1416">
            <v>5</v>
          </cell>
          <cell r="J1416" t="str">
            <v>DropWizSS</v>
          </cell>
          <cell r="K1416" t="str">
            <v>balance</v>
          </cell>
          <cell r="L1416" t="str">
            <v>バランスタイプ</v>
          </cell>
          <cell r="M1416" t="str">
            <v>animal</v>
          </cell>
        </row>
        <row r="1417">
          <cell r="A1417">
            <v>1526</v>
          </cell>
          <cell r="B1417" t="str">
            <v>ja</v>
          </cell>
          <cell r="C1417" t="str">
            <v>white02</v>
          </cell>
          <cell r="D1417"/>
          <cell r="E1417"/>
          <cell r="F1417"/>
          <cell r="G1417"/>
          <cell r="H1417" t="str">
            <v>red</v>
          </cell>
          <cell r="I1417">
            <v>6</v>
          </cell>
          <cell r="J1417" t="str">
            <v>DropWizSS</v>
          </cell>
          <cell r="K1417" t="str">
            <v>balance</v>
          </cell>
          <cell r="L1417" t="str">
            <v>バランスタイプ</v>
          </cell>
          <cell r="M1417" t="str">
            <v>animal</v>
          </cell>
        </row>
        <row r="1418">
          <cell r="A1418">
            <v>1527</v>
          </cell>
          <cell r="B1418" t="str">
            <v>ja</v>
          </cell>
          <cell r="C1418" t="str">
            <v>violet01</v>
          </cell>
          <cell r="D1418"/>
          <cell r="E1418"/>
          <cell r="F1418"/>
          <cell r="G1418"/>
          <cell r="H1418" t="str">
            <v>red</v>
          </cell>
          <cell r="I1418">
            <v>4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animal</v>
          </cell>
        </row>
        <row r="1419">
          <cell r="A1419">
            <v>1528</v>
          </cell>
          <cell r="B1419" t="str">
            <v>ja</v>
          </cell>
          <cell r="C1419" t="str">
            <v>violet02</v>
          </cell>
          <cell r="D1419"/>
          <cell r="E1419"/>
          <cell r="F1419"/>
          <cell r="G1419"/>
          <cell r="H1419" t="str">
            <v>red</v>
          </cell>
          <cell r="I1419">
            <v>5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animal</v>
          </cell>
        </row>
        <row r="1420">
          <cell r="A1420">
            <v>1529</v>
          </cell>
          <cell r="B1420" t="str">
            <v>ja</v>
          </cell>
          <cell r="C1420" t="str">
            <v>mint01</v>
          </cell>
          <cell r="D1420"/>
          <cell r="E1420"/>
          <cell r="F1420"/>
          <cell r="G1420"/>
          <cell r="H1420" t="str">
            <v>blue</v>
          </cell>
          <cell r="I1420">
            <v>4</v>
          </cell>
          <cell r="J1420" t="str">
            <v>PremiumS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1530</v>
          </cell>
          <cell r="B1421" t="str">
            <v>ja</v>
          </cell>
          <cell r="C1421" t="str">
            <v>mint02</v>
          </cell>
          <cell r="D1421"/>
          <cell r="E1421"/>
          <cell r="F1421"/>
          <cell r="G1421"/>
          <cell r="H1421" t="str">
            <v>blue</v>
          </cell>
          <cell r="I1421">
            <v>5</v>
          </cell>
          <cell r="J1421" t="str">
            <v>PremiumS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1531</v>
          </cell>
          <cell r="B1422" t="str">
            <v>ja</v>
          </cell>
          <cell r="C1422" t="str">
            <v>gray01</v>
          </cell>
          <cell r="D1422"/>
          <cell r="E1422"/>
          <cell r="F1422"/>
          <cell r="G1422"/>
          <cell r="H1422" t="str">
            <v>green</v>
          </cell>
          <cell r="I1422">
            <v>4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animal</v>
          </cell>
        </row>
        <row r="1423">
          <cell r="A1423">
            <v>1532</v>
          </cell>
          <cell r="B1423" t="str">
            <v>ja</v>
          </cell>
          <cell r="C1423" t="str">
            <v>gray02</v>
          </cell>
          <cell r="D1423"/>
          <cell r="E1423"/>
          <cell r="F1423"/>
          <cell r="G1423"/>
          <cell r="H1423" t="str">
            <v>green</v>
          </cell>
          <cell r="I1423">
            <v>5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animal</v>
          </cell>
        </row>
        <row r="1424">
          <cell r="A1424">
            <v>1533</v>
          </cell>
          <cell r="B1424" t="str">
            <v>ja</v>
          </cell>
          <cell r="C1424" t="str">
            <v>maroon01</v>
          </cell>
          <cell r="D1424"/>
          <cell r="E1424"/>
          <cell r="F1424"/>
          <cell r="G1424"/>
          <cell r="H1424" t="str">
            <v>yellow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animal</v>
          </cell>
        </row>
        <row r="1425">
          <cell r="A1425">
            <v>1534</v>
          </cell>
          <cell r="B1425" t="str">
            <v>ja</v>
          </cell>
          <cell r="C1425" t="str">
            <v>maroon02</v>
          </cell>
          <cell r="D1425"/>
          <cell r="E1425"/>
          <cell r="F1425"/>
          <cell r="G1425"/>
          <cell r="H1425" t="str">
            <v>yellow</v>
          </cell>
          <cell r="I1425">
            <v>5</v>
          </cell>
          <cell r="J1425" t="str">
            <v>PremiumS</v>
          </cell>
          <cell r="K1425" t="str">
            <v>attack</v>
          </cell>
          <cell r="L1425" t="str">
            <v>攻撃タイプ</v>
          </cell>
          <cell r="M1425" t="str">
            <v>animal</v>
          </cell>
        </row>
        <row r="1426">
          <cell r="A1426">
            <v>1535</v>
          </cell>
          <cell r="B1426" t="str">
            <v>ja</v>
          </cell>
          <cell r="C1426" t="str">
            <v>pink01</v>
          </cell>
          <cell r="D1426"/>
          <cell r="E1426"/>
          <cell r="F1426"/>
          <cell r="G1426"/>
          <cell r="H1426" t="str">
            <v>red</v>
          </cell>
          <cell r="I1426">
            <v>5</v>
          </cell>
          <cell r="J1426" t="str">
            <v>PremiumSS</v>
          </cell>
          <cell r="K1426" t="str">
            <v>technical</v>
          </cell>
          <cell r="L1426" t="str">
            <v>テクニカルタイプ</v>
          </cell>
          <cell r="M1426" t="str">
            <v>god</v>
          </cell>
        </row>
        <row r="1427">
          <cell r="A1427">
            <v>1536</v>
          </cell>
          <cell r="B1427" t="str">
            <v>ja</v>
          </cell>
          <cell r="C1427" t="str">
            <v>pink02</v>
          </cell>
          <cell r="D1427"/>
          <cell r="E1427"/>
          <cell r="F1427"/>
          <cell r="G1427"/>
          <cell r="H1427" t="str">
            <v>red</v>
          </cell>
          <cell r="I1427">
            <v>6</v>
          </cell>
          <cell r="J1427" t="str">
            <v>PremiumSS</v>
          </cell>
          <cell r="K1427" t="str">
            <v>technical</v>
          </cell>
          <cell r="L1427" t="str">
            <v>テクニカルタイプ</v>
          </cell>
          <cell r="M1427" t="str">
            <v>god</v>
          </cell>
        </row>
        <row r="1428">
          <cell r="A1428">
            <v>1537</v>
          </cell>
          <cell r="B1428" t="str">
            <v>ja</v>
          </cell>
          <cell r="C1428" t="str">
            <v>black01</v>
          </cell>
          <cell r="D1428"/>
          <cell r="E1428"/>
          <cell r="F1428"/>
          <cell r="G1428"/>
          <cell r="H1428" t="str">
            <v>blue</v>
          </cell>
          <cell r="I1428">
            <v>5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1538</v>
          </cell>
          <cell r="B1429" t="str">
            <v>ja</v>
          </cell>
          <cell r="C1429" t="str">
            <v>black02</v>
          </cell>
          <cell r="D1429"/>
          <cell r="E1429"/>
          <cell r="F1429"/>
          <cell r="G1429"/>
          <cell r="H1429" t="str">
            <v>blue</v>
          </cell>
          <cell r="I1429">
            <v>6</v>
          </cell>
          <cell r="J1429" t="str">
            <v>PremiumSSS</v>
          </cell>
          <cell r="K1429" t="str">
            <v>attack</v>
          </cell>
          <cell r="L1429" t="str">
            <v>攻撃タイプ</v>
          </cell>
          <cell r="M1429" t="str">
            <v>unknown</v>
          </cell>
        </row>
        <row r="1430">
          <cell r="A1430">
            <v>1539</v>
          </cell>
          <cell r="B1430" t="str">
            <v>ja</v>
          </cell>
          <cell r="C1430" t="str">
            <v>brown01</v>
          </cell>
          <cell r="D1430"/>
          <cell r="E1430"/>
          <cell r="F1430"/>
          <cell r="G1430"/>
          <cell r="H1430" t="str">
            <v>yellow</v>
          </cell>
          <cell r="I1430">
            <v>5</v>
          </cell>
          <cell r="J1430" t="str">
            <v>PremiumSS</v>
          </cell>
          <cell r="K1430" t="str">
            <v>attack</v>
          </cell>
          <cell r="L1430" t="str">
            <v>攻撃タイプ</v>
          </cell>
          <cell r="M1430" t="str">
            <v>god</v>
          </cell>
        </row>
        <row r="1431">
          <cell r="A1431">
            <v>1540</v>
          </cell>
          <cell r="B1431" t="str">
            <v>ja</v>
          </cell>
          <cell r="C1431" t="str">
            <v>brown02</v>
          </cell>
          <cell r="D1431"/>
          <cell r="E1431"/>
          <cell r="F1431"/>
          <cell r="G1431"/>
          <cell r="H1431" t="str">
            <v>yellow</v>
          </cell>
          <cell r="I1431">
            <v>6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god</v>
          </cell>
        </row>
        <row r="1432">
          <cell r="A1432">
            <v>1541</v>
          </cell>
          <cell r="B1432" t="str">
            <v>ja</v>
          </cell>
          <cell r="C1432" t="str">
            <v>purple01</v>
          </cell>
          <cell r="D1432"/>
          <cell r="E1432"/>
          <cell r="F1432"/>
          <cell r="G1432"/>
          <cell r="H1432" t="str">
            <v>red</v>
          </cell>
          <cell r="I1432">
            <v>5</v>
          </cell>
          <cell r="J1432" t="str">
            <v>PremiumSSS</v>
          </cell>
          <cell r="K1432" t="str">
            <v>technical</v>
          </cell>
          <cell r="L1432" t="str">
            <v>テクニカルタイプ</v>
          </cell>
          <cell r="M1432" t="str">
            <v>god</v>
          </cell>
        </row>
        <row r="1433">
          <cell r="A1433">
            <v>1542</v>
          </cell>
          <cell r="B1433" t="str">
            <v>ja</v>
          </cell>
          <cell r="C1433" t="str">
            <v>purple02</v>
          </cell>
          <cell r="D1433"/>
          <cell r="E1433"/>
          <cell r="F1433"/>
          <cell r="G1433"/>
          <cell r="H1433" t="str">
            <v>red</v>
          </cell>
          <cell r="I1433">
            <v>6</v>
          </cell>
          <cell r="J1433" t="str">
            <v>PremiumSSS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1543</v>
          </cell>
          <cell r="B1434" t="str">
            <v>ja</v>
          </cell>
          <cell r="C1434" t="str">
            <v>vanilla01</v>
          </cell>
          <cell r="D1434"/>
          <cell r="E1434"/>
          <cell r="F1434"/>
          <cell r="G1434"/>
          <cell r="H1434" t="str">
            <v>blue</v>
          </cell>
          <cell r="I1434">
            <v>6</v>
          </cell>
          <cell r="J1434" t="str">
            <v>PremiumSSS</v>
          </cell>
          <cell r="K1434" t="str">
            <v>attack</v>
          </cell>
          <cell r="L1434" t="str">
            <v>攻撃タイプ</v>
          </cell>
          <cell r="M1434" t="str">
            <v>academia</v>
          </cell>
        </row>
        <row r="1435">
          <cell r="A1435">
            <v>1544</v>
          </cell>
          <cell r="B1435" t="str">
            <v>ja</v>
          </cell>
          <cell r="C1435" t="str">
            <v>vanilla02</v>
          </cell>
          <cell r="D1435"/>
          <cell r="E1435"/>
          <cell r="F1435"/>
          <cell r="G1435"/>
          <cell r="H1435" t="str">
            <v>blue</v>
          </cell>
          <cell r="I1435">
            <v>6</v>
          </cell>
          <cell r="J1435" t="str">
            <v>PremiumSSS</v>
          </cell>
          <cell r="K1435" t="str">
            <v>attack</v>
          </cell>
          <cell r="L1435" t="str">
            <v>攻撃タイプ</v>
          </cell>
          <cell r="M1435" t="str">
            <v>academia</v>
          </cell>
        </row>
        <row r="1436">
          <cell r="A1436">
            <v>1545</v>
          </cell>
          <cell r="B1436" t="str">
            <v>ja</v>
          </cell>
          <cell r="C1436" t="str">
            <v>silver01</v>
          </cell>
          <cell r="D1436"/>
          <cell r="E1436"/>
          <cell r="F1436"/>
          <cell r="G1436"/>
          <cell r="H1436" t="str">
            <v>green</v>
          </cell>
          <cell r="I1436">
            <v>5</v>
          </cell>
          <cell r="J1436" t="str">
            <v>PremiumSS</v>
          </cell>
          <cell r="K1436" t="str">
            <v>hp</v>
          </cell>
          <cell r="L1436" t="str">
            <v>体力タイプ</v>
          </cell>
          <cell r="M1436" t="str">
            <v>unknown</v>
          </cell>
        </row>
        <row r="1437">
          <cell r="A1437">
            <v>1546</v>
          </cell>
          <cell r="B1437" t="str">
            <v>ja</v>
          </cell>
          <cell r="C1437" t="str">
            <v>silver02</v>
          </cell>
          <cell r="D1437"/>
          <cell r="E1437"/>
          <cell r="F1437"/>
          <cell r="G1437"/>
          <cell r="H1437" t="str">
            <v>green</v>
          </cell>
          <cell r="I1437">
            <v>6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unknown</v>
          </cell>
        </row>
        <row r="1438">
          <cell r="A1438">
            <v>1547</v>
          </cell>
          <cell r="B1438" t="str">
            <v>ja</v>
          </cell>
          <cell r="C1438" t="str">
            <v>mauve01</v>
          </cell>
          <cell r="D1438"/>
          <cell r="E1438"/>
          <cell r="F1438"/>
          <cell r="G1438"/>
          <cell r="H1438" t="str">
            <v>green</v>
          </cell>
          <cell r="I1438">
            <v>4</v>
          </cell>
          <cell r="J1438" t="str">
            <v>Drop2N</v>
          </cell>
          <cell r="K1438" t="str">
            <v>hp</v>
          </cell>
          <cell r="L1438" t="str">
            <v>体力タイプ</v>
          </cell>
          <cell r="M1438" t="str">
            <v>animal</v>
          </cell>
        </row>
        <row r="1439">
          <cell r="A1439">
            <v>1548</v>
          </cell>
          <cell r="B1439" t="str">
            <v>ja</v>
          </cell>
          <cell r="C1439" t="str">
            <v>mauve02</v>
          </cell>
          <cell r="D1439"/>
          <cell r="E1439"/>
          <cell r="F1439"/>
          <cell r="G1439"/>
          <cell r="H1439" t="str">
            <v>green</v>
          </cell>
          <cell r="I1439">
            <v>5</v>
          </cell>
          <cell r="J1439" t="str">
            <v>Drop2N</v>
          </cell>
          <cell r="K1439" t="str">
            <v>hp</v>
          </cell>
          <cell r="L1439" t="str">
            <v>体力タイプ</v>
          </cell>
          <cell r="M1439" t="str">
            <v>animal</v>
          </cell>
        </row>
        <row r="1440">
          <cell r="A1440">
            <v>1549</v>
          </cell>
          <cell r="B1440" t="str">
            <v>ja</v>
          </cell>
          <cell r="C1440" t="str">
            <v>ochre01</v>
          </cell>
          <cell r="D1440"/>
          <cell r="E1440"/>
          <cell r="F1440"/>
          <cell r="G1440"/>
          <cell r="H1440" t="str">
            <v>green</v>
          </cell>
          <cell r="I1440">
            <v>5</v>
          </cell>
          <cell r="J1440" t="str">
            <v>DropWizS</v>
          </cell>
          <cell r="K1440" t="str">
            <v>balance</v>
          </cell>
          <cell r="L1440" t="str">
            <v>バランスタイプ</v>
          </cell>
          <cell r="M1440" t="str">
            <v>unknown</v>
          </cell>
        </row>
        <row r="1441">
          <cell r="A1441">
            <v>1550</v>
          </cell>
          <cell r="B1441" t="str">
            <v>ja</v>
          </cell>
          <cell r="C1441" t="str">
            <v>ochre02</v>
          </cell>
          <cell r="D1441"/>
          <cell r="E1441"/>
          <cell r="F1441"/>
          <cell r="G1441"/>
          <cell r="H1441" t="str">
            <v>green</v>
          </cell>
          <cell r="I1441">
            <v>6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5001</v>
          </cell>
          <cell r="B1442" t="str">
            <v>ja</v>
          </cell>
          <cell r="C1442" t="str">
            <v>ガルーダ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5</v>
          </cell>
          <cell r="J1442" t="str">
            <v>PremiumSSw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5002</v>
          </cell>
          <cell r="B1443" t="str">
            <v>ja</v>
          </cell>
          <cell r="C1443" t="str">
            <v>ガルーダ★６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6</v>
          </cell>
          <cell r="J1443" t="str">
            <v>PremiumSSw</v>
          </cell>
          <cell r="K1443" t="str">
            <v>attack</v>
          </cell>
          <cell r="L1443" t="str">
            <v>攻撃タイプ</v>
          </cell>
          <cell r="M1443" t="str">
            <v>god</v>
          </cell>
        </row>
        <row r="1444">
          <cell r="A1444">
            <v>5003</v>
          </cell>
          <cell r="B1444" t="str">
            <v>ja</v>
          </cell>
          <cell r="C1444" t="str">
            <v>ナーガ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green</v>
          </cell>
          <cell r="I1444">
            <v>5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5004</v>
          </cell>
          <cell r="B1445" t="str">
            <v>ja</v>
          </cell>
          <cell r="C1445" t="str">
            <v>ナーガ★６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6</v>
          </cell>
          <cell r="J1445" t="str">
            <v>DropWizS</v>
          </cell>
          <cell r="K1445" t="str">
            <v>technical</v>
          </cell>
          <cell r="L1445" t="str">
            <v>テクニカルタイプ</v>
          </cell>
          <cell r="M1445" t="str">
            <v>animal</v>
          </cell>
        </row>
        <row r="1446">
          <cell r="A1446">
            <v>5005</v>
          </cell>
          <cell r="B1446" t="str">
            <v>ja</v>
          </cell>
          <cell r="C1446" t="str">
            <v>カーミラ</v>
          </cell>
          <cell r="D1446" t="str">
            <v>ノーマルクエスト</v>
          </cell>
          <cell r="E1446" t="str">
            <v>QoH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5</v>
          </cell>
          <cell r="J1446" t="str">
            <v>PremiumSSw</v>
          </cell>
          <cell r="K1446" t="str">
            <v>balance</v>
          </cell>
          <cell r="L1446" t="str">
            <v>バランスタイプ</v>
          </cell>
          <cell r="M1446" t="str">
            <v>demon</v>
          </cell>
        </row>
        <row r="1447">
          <cell r="A1447">
            <v>5006</v>
          </cell>
          <cell r="B1447" t="str">
            <v>ja</v>
          </cell>
          <cell r="C1447" t="str">
            <v>カーミラ★６</v>
          </cell>
          <cell r="D1447" t="str">
            <v>ノーマルクエスト</v>
          </cell>
          <cell r="E1447" t="str">
            <v>アバター</v>
          </cell>
          <cell r="F1447" t="str">
            <v>世界観</v>
          </cell>
          <cell r="G1447" t="str">
            <v>男性</v>
          </cell>
          <cell r="H1447" t="str">
            <v>green</v>
          </cell>
          <cell r="I1447">
            <v>6</v>
          </cell>
          <cell r="J1447" t="str">
            <v>PremiumSSw</v>
          </cell>
          <cell r="K1447" t="str">
            <v>balance</v>
          </cell>
          <cell r="L1447" t="str">
            <v>バランスタイプ</v>
          </cell>
          <cell r="M1447" t="str">
            <v>demon</v>
          </cell>
        </row>
        <row r="1448">
          <cell r="A1448">
            <v>5007</v>
          </cell>
          <cell r="B1448" t="str">
            <v>ja</v>
          </cell>
          <cell r="C1448" t="str">
            <v>ヘルシング</v>
          </cell>
          <cell r="D1448" t="str">
            <v>リンクガチャ:4神</v>
          </cell>
          <cell r="E1448" t="str">
            <v>守護神</v>
          </cell>
          <cell r="F1448" t="str">
            <v>格好いい</v>
          </cell>
          <cell r="G1448" t="str">
            <v>不明</v>
          </cell>
          <cell r="H1448" t="str">
            <v>yellow</v>
          </cell>
          <cell r="I1448">
            <v>5</v>
          </cell>
          <cell r="J1448" t="str">
            <v>DropWizS</v>
          </cell>
          <cell r="K1448" t="str">
            <v>attack</v>
          </cell>
          <cell r="L1448" t="str">
            <v>攻撃タイプ</v>
          </cell>
          <cell r="M1448" t="str">
            <v>human</v>
          </cell>
        </row>
        <row r="1449">
          <cell r="A1449">
            <v>5008</v>
          </cell>
          <cell r="B1449" t="str">
            <v>ja</v>
          </cell>
          <cell r="C1449" t="str">
            <v>ヘルシング★６</v>
          </cell>
          <cell r="D1449" t="str">
            <v>ノーマルクエスト</v>
          </cell>
          <cell r="E1449" t="str">
            <v>アバター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DropWizS</v>
          </cell>
          <cell r="K1449" t="str">
            <v>attack</v>
          </cell>
          <cell r="L1449" t="str">
            <v>攻撃タイプ</v>
          </cell>
          <cell r="M1449" t="str">
            <v>human</v>
          </cell>
        </row>
        <row r="1450">
          <cell r="A1450">
            <v>6001</v>
          </cell>
          <cell r="B1450" t="str">
            <v>ja</v>
          </cell>
          <cell r="C1450" t="str">
            <v>ジェリー</v>
          </cell>
          <cell r="D1450" t="str">
            <v>ノーマルクエスト</v>
          </cell>
          <cell r="E1450" t="str">
            <v>QoH</v>
          </cell>
          <cell r="F1450" t="str">
            <v>世界観</v>
          </cell>
          <cell r="G1450" t="str">
            <v>不明</v>
          </cell>
          <cell r="H1450" t="str">
            <v>red</v>
          </cell>
          <cell r="I1450">
            <v>1</v>
          </cell>
          <cell r="J1450" t="str">
            <v>Drop1T</v>
          </cell>
          <cell r="K1450" t="str">
            <v>ra</v>
          </cell>
          <cell r="L1450" t="str">
            <v>ラグランジュチャレンジ</v>
          </cell>
          <cell r="M1450" t="str">
            <v>unknown</v>
          </cell>
        </row>
        <row r="1451">
          <cell r="A1451">
            <v>6002</v>
          </cell>
          <cell r="B1451" t="str">
            <v>ja</v>
          </cell>
          <cell r="C1451" t="str">
            <v>ヨシタカ</v>
          </cell>
          <cell r="D1451" t="str">
            <v>ノーマルクエスト</v>
          </cell>
          <cell r="E1451" t="str">
            <v>アバター</v>
          </cell>
          <cell r="F1451" t="str">
            <v>世界観</v>
          </cell>
          <cell r="G1451" t="str">
            <v>男性</v>
          </cell>
          <cell r="H1451" t="str">
            <v>red</v>
          </cell>
          <cell r="I1451">
            <v>2</v>
          </cell>
          <cell r="J1451" t="str">
            <v>Drop1N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6003</v>
          </cell>
          <cell r="B1452" t="str">
            <v>ja</v>
          </cell>
          <cell r="C1452" t="str">
            <v>朱雀</v>
          </cell>
          <cell r="D1452" t="str">
            <v>リンクガチャ:4神</v>
          </cell>
          <cell r="E1452" t="str">
            <v>守護神</v>
          </cell>
          <cell r="F1452" t="str">
            <v>格好いい</v>
          </cell>
          <cell r="G1452" t="str">
            <v>不明</v>
          </cell>
          <cell r="H1452" t="str">
            <v>red</v>
          </cell>
          <cell r="I1452">
            <v>3</v>
          </cell>
          <cell r="J1452" t="str">
            <v>Drop2N</v>
          </cell>
          <cell r="K1452" t="str">
            <v>ra</v>
          </cell>
          <cell r="L1452" t="str">
            <v>ラグランジュチャレンジ</v>
          </cell>
          <cell r="M1452" t="str">
            <v>animal</v>
          </cell>
        </row>
        <row r="1453">
          <cell r="A1453">
            <v>6004</v>
          </cell>
          <cell r="B1453" t="str">
            <v>ja</v>
          </cell>
          <cell r="C1453" t="str">
            <v>ブレット</v>
          </cell>
          <cell r="D1453" t="str">
            <v>ノーマルクエスト</v>
          </cell>
          <cell r="E1453" t="str">
            <v>アバター</v>
          </cell>
          <cell r="F1453" t="str">
            <v>世界観</v>
          </cell>
          <cell r="G1453" t="str">
            <v>不明</v>
          </cell>
          <cell r="H1453" t="str">
            <v>red</v>
          </cell>
          <cell r="I1453">
            <v>1</v>
          </cell>
          <cell r="J1453" t="str">
            <v>Drop1W</v>
          </cell>
          <cell r="K1453" t="str">
            <v>ra</v>
          </cell>
          <cell r="L1453" t="str">
            <v>ラグランジュチャレンジ</v>
          </cell>
          <cell r="M1453" t="str">
            <v>animal</v>
          </cell>
        </row>
        <row r="1454">
          <cell r="A1454">
            <v>6005</v>
          </cell>
          <cell r="B1454" t="str">
            <v>ja</v>
          </cell>
          <cell r="C1454" t="str">
            <v>孤神 テティス</v>
          </cell>
          <cell r="D1454" t="str">
            <v>初期ガチャ</v>
          </cell>
          <cell r="E1454" t="str">
            <v>管理者</v>
          </cell>
          <cell r="F1454" t="str">
            <v>美しい</v>
          </cell>
          <cell r="G1454" t="str">
            <v>女性</v>
          </cell>
          <cell r="H1454" t="str">
            <v>blue</v>
          </cell>
          <cell r="I1454">
            <v>4</v>
          </cell>
          <cell r="J1454" t="str">
            <v>PremiumN</v>
          </cell>
          <cell r="K1454" t="str">
            <v>ra</v>
          </cell>
          <cell r="L1454" t="str">
            <v>ラグランジュチャレンジ</v>
          </cell>
          <cell r="M1454" t="str">
            <v>god</v>
          </cell>
        </row>
        <row r="1455">
          <cell r="A1455">
            <v>6006</v>
          </cell>
          <cell r="B1455" t="str">
            <v>ja</v>
          </cell>
          <cell r="C1455" t="str">
            <v>海底の孤高神 テティス</v>
          </cell>
          <cell r="D1455" t="str">
            <v>初期ガチャ</v>
          </cell>
          <cell r="E1455" t="str">
            <v>管理者</v>
          </cell>
          <cell r="F1455" t="str">
            <v>美しい</v>
          </cell>
          <cell r="G1455" t="str">
            <v>女性</v>
          </cell>
          <cell r="H1455" t="str">
            <v>blue</v>
          </cell>
          <cell r="I1455">
            <v>5</v>
          </cell>
          <cell r="J1455" t="str">
            <v>PremiumN</v>
          </cell>
          <cell r="K1455" t="str">
            <v>ra</v>
          </cell>
          <cell r="L1455" t="str">
            <v>ラグランジュチャレンジ</v>
          </cell>
          <cell r="M1455" t="str">
            <v>god</v>
          </cell>
        </row>
        <row r="1456">
          <cell r="A1456">
            <v>6007</v>
          </cell>
          <cell r="B1456" t="str">
            <v>ja</v>
          </cell>
          <cell r="C1456" t="str">
            <v>番犬 ケルベロス</v>
          </cell>
          <cell r="D1456" t="str">
            <v>初期ガチャ</v>
          </cell>
          <cell r="E1456" t="str">
            <v>破界者</v>
          </cell>
          <cell r="F1456" t="str">
            <v>可愛い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PremiumN</v>
          </cell>
          <cell r="K1456" t="str">
            <v>ra</v>
          </cell>
          <cell r="L1456" t="str">
            <v>ラグランジュチャレンジ</v>
          </cell>
          <cell r="M1456" t="str">
            <v>animal</v>
          </cell>
        </row>
        <row r="1457">
          <cell r="A1457">
            <v>6008</v>
          </cell>
          <cell r="B1457" t="str">
            <v>ja</v>
          </cell>
          <cell r="C1457" t="str">
            <v>焔神 プロメテウス</v>
          </cell>
          <cell r="D1457" t="str">
            <v>初期ガチャ</v>
          </cell>
          <cell r="E1457" t="str">
            <v>管理者</v>
          </cell>
          <cell r="F1457" t="str">
            <v>格好いい</v>
          </cell>
          <cell r="G1457" t="str">
            <v>男性</v>
          </cell>
          <cell r="H1457" t="str">
            <v>red</v>
          </cell>
          <cell r="I1457">
            <v>4</v>
          </cell>
          <cell r="J1457" t="str">
            <v>PremiumN</v>
          </cell>
          <cell r="K1457" t="str">
            <v>ra</v>
          </cell>
          <cell r="L1457" t="str">
            <v>ラグランジュチャレンジ</v>
          </cell>
          <cell r="M1457" t="str">
            <v>god</v>
          </cell>
        </row>
        <row r="1458">
          <cell r="A1458">
            <v>6009</v>
          </cell>
          <cell r="B1458" t="str">
            <v>ja</v>
          </cell>
          <cell r="C1458" t="str">
            <v>超越自我 ラグランジュ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PremiumSSS</v>
          </cell>
          <cell r="K1458" t="str">
            <v>ra</v>
          </cell>
          <cell r="L1458" t="str">
            <v>ラグランジュチャレンジ</v>
          </cell>
          <cell r="M1458" t="str">
            <v>human</v>
          </cell>
        </row>
        <row r="1459">
          <cell r="A1459">
            <v>6010</v>
          </cell>
          <cell r="B1459" t="str">
            <v>ja</v>
          </cell>
          <cell r="C1459" t="str">
            <v>超越凌駕 ラグランジュ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6</v>
          </cell>
          <cell r="J1459" t="str">
            <v>PremiumSSS</v>
          </cell>
          <cell r="K1459" t="str">
            <v>ra</v>
          </cell>
          <cell r="L1459" t="str">
            <v>ラグランジュチャレンジ</v>
          </cell>
          <cell r="M1459" t="str">
            <v>human</v>
          </cell>
        </row>
        <row r="1460">
          <cell r="A1460">
            <v>6011</v>
          </cell>
          <cell r="B1460" t="str">
            <v>ja</v>
          </cell>
          <cell r="C1460" t="str">
            <v>パトドッグリーダー ポチ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2</v>
          </cell>
          <cell r="J1460" t="str">
            <v>Drop1T</v>
          </cell>
          <cell r="K1460" t="str">
            <v>ra002</v>
          </cell>
          <cell r="L1460" t="str">
            <v>ユークリッドチャレンジ</v>
          </cell>
          <cell r="M1460" t="str">
            <v>unknown</v>
          </cell>
        </row>
        <row r="1461">
          <cell r="A1461">
            <v>6012</v>
          </cell>
          <cell r="B1461" t="str">
            <v>ja</v>
          </cell>
          <cell r="C1461" t="str">
            <v>ミミ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yellow</v>
          </cell>
          <cell r="I1461">
            <v>1</v>
          </cell>
          <cell r="J1461" t="str">
            <v>Drop1W</v>
          </cell>
          <cell r="K1461" t="str">
            <v>ra002</v>
          </cell>
          <cell r="L1461" t="str">
            <v>ユークリッドチャレンジ</v>
          </cell>
          <cell r="M1461" t="str">
            <v>animal</v>
          </cell>
        </row>
        <row r="1462">
          <cell r="A1462">
            <v>6013</v>
          </cell>
          <cell r="B1462" t="str">
            <v>ja</v>
          </cell>
          <cell r="C1462" t="str">
            <v>護衛機人 スケアクロウ</v>
          </cell>
          <cell r="D1462" t="str">
            <v>ガチャ:フィーバーフェス02</v>
          </cell>
          <cell r="E1462" t="str">
            <v>執行者</v>
          </cell>
          <cell r="F1462" t="str">
            <v>格好いい</v>
          </cell>
          <cell r="G1462" t="str">
            <v>男性</v>
          </cell>
          <cell r="H1462" t="str">
            <v>blue</v>
          </cell>
          <cell r="I1462">
            <v>2</v>
          </cell>
          <cell r="J1462" t="str">
            <v>Drop1N</v>
          </cell>
          <cell r="K1462" t="str">
            <v>ra002</v>
          </cell>
          <cell r="L1462" t="str">
            <v>ユークリッドチャレンジ</v>
          </cell>
          <cell r="M1462" t="str">
            <v>machine</v>
          </cell>
        </row>
        <row r="1463">
          <cell r="A1463">
            <v>6014</v>
          </cell>
          <cell r="B1463" t="str">
            <v>ja</v>
          </cell>
          <cell r="C1463" t="str">
            <v>月下の人狼 ローレンス</v>
          </cell>
          <cell r="D1463" t="str">
            <v>ガチャ:フィーバーフェス02</v>
          </cell>
          <cell r="E1463" t="str">
            <v>執行者</v>
          </cell>
          <cell r="F1463" t="str">
            <v>格好いい</v>
          </cell>
          <cell r="G1463" t="str">
            <v>男性</v>
          </cell>
          <cell r="H1463" t="str">
            <v>blue</v>
          </cell>
          <cell r="I1463">
            <v>4</v>
          </cell>
          <cell r="J1463" t="str">
            <v>PremiumW</v>
          </cell>
          <cell r="K1463" t="str">
            <v>ra002</v>
          </cell>
          <cell r="L1463" t="str">
            <v>ユークリッドチャレンジ</v>
          </cell>
          <cell r="M1463" t="str">
            <v>animal</v>
          </cell>
        </row>
        <row r="1464">
          <cell r="A1464">
            <v>6015</v>
          </cell>
          <cell r="B1464" t="str">
            <v>ja</v>
          </cell>
          <cell r="C1464" t="str">
            <v>フレイヤ</v>
          </cell>
          <cell r="D1464" t="str">
            <v>ガチャ:フィーバーフェス02</v>
          </cell>
          <cell r="E1464" t="str">
            <v>執行者</v>
          </cell>
          <cell r="F1464" t="str">
            <v>格好いい</v>
          </cell>
          <cell r="G1464" t="str">
            <v>男性</v>
          </cell>
          <cell r="H1464" t="str">
            <v>blue</v>
          </cell>
          <cell r="I1464">
            <v>4</v>
          </cell>
          <cell r="J1464" t="str">
            <v>PremiumSS</v>
          </cell>
          <cell r="K1464" t="str">
            <v>ra002</v>
          </cell>
          <cell r="L1464" t="str">
            <v>ユークリッドチャレンジ</v>
          </cell>
          <cell r="M1464" t="str">
            <v>animal</v>
          </cell>
        </row>
        <row r="1465">
          <cell r="A1465">
            <v>6016</v>
          </cell>
          <cell r="B1465" t="str">
            <v>ja</v>
          </cell>
          <cell r="C1465" t="str">
            <v>根原論理 ユークリッド</v>
          </cell>
          <cell r="D1465" t="str">
            <v>ガチャ:フィーバーフェス02</v>
          </cell>
          <cell r="E1465" t="str">
            <v>執行者</v>
          </cell>
          <cell r="F1465" t="str">
            <v>格好いい</v>
          </cell>
          <cell r="G1465" t="str">
            <v>男性</v>
          </cell>
          <cell r="H1465" t="str">
            <v>blue</v>
          </cell>
          <cell r="I1465">
            <v>5</v>
          </cell>
          <cell r="J1465" t="str">
            <v>PremiumSSS</v>
          </cell>
          <cell r="K1465" t="str">
            <v>ra002</v>
          </cell>
          <cell r="L1465" t="str">
            <v>ユークリッドチャレンジ</v>
          </cell>
          <cell r="M1465" t="str">
            <v>human</v>
          </cell>
        </row>
        <row r="1466">
          <cell r="A1466">
            <v>6017</v>
          </cell>
          <cell r="B1466" t="str">
            <v>ja</v>
          </cell>
          <cell r="C1466" t="str">
            <v>不朽の極論 ユークリッド</v>
          </cell>
          <cell r="D1466" t="str">
            <v>ガチャ:フィーバーフェス02</v>
          </cell>
          <cell r="E1466" t="str">
            <v>執行者</v>
          </cell>
          <cell r="F1466" t="str">
            <v>格好いい</v>
          </cell>
          <cell r="G1466" t="str">
            <v>男性</v>
          </cell>
          <cell r="H1466" t="str">
            <v>blue</v>
          </cell>
          <cell r="I1466">
            <v>6</v>
          </cell>
          <cell r="J1466" t="str">
            <v>PremiumSSS</v>
          </cell>
          <cell r="K1466" t="str">
            <v>ra002</v>
          </cell>
          <cell r="L1466" t="str">
            <v>ユークリッドチャレンジ</v>
          </cell>
          <cell r="M1466" t="str">
            <v>human</v>
          </cell>
        </row>
        <row r="1467">
          <cell r="A1467">
            <v>6018</v>
          </cell>
          <cell r="B1467" t="str">
            <v>ja</v>
          </cell>
          <cell r="C1467" t="str">
            <v>ハヅル</v>
          </cell>
          <cell r="D1467" t="str">
            <v>ガチャ:フィーバーフェス02</v>
          </cell>
          <cell r="E1467" t="str">
            <v>執行者</v>
          </cell>
          <cell r="F1467" t="str">
            <v>格好いい</v>
          </cell>
          <cell r="G1467" t="str">
            <v>男性</v>
          </cell>
          <cell r="H1467" t="str">
            <v>red</v>
          </cell>
          <cell r="I1467">
            <v>4</v>
          </cell>
          <cell r="J1467" t="str">
            <v>PremiumSS</v>
          </cell>
          <cell r="K1467" t="str">
            <v>ra002</v>
          </cell>
          <cell r="L1467" t="str">
            <v>ユークリッドチャレンジ</v>
          </cell>
          <cell r="M1467" t="str">
            <v>animal</v>
          </cell>
        </row>
        <row r="1468">
          <cell r="A1468">
            <v>6019</v>
          </cell>
          <cell r="B1468" t="str">
            <v>ja</v>
          </cell>
          <cell r="C1468" t="str">
            <v>天織羽鶴 ハヅル</v>
          </cell>
          <cell r="D1468" t="str">
            <v>ガチャ:フィーバーフェス02</v>
          </cell>
          <cell r="E1468" t="str">
            <v>執行者</v>
          </cell>
          <cell r="F1468" t="str">
            <v>格好いい</v>
          </cell>
          <cell r="G1468" t="str">
            <v>男性</v>
          </cell>
          <cell r="H1468" t="str">
            <v>red</v>
          </cell>
          <cell r="I1468">
            <v>5</v>
          </cell>
          <cell r="J1468" t="str">
            <v>PremiumSS</v>
          </cell>
          <cell r="K1468" t="str">
            <v>ra002</v>
          </cell>
          <cell r="L1468" t="str">
            <v>ユークリッドチャレンジ</v>
          </cell>
          <cell r="M1468" t="str">
            <v>animal</v>
          </cell>
        </row>
        <row r="1469">
          <cell r="A1469">
            <v>6020</v>
          </cell>
          <cell r="B1469" t="str">
            <v>ja</v>
          </cell>
          <cell r="C1469" t="str">
            <v>ミズチ</v>
          </cell>
          <cell r="D1469" t="str">
            <v>ガチャ:フィーバーフェス02</v>
          </cell>
          <cell r="E1469" t="str">
            <v>執行者</v>
          </cell>
          <cell r="F1469" t="str">
            <v>格好いい</v>
          </cell>
          <cell r="G1469" t="str">
            <v>男性</v>
          </cell>
          <cell r="H1469" t="str">
            <v>blue</v>
          </cell>
          <cell r="I1469">
            <v>4</v>
          </cell>
          <cell r="J1469" t="str">
            <v>PremiumS</v>
          </cell>
          <cell r="K1469" t="str">
            <v>ra002</v>
          </cell>
          <cell r="L1469" t="str">
            <v>ユークリッドチャレンジ</v>
          </cell>
          <cell r="M1469" t="str">
            <v>dragon</v>
          </cell>
        </row>
        <row r="1470">
          <cell r="A1470">
            <v>8001</v>
          </cell>
          <cell r="B1470" t="str">
            <v>ja</v>
          </cell>
          <cell r="C1470" t="str">
            <v>媽祖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8002</v>
          </cell>
          <cell r="B1471" t="str">
            <v>ja</v>
          </cell>
          <cell r="C1471" t="str">
            <v>宣導する天海妃 媽祖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8003</v>
          </cell>
          <cell r="B1472" t="str">
            <v>ja</v>
          </cell>
          <cell r="C1472" t="str">
            <v>蛟龍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不明</v>
          </cell>
          <cell r="H1472" t="str">
            <v>blue</v>
          </cell>
          <cell r="I1472">
            <v>5</v>
          </cell>
          <cell r="J1472" t="str">
            <v>DropWizS</v>
          </cell>
          <cell r="K1472" t="str">
            <v>hp</v>
          </cell>
          <cell r="L1472" t="str">
            <v>体力タイプ</v>
          </cell>
          <cell r="M1472" t="str">
            <v>dragon</v>
          </cell>
        </row>
        <row r="1473">
          <cell r="A1473">
            <v>8004</v>
          </cell>
          <cell r="B1473" t="str">
            <v>ja</v>
          </cell>
          <cell r="C1473" t="str">
            <v>呼嵐の蒼棲龍 蛟龍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不明</v>
          </cell>
          <cell r="H1473" t="str">
            <v>blue</v>
          </cell>
          <cell r="I1473">
            <v>6</v>
          </cell>
          <cell r="J1473" t="str">
            <v>DropWizS</v>
          </cell>
          <cell r="K1473" t="str">
            <v>hp</v>
          </cell>
          <cell r="L1473" t="str">
            <v>体力タイプ</v>
          </cell>
          <cell r="M1473" t="str">
            <v>dragon</v>
          </cell>
        </row>
        <row r="1474">
          <cell r="A1474">
            <v>8005</v>
          </cell>
          <cell r="B1474" t="str">
            <v>ja</v>
          </cell>
          <cell r="C1474" t="str">
            <v>三蔵法師</v>
          </cell>
          <cell r="D1474" t="str">
            <v>イベント:ミクコラボ01</v>
          </cell>
          <cell r="E1474" t="str">
            <v>執行者</v>
          </cell>
          <cell r="F1474" t="str">
            <v>格好いい</v>
          </cell>
          <cell r="G1474" t="str">
            <v>不明</v>
          </cell>
          <cell r="H1474" t="str">
            <v>blue</v>
          </cell>
          <cell r="I1474">
            <v>5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human</v>
          </cell>
        </row>
        <row r="1475">
          <cell r="A1475">
            <v>8006</v>
          </cell>
          <cell r="B1475" t="str">
            <v>ja</v>
          </cell>
          <cell r="C1475" t="str">
            <v>慈戒の呪封使 三蔵法師</v>
          </cell>
          <cell r="D1475" t="str">
            <v>イベント:ミクコラボ01</v>
          </cell>
          <cell r="E1475" t="str">
            <v>執行者</v>
          </cell>
          <cell r="F1475" t="str">
            <v>格好いい</v>
          </cell>
          <cell r="G1475" t="str">
            <v>不明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8007</v>
          </cell>
          <cell r="B1476" t="str">
            <v>ja</v>
          </cell>
          <cell r="C1476" t="str">
            <v>孫悟空</v>
          </cell>
          <cell r="D1476" t="str">
            <v>イベント:ミクコラボ01</v>
          </cell>
          <cell r="E1476" t="str">
            <v>執行者</v>
          </cell>
          <cell r="F1476" t="str">
            <v>格好いい</v>
          </cell>
          <cell r="G1476" t="str">
            <v>不明</v>
          </cell>
          <cell r="H1476" t="str">
            <v>red</v>
          </cell>
          <cell r="I1476">
            <v>5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8008</v>
          </cell>
          <cell r="B1477" t="str">
            <v>ja</v>
          </cell>
          <cell r="C1477" t="str">
            <v>花果の天猿仙人 孫悟空</v>
          </cell>
          <cell r="D1477" t="str">
            <v>イベント:ミクコラボ01</v>
          </cell>
          <cell r="E1477" t="str">
            <v>執行者</v>
          </cell>
          <cell r="F1477" t="str">
            <v>格好いい</v>
          </cell>
          <cell r="G1477" t="str">
            <v>不明</v>
          </cell>
          <cell r="H1477" t="str">
            <v>red</v>
          </cell>
          <cell r="I1477">
            <v>6</v>
          </cell>
          <cell r="J1477" t="str">
            <v>DropWizS</v>
          </cell>
          <cell r="K1477" t="str">
            <v>attack</v>
          </cell>
          <cell r="L1477" t="str">
            <v>攻撃タイプ</v>
          </cell>
          <cell r="M1477" t="str">
            <v>animal</v>
          </cell>
        </row>
        <row r="1478">
          <cell r="A1478">
            <v>8009</v>
          </cell>
          <cell r="B1478" t="str">
            <v>ja</v>
          </cell>
          <cell r="C1478" t="str">
            <v>西王娘娘</v>
          </cell>
          <cell r="D1478" t="str">
            <v>イベント:ミクコラボ01</v>
          </cell>
          <cell r="E1478" t="str">
            <v>執行者</v>
          </cell>
          <cell r="F1478" t="str">
            <v>格好いい</v>
          </cell>
          <cell r="G1478" t="str">
            <v>不明</v>
          </cell>
          <cell r="H1478" t="str">
            <v>green</v>
          </cell>
          <cell r="I1478">
            <v>5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god</v>
          </cell>
        </row>
        <row r="1479">
          <cell r="A1479">
            <v>8010</v>
          </cell>
          <cell r="B1479" t="str">
            <v>ja</v>
          </cell>
          <cell r="C1479" t="str">
            <v>極楽瑶池の聖母 西王娘娘</v>
          </cell>
          <cell r="D1479" t="str">
            <v>イベント:ミクコラボ01</v>
          </cell>
          <cell r="E1479" t="str">
            <v>執行者</v>
          </cell>
          <cell r="F1479" t="str">
            <v>格好いい</v>
          </cell>
          <cell r="G1479" t="str">
            <v>不明</v>
          </cell>
          <cell r="H1479" t="str">
            <v>green</v>
          </cell>
          <cell r="I1479">
            <v>6</v>
          </cell>
          <cell r="J1479" t="str">
            <v>PremiumSS</v>
          </cell>
          <cell r="K1479" t="str">
            <v>attack</v>
          </cell>
          <cell r="L1479" t="str">
            <v>攻撃タイプ</v>
          </cell>
          <cell r="M1479" t="str">
            <v>god</v>
          </cell>
        </row>
        <row r="1480">
          <cell r="A1480">
            <v>8011</v>
          </cell>
          <cell r="B1480" t="str">
            <v>ja</v>
          </cell>
          <cell r="C1480" t="str">
            <v>月下老人</v>
          </cell>
          <cell r="D1480" t="str">
            <v>イベント:ミクコラボ01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5</v>
          </cell>
          <cell r="J1480" t="str">
            <v>DropWizS</v>
          </cell>
          <cell r="K1480" t="str">
            <v>balance</v>
          </cell>
          <cell r="L1480" t="str">
            <v>バランスタイプ</v>
          </cell>
          <cell r="M1480" t="str">
            <v>god</v>
          </cell>
        </row>
        <row r="1481">
          <cell r="A1481">
            <v>8012</v>
          </cell>
          <cell r="B1481" t="str">
            <v>ja</v>
          </cell>
          <cell r="C1481" t="str">
            <v>破戀斬る縁剣 月下老人</v>
          </cell>
          <cell r="D1481" t="str">
            <v>イベント:ミクコラボ01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DropWizS</v>
          </cell>
          <cell r="K1481" t="str">
            <v>balance</v>
          </cell>
          <cell r="L1481" t="str">
            <v>バランスタイプ</v>
          </cell>
          <cell r="M1481" t="str">
            <v>god</v>
          </cell>
        </row>
        <row r="1482">
          <cell r="A1482">
            <v>8013</v>
          </cell>
          <cell r="B1482" t="str">
            <v>ja</v>
          </cell>
          <cell r="C1482" t="str">
            <v>初音ミクV3</v>
          </cell>
          <cell r="D1482" t="str">
            <v>初音ミクV3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DropWizS</v>
          </cell>
          <cell r="K1482" t="str">
            <v>balance</v>
          </cell>
          <cell r="L1482" t="str">
            <v>バランスタイプ</v>
          </cell>
          <cell r="M1482" t="str">
            <v>unknown</v>
          </cell>
        </row>
        <row r="1483">
          <cell r="A1483">
            <v>8014</v>
          </cell>
          <cell r="B1483" t="str">
            <v>ja</v>
          </cell>
          <cell r="C1483" t="str">
            <v>初音ミクV3</v>
          </cell>
          <cell r="D1483" t="str">
            <v>初音ミクV3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8015</v>
          </cell>
          <cell r="B1484" t="str">
            <v>ja</v>
          </cell>
          <cell r="C1484" t="str">
            <v>初音ミク・アペンド</v>
          </cell>
          <cell r="D1484" t="str">
            <v>初音ミク・アペンド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green</v>
          </cell>
          <cell r="I1484">
            <v>4</v>
          </cell>
          <cell r="J1484" t="str">
            <v>PremiumSSS</v>
          </cell>
          <cell r="K1484" t="str">
            <v>technical</v>
          </cell>
          <cell r="L1484" t="str">
            <v>テクニカルタイプ</v>
          </cell>
          <cell r="M1484" t="str">
            <v>unknown</v>
          </cell>
        </row>
        <row r="1485">
          <cell r="A1485">
            <v>8016</v>
          </cell>
          <cell r="B1485" t="str">
            <v>ja</v>
          </cell>
          <cell r="C1485" t="str">
            <v>初音ミク・アペンド</v>
          </cell>
          <cell r="D1485" t="str">
            <v>初音ミク・アペンド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green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unknown</v>
          </cell>
        </row>
        <row r="1486">
          <cell r="A1486">
            <v>8017</v>
          </cell>
          <cell r="B1486" t="str">
            <v>ja</v>
          </cell>
          <cell r="C1486" t="str">
            <v>初音ミク</v>
          </cell>
          <cell r="D1486" t="str">
            <v>初音ミク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4</v>
          </cell>
          <cell r="J1486" t="str">
            <v>PremiumSSS</v>
          </cell>
          <cell r="K1486" t="str">
            <v>balance</v>
          </cell>
          <cell r="L1486" t="str">
            <v>バランスタイプ</v>
          </cell>
          <cell r="M1486" t="str">
            <v>unknown</v>
          </cell>
        </row>
        <row r="1487">
          <cell r="A1487">
            <v>8018</v>
          </cell>
          <cell r="B1487" t="str">
            <v>ja</v>
          </cell>
          <cell r="C1487" t="str">
            <v>初音ミク</v>
          </cell>
          <cell r="D1487" t="str">
            <v>初音ミク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green</v>
          </cell>
          <cell r="I1487">
            <v>5</v>
          </cell>
          <cell r="J1487" t="str">
            <v>PremiumSSS</v>
          </cell>
          <cell r="K1487" t="str">
            <v>balance</v>
          </cell>
          <cell r="L1487" t="str">
            <v>バランスタイプ</v>
          </cell>
          <cell r="M1487" t="str">
            <v>unknown</v>
          </cell>
        </row>
        <row r="1488">
          <cell r="A1488">
            <v>8019</v>
          </cell>
          <cell r="B1488" t="str">
            <v>ja</v>
          </cell>
          <cell r="C1488" t="str">
            <v>鏡音リン</v>
          </cell>
          <cell r="D1488" t="str">
            <v>鏡音リン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4</v>
          </cell>
          <cell r="J1488" t="str">
            <v>PremiumSS</v>
          </cell>
          <cell r="K1488" t="str">
            <v>balance</v>
          </cell>
          <cell r="L1488" t="str">
            <v>バランスタイプ</v>
          </cell>
          <cell r="M1488" t="str">
            <v>unknown</v>
          </cell>
        </row>
        <row r="1489">
          <cell r="A1489">
            <v>8020</v>
          </cell>
          <cell r="B1489" t="str">
            <v>ja</v>
          </cell>
          <cell r="C1489" t="str">
            <v>鏡音リン</v>
          </cell>
          <cell r="D1489" t="str">
            <v>鏡音リン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yellow</v>
          </cell>
          <cell r="I1489">
            <v>5</v>
          </cell>
          <cell r="J1489" t="str">
            <v>PremiumSS</v>
          </cell>
          <cell r="K1489" t="str">
            <v>balance</v>
          </cell>
          <cell r="L1489" t="str">
            <v>バランスタイプ</v>
          </cell>
          <cell r="M1489" t="str">
            <v>unknown</v>
          </cell>
        </row>
        <row r="1490">
          <cell r="A1490">
            <v>8021</v>
          </cell>
          <cell r="B1490" t="str">
            <v>ja</v>
          </cell>
          <cell r="C1490" t="str">
            <v>鏡音レン</v>
          </cell>
          <cell r="D1490" t="str">
            <v>鏡音レン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yellow</v>
          </cell>
          <cell r="I1490">
            <v>4</v>
          </cell>
          <cell r="J1490" t="str">
            <v>PremiumSS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8022</v>
          </cell>
          <cell r="B1491" t="str">
            <v>ja</v>
          </cell>
          <cell r="C1491" t="str">
            <v>鏡音レン</v>
          </cell>
          <cell r="D1491" t="str">
            <v>鏡音レン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8023</v>
          </cell>
          <cell r="B1492" t="str">
            <v>ja</v>
          </cell>
          <cell r="C1492" t="str">
            <v>巡音ルカ</v>
          </cell>
          <cell r="D1492" t="str">
            <v>巡音ルカ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3</v>
          </cell>
          <cell r="J1492" t="str">
            <v>PremiumS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8024</v>
          </cell>
          <cell r="B1493" t="str">
            <v>ja</v>
          </cell>
          <cell r="C1493" t="str">
            <v>巡音ルカ</v>
          </cell>
          <cell r="D1493" t="str">
            <v>巡音ルカ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4</v>
          </cell>
          <cell r="J1493" t="str">
            <v>PremiumS</v>
          </cell>
          <cell r="K1493" t="str">
            <v>attack</v>
          </cell>
          <cell r="L1493" t="str">
            <v>攻撃タイプ</v>
          </cell>
          <cell r="M1493" t="str">
            <v>unknown</v>
          </cell>
        </row>
        <row r="1494">
          <cell r="A1494">
            <v>8025</v>
          </cell>
          <cell r="B1494" t="str">
            <v>ja</v>
          </cell>
          <cell r="C1494" t="str">
            <v>MEIKO</v>
          </cell>
          <cell r="D1494" t="str">
            <v>MEIKO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3</v>
          </cell>
          <cell r="J1494" t="str">
            <v>PremiumS</v>
          </cell>
          <cell r="K1494" t="str">
            <v>hp</v>
          </cell>
          <cell r="L1494" t="str">
            <v>体力タイプ</v>
          </cell>
          <cell r="M1494" t="str">
            <v>unknown</v>
          </cell>
        </row>
        <row r="1495">
          <cell r="A1495">
            <v>8026</v>
          </cell>
          <cell r="B1495" t="str">
            <v>ja</v>
          </cell>
          <cell r="C1495" t="str">
            <v>MEIKO</v>
          </cell>
          <cell r="D1495" t="str">
            <v>MEIKO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4</v>
          </cell>
          <cell r="J1495" t="str">
            <v>PremiumS</v>
          </cell>
          <cell r="K1495" t="str">
            <v>hp</v>
          </cell>
          <cell r="L1495" t="str">
            <v>体力タイプ</v>
          </cell>
          <cell r="M1495" t="str">
            <v>unknown</v>
          </cell>
        </row>
        <row r="1496">
          <cell r="A1496">
            <v>8027</v>
          </cell>
          <cell r="B1496" t="str">
            <v>ja</v>
          </cell>
          <cell r="C1496" t="str">
            <v>KAITO</v>
          </cell>
          <cell r="D1496" t="str">
            <v>KAITO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3</v>
          </cell>
          <cell r="J1496" t="str">
            <v>PremiumS</v>
          </cell>
          <cell r="K1496" t="str">
            <v>technical</v>
          </cell>
          <cell r="L1496" t="str">
            <v>テクニカルタイプ</v>
          </cell>
          <cell r="M1496" t="str">
            <v>unknown</v>
          </cell>
        </row>
        <row r="1497">
          <cell r="A1497">
            <v>8028</v>
          </cell>
          <cell r="B1497" t="str">
            <v>ja</v>
          </cell>
          <cell r="C1497" t="str">
            <v>KAITO</v>
          </cell>
          <cell r="D1497" t="str">
            <v>KAITO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PremiumS</v>
          </cell>
          <cell r="K1497" t="str">
            <v>technical</v>
          </cell>
          <cell r="L1497" t="str">
            <v>テクニカルタイプ</v>
          </cell>
          <cell r="M1497" t="str">
            <v>unknown</v>
          </cell>
        </row>
        <row r="1498">
          <cell r="A1498">
            <v>8029</v>
          </cell>
          <cell r="B1498" t="str">
            <v>ja</v>
          </cell>
          <cell r="C1498" t="str">
            <v>Expoミク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blue</v>
          </cell>
          <cell r="I1498">
            <v>4</v>
          </cell>
          <cell r="J1498" t="str">
            <v>Drop2N</v>
          </cell>
          <cell r="K1498" t="str">
            <v>heal</v>
          </cell>
          <cell r="L1498" t="str">
            <v>回復タイプ</v>
          </cell>
          <cell r="M1498" t="str">
            <v>unknown</v>
          </cell>
        </row>
        <row r="1499">
          <cell r="A1499">
            <v>8030</v>
          </cell>
          <cell r="B1499" t="str">
            <v>ja</v>
          </cell>
          <cell r="C1499" t="str">
            <v>Expoミク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5</v>
          </cell>
          <cell r="J1499" t="str">
            <v>Drop2N</v>
          </cell>
          <cell r="K1499" t="str">
            <v>heal</v>
          </cell>
          <cell r="L1499" t="str">
            <v>回復タイプ</v>
          </cell>
          <cell r="M1499" t="str">
            <v>unknown</v>
          </cell>
        </row>
        <row r="1500">
          <cell r="A1500">
            <v>8031</v>
          </cell>
          <cell r="B1500" t="str">
            <v>ja</v>
          </cell>
          <cell r="C1500" t="str">
            <v>閻羅王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red</v>
          </cell>
          <cell r="I1500">
            <v>5</v>
          </cell>
          <cell r="J1500" t="str">
            <v>PremiumSS</v>
          </cell>
          <cell r="K1500" t="str">
            <v>balance</v>
          </cell>
          <cell r="L1500" t="str">
            <v>バランスタイプ</v>
          </cell>
          <cell r="M1500" t="str">
            <v>god</v>
          </cell>
        </row>
        <row r="1501">
          <cell r="A1501">
            <v>8032</v>
          </cell>
          <cell r="B1501" t="str">
            <v>ja</v>
          </cell>
          <cell r="C1501" t="str">
            <v>六道輪廻の絶獄 閻羅王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6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8033</v>
          </cell>
          <cell r="B1502" t="str">
            <v>ja</v>
          </cell>
          <cell r="C1502" t="str">
            <v>牛頭馬面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green</v>
          </cell>
          <cell r="I1502">
            <v>5</v>
          </cell>
          <cell r="J1502" t="str">
            <v>DropWizS</v>
          </cell>
          <cell r="K1502" t="str">
            <v>attack</v>
          </cell>
          <cell r="L1502" t="str">
            <v>攻撃タイプ</v>
          </cell>
          <cell r="M1502" t="str">
            <v>god</v>
          </cell>
        </row>
        <row r="1503">
          <cell r="A1503">
            <v>8034</v>
          </cell>
          <cell r="B1503" t="str">
            <v>ja</v>
          </cell>
          <cell r="C1503" t="str">
            <v>冥府狩る魂使 牛頭馬面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6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god</v>
          </cell>
        </row>
        <row r="1504">
          <cell r="A1504">
            <v>8035</v>
          </cell>
          <cell r="B1504" t="str">
            <v>ja</v>
          </cell>
          <cell r="C1504" t="str">
            <v>飛衛</v>
          </cell>
          <cell r="D1504" t="str">
            <v>Expoミク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blue</v>
          </cell>
          <cell r="I1504">
            <v>5</v>
          </cell>
          <cell r="J1504" t="str">
            <v>PremiumSS</v>
          </cell>
          <cell r="K1504" t="str">
            <v>heal</v>
          </cell>
          <cell r="L1504" t="str">
            <v>回復タイプ</v>
          </cell>
          <cell r="M1504" t="str">
            <v>human</v>
          </cell>
        </row>
        <row r="1505">
          <cell r="A1505">
            <v>8036</v>
          </cell>
          <cell r="B1505" t="str">
            <v>ja</v>
          </cell>
          <cell r="C1505" t="str">
            <v>レア６飛衛</v>
          </cell>
          <cell r="D1505" t="str">
            <v>Expoミク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blue</v>
          </cell>
          <cell r="I1505">
            <v>6</v>
          </cell>
          <cell r="J1505" t="str">
            <v>PremiumSS</v>
          </cell>
          <cell r="K1505" t="str">
            <v>heal</v>
          </cell>
          <cell r="L1505" t="str">
            <v>回復タイプ</v>
          </cell>
          <cell r="M1505" t="str">
            <v>human</v>
          </cell>
        </row>
        <row r="1506">
          <cell r="A1506">
            <v>8037</v>
          </cell>
          <cell r="B1506" t="str">
            <v>ja</v>
          </cell>
          <cell r="C1506" t="str">
            <v>紀昌</v>
          </cell>
          <cell r="D1506" t="str">
            <v>Expoミク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red</v>
          </cell>
          <cell r="I1506">
            <v>5</v>
          </cell>
          <cell r="J1506" t="str">
            <v>DropWizS</v>
          </cell>
          <cell r="K1506" t="str">
            <v>attack</v>
          </cell>
          <cell r="L1506" t="str">
            <v>攻撃タイプ</v>
          </cell>
          <cell r="M1506" t="str">
            <v>human</v>
          </cell>
        </row>
        <row r="1507">
          <cell r="A1507">
            <v>8038</v>
          </cell>
          <cell r="B1507" t="str">
            <v>ja</v>
          </cell>
          <cell r="C1507" t="str">
            <v>レア６紀昌</v>
          </cell>
          <cell r="D1507" t="str">
            <v>Expoミク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6</v>
          </cell>
          <cell r="J1507" t="str">
            <v>DropWizS</v>
          </cell>
          <cell r="K1507" t="str">
            <v>attack</v>
          </cell>
          <cell r="L1507" t="str">
            <v>攻撃タイプ</v>
          </cell>
          <cell r="M1507" t="str">
            <v>human</v>
          </cell>
        </row>
        <row r="1508">
          <cell r="A1508">
            <v>8039</v>
          </cell>
          <cell r="B1508" t="str">
            <v>ja</v>
          </cell>
          <cell r="C1508" t="str">
            <v>何仙姑</v>
          </cell>
          <cell r="D1508" t="str">
            <v>Expoミク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5</v>
          </cell>
          <cell r="J1508" t="str">
            <v>PremiumSSw</v>
          </cell>
          <cell r="K1508" t="str">
            <v>hp</v>
          </cell>
          <cell r="L1508" t="str">
            <v>体力タイプ</v>
          </cell>
          <cell r="M1508" t="str">
            <v>god</v>
          </cell>
        </row>
        <row r="1509">
          <cell r="A1509">
            <v>8040</v>
          </cell>
          <cell r="B1509" t="str">
            <v>ja</v>
          </cell>
          <cell r="C1509" t="str">
            <v>レア６何仙姑</v>
          </cell>
          <cell r="D1509" t="str">
            <v>Expoミク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6</v>
          </cell>
          <cell r="J1509" t="str">
            <v>PremiumSSw</v>
          </cell>
          <cell r="K1509" t="str">
            <v>hp</v>
          </cell>
          <cell r="L1509" t="str">
            <v>体力タイプ</v>
          </cell>
          <cell r="M1509" t="str">
            <v>god</v>
          </cell>
        </row>
        <row r="1510">
          <cell r="A1510">
            <v>8041</v>
          </cell>
          <cell r="B1510" t="str">
            <v>ja</v>
          </cell>
          <cell r="C1510" t="str">
            <v>藍采和</v>
          </cell>
          <cell r="D1510" t="str">
            <v>Expoミク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blue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god</v>
          </cell>
        </row>
        <row r="1511">
          <cell r="A1511">
            <v>8042</v>
          </cell>
          <cell r="B1511" t="str">
            <v>ja</v>
          </cell>
          <cell r="C1511" t="str">
            <v>レア６藍采和</v>
          </cell>
          <cell r="D1511" t="str">
            <v>Expoミク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blue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god</v>
          </cell>
        </row>
        <row r="1512">
          <cell r="A1512">
            <v>8043</v>
          </cell>
          <cell r="B1512" t="str">
            <v>ja</v>
          </cell>
          <cell r="C1512" t="str">
            <v>サンリオキャラ大集合+アザゼル</v>
          </cell>
          <cell r="D1512" t="str">
            <v>サンリオキャラ大集合+アザゼル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DropWizS</v>
          </cell>
          <cell r="K1512" t="str">
            <v>technical</v>
          </cell>
          <cell r="L1512" t="str">
            <v>テクニカルタイプ</v>
          </cell>
          <cell r="M1512" t="str">
            <v>ss</v>
          </cell>
        </row>
        <row r="1513">
          <cell r="A1513">
            <v>8044</v>
          </cell>
          <cell r="B1513" t="str">
            <v>ja</v>
          </cell>
          <cell r="C1513" t="str">
            <v>サンリオキャラ大集合+アザゼル</v>
          </cell>
          <cell r="D1513" t="str">
            <v>サンリオキャラ大集合+アザゼル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6</v>
          </cell>
          <cell r="J1513" t="str">
            <v>DropWizS</v>
          </cell>
          <cell r="K1513" t="str">
            <v>technical</v>
          </cell>
          <cell r="L1513" t="str">
            <v>テクニカルタイプ</v>
          </cell>
          <cell r="M1513" t="str">
            <v>ss</v>
          </cell>
        </row>
        <row r="1514">
          <cell r="A1514">
            <v>8045</v>
          </cell>
          <cell r="B1514" t="str">
            <v>ja</v>
          </cell>
          <cell r="C1514" t="str">
            <v>ニムダ_サンリオキャラ混じり</v>
          </cell>
          <cell r="D1514" t="str">
            <v>ニムダ_サンリオキャラ混じり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4</v>
          </cell>
          <cell r="J1514" t="str">
            <v>Drop2N</v>
          </cell>
          <cell r="K1514" t="str">
            <v>technical</v>
          </cell>
          <cell r="L1514" t="str">
            <v>テクニカルタイプ</v>
          </cell>
          <cell r="M1514" t="str">
            <v>ss</v>
          </cell>
        </row>
        <row r="1515">
          <cell r="A1515">
            <v>8046</v>
          </cell>
          <cell r="B1515" t="str">
            <v>ja</v>
          </cell>
          <cell r="C1515" t="str">
            <v>ニムダ_サンリオキャラ混じり</v>
          </cell>
          <cell r="D1515" t="str">
            <v>ニムダ_サンリオキャラ混じり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yellow</v>
          </cell>
          <cell r="I1515">
            <v>5</v>
          </cell>
          <cell r="J1515" t="str">
            <v>Drop2N</v>
          </cell>
          <cell r="K1515" t="str">
            <v>technical</v>
          </cell>
          <cell r="L1515" t="str">
            <v>テクニカルタイプ</v>
          </cell>
          <cell r="M1515" t="str">
            <v>ss</v>
          </cell>
        </row>
        <row r="1516">
          <cell r="A1516">
            <v>8047</v>
          </cell>
          <cell r="B1516" t="str">
            <v>ja</v>
          </cell>
          <cell r="C1516" t="str">
            <v>ハローキティ</v>
          </cell>
          <cell r="D1516" t="str">
            <v>ハローキティ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Drop2N</v>
          </cell>
          <cell r="K1516" t="str">
            <v>balance</v>
          </cell>
          <cell r="L1516" t="str">
            <v>バランスタイプ</v>
          </cell>
          <cell r="M1516" t="str">
            <v>ss</v>
          </cell>
        </row>
        <row r="1517">
          <cell r="A1517">
            <v>8048</v>
          </cell>
          <cell r="B1517" t="str">
            <v>ja</v>
          </cell>
          <cell r="C1517" t="str">
            <v>ハローキティ</v>
          </cell>
          <cell r="D1517" t="str">
            <v>ハローキティ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Drop2N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8049</v>
          </cell>
          <cell r="B1518" t="str">
            <v>ja</v>
          </cell>
          <cell r="C1518" t="str">
            <v>KIRIMIちゃん</v>
          </cell>
          <cell r="D1518" t="str">
            <v>KIRIMIちゃん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red</v>
          </cell>
          <cell r="I1518">
            <v>4</v>
          </cell>
          <cell r="J1518" t="str">
            <v>Drop2N</v>
          </cell>
          <cell r="K1518" t="str">
            <v>hp</v>
          </cell>
          <cell r="L1518" t="str">
            <v>体力タイプ</v>
          </cell>
          <cell r="M1518" t="str">
            <v>ss</v>
          </cell>
        </row>
        <row r="1519">
          <cell r="A1519">
            <v>8050</v>
          </cell>
          <cell r="B1519" t="str">
            <v>ja</v>
          </cell>
          <cell r="C1519" t="str">
            <v>KIRIMIちゃん</v>
          </cell>
          <cell r="D1519" t="str">
            <v>KIRIMIちゃん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5</v>
          </cell>
          <cell r="J1519" t="str">
            <v>Drop2N</v>
          </cell>
          <cell r="K1519" t="str">
            <v>hp</v>
          </cell>
          <cell r="L1519" t="str">
            <v>体力タイプ</v>
          </cell>
          <cell r="M1519" t="str">
            <v>ss</v>
          </cell>
        </row>
        <row r="1520">
          <cell r="A1520">
            <v>8051</v>
          </cell>
          <cell r="B1520" t="str">
            <v>ja</v>
          </cell>
          <cell r="C1520" t="str">
            <v>ハローキティのリボン</v>
          </cell>
          <cell r="D1520" t="str">
            <v>ハローキティのリボン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5</v>
          </cell>
          <cell r="J1520" t="str">
            <v>Drop2N</v>
          </cell>
          <cell r="K1520" t="str">
            <v>evolution</v>
          </cell>
          <cell r="L1520" t="str">
            <v>覚醒素材タイプ</v>
          </cell>
          <cell r="M1520" t="str">
            <v>ss</v>
          </cell>
        </row>
        <row r="1521">
          <cell r="A1521">
            <v>8052</v>
          </cell>
          <cell r="B1521" t="str">
            <v>ja</v>
          </cell>
          <cell r="C1521" t="str">
            <v>ママの作ったアップルパイ</v>
          </cell>
          <cell r="D1521" t="str">
            <v>ママの作ったアップルパイ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4</v>
          </cell>
          <cell r="J1521" t="str">
            <v>Drop2N</v>
          </cell>
          <cell r="K1521" t="str">
            <v>evolution</v>
          </cell>
          <cell r="L1521" t="str">
            <v>覚醒素材タイプ</v>
          </cell>
          <cell r="M1521" t="str">
            <v>ss</v>
          </cell>
        </row>
        <row r="1522">
          <cell r="A1522">
            <v>8053</v>
          </cell>
          <cell r="B1522" t="str">
            <v>ja</v>
          </cell>
          <cell r="C1522" t="str">
            <v>D.R.T.H__キティコスプレ</v>
          </cell>
          <cell r="D1522" t="str">
            <v>D.R.T.H__キティコスプレ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5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8054</v>
          </cell>
          <cell r="B1523" t="str">
            <v>ja</v>
          </cell>
          <cell r="C1523" t="str">
            <v>D.R.T.H__キティコスプレ</v>
          </cell>
          <cell r="D1523" t="str">
            <v>D.R.T.H__キティコスプレ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red</v>
          </cell>
          <cell r="I1523">
            <v>6</v>
          </cell>
          <cell r="J1523" t="str">
            <v>PremiumSS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8055</v>
          </cell>
          <cell r="B1524" t="str">
            <v>ja</v>
          </cell>
          <cell r="C1524" t="str">
            <v>マイメロディ</v>
          </cell>
          <cell r="D1524" t="str">
            <v>マイメロディ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red</v>
          </cell>
          <cell r="I1524">
            <v>4</v>
          </cell>
          <cell r="J1524" t="str">
            <v>PremiumS</v>
          </cell>
          <cell r="K1524" t="str">
            <v>attack</v>
          </cell>
          <cell r="L1524" t="str">
            <v>攻撃タイプ</v>
          </cell>
          <cell r="M1524" t="str">
            <v>ss</v>
          </cell>
        </row>
        <row r="1525">
          <cell r="A1525">
            <v>8056</v>
          </cell>
          <cell r="B1525" t="str">
            <v>ja</v>
          </cell>
          <cell r="C1525" t="str">
            <v>マイメロディ</v>
          </cell>
          <cell r="D1525" t="str">
            <v>マイメロディ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red</v>
          </cell>
          <cell r="I1525">
            <v>5</v>
          </cell>
          <cell r="J1525" t="str">
            <v>PremiumS</v>
          </cell>
          <cell r="K1525" t="str">
            <v>attack</v>
          </cell>
          <cell r="L1525" t="str">
            <v>攻撃タイプ</v>
          </cell>
          <cell r="M1525" t="str">
            <v>ss</v>
          </cell>
        </row>
        <row r="1526">
          <cell r="A1526">
            <v>8057</v>
          </cell>
          <cell r="B1526" t="str">
            <v>ja</v>
          </cell>
          <cell r="C1526" t="str">
            <v>ニーベルゲン_シナモロールコスプレ</v>
          </cell>
          <cell r="D1526" t="str">
            <v>ニーベルゲン_シナモロールコスプレ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green</v>
          </cell>
          <cell r="I1526">
            <v>4</v>
          </cell>
          <cell r="J1526" t="str">
            <v>PremiumS</v>
          </cell>
          <cell r="K1526" t="str">
            <v>balance</v>
          </cell>
          <cell r="L1526" t="str">
            <v>バランスタイプ</v>
          </cell>
          <cell r="M1526" t="str">
            <v>ss</v>
          </cell>
        </row>
        <row r="1527">
          <cell r="A1527">
            <v>8058</v>
          </cell>
          <cell r="B1527" t="str">
            <v>ja</v>
          </cell>
          <cell r="C1527" t="str">
            <v>ニーベルゲン_シナモロールコスプレ</v>
          </cell>
          <cell r="D1527" t="str">
            <v>ニーベルゲン_シナモロールコスプレ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5</v>
          </cell>
          <cell r="J1527" t="str">
            <v>PremiumS</v>
          </cell>
          <cell r="K1527" t="str">
            <v>balance</v>
          </cell>
          <cell r="L1527" t="str">
            <v>バランスタイプ</v>
          </cell>
          <cell r="M1527" t="str">
            <v>ss</v>
          </cell>
        </row>
        <row r="1528">
          <cell r="A1528">
            <v>8059</v>
          </cell>
          <cell r="B1528" t="str">
            <v>ja</v>
          </cell>
          <cell r="C1528" t="str">
            <v>カカシ_マイメロディコスプレ</v>
          </cell>
          <cell r="D1528" t="str">
            <v>カカシ_マイメロディコスプレ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4</v>
          </cell>
          <cell r="J1528" t="str">
            <v>PremiumS</v>
          </cell>
          <cell r="K1528" t="str">
            <v>technical</v>
          </cell>
          <cell r="L1528" t="str">
            <v>テクニカルタイプ</v>
          </cell>
          <cell r="M1528" t="str">
            <v>ss</v>
          </cell>
        </row>
        <row r="1529">
          <cell r="A1529">
            <v>8060</v>
          </cell>
          <cell r="B1529" t="str">
            <v>ja</v>
          </cell>
          <cell r="C1529" t="str">
            <v>カカシ_マイメロディコスプレ</v>
          </cell>
          <cell r="D1529" t="str">
            <v>カカシ_マイメロディコスプレ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PremiumS</v>
          </cell>
          <cell r="K1529" t="str">
            <v>technical</v>
          </cell>
          <cell r="L1529" t="str">
            <v>テクニカルタイプ</v>
          </cell>
          <cell r="M1529" t="str">
            <v>ss</v>
          </cell>
        </row>
        <row r="1530">
          <cell r="A1530">
            <v>8061</v>
          </cell>
          <cell r="B1530" t="str">
            <v>ja</v>
          </cell>
          <cell r="C1530" t="str">
            <v>ケロケロけろっぴ</v>
          </cell>
          <cell r="D1530" t="str">
            <v>ケロケロけろっぴ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3</v>
          </cell>
          <cell r="J1530" t="str">
            <v>PremiumS</v>
          </cell>
          <cell r="K1530" t="str">
            <v>balance</v>
          </cell>
          <cell r="L1530" t="str">
            <v>バランスタイプ</v>
          </cell>
          <cell r="M1530" t="str">
            <v>ss</v>
          </cell>
        </row>
        <row r="1531">
          <cell r="A1531">
            <v>8062</v>
          </cell>
          <cell r="B1531" t="str">
            <v>ja</v>
          </cell>
          <cell r="C1531" t="str">
            <v>ケロケロけろっぴ</v>
          </cell>
          <cell r="D1531" t="str">
            <v>ケロケロけろっぴ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green</v>
          </cell>
          <cell r="I1531">
            <v>4</v>
          </cell>
          <cell r="J1531" t="str">
            <v>PremiumS</v>
          </cell>
          <cell r="K1531" t="str">
            <v>balance</v>
          </cell>
          <cell r="L1531" t="str">
            <v>バランスタイプ</v>
          </cell>
          <cell r="M1531" t="str">
            <v>ss</v>
          </cell>
        </row>
        <row r="1532">
          <cell r="A1532">
            <v>8063</v>
          </cell>
          <cell r="B1532" t="str">
            <v>ja</v>
          </cell>
          <cell r="C1532" t="str">
            <v>モルドレッド_ポムポムプリンコスプレ</v>
          </cell>
          <cell r="D1532" t="str">
            <v>モルドレッド_ポムポムプリンコスプレ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5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ss</v>
          </cell>
        </row>
        <row r="1533">
          <cell r="A1533">
            <v>8064</v>
          </cell>
          <cell r="B1533" t="str">
            <v>ja</v>
          </cell>
          <cell r="C1533" t="str">
            <v>モルドレッド_ポムポムプリンコスプレ</v>
          </cell>
          <cell r="D1533" t="str">
            <v>モルドレッド_ポムポムプリンコスプレ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6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ss</v>
          </cell>
        </row>
        <row r="1534">
          <cell r="A1534">
            <v>8065</v>
          </cell>
          <cell r="B1534" t="str">
            <v>ja</v>
          </cell>
          <cell r="C1534" t="str">
            <v>クロミ</v>
          </cell>
          <cell r="D1534" t="str">
            <v>クロミ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3</v>
          </cell>
          <cell r="J1534" t="str">
            <v>PremiumS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8066</v>
          </cell>
          <cell r="B1535" t="str">
            <v>ja</v>
          </cell>
          <cell r="C1535" t="str">
            <v>クロミ</v>
          </cell>
          <cell r="D1535" t="str">
            <v>クロミ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4</v>
          </cell>
          <cell r="J1535" t="str">
            <v>PremiumS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8067</v>
          </cell>
          <cell r="B1536" t="str">
            <v>ja</v>
          </cell>
          <cell r="C1536" t="str">
            <v>バッドばつ丸</v>
          </cell>
          <cell r="D1536" t="str">
            <v>バッドばつ丸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3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ss</v>
          </cell>
        </row>
        <row r="1537">
          <cell r="A1537">
            <v>8068</v>
          </cell>
          <cell r="B1537" t="str">
            <v>ja</v>
          </cell>
          <cell r="C1537" t="str">
            <v>バッドばつ丸</v>
          </cell>
          <cell r="D1537" t="str">
            <v>バッドばつ丸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4</v>
          </cell>
          <cell r="J1537" t="str">
            <v>PremiumS</v>
          </cell>
          <cell r="K1537" t="str">
            <v>attack</v>
          </cell>
          <cell r="L1537" t="str">
            <v>攻撃タイプ</v>
          </cell>
          <cell r="M1537" t="str">
            <v>ss</v>
          </cell>
        </row>
        <row r="1538">
          <cell r="A1538">
            <v>8069</v>
          </cell>
          <cell r="B1538" t="str">
            <v>ja</v>
          </cell>
          <cell r="C1538" t="str">
            <v>シナモロール</v>
          </cell>
          <cell r="D1538" t="str">
            <v>シナモロール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yellow</v>
          </cell>
          <cell r="I1538">
            <v>4</v>
          </cell>
          <cell r="J1538" t="str">
            <v>PremiumS</v>
          </cell>
          <cell r="K1538" t="str">
            <v>heal</v>
          </cell>
          <cell r="L1538" t="str">
            <v>回復タイプ</v>
          </cell>
          <cell r="M1538" t="str">
            <v>ss</v>
          </cell>
        </row>
        <row r="1539">
          <cell r="A1539">
            <v>8070</v>
          </cell>
          <cell r="B1539" t="str">
            <v>ja</v>
          </cell>
          <cell r="C1539" t="str">
            <v>シナモロール</v>
          </cell>
          <cell r="D1539" t="str">
            <v>シナモロール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yellow</v>
          </cell>
          <cell r="I1539">
            <v>5</v>
          </cell>
          <cell r="J1539" t="str">
            <v>PremiumS</v>
          </cell>
          <cell r="K1539" t="str">
            <v>heal</v>
          </cell>
          <cell r="L1539" t="str">
            <v>回復タイプ</v>
          </cell>
          <cell r="M1539" t="str">
            <v>ss</v>
          </cell>
        </row>
        <row r="1540">
          <cell r="A1540">
            <v>8071</v>
          </cell>
          <cell r="B1540" t="str">
            <v>ja</v>
          </cell>
          <cell r="C1540" t="str">
            <v>ポムポムプリン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yellow</v>
          </cell>
          <cell r="I1540">
            <v>3</v>
          </cell>
          <cell r="J1540" t="str">
            <v>PremiumS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8072</v>
          </cell>
          <cell r="B1541" t="str">
            <v>ja</v>
          </cell>
          <cell r="C1541" t="str">
            <v>ポムポムプリン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PremiumS</v>
          </cell>
          <cell r="K1541" t="str">
            <v>hp</v>
          </cell>
          <cell r="L1541" t="str">
            <v>体力タイプ</v>
          </cell>
          <cell r="M1541" t="str">
            <v>ss</v>
          </cell>
        </row>
        <row r="1542">
          <cell r="A1542">
            <v>8073</v>
          </cell>
          <cell r="B1542" t="str">
            <v>ja</v>
          </cell>
          <cell r="C1542" t="str">
            <v>星海祈る天光妃 媽祖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6</v>
          </cell>
          <cell r="J1542" t="str">
            <v>PremiumSS</v>
          </cell>
          <cell r="K1542" t="str">
            <v>attack</v>
          </cell>
          <cell r="L1542" t="str">
            <v>攻撃タイプ</v>
          </cell>
          <cell r="M1542" t="str">
            <v>human</v>
          </cell>
        </row>
        <row r="1543">
          <cell r="A1543">
            <v>8074</v>
          </cell>
          <cell r="B1543" t="str">
            <v>ja</v>
          </cell>
          <cell r="C1543" t="str">
            <v>海戀の絶龍姫 蛟龍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blue</v>
          </cell>
          <cell r="I1543">
            <v>6</v>
          </cell>
          <cell r="J1543" t="str">
            <v>DropWizS</v>
          </cell>
          <cell r="K1543" t="str">
            <v>hp</v>
          </cell>
          <cell r="L1543" t="str">
            <v>体力タイプ</v>
          </cell>
          <cell r="M1543" t="str">
            <v>dragon</v>
          </cell>
        </row>
        <row r="1544">
          <cell r="A1544">
            <v>8075</v>
          </cell>
          <cell r="B1544" t="str">
            <v>ja</v>
          </cell>
          <cell r="C1544" t="str">
            <v>三蔵法師_超覚醒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blue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8076</v>
          </cell>
          <cell r="B1545" t="str">
            <v>ja</v>
          </cell>
          <cell r="C1545" t="str">
            <v>孫悟空_超覚醒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6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unknown</v>
          </cell>
        </row>
        <row r="1546">
          <cell r="A1546">
            <v>8077</v>
          </cell>
          <cell r="B1546" t="str">
            <v>ja</v>
          </cell>
          <cell r="C1546" t="str">
            <v>鄭成功</v>
          </cell>
          <cell r="D1546" t="str">
            <v>ポムポムプリン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blue</v>
          </cell>
          <cell r="I1546">
            <v>5</v>
          </cell>
          <cell r="J1546" t="str">
            <v>PremiumSS</v>
          </cell>
          <cell r="K1546" t="str">
            <v>attack</v>
          </cell>
          <cell r="L1546" t="str">
            <v>攻撃タイプ</v>
          </cell>
          <cell r="M1546" t="str">
            <v>human</v>
          </cell>
        </row>
        <row r="1547">
          <cell r="A1547">
            <v>8078</v>
          </cell>
          <cell r="B1547" t="str">
            <v>ja</v>
          </cell>
          <cell r="C1547" t="str">
            <v>レア６鄭成功</v>
          </cell>
          <cell r="D1547" t="str">
            <v>ポムポムプリン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6</v>
          </cell>
          <cell r="J1547" t="str">
            <v>PremiumSS</v>
          </cell>
          <cell r="K1547" t="str">
            <v>attack</v>
          </cell>
          <cell r="L1547" t="str">
            <v>攻撃タイプ</v>
          </cell>
          <cell r="M1547" t="str">
            <v>human</v>
          </cell>
        </row>
        <row r="1548">
          <cell r="A1548">
            <v>8079</v>
          </cell>
          <cell r="B1548" t="str">
            <v>ja</v>
          </cell>
          <cell r="C1548" t="str">
            <v>赤鬼</v>
          </cell>
          <cell r="D1548" t="str">
            <v>ポムポムプリン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5</v>
          </cell>
          <cell r="J1548" t="str">
            <v>DropWizS</v>
          </cell>
          <cell r="K1548" t="str">
            <v>hp</v>
          </cell>
          <cell r="L1548" t="str">
            <v>体力タイプ</v>
          </cell>
          <cell r="M1548" t="str">
            <v>dragon</v>
          </cell>
        </row>
        <row r="1549">
          <cell r="A1549">
            <v>8080</v>
          </cell>
          <cell r="B1549" t="str">
            <v>ja</v>
          </cell>
          <cell r="C1549" t="str">
            <v>レア６赤鬼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DropWizS</v>
          </cell>
          <cell r="K1549" t="str">
            <v>hp</v>
          </cell>
          <cell r="L1549" t="str">
            <v>体力タイプ</v>
          </cell>
          <cell r="M1549" t="str">
            <v>dragon</v>
          </cell>
        </row>
        <row r="1550">
          <cell r="A1550">
            <v>8081</v>
          </cell>
          <cell r="B1550" t="str">
            <v>ja</v>
          </cell>
          <cell r="C1550" t="str">
            <v>関羽</v>
          </cell>
          <cell r="D1550"/>
          <cell r="E1550"/>
          <cell r="F1550"/>
          <cell r="G1550"/>
          <cell r="H1550" t="str">
            <v>green</v>
          </cell>
          <cell r="I1550">
            <v>5</v>
          </cell>
          <cell r="J1550" t="str">
            <v>PremiumSSS</v>
          </cell>
          <cell r="K1550" t="str">
            <v>balance</v>
          </cell>
          <cell r="L1550" t="str">
            <v>バランスタイプ</v>
          </cell>
          <cell r="M1550" t="str">
            <v>samurai</v>
          </cell>
        </row>
        <row r="1551">
          <cell r="A1551">
            <v>8082</v>
          </cell>
          <cell r="B1551" t="str">
            <v>ja</v>
          </cell>
          <cell r="C1551" t="str">
            <v>★６関羽</v>
          </cell>
          <cell r="D1551"/>
          <cell r="E1551"/>
          <cell r="F1551"/>
          <cell r="G1551"/>
          <cell r="H1551" t="str">
            <v>green</v>
          </cell>
          <cell r="I1551">
            <v>6</v>
          </cell>
          <cell r="J1551" t="str">
            <v>PremiumSSS</v>
          </cell>
          <cell r="K1551" t="str">
            <v>balance</v>
          </cell>
          <cell r="L1551" t="str">
            <v>バランスタイプ</v>
          </cell>
          <cell r="M1551" t="str">
            <v>samurai</v>
          </cell>
        </row>
        <row r="1552">
          <cell r="A1552">
            <v>8083</v>
          </cell>
          <cell r="B1552" t="str">
            <v>ja</v>
          </cell>
          <cell r="C1552" t="str">
            <v>曹操</v>
          </cell>
          <cell r="D1552"/>
          <cell r="E1552"/>
          <cell r="F1552"/>
          <cell r="G1552"/>
          <cell r="H1552" t="str">
            <v>yellow</v>
          </cell>
          <cell r="I1552">
            <v>5</v>
          </cell>
          <cell r="J1552" t="str">
            <v>DropWizSS</v>
          </cell>
          <cell r="K1552" t="str">
            <v>technical</v>
          </cell>
          <cell r="L1552" t="str">
            <v>テクニカルタイプ</v>
          </cell>
          <cell r="M1552" t="str">
            <v>samurai</v>
          </cell>
        </row>
        <row r="1553">
          <cell r="A1553">
            <v>8084</v>
          </cell>
          <cell r="B1553" t="str">
            <v>ja</v>
          </cell>
          <cell r="C1553" t="str">
            <v>★６曹操</v>
          </cell>
          <cell r="D1553"/>
          <cell r="E1553"/>
          <cell r="F1553"/>
          <cell r="G1553"/>
          <cell r="H1553" t="str">
            <v>yellow</v>
          </cell>
          <cell r="I1553">
            <v>6</v>
          </cell>
          <cell r="J1553" t="str">
            <v>DropWizSS</v>
          </cell>
          <cell r="K1553" t="str">
            <v>technical</v>
          </cell>
          <cell r="L1553" t="str">
            <v>テクニカルタイプ</v>
          </cell>
          <cell r="M1553" t="str">
            <v>samurai</v>
          </cell>
        </row>
        <row r="1554">
          <cell r="A1554">
            <v>8087</v>
          </cell>
          <cell r="B1554" t="str">
            <v>ja</v>
          </cell>
          <cell r="C1554" t="str">
            <v>財神</v>
          </cell>
          <cell r="D1554"/>
          <cell r="E1554"/>
          <cell r="F1554"/>
          <cell r="G1554"/>
          <cell r="H1554" t="str">
            <v>red</v>
          </cell>
          <cell r="I1554">
            <v>5</v>
          </cell>
          <cell r="J1554" t="str">
            <v>PremiumSSS</v>
          </cell>
          <cell r="K1554" t="str">
            <v>technical</v>
          </cell>
          <cell r="L1554" t="str">
            <v>テクニカルタイプ</v>
          </cell>
          <cell r="M1554" t="str">
            <v>god</v>
          </cell>
        </row>
        <row r="1555">
          <cell r="A1555">
            <v>8088</v>
          </cell>
          <cell r="B1555" t="str">
            <v>ja</v>
          </cell>
          <cell r="C1555" t="str">
            <v>★６財神</v>
          </cell>
          <cell r="D1555"/>
          <cell r="E1555"/>
          <cell r="F1555"/>
          <cell r="G1555"/>
          <cell r="H1555" t="str">
            <v>red</v>
          </cell>
          <cell r="I1555">
            <v>6</v>
          </cell>
          <cell r="J1555" t="str">
            <v>PremiumSSS</v>
          </cell>
          <cell r="K1555" t="str">
            <v>technical</v>
          </cell>
          <cell r="L1555" t="str">
            <v>テクニカルタイプ</v>
          </cell>
          <cell r="M1555" t="str">
            <v>god</v>
          </cell>
        </row>
        <row r="1556">
          <cell r="A1556">
            <v>8089</v>
          </cell>
          <cell r="B1556" t="str">
            <v>ja</v>
          </cell>
          <cell r="C1556" t="str">
            <v>年獣</v>
          </cell>
          <cell r="D1556"/>
          <cell r="E1556"/>
          <cell r="F1556"/>
          <cell r="G1556"/>
          <cell r="H1556" t="str">
            <v>green</v>
          </cell>
          <cell r="I1556">
            <v>5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animal</v>
          </cell>
        </row>
        <row r="1557">
          <cell r="A1557">
            <v>8090</v>
          </cell>
          <cell r="B1557" t="str">
            <v>ja</v>
          </cell>
          <cell r="C1557" t="str">
            <v>★６年獣</v>
          </cell>
          <cell r="D1557"/>
          <cell r="E1557"/>
          <cell r="F1557"/>
          <cell r="G1557"/>
          <cell r="H1557" t="str">
            <v>green</v>
          </cell>
          <cell r="I1557">
            <v>6</v>
          </cell>
          <cell r="J1557" t="str">
            <v>DropWizS</v>
          </cell>
          <cell r="K1557" t="str">
            <v>attack</v>
          </cell>
          <cell r="L1557" t="str">
            <v>攻撃タイプ</v>
          </cell>
          <cell r="M1557" t="str">
            <v>animal</v>
          </cell>
        </row>
        <row r="1558">
          <cell r="A1558">
            <v>8095</v>
          </cell>
          <cell r="B1558" t="str">
            <v>ja</v>
          </cell>
          <cell r="C1558" t="str">
            <v>バハムートダック赤</v>
          </cell>
          <cell r="D1558" t="str">
            <v>ポムポムプリン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6</v>
          </cell>
          <cell r="J1558" t="str">
            <v>Material</v>
          </cell>
          <cell r="K1558" t="str">
            <v>exp</v>
          </cell>
          <cell r="L1558" t="str">
            <v>強化素材タイプ</v>
          </cell>
          <cell r="M1558" t="str">
            <v>unknown</v>
          </cell>
        </row>
        <row r="1559">
          <cell r="A1559">
            <v>8096</v>
          </cell>
          <cell r="B1559" t="str">
            <v>ja</v>
          </cell>
          <cell r="C1559" t="str">
            <v>バハムートダック緑</v>
          </cell>
          <cell r="D1559" t="str">
            <v>ポムポムプリン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green</v>
          </cell>
          <cell r="I1559">
            <v>6</v>
          </cell>
          <cell r="J1559" t="str">
            <v>Material</v>
          </cell>
          <cell r="K1559" t="str">
            <v>exp</v>
          </cell>
          <cell r="L1559" t="str">
            <v>強化素材タイプ</v>
          </cell>
          <cell r="M1559" t="str">
            <v>unknown</v>
          </cell>
        </row>
        <row r="1560">
          <cell r="A1560">
            <v>8097</v>
          </cell>
          <cell r="B1560" t="str">
            <v>ja</v>
          </cell>
          <cell r="C1560" t="str">
            <v>バハムートダック青</v>
          </cell>
          <cell r="D1560" t="str">
            <v>ポムポムプリン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Material</v>
          </cell>
          <cell r="K1560" t="str">
            <v>exp</v>
          </cell>
          <cell r="L1560" t="str">
            <v>強化素材タイプ</v>
          </cell>
          <cell r="M1560" t="str">
            <v>unknown</v>
          </cell>
        </row>
        <row r="1561">
          <cell r="A1561">
            <v>8098</v>
          </cell>
          <cell r="B1561" t="str">
            <v>ja</v>
          </cell>
          <cell r="C1561" t="str">
            <v>バハムートダック黄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6</v>
          </cell>
          <cell r="J1561" t="str">
            <v>Material</v>
          </cell>
          <cell r="K1561" t="str">
            <v>exp</v>
          </cell>
          <cell r="L1561" t="str">
            <v>強化素材タイプ</v>
          </cell>
          <cell r="M1561" t="str">
            <v>unknown</v>
          </cell>
        </row>
        <row r="1562">
          <cell r="A1562">
            <v>8099</v>
          </cell>
          <cell r="B1562" t="str">
            <v>ja</v>
          </cell>
          <cell r="C1562" t="str">
            <v>リトルハンプティ</v>
          </cell>
          <cell r="D1562" t="str">
            <v>各属性相性良3・黄・R455</v>
          </cell>
          <cell r="E1562" t="str">
            <v>執行者</v>
          </cell>
          <cell r="F1562" t="str">
            <v>格好いい</v>
          </cell>
          <cell r="G1562" t="str">
            <v>男性</v>
          </cell>
          <cell r="H1562" t="str">
            <v>green</v>
          </cell>
          <cell r="I1562">
            <v>6</v>
          </cell>
          <cell r="J1562" t="str">
            <v>Material</v>
          </cell>
          <cell r="K1562" t="str">
            <v>evolution</v>
          </cell>
          <cell r="L1562" t="str">
            <v>覚醒素材タイプ</v>
          </cell>
          <cell r="M1562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tabSelected="1" zoomScale="75" zoomScaleNormal="75" zoomScalePageLayoutView="75" workbookViewId="0"/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workbookViewId="0">
      <selection activeCell="C2" sqref="C2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38" t="s">
        <v>120</v>
      </c>
      <c r="B2" s="49" t="s">
        <v>121</v>
      </c>
      <c r="C2" s="29" t="str">
        <f>RIGHT(F2,7)</f>
        <v>7313010</v>
      </c>
      <c r="D2" s="18" t="s">
        <v>18</v>
      </c>
      <c r="E2" s="16" t="str">
        <f t="shared" ref="E2" si="0">B2&amp;C2&amp;D2</f>
        <v>gacha_select_tables_7313010.tmp</v>
      </c>
      <c r="F2" s="51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49" t="s">
        <v>121</v>
      </c>
      <c r="C3" s="29" t="str">
        <f>RIGHT(F3,7)</f>
        <v>7314010</v>
      </c>
      <c r="D3" s="18" t="s">
        <v>18</v>
      </c>
      <c r="E3" s="16" t="str">
        <f t="shared" ref="E3:E4" si="1">B3&amp;C3&amp;D3</f>
        <v>gacha_select_tables_7314010.tmp</v>
      </c>
      <c r="F3" s="51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49" t="s">
        <v>121</v>
      </c>
      <c r="C4" s="29" t="str">
        <f>RIGHT(F4,7)</f>
        <v>7315010</v>
      </c>
      <c r="D4" s="18" t="s">
        <v>18</v>
      </c>
      <c r="E4" s="16" t="str">
        <f t="shared" si="1"/>
        <v>gacha_select_tables_7315010.tmp</v>
      </c>
      <c r="F4" s="51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49" t="s">
        <v>121</v>
      </c>
      <c r="C5" s="29" t="str">
        <f>RIGHT(F5,7)</f>
        <v>7316010</v>
      </c>
      <c r="D5" s="18" t="s">
        <v>18</v>
      </c>
      <c r="E5" s="16" t="str">
        <f t="shared" ref="E5" si="2">B5&amp;C5&amp;D5</f>
        <v>gacha_select_tables_7316010.tmp</v>
      </c>
      <c r="F5" s="51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13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7313010</v>
      </c>
      <c r="B2" s="46">
        <v>743</v>
      </c>
      <c r="C2" s="7" t="str">
        <f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弩級の洸源 アポロン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26">
        <v>20</v>
      </c>
      <c r="P2" s="27">
        <f>O2/SUM(O:O)</f>
        <v>5.5555555555555552E-2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7313010</v>
      </c>
      <c r="B3" s="46">
        <v>811</v>
      </c>
      <c r="C3" s="7" t="str">
        <f>D3&amp;J3&amp;E3&amp;F3&amp;G3</f>
        <v>PremiumSS6R5only</v>
      </c>
      <c r="D3" s="7" t="str">
        <f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咲き誇る旅航者 親指姫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red</v>
      </c>
      <c r="L3" s="7" t="str">
        <f>VLOOKUP(B3,[1]characters!$A:$K,11,FALSE)</f>
        <v>heal</v>
      </c>
      <c r="M3" s="7" t="str">
        <f>VLOOKUP(B3,[1]characters!$A:$M,13,FALSE)</f>
        <v>human</v>
      </c>
      <c r="N3" s="7" t="str">
        <f>VLOOKUP(B3,[1]characters!$A:$G,7,FALSE)</f>
        <v>男性</v>
      </c>
      <c r="O3" s="26">
        <v>20</v>
      </c>
      <c r="P3" s="27">
        <f>O3/SUM(O:O)</f>
        <v>5.5555555555555552E-2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7313010</v>
      </c>
      <c r="B4" s="46">
        <v>817</v>
      </c>
      <c r="C4" s="7" t="str">
        <f>D4&amp;J4&amp;E4&amp;F4&amp;G4</f>
        <v>PremiumSS6R5only</v>
      </c>
      <c r="D4" s="7" t="str">
        <f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決戦の抗弾 D.R.T.H.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26">
        <v>20</v>
      </c>
      <c r="P4" s="27">
        <f>O4/SUM(O:O)</f>
        <v>5.5555555555555552E-2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7313010</v>
      </c>
      <c r="B5" s="46">
        <v>821</v>
      </c>
      <c r="C5" s="7" t="str">
        <f>D5&amp;J5&amp;E5&amp;F5&amp;G5</f>
        <v>PremiumSS6R5only</v>
      </c>
      <c r="D5" s="7" t="str">
        <f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急蹴の硬機脚 ブートレグ・ペロー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animal</v>
      </c>
      <c r="N5" s="7" t="str">
        <f>VLOOKUP(B5,[1]characters!$A:$G,7,FALSE)</f>
        <v>男性</v>
      </c>
      <c r="O5" s="26">
        <v>20</v>
      </c>
      <c r="P5" s="27">
        <f>O5/SUM(O:O)</f>
        <v>5.5555555555555552E-2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7313010</v>
      </c>
      <c r="B6" s="46">
        <v>829</v>
      </c>
      <c r="C6" s="7" t="str">
        <f>D6&amp;J6&amp;E6&amp;F6&amp;G6</f>
        <v>PremiumSS6R5only</v>
      </c>
      <c r="D6" s="7" t="str">
        <f>IF(OR(I6="PremiumSS",I6="PremiumSSw"),"PremiumSS",IF(I6="PremiumSSS",I6,IF(I6="PremiumW",IF(J6=5,"premium",I6),"Premium")))</f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銃刃乱舞の怪猫 クルミ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unknown</v>
      </c>
      <c r="N6" s="7" t="str">
        <f>VLOOKUP(B6,[1]characters!$A:$G,7,FALSE)</f>
        <v>男性</v>
      </c>
      <c r="O6" s="26">
        <v>20</v>
      </c>
      <c r="P6" s="27">
        <f>O6/SUM(O:O)</f>
        <v>5.5555555555555552E-2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7313010</v>
      </c>
      <c r="B7" s="46">
        <v>838</v>
      </c>
      <c r="C7" s="7" t="str">
        <f>D7&amp;J7&amp;E7&amp;F7&amp;G7</f>
        <v>PremiumSS6R5only</v>
      </c>
      <c r="D7" s="7" t="str">
        <f>IF(OR(I7="PremiumSS",I7="PremiumSSw"),"PremiumSS",IF(I7="PremiumSSS",I7,IF(I7="PremiumW",IF(J7=5,"premium",I7),"Premium")))</f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巌鋼の爆烈志士 近藤勇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hp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>O7/SUM(O:O)</f>
        <v>5.5555555555555552E-2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7313010</v>
      </c>
      <c r="B8" s="46">
        <v>849</v>
      </c>
      <c r="C8" s="7" t="str">
        <f>D8&amp;J8&amp;E8&amp;F8&amp;G8</f>
        <v>PremiumSS6R5only</v>
      </c>
      <c r="D8" s="7" t="str">
        <f>IF(OR(I8="PremiumSS",I8="PremiumSSw"),"PremiumSS",IF(I8="PremiumSSS",I8,IF(I8="PremiumW",IF(J8=5,"premium",I8),"Premium")))</f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燦然たる天使 メタトロン・ラヴァ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red</v>
      </c>
      <c r="L8" s="7" t="str">
        <f>VLOOKUP(B8,[1]characters!$A:$K,11,FALSE)</f>
        <v>balance</v>
      </c>
      <c r="M8" s="7" t="str">
        <f>VLOOKUP(B8,[1]characters!$A:$M,13,FALSE)</f>
        <v>god</v>
      </c>
      <c r="N8" s="7" t="str">
        <f>VLOOKUP(B8,[1]characters!$A:$G,7,FALSE)</f>
        <v>男性</v>
      </c>
      <c r="O8" s="26">
        <v>20</v>
      </c>
      <c r="P8" s="27">
        <f>O8/SUM(O:O)</f>
        <v>5.5555555555555552E-2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7313010</v>
      </c>
      <c r="B9" s="46">
        <v>896</v>
      </c>
      <c r="C9" s="7" t="str">
        <f>D9&amp;J9&amp;E9&amp;F9&amp;G9</f>
        <v>PremiumSS6R5only</v>
      </c>
      <c r="D9" s="7" t="str">
        <f>IF(OR(I9="PremiumSS",I9="PremiumSSw"),"PremiumSS",IF(I9="PremiumSSS",I9,IF(I9="PremiumW",IF(J9=5,"premium",I9),"Premium")))</f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天衣紡ぐ麗鶴 ハヅル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>O9/SUM(O:O)</f>
        <v>5.5555555555555552E-2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7313010</v>
      </c>
      <c r="B10" s="46">
        <v>938</v>
      </c>
      <c r="C10" s="7" t="str">
        <f>D10&amp;J10&amp;E10&amp;F10&amp;G10</f>
        <v>PremiumSS6R5only</v>
      </c>
      <c r="D10" s="7" t="str">
        <f>IF(OR(I10="PremiumSS",I10="PremiumSSw"),"PremiumSS",IF(I10="PremiumSSS",I10,IF(I10="PremiumW",IF(J10=5,"premium",I10),"Premium")))</f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炎焔宿す革命皇 ナポレオン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>O10/SUM(O:O)</f>
        <v>5.5555555555555552E-2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7313010</v>
      </c>
      <c r="B11" s="46">
        <v>965</v>
      </c>
      <c r="C11" s="7" t="str">
        <f>D11&amp;J11&amp;E11&amp;F11&amp;G11</f>
        <v>PremiumSS6R5only</v>
      </c>
      <c r="D11" s="7" t="str">
        <f>IF(OR(I11="PremiumSS",I11="PremiumSSw"),"PremiumSS",IF(I11="PremiumSSS",I11,IF(I11="PremiumW",IF(J11=5,"premium",I11),"Premium")))</f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穿熱の緋龍王 キング・ドライグ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red</v>
      </c>
      <c r="L11" s="7" t="str">
        <f>VLOOKUP(B11,[1]characters!$A:$K,11,FALSE)</f>
        <v>attack</v>
      </c>
      <c r="M11" s="7" t="str">
        <f>VLOOKUP(B11,[1]characters!$A:$M,13,FALSE)</f>
        <v>dragon</v>
      </c>
      <c r="N11" s="7" t="str">
        <f>VLOOKUP(B11,[1]characters!$A:$G,7,FALSE)</f>
        <v>男性</v>
      </c>
      <c r="O11" s="26">
        <v>20</v>
      </c>
      <c r="P11" s="27">
        <f>O11/SUM(O:O)</f>
        <v>5.5555555555555552E-2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7313010</v>
      </c>
      <c r="B12" s="46">
        <v>969</v>
      </c>
      <c r="C12" s="7" t="str">
        <f>D12&amp;J12&amp;E12&amp;F12&amp;G12</f>
        <v>PremiumSS6R5only</v>
      </c>
      <c r="D12" s="7" t="str">
        <f>IF(OR(I12="PremiumSS",I12="PremiumSSw"),"PremiumSS",IF(I12="PremiumSSS",I12,IF(I12="PremiumW",IF(J12=5,"premium",I12),"Premium")))</f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超排撃の焔砲巨神 ユミル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machine</v>
      </c>
      <c r="N12" s="7" t="str">
        <f>VLOOKUP(B12,[1]characters!$A:$G,7,FALSE)</f>
        <v>男性</v>
      </c>
      <c r="O12" s="26">
        <v>20</v>
      </c>
      <c r="P12" s="27">
        <f>O12/SUM(O:O)</f>
        <v>5.5555555555555552E-2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7313010</v>
      </c>
      <c r="B13" s="46">
        <v>1013</v>
      </c>
      <c r="C13" s="7" t="str">
        <f>D13&amp;J13&amp;E13&amp;F13&amp;G13</f>
        <v>PremiumSS6R5only</v>
      </c>
      <c r="D13" s="7" t="str">
        <f>IF(OR(I13="PremiumSS",I13="PremiumSSw"),"PremiumSS",IF(I13="PremiumSSS",I13,IF(I13="PremiumW",IF(J13=5,"premium",I13),"Premium")))</f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聖陽昇る緋洸神 ラー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red</v>
      </c>
      <c r="L13" s="7" t="str">
        <f>VLOOKUP(B13,[1]characters!$A:$K,11,FALSE)</f>
        <v>balance</v>
      </c>
      <c r="M13" s="7" t="str">
        <f>VLOOKUP(B13,[1]characters!$A:$M,13,FALSE)</f>
        <v>god</v>
      </c>
      <c r="N13" s="7" t="str">
        <f>VLOOKUP(B13,[1]characters!$A:$G,7,FALSE)</f>
        <v>男性</v>
      </c>
      <c r="O13" s="26">
        <v>20</v>
      </c>
      <c r="P13" s="27">
        <f>O13/SUM(O:O)</f>
        <v>5.5555555555555552E-2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7313010</v>
      </c>
      <c r="B14" s="46">
        <v>1101</v>
      </c>
      <c r="C14" s="7" t="str">
        <f>D14&amp;J14&amp;E14&amp;F14&amp;G14</f>
        <v>PremiumSS6R5only</v>
      </c>
      <c r="D14" s="7" t="str">
        <f>IF(OR(I14="PremiumSS",I14="PremiumSSw"),"PremiumSS",IF(I14="PremiumSSS",I14,IF(I14="PremiumW",IF(J14=5,"premium",I14),"Premium")))</f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浮世万物の筆刻者 北斎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red</v>
      </c>
      <c r="L14" s="7" t="str">
        <f>VLOOKUP(B14,[1]characters!$A:$K,11,FALSE)</f>
        <v>attack</v>
      </c>
      <c r="M14" s="7" t="str">
        <f>VLOOKUP(B14,[1]characters!$A:$M,13,FALSE)</f>
        <v>human</v>
      </c>
      <c r="N14" s="7" t="str">
        <f>VLOOKUP(B14,[1]characters!$A:$G,7,FALSE)</f>
        <v>不明</v>
      </c>
      <c r="O14" s="26">
        <v>20</v>
      </c>
      <c r="P14" s="27">
        <f>O14/SUM(O:O)</f>
        <v>5.5555555555555552E-2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7313010</v>
      </c>
      <c r="B15" s="46">
        <v>1138</v>
      </c>
      <c r="C15" s="7" t="str">
        <f>D15&amp;J15&amp;E15&amp;F15&amp;G15</f>
        <v>PremiumSS6R5only</v>
      </c>
      <c r="D15" s="7" t="str">
        <f>IF(OR(I15="PremiumSS",I15="PremiumSSw"),"PremiumSS",IF(I15="PremiumSSS",I15,IF(I15="PremiumW",IF(J15=5,"premium",I15),"Premium")))</f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神算鬼謀の宰相 諸葛亮</v>
      </c>
      <c r="I15" s="7" t="str">
        <f>VLOOKUP(B15,[1]characters!$A:$J,10,FALSE)</f>
        <v>PremiumSSw</v>
      </c>
      <c r="J15" s="7">
        <f>VLOOKUP(B15,[1]characters!$A:$I,9,FALSE)</f>
        <v>6</v>
      </c>
      <c r="K15" s="7" t="str">
        <f>VLOOKUP(B15,[1]characters!$A:$H,8,FALSE)</f>
        <v>red</v>
      </c>
      <c r="L15" s="7" t="str">
        <f>VLOOKUP(B15,[1]characters!$A:$K,11,FALSE)</f>
        <v>technical</v>
      </c>
      <c r="M15" s="7" t="str">
        <f>VLOOKUP(B15,[1]characters!$A:$M,13,FALSE)</f>
        <v>samurai</v>
      </c>
      <c r="N15" s="7" t="str">
        <f>VLOOKUP(B15,[1]characters!$A:$G,7,FALSE)</f>
        <v>不明</v>
      </c>
      <c r="O15" s="26">
        <v>20</v>
      </c>
      <c r="P15" s="27">
        <f>O15/SUM(O:O)</f>
        <v>5.5555555555555552E-2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7313010</v>
      </c>
      <c r="B16" s="47">
        <v>1209</v>
      </c>
      <c r="C16" s="7" t="str">
        <f>D16&amp;J16&amp;E16&amp;F16&amp;G16</f>
        <v>PremiumSS6R5only</v>
      </c>
      <c r="D16" s="7" t="str">
        <f>IF(OR(I16="PremiumSS",I16="PremiumSSw"),"PremiumSS",IF(I16="PremiumSSS",I16,IF(I16="PremiumW",IF(J16=5,"premium",I16),"Premium")))</f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刹那の過罰神 ネメシス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hp</v>
      </c>
      <c r="M16" s="7" t="str">
        <f>VLOOKUP(B16,[1]characters!$A:$M,13,FALSE)</f>
        <v>god</v>
      </c>
      <c r="N16" s="7">
        <f>VLOOKUP(B16,[1]characters!$A:$G,7,FALSE)</f>
        <v>0</v>
      </c>
      <c r="O16" s="26">
        <v>20</v>
      </c>
      <c r="P16" s="27">
        <f>O16/SUM(O:O)</f>
        <v>5.5555555555555552E-2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7313010</v>
      </c>
      <c r="B17" s="47">
        <v>1245</v>
      </c>
      <c r="C17" s="7" t="str">
        <f>D17&amp;J17&amp;E17&amp;F17&amp;G17</f>
        <v>PremiumSS6R5only</v>
      </c>
      <c r="D17" s="7" t="str">
        <f>IF(OR(I17="PremiumSS",I17="PremiumSSw"),"PremiumSS",IF(I17="PremiumSSS",I17,IF(I17="PremiumW",IF(J17=5,"premium",I17),"Premium")))</f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甲火の特殊忍 猿飛佐助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red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>
        <f>VLOOKUP(B17,[1]characters!$A:$G,7,FALSE)</f>
        <v>0</v>
      </c>
      <c r="O17" s="26">
        <v>20</v>
      </c>
      <c r="P17" s="27">
        <f>O17/SUM(O:O)</f>
        <v>5.5555555555555552E-2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48" customFormat="1" ht="21" customHeight="1" x14ac:dyDescent="0.15">
      <c r="A18" s="2">
        <v>7313010</v>
      </c>
      <c r="B18" s="47">
        <v>1261</v>
      </c>
      <c r="C18" s="7" t="str">
        <f>D18&amp;J18&amp;E18&amp;F18&amp;G18</f>
        <v>PremiumSS6R5only</v>
      </c>
      <c r="D18" s="7" t="str">
        <f>IF(OR(I18="PremiumSS",I18="PremiumSSw"),"PremiumSS",IF(I18="PremiumSSS",I18,IF(I18="PremiumW",IF(J18=5,"premium",I18),"Premium")))</f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燃雷の鎚撃 トール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>
        <f>VLOOKUP(B18,[1]characters!$A:$G,7,FALSE)</f>
        <v>0</v>
      </c>
      <c r="O18" s="26">
        <v>20</v>
      </c>
      <c r="P18" s="27">
        <f>O18/SUM(O:O)</f>
        <v>5.5555555555555552E-2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48" customFormat="1" ht="21" customHeight="1" x14ac:dyDescent="0.15">
      <c r="A19" s="2">
        <v>7313010</v>
      </c>
      <c r="B19" s="5">
        <v>1333</v>
      </c>
      <c r="C19" s="7" t="str">
        <f>D19&amp;J19&amp;E19&amp;F19&amp;G19</f>
        <v>PremiumSS6R5only</v>
      </c>
      <c r="D19" s="7" t="str">
        <f>IF(OR(I19="PremiumSS",I19="PremiumSSw"),"PremiumSS",IF(I19="PremiumSSS",I19,IF(I19="PremiumW",IF(J19=5,"premium",I19),"Premium")))</f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神心を射る穂神 クシナダヒメ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god</v>
      </c>
      <c r="N19" s="7">
        <f>VLOOKUP(B19,[1]characters!$A:$G,7,FALSE)</f>
        <v>0</v>
      </c>
      <c r="O19" s="26">
        <v>20</v>
      </c>
      <c r="P19" s="27">
        <f>O19/SUM(O:O)</f>
        <v>5.5555555555555552E-2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ht="21" customHeight="1" x14ac:dyDescent="0.15">
      <c r="A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1"/>
      <c r="P20" s="42"/>
      <c r="Q20" s="43"/>
      <c r="R20" s="43"/>
      <c r="S20" s="43"/>
      <c r="T20" s="43"/>
      <c r="U20" s="43"/>
      <c r="V20" s="43"/>
    </row>
    <row r="21" spans="1:36" s="12" customFormat="1" ht="21" customHeight="1" thickBot="1" x14ac:dyDescent="0.2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0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ht="21" customHeight="1" x14ac:dyDescent="0.15">
      <c r="A65" s="39"/>
      <c r="B65" s="44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</row>
    <row r="66" spans="1:36" ht="21" customHeight="1" x14ac:dyDescent="0.15">
      <c r="A66" s="39"/>
      <c r="B66" s="44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ht="21" customHeight="1" x14ac:dyDescent="0.15">
      <c r="A67" s="39"/>
      <c r="B67" s="44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</row>
    <row r="68" spans="1:36" s="9" customFormat="1" ht="21" customHeight="1" thickBot="1" x14ac:dyDescent="0.2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</sheetData>
  <sortState ref="A2:V268">
    <sortCondition ref="K1"/>
  </sortState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210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7314010</v>
      </c>
      <c r="B2" s="47">
        <v>733</v>
      </c>
      <c r="C2" s="7" t="str">
        <f t="shared" ref="C2:C17" si="0">D2&amp;J2&amp;E2&amp;F2&amp;G2</f>
        <v>PremiumSS6R5only</v>
      </c>
      <c r="D2" s="7" t="str">
        <f t="shared" ref="D2:D17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>O2/SUM(O:O)</f>
        <v>5.8823529411764705E-2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7314010</v>
      </c>
      <c r="B3" s="46">
        <v>809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天然理心の激凛 沖田総司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26">
        <v>20</v>
      </c>
      <c r="P3" s="27">
        <f>O3/SUM(O:O)</f>
        <v>5.8823529411764705E-2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7314010</v>
      </c>
      <c r="B4" s="46">
        <v>819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讐命の我突 モルドレッド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26">
        <v>20</v>
      </c>
      <c r="P4" s="27">
        <f>O4/SUM(O:O)</f>
        <v>5.8823529411764705E-2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7314010</v>
      </c>
      <c r="B5" s="46">
        <v>825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彩愛なる豊穣妃神 フレイヤ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animal</v>
      </c>
      <c r="N5" s="7" t="str">
        <f>VLOOKUP(B5,[1]characters!$A:$G,7,FALSE)</f>
        <v>男性</v>
      </c>
      <c r="O5" s="26">
        <v>20</v>
      </c>
      <c r="P5" s="27">
        <f>O5/SUM(O:O)</f>
        <v>5.8823529411764705E-2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7314010</v>
      </c>
      <c r="B6" s="46">
        <v>835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流奏の鳳楽神 サラスヴァティ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男性</v>
      </c>
      <c r="O6" s="26">
        <v>20</v>
      </c>
      <c r="P6" s="27">
        <f>O6/SUM(O:O)</f>
        <v>5.8823529411764705E-2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7314010</v>
      </c>
      <c r="B7" s="46">
        <v>867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華麗なる作戦 白雪姫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>O7/SUM(O:O)</f>
        <v>5.8823529411764705E-2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7314010</v>
      </c>
      <c r="B8" s="46">
        <v>942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華戯たる傲妃 アントワネット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blue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>O8/SUM(O:O)</f>
        <v>5.8823529411764705E-2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7314010</v>
      </c>
      <c r="B9" s="46">
        <v>964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海破雨散の海龍 リヴァイアサン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男性</v>
      </c>
      <c r="O9" s="26">
        <v>20</v>
      </c>
      <c r="P9" s="27">
        <f>O9/SUM(O:O)</f>
        <v>5.8823529411764705E-2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7314010</v>
      </c>
      <c r="B10" s="46">
        <v>968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夢謀の愚幻者 フール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blue</v>
      </c>
      <c r="L10" s="7" t="str">
        <f>VLOOKUP(B10,[1]characters!$A:$K,11,FALSE)</f>
        <v>technical</v>
      </c>
      <c r="M10" s="7" t="str">
        <f>VLOOKUP(B10,[1]characters!$A:$M,13,FALSE)</f>
        <v>god</v>
      </c>
      <c r="N10" s="7" t="str">
        <f>VLOOKUP(B10,[1]characters!$A:$G,7,FALSE)</f>
        <v>男性</v>
      </c>
      <c r="O10" s="26">
        <v>20</v>
      </c>
      <c r="P10" s="27">
        <f>O10/SUM(O:O)</f>
        <v>5.8823529411764705E-2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7314010</v>
      </c>
      <c r="B11" s="46">
        <v>1032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彩気煥発の創作人 紫式部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>O11/SUM(O:O)</f>
        <v>5.8823529411764705E-2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7314010</v>
      </c>
      <c r="B12" s="46">
        <v>1073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静穏なる獣勇 エンキドゥ</v>
      </c>
      <c r="I12" s="7" t="str">
        <f>VLOOKUP(B12,[1]characters!$A:$J,10,FALSE)</f>
        <v>PremiumSSw</v>
      </c>
      <c r="J12" s="7">
        <f>VLOOKUP(B12,[1]characters!$A:$I,9,FALSE)</f>
        <v>6</v>
      </c>
      <c r="K12" s="7" t="str">
        <f>VLOOKUP(B12,[1]characters!$A:$H,8,FALSE)</f>
        <v>blue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26">
        <v>20</v>
      </c>
      <c r="P12" s="27">
        <f>O12/SUM(O:O)</f>
        <v>5.8823529411764705E-2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7314010</v>
      </c>
      <c r="B13" s="46">
        <v>1142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蒼明な機鋼士 月英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不明</v>
      </c>
      <c r="O13" s="26">
        <v>20</v>
      </c>
      <c r="P13" s="27">
        <f>O13/SUM(O:O)</f>
        <v>5.8823529411764705E-2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7314010</v>
      </c>
      <c r="B14" s="46">
        <v>1156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麗逆の武操神 ドゥルガー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god</v>
      </c>
      <c r="N14" s="7" t="str">
        <f>VLOOKUP(B14,[1]characters!$A:$G,7,FALSE)</f>
        <v>不明</v>
      </c>
      <c r="O14" s="26">
        <v>20</v>
      </c>
      <c r="P14" s="27">
        <f>O14/SUM(O:O)</f>
        <v>5.8823529411764705E-2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7314010</v>
      </c>
      <c r="B15" s="47">
        <v>1213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能洪の永地神 クロノス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god</v>
      </c>
      <c r="N15" s="7">
        <f>VLOOKUP(B15,[1]characters!$A:$G,7,FALSE)</f>
        <v>0</v>
      </c>
      <c r="O15" s="26">
        <v>20</v>
      </c>
      <c r="P15" s="27">
        <f>O15/SUM(O:O)</f>
        <v>5.8823529411764705E-2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7314010</v>
      </c>
      <c r="B16" s="47">
        <v>1229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羅生の鬼我 芥川龍之介</v>
      </c>
      <c r="I16" s="7" t="str">
        <f>VLOOKUP(B16,[1]characters!$A:$J,10,FALSE)</f>
        <v>PremiumSSw</v>
      </c>
      <c r="J16" s="7">
        <f>VLOOKUP(B16,[1]characters!$A:$I,9,FALSE)</f>
        <v>6</v>
      </c>
      <c r="K16" s="7" t="str">
        <f>VLOOKUP(B16,[1]characters!$A:$H,8,FALSE)</f>
        <v>blue</v>
      </c>
      <c r="L16" s="7" t="str">
        <f>VLOOKUP(B16,[1]characters!$A:$K,11,FALSE)</f>
        <v>attack</v>
      </c>
      <c r="M16" s="7" t="str">
        <f>VLOOKUP(B16,[1]characters!$A:$M,13,FALSE)</f>
        <v>human</v>
      </c>
      <c r="N16" s="7">
        <f>VLOOKUP(B16,[1]characters!$A:$G,7,FALSE)</f>
        <v>0</v>
      </c>
      <c r="O16" s="26">
        <v>20</v>
      </c>
      <c r="P16" s="27">
        <f>O16/SUM(O:O)</f>
        <v>5.8823529411764705E-2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7314010</v>
      </c>
      <c r="B17" s="47">
        <v>1265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静観する世限者 ウルズ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blue</v>
      </c>
      <c r="L17" s="7" t="str">
        <f>VLOOKUP(B17,[1]characters!$A:$K,11,FALSE)</f>
        <v>heal</v>
      </c>
      <c r="M17" s="7" t="str">
        <f>VLOOKUP(B17,[1]characters!$A:$M,13,FALSE)</f>
        <v>god</v>
      </c>
      <c r="N17" s="7">
        <f>VLOOKUP(B17,[1]characters!$A:$G,7,FALSE)</f>
        <v>0</v>
      </c>
      <c r="O17" s="26">
        <v>20</v>
      </c>
      <c r="P17" s="27">
        <f>O17/SUM(O:O)</f>
        <v>5.8823529411764705E-2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12" customFormat="1" ht="21" customHeight="1" thickBot="1" x14ac:dyDescent="0.2">
      <c r="A18" s="2">
        <v>7314010</v>
      </c>
      <c r="B18" s="5">
        <v>1337</v>
      </c>
      <c r="C18" s="7" t="str">
        <f t="shared" ref="C18" si="2">D18&amp;J18&amp;E18&amp;F18&amp;G18</f>
        <v>PremiumSS6R5only</v>
      </c>
      <c r="D18" s="7" t="str">
        <f t="shared" ref="D18" si="3">IF(OR(I18="PremiumSS",I18="PremiumSSw"),"PremiumSS",IF(I18="PremiumSSS",I18,IF(I18="PremiumW",IF(J18=5,"premium",I18),"Premium")))</f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成命の綜父神 イザナギ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god</v>
      </c>
      <c r="N18" s="7">
        <f>VLOOKUP(B18,[1]characters!$A:$G,7,FALSE)</f>
        <v>0</v>
      </c>
      <c r="O18" s="26">
        <v>20</v>
      </c>
      <c r="P18" s="27">
        <f>O18/SUM(O:O)</f>
        <v>5.8823529411764705E-2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</row>
    <row r="19" spans="1:36" ht="21" customHeight="1" x14ac:dyDescent="0.15">
      <c r="A19" s="39"/>
      <c r="B19" s="40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41"/>
      <c r="P19" s="42"/>
      <c r="Q19" s="43"/>
      <c r="R19" s="43"/>
      <c r="S19" s="43"/>
      <c r="T19" s="43"/>
      <c r="U19" s="43"/>
      <c r="V19" s="43"/>
    </row>
    <row r="20" spans="1:36" ht="21" customHeight="1" x14ac:dyDescent="0.15">
      <c r="A20" s="39"/>
      <c r="B20" s="40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1"/>
      <c r="P20" s="42"/>
      <c r="Q20" s="43"/>
      <c r="R20" s="43"/>
      <c r="S20" s="43"/>
      <c r="T20" s="43"/>
      <c r="U20" s="43"/>
      <c r="V20" s="43"/>
    </row>
    <row r="21" spans="1:36" ht="21" customHeight="1" x14ac:dyDescent="0.15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s="45" customFormat="1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s="45" customFormat="1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s="45" customFormat="1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s="45" customFormat="1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s="45" customFormat="1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s="45" customFormat="1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s="45" customFormat="1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s="45" customFormat="1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s="45" customFormat="1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s="45" customFormat="1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s="45" customFormat="1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s="45" customFormat="1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s="45" customFormat="1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s="45" customFormat="1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s="45" customFormat="1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s="45" customFormat="1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s="45" customFormat="1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s="45" customFormat="1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s="45" customFormat="1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s="45" customFormat="1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s="45" customFormat="1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s="45" customFormat="1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s="45" customFormat="1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s="45" customFormat="1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s="45" customFormat="1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s="45" customFormat="1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s="45" customFormat="1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s="45" customFormat="1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s="45" customFormat="1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s="45" customFormat="1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s="45" customFormat="1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s="45" customFormat="1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4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4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4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s="9" customFormat="1" ht="21" customHeight="1" thickBot="1" x14ac:dyDescent="0.2">
      <c r="A65" s="39"/>
      <c r="B65" s="40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39"/>
      <c r="B66" s="40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ht="21" customHeight="1" x14ac:dyDescent="0.15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</row>
    <row r="68" spans="1:36" ht="21" customHeight="1" x14ac:dyDescent="0.1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s="45" customFormat="1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s="45" customFormat="1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s="45" customFormat="1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s="45" customFormat="1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s="45" customFormat="1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45" customFormat="1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s="45" customFormat="1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s="45" customFormat="1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s="45" customFormat="1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s="45" customFormat="1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s="45" customFormat="1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s="45" customFormat="1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s="45" customFormat="1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s="45" customFormat="1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s="45" customFormat="1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s="45" customFormat="1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s="45" customFormat="1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s="45" customFormat="1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s="45" customFormat="1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s="45" customFormat="1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s="45" customFormat="1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s="45" customFormat="1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s="45" customFormat="1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s="45" customFormat="1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s="45" customFormat="1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s="45" customFormat="1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s="45" customFormat="1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s="45" customFormat="1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s="45" customFormat="1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s="45" customFormat="1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s="45" customFormat="1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s="45" customFormat="1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s="45" customFormat="1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s="45" customFormat="1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s="45" customFormat="1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s="45" customFormat="1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s="45" customFormat="1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s="45" customFormat="1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s="45" customFormat="1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s="45" customFormat="1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s="45" customFormat="1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s="45" customFormat="1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s="45" customFormat="1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s="45" customFormat="1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s="45" customFormat="1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s="45" customFormat="1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s="45" customFormat="1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s="45" customFormat="1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s="45" customFormat="1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s="45" customFormat="1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s="45" customFormat="1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s="45" customFormat="1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s="45" customFormat="1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s="45" customFormat="1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s="45" customFormat="1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s="45" customFormat="1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s="45" customFormat="1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s="45" customFormat="1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s="45" customFormat="1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s="45" customFormat="1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s="45" customFormat="1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s="45" customFormat="1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s="45" customFormat="1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s="45" customFormat="1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s="45" customFormat="1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s="45" customFormat="1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s="45" customFormat="1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s="45" customFormat="1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s="45" customFormat="1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s="45" customFormat="1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s="45" customFormat="1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s="45" customFormat="1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s="45" customFormat="1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s="45" customFormat="1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s="45" customFormat="1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s="45" customFormat="1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s="45" customFormat="1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s="45" customFormat="1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s="45" customFormat="1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s="45" customFormat="1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s="45" customFormat="1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s="45" customFormat="1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s="45" customFormat="1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s="45" customFormat="1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s="45" customFormat="1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s="45" customFormat="1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s="45" customFormat="1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s="45" customFormat="1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s="45" customFormat="1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212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7315010</v>
      </c>
      <c r="B2" s="46">
        <v>745</v>
      </c>
      <c r="C2" s="7" t="str">
        <f t="shared" ref="C2:C19" si="0">D2&amp;J2&amp;E2&amp;F2&amp;G2</f>
        <v>PremiumSS6R5only</v>
      </c>
      <c r="D2" s="7" t="str">
        <f t="shared" ref="D2:D19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望羅の発神 ヘルメス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26">
        <v>20</v>
      </c>
      <c r="P2" s="27">
        <f>O2/SUM(O:O)</f>
        <v>5.5555555555555552E-2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7315010</v>
      </c>
      <c r="B3" s="46">
        <v>815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解砲の鴉眼 八咫烏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男性</v>
      </c>
      <c r="O3" s="26">
        <v>20</v>
      </c>
      <c r="P3" s="27">
        <f>O3/SUM(O:O)</f>
        <v>5.5555555555555552E-2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7315010</v>
      </c>
      <c r="B4" s="46">
        <v>823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跳鼠の睡奏楽 ハーメルン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26">
        <v>20</v>
      </c>
      <c r="P4" s="27">
        <f>O4/SUM(O:O)</f>
        <v>5.5555555555555552E-2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7315010</v>
      </c>
      <c r="B5" s="46">
        <v>830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清兆の天狗礫 フウガ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unknown</v>
      </c>
      <c r="N5" s="7" t="str">
        <f>VLOOKUP(B5,[1]characters!$A:$G,7,FALSE)</f>
        <v>男性</v>
      </c>
      <c r="O5" s="26">
        <v>20</v>
      </c>
      <c r="P5" s="27">
        <f>O5/SUM(O:O)</f>
        <v>5.5555555555555552E-2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7315010</v>
      </c>
      <c r="B6" s="46">
        <v>839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真覇の勇魔剣 ランスロット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>O6/SUM(O:O)</f>
        <v>5.5555555555555552E-2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7315010</v>
      </c>
      <c r="B7" s="46">
        <v>851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寡黙なる凶王 バアル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god</v>
      </c>
      <c r="N7" s="7" t="str">
        <f>VLOOKUP(B7,[1]characters!$A:$G,7,FALSE)</f>
        <v>男性</v>
      </c>
      <c r="O7" s="26">
        <v>20</v>
      </c>
      <c r="P7" s="27">
        <f>O7/SUM(O:O)</f>
        <v>5.5555555555555552E-2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7315010</v>
      </c>
      <c r="B8" s="46">
        <v>897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天跳兎破 イナバ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animal</v>
      </c>
      <c r="N8" s="7" t="str">
        <f>VLOOKUP(B8,[1]characters!$A:$G,7,FALSE)</f>
        <v>男性</v>
      </c>
      <c r="O8" s="26">
        <v>20</v>
      </c>
      <c r="P8" s="27">
        <f>O8/SUM(O:O)</f>
        <v>5.5555555555555552E-2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7315010</v>
      </c>
      <c r="B9" s="46">
        <v>962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酩酊する大宴龍 ヤマタノオロチ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hp</v>
      </c>
      <c r="M9" s="7" t="str">
        <f>VLOOKUP(B9,[1]characters!$A:$M,13,FALSE)</f>
        <v>dragon</v>
      </c>
      <c r="N9" s="7" t="str">
        <f>VLOOKUP(B9,[1]characters!$A:$G,7,FALSE)</f>
        <v>男性</v>
      </c>
      <c r="O9" s="26">
        <v>20</v>
      </c>
      <c r="P9" s="27">
        <f>O9/SUM(O:O)</f>
        <v>5.5555555555555552E-2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7315010</v>
      </c>
      <c r="B10" s="46">
        <v>966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麗嵐の颯愛志士 土方歳三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>O10/SUM(O:O)</f>
        <v>5.5555555555555552E-2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7315010</v>
      </c>
      <c r="B11" s="46">
        <v>1015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繁翠なる蘇聖神 イシス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god</v>
      </c>
      <c r="N11" s="7" t="str">
        <f>VLOOKUP(B11,[1]characters!$A:$G,7,FALSE)</f>
        <v>男性</v>
      </c>
      <c r="O11" s="26">
        <v>20</v>
      </c>
      <c r="P11" s="27">
        <f>O11/SUM(O:O)</f>
        <v>5.5555555555555552E-2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7315010</v>
      </c>
      <c r="B12" s="46">
        <v>1029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天賦の軍才 牛若丸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26">
        <v>20</v>
      </c>
      <c r="P12" s="27">
        <f>O12/SUM(O:O)</f>
        <v>5.5555555555555552E-2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7315010</v>
      </c>
      <c r="B13" s="46">
        <v>1070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駆脳する造愛 イシュタル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god</v>
      </c>
      <c r="N13" s="7" t="str">
        <f>VLOOKUP(B13,[1]characters!$A:$G,7,FALSE)</f>
        <v>男性</v>
      </c>
      <c r="O13" s="26">
        <v>20</v>
      </c>
      <c r="P13" s="27">
        <f>O13/SUM(O:O)</f>
        <v>5.5555555555555552E-2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7315010</v>
      </c>
      <c r="B14" s="46">
        <v>1103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舞台裏の鼠展 ドガ</v>
      </c>
      <c r="I14" s="7" t="str">
        <f>VLOOKUP(B14,[1]characters!$A:$J,10,FALSE)</f>
        <v>PremiumSSw</v>
      </c>
      <c r="J14" s="7">
        <f>VLOOKUP(B14,[1]characters!$A:$I,9,FALSE)</f>
        <v>6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不明</v>
      </c>
      <c r="O14" s="26">
        <v>20</v>
      </c>
      <c r="P14" s="27">
        <f>O14/SUM(O:O)</f>
        <v>5.5555555555555552E-2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7315010</v>
      </c>
      <c r="B15" s="46">
        <v>1140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綱紀粛正の傑璧 趙雲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samurai</v>
      </c>
      <c r="N15" s="7" t="str">
        <f>VLOOKUP(B15,[1]characters!$A:$G,7,FALSE)</f>
        <v>不明</v>
      </c>
      <c r="O15" s="26">
        <v>20</v>
      </c>
      <c r="P15" s="27">
        <f>O15/SUM(O:O)</f>
        <v>5.5555555555555552E-2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7315010</v>
      </c>
      <c r="B16" s="46">
        <v>1154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幸吹の蓮華粧 ラクシュミー</v>
      </c>
      <c r="I16" s="7" t="str">
        <f>VLOOKUP(B16,[1]characters!$A:$J,10,FALSE)</f>
        <v>PremiumSSw</v>
      </c>
      <c r="J16" s="7">
        <f>VLOOKUP(B16,[1]characters!$A:$I,9,FALSE)</f>
        <v>6</v>
      </c>
      <c r="K16" s="7" t="str">
        <f>VLOOKUP(B16,[1]characters!$A:$H,8,FALSE)</f>
        <v>green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不明</v>
      </c>
      <c r="O16" s="26">
        <v>20</v>
      </c>
      <c r="P16" s="27">
        <f>O16/SUM(O:O)</f>
        <v>5.5555555555555552E-2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7315010</v>
      </c>
      <c r="B17" s="47">
        <v>1227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欲望の占猟者 トルストイ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>
        <f>VLOOKUP(B17,[1]characters!$A:$G,7,FALSE)</f>
        <v>0</v>
      </c>
      <c r="O17" s="26">
        <v>20</v>
      </c>
      <c r="P17" s="27">
        <f>O17/SUM(O:O)</f>
        <v>5.5555555555555552E-2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48" customFormat="1" ht="21" customHeight="1" x14ac:dyDescent="0.15">
      <c r="A18" s="2">
        <v>7315010</v>
      </c>
      <c r="B18" s="47">
        <v>1247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潜情のくノ一 望月千代女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green</v>
      </c>
      <c r="L18" s="7" t="str">
        <f>VLOOKUP(B18,[1]characters!$A:$K,11,FALSE)</f>
        <v>heal</v>
      </c>
      <c r="M18" s="7" t="str">
        <f>VLOOKUP(B18,[1]characters!$A:$M,13,FALSE)</f>
        <v>human</v>
      </c>
      <c r="N18" s="7">
        <f>VLOOKUP(B18,[1]characters!$A:$G,7,FALSE)</f>
        <v>0</v>
      </c>
      <c r="O18" s="26">
        <v>20</v>
      </c>
      <c r="P18" s="27">
        <f>O18/SUM(O:O)</f>
        <v>5.5555555555555552E-2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48" customFormat="1" ht="21" customHeight="1" x14ac:dyDescent="0.15">
      <c r="A19" s="2">
        <v>7315010</v>
      </c>
      <c r="B19" s="47">
        <v>1263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純朴なる檻理人 イズン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green</v>
      </c>
      <c r="L19" s="7" t="str">
        <f>VLOOKUP(B19,[1]characters!$A:$K,11,FALSE)</f>
        <v>heal</v>
      </c>
      <c r="M19" s="7" t="str">
        <f>VLOOKUP(B19,[1]characters!$A:$M,13,FALSE)</f>
        <v>god</v>
      </c>
      <c r="N19" s="7">
        <f>VLOOKUP(B19,[1]characters!$A:$G,7,FALSE)</f>
        <v>0</v>
      </c>
      <c r="O19" s="26">
        <v>20</v>
      </c>
      <c r="P19" s="27">
        <f>O19/SUM(O:O)</f>
        <v>5.5555555555555552E-2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12" customFormat="1" ht="21" customHeight="1" thickBot="1" x14ac:dyDescent="0.2">
      <c r="A20" s="39"/>
      <c r="B20" s="40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1"/>
      <c r="P20" s="42"/>
      <c r="Q20" s="43"/>
      <c r="R20" s="43"/>
      <c r="S20" s="43"/>
      <c r="T20" s="43"/>
      <c r="U20" s="43"/>
      <c r="V20" s="43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</row>
    <row r="21" spans="1:36" ht="21" customHeight="1" x14ac:dyDescent="0.15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s="45" customFormat="1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s="45" customFormat="1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s="45" customFormat="1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s="45" customFormat="1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s="45" customFormat="1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s="45" customFormat="1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s="45" customFormat="1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s="45" customFormat="1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s="45" customFormat="1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s="45" customFormat="1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s="45" customFormat="1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s="45" customFormat="1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s="45" customFormat="1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s="45" customFormat="1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s="45" customFormat="1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s="45" customFormat="1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s="45" customFormat="1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s="45" customFormat="1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s="45" customFormat="1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s="45" customFormat="1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s="45" customFormat="1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s="45" customFormat="1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s="45" customFormat="1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s="45" customFormat="1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s="45" customFormat="1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s="45" customFormat="1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s="45" customFormat="1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s="45" customFormat="1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s="45" customFormat="1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s="45" customFormat="1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s="45" customFormat="1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s="45" customFormat="1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4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ht="21" customHeight="1" x14ac:dyDescent="0.15">
      <c r="A65" s="39"/>
      <c r="B65" s="44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</row>
    <row r="66" spans="1:36" ht="21" customHeight="1" x14ac:dyDescent="0.15">
      <c r="A66" s="39"/>
      <c r="B66" s="44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s="9" customFormat="1" ht="21" customHeight="1" thickBot="1" x14ac:dyDescent="0.2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s="45" customFormat="1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s="45" customFormat="1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s="45" customFormat="1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45" customFormat="1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s="45" customFormat="1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s="45" customFormat="1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s="45" customFormat="1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s="45" customFormat="1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s="45" customFormat="1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s="45" customFormat="1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s="45" customFormat="1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s="45" customFormat="1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s="45" customFormat="1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s="45" customFormat="1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s="45" customFormat="1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s="45" customFormat="1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s="45" customFormat="1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s="45" customFormat="1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s="45" customFormat="1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s="45" customFormat="1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s="45" customFormat="1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s="45" customFormat="1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s="45" customFormat="1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s="45" customFormat="1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s="45" customFormat="1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s="45" customFormat="1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s="45" customFormat="1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s="45" customFormat="1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s="45" customFormat="1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s="45" customFormat="1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s="45" customFormat="1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s="45" customFormat="1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s="45" customFormat="1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s="45" customFormat="1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s="45" customFormat="1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s="45" customFormat="1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s="45" customFormat="1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s="45" customFormat="1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s="45" customFormat="1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s="45" customFormat="1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s="45" customFormat="1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s="45" customFormat="1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s="45" customFormat="1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s="45" customFormat="1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s="45" customFormat="1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s="45" customFormat="1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s="45" customFormat="1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s="45" customFormat="1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s="45" customFormat="1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s="45" customFormat="1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s="45" customFormat="1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s="45" customFormat="1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s="45" customFormat="1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s="45" customFormat="1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s="45" customFormat="1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s="45" customFormat="1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s="45" customFormat="1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s="45" customFormat="1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s="45" customFormat="1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s="45" customFormat="1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s="45" customFormat="1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s="45" customFormat="1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s="45" customFormat="1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s="45" customFormat="1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s="45" customFormat="1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s="45" customFormat="1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s="45" customFormat="1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s="45" customFormat="1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s="45" customFormat="1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s="45" customFormat="1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s="45" customFormat="1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s="45" customFormat="1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s="45" customFormat="1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s="45" customFormat="1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s="45" customFormat="1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s="45" customFormat="1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s="45" customFormat="1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s="45" customFormat="1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s="45" customFormat="1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s="45" customFormat="1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s="45" customFormat="1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s="45" customFormat="1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s="45" customFormat="1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s="45" customFormat="1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s="45" customFormat="1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s="45" customFormat="1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s="45" customFormat="1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213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7316010</v>
      </c>
      <c r="B2" s="47">
        <v>735</v>
      </c>
      <c r="C2" s="7" t="str">
        <f t="shared" ref="C2:C20" si="0">D2&amp;J2&amp;E2&amp;F2&amp;G2</f>
        <v>PremiumSS6R5only</v>
      </c>
      <c r="D2" s="7" t="str">
        <f t="shared" ref="D2:D20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破天の隻眼 伊達政宗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yellow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26">
        <v>20</v>
      </c>
      <c r="P2" s="27">
        <f>O2/SUM(O:O)</f>
        <v>5.2631578947368418E-2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7316010</v>
      </c>
      <c r="B3" s="46">
        <v>813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絆の大冒険 ヘンゼル＆グレーテル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26">
        <v>20</v>
      </c>
      <c r="P3" s="27">
        <f>O3/SUM(O:O)</f>
        <v>5.2631578947368418E-2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7316010</v>
      </c>
      <c r="B4" s="46">
        <v>827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光神しき彩雲龍 アルフヘイム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dragon</v>
      </c>
      <c r="N4" s="7" t="str">
        <f>VLOOKUP(B4,[1]characters!$A:$G,7,FALSE)</f>
        <v>男性</v>
      </c>
      <c r="O4" s="26">
        <v>20</v>
      </c>
      <c r="P4" s="27">
        <f>O4/SUM(O:O)</f>
        <v>5.2631578947368418E-2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7316010</v>
      </c>
      <c r="B5" s="46">
        <v>833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維界の復世神 ヴィシュヌ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>O5/SUM(O:O)</f>
        <v>5.2631578947368418E-2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7316010</v>
      </c>
      <c r="B6" s="46">
        <v>869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 xml:space="preserve">マスター･アラジンと殲滅機兵LAMP 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yellow</v>
      </c>
      <c r="L6" s="7" t="str">
        <f>VLOOKUP(B6,[1]characters!$A:$K,11,FALSE)</f>
        <v>hp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>O6/SUM(O:O)</f>
        <v>5.2631578947368418E-2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7316010</v>
      </c>
      <c r="B7" s="46">
        <v>944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王敬の執行者 サンソン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>O7/SUM(O:O)</f>
        <v>5.2631578947368418E-2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7316010</v>
      </c>
      <c r="B8" s="46">
        <v>963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天蛇の閃皇貴魔 アスタロト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男性</v>
      </c>
      <c r="O8" s="26">
        <v>20</v>
      </c>
      <c r="P8" s="27">
        <f>O8/SUM(O:O)</f>
        <v>5.2631578947368418E-2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7316010</v>
      </c>
      <c r="B9" s="46">
        <v>967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討滅の凶妖志士 斎藤一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yellow</v>
      </c>
      <c r="L9" s="7" t="str">
        <f>VLOOKUP(B9,[1]characters!$A:$K,11,FALSE)</f>
        <v>technical</v>
      </c>
      <c r="M9" s="7" t="str">
        <f>VLOOKUP(B9,[1]characters!$A:$M,13,FALSE)</f>
        <v>human</v>
      </c>
      <c r="N9" s="7" t="str">
        <f>VLOOKUP(B9,[1]characters!$A:$G,7,FALSE)</f>
        <v>男性</v>
      </c>
      <c r="O9" s="26">
        <v>20</v>
      </c>
      <c r="P9" s="27">
        <f>O9/SUM(O:O)</f>
        <v>5.2631578947368418E-2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7316010</v>
      </c>
      <c r="B10" s="46">
        <v>970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目醒の鋏牙 ラプンツェル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yellow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>O10/SUM(O:O)</f>
        <v>5.2631578947368418E-2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7316010</v>
      </c>
      <c r="B11" s="46">
        <v>971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機獅蛮勇 ブレイブリー・ライオン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yellow</v>
      </c>
      <c r="L11" s="7" t="str">
        <f>VLOOKUP(B11,[1]characters!$A:$K,11,FALSE)</f>
        <v>hp</v>
      </c>
      <c r="M11" s="7" t="str">
        <f>VLOOKUP(B11,[1]characters!$A:$M,13,FALSE)</f>
        <v>animal</v>
      </c>
      <c r="N11" s="7" t="str">
        <f>VLOOKUP(B11,[1]characters!$A:$G,7,FALSE)</f>
        <v>男性</v>
      </c>
      <c r="O11" s="26">
        <v>20</v>
      </c>
      <c r="P11" s="27">
        <f>O11/SUM(O:O)</f>
        <v>5.2631578947368418E-2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7316010</v>
      </c>
      <c r="B12" s="46">
        <v>1019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愛鈴鳴る寵猫神 バステト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yellow</v>
      </c>
      <c r="L12" s="7" t="str">
        <f>VLOOKUP(B12,[1]characters!$A:$K,11,FALSE)</f>
        <v>attack</v>
      </c>
      <c r="M12" s="7" t="str">
        <f>VLOOKUP(B12,[1]characters!$A:$M,13,FALSE)</f>
        <v>god</v>
      </c>
      <c r="N12" s="7" t="str">
        <f>VLOOKUP(B12,[1]characters!$A:$G,7,FALSE)</f>
        <v>男性</v>
      </c>
      <c r="O12" s="26">
        <v>20</v>
      </c>
      <c r="P12" s="27">
        <f>O12/SUM(O:O)</f>
        <v>5.2631578947368418E-2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7316010</v>
      </c>
      <c r="B13" s="46">
        <v>1034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爛漫なる随筆家 清少納言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heal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>O13/SUM(O:O)</f>
        <v>5.2631578947368418E-2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7316010</v>
      </c>
      <c r="B14" s="46">
        <v>1075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虚塔の神王 マルドゥク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yellow</v>
      </c>
      <c r="L14" s="7" t="str">
        <f>VLOOKUP(B14,[1]characters!$A:$K,11,FALSE)</f>
        <v>technical</v>
      </c>
      <c r="M14" s="7" t="str">
        <f>VLOOKUP(B14,[1]characters!$A:$M,13,FALSE)</f>
        <v>god</v>
      </c>
      <c r="N14" s="7" t="str">
        <f>VLOOKUP(B14,[1]characters!$A:$G,7,FALSE)</f>
        <v>男性</v>
      </c>
      <c r="O14" s="26">
        <v>20</v>
      </c>
      <c r="P14" s="27">
        <f>O14/SUM(O:O)</f>
        <v>5.2631578947368418E-2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7316010</v>
      </c>
      <c r="B15" s="46">
        <v>1107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天浄の鮮風 ラファエロ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不明</v>
      </c>
      <c r="O15" s="26">
        <v>20</v>
      </c>
      <c r="P15" s="27">
        <f>O15/SUM(O:O)</f>
        <v>5.2631578947368418E-2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7316010</v>
      </c>
      <c r="B16" s="47">
        <v>1158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天英の雷霆神 インドラ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yellow</v>
      </c>
      <c r="L16" s="7" t="str">
        <f>VLOOKUP(B16,[1]characters!$A:$K,11,FALSE)</f>
        <v>attack</v>
      </c>
      <c r="M16" s="7" t="str">
        <f>VLOOKUP(B16,[1]characters!$A:$M,13,FALSE)</f>
        <v>god</v>
      </c>
      <c r="N16" s="7" t="str">
        <f>VLOOKUP(B16,[1]characters!$A:$G,7,FALSE)</f>
        <v>不明</v>
      </c>
      <c r="O16" s="26">
        <v>20</v>
      </c>
      <c r="P16" s="27">
        <f>O16/SUM(O:O)</f>
        <v>5.2631578947368418E-2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7316010</v>
      </c>
      <c r="B17" s="47">
        <v>1215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穿潮の雷月神 アルテミス</v>
      </c>
      <c r="I17" s="7" t="str">
        <f>VLOOKUP(B17,[1]characters!$A:$J,10,FALSE)</f>
        <v>PremiumSSw</v>
      </c>
      <c r="J17" s="7">
        <f>VLOOKUP(B17,[1]characters!$A:$I,9,FALSE)</f>
        <v>6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>
        <f>VLOOKUP(B17,[1]characters!$A:$G,7,FALSE)</f>
        <v>0</v>
      </c>
      <c r="O17" s="26">
        <v>20</v>
      </c>
      <c r="P17" s="27">
        <f>O17/SUM(O:O)</f>
        <v>5.2631578947368418E-2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48" customFormat="1" ht="21" customHeight="1" x14ac:dyDescent="0.15">
      <c r="A18" s="2">
        <v>7316010</v>
      </c>
      <c r="B18" s="40">
        <v>1231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思索する愛猫 夏目漱石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heal</v>
      </c>
      <c r="M18" s="7" t="str">
        <f>VLOOKUP(B18,[1]characters!$A:$M,13,FALSE)</f>
        <v>animal</v>
      </c>
      <c r="N18" s="7">
        <f>VLOOKUP(B18,[1]characters!$A:$G,7,FALSE)</f>
        <v>0</v>
      </c>
      <c r="O18" s="26">
        <v>20</v>
      </c>
      <c r="P18" s="27">
        <f>O18/SUM(O:O)</f>
        <v>5.2631578947368418E-2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48" customFormat="1" ht="21" customHeight="1" x14ac:dyDescent="0.15">
      <c r="A19" s="2">
        <v>7316010</v>
      </c>
      <c r="B19" s="40">
        <v>1251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錯槍の英勇 真田幸村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yellow</v>
      </c>
      <c r="L19" s="7" t="str">
        <f>VLOOKUP(B19,[1]characters!$A:$K,11,FALSE)</f>
        <v>attack</v>
      </c>
      <c r="M19" s="7" t="str">
        <f>VLOOKUP(B19,[1]characters!$A:$M,13,FALSE)</f>
        <v>human</v>
      </c>
      <c r="N19" s="7">
        <f>VLOOKUP(B19,[1]characters!$A:$G,7,FALSE)</f>
        <v>0</v>
      </c>
      <c r="O19" s="26">
        <v>20</v>
      </c>
      <c r="P19" s="27">
        <f>O19/SUM(O:O)</f>
        <v>5.2631578947368418E-2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48" customFormat="1" ht="21" customHeight="1" x14ac:dyDescent="0.15">
      <c r="A20" s="2">
        <v>7316010</v>
      </c>
      <c r="B20" s="50">
        <v>1339</v>
      </c>
      <c r="C20" s="7" t="str">
        <f t="shared" si="0"/>
        <v>PremiumSS6R5only</v>
      </c>
      <c r="D20" s="7" t="str">
        <f t="shared" si="1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復古の舞芸神 アメノウズメ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god</v>
      </c>
      <c r="N20" s="7">
        <f>VLOOKUP(B20,[1]characters!$A:$G,7,FALSE)</f>
        <v>0</v>
      </c>
      <c r="O20" s="26">
        <v>20</v>
      </c>
      <c r="P20" s="27">
        <f>O20/SUM(O:O)</f>
        <v>5.2631578947368418E-2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12" customFormat="1" ht="21" customHeight="1" thickBot="1" x14ac:dyDescent="0.2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s="45" customFormat="1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s="45" customFormat="1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s="45" customFormat="1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s="45" customFormat="1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s="45" customFormat="1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s="45" customFormat="1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s="45" customFormat="1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s="45" customFormat="1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s="45" customFormat="1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s="45" customFormat="1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s="45" customFormat="1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s="45" customFormat="1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s="45" customFormat="1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s="45" customFormat="1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s="45" customFormat="1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s="45" customFormat="1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s="45" customFormat="1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s="45" customFormat="1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s="45" customFormat="1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s="45" customFormat="1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s="45" customFormat="1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s="45" customFormat="1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s="45" customFormat="1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s="45" customFormat="1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s="45" customFormat="1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s="45" customFormat="1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s="45" customFormat="1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s="45" customFormat="1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s="45" customFormat="1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s="45" customFormat="1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s="45" customFormat="1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s="45" customFormat="1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0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ht="21" customHeight="1" x14ac:dyDescent="0.15">
      <c r="A65" s="39"/>
      <c r="B65" s="44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</row>
    <row r="66" spans="1:36" ht="21" customHeight="1" x14ac:dyDescent="0.15">
      <c r="A66" s="39"/>
      <c r="B66" s="44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ht="21" customHeight="1" x14ac:dyDescent="0.15">
      <c r="A67" s="39"/>
      <c r="B67" s="44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</row>
    <row r="68" spans="1:36" s="9" customFormat="1" ht="21" customHeight="1" thickBot="1" x14ac:dyDescent="0.2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s="45" customFormat="1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s="45" customFormat="1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45" customFormat="1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s="45" customFormat="1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s="45" customFormat="1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s="45" customFormat="1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s="45" customFormat="1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s="45" customFormat="1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s="45" customFormat="1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s="45" customFormat="1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s="45" customFormat="1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s="45" customFormat="1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s="45" customFormat="1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s="45" customFormat="1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s="45" customFormat="1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s="45" customFormat="1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s="45" customFormat="1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s="45" customFormat="1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s="45" customFormat="1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s="45" customFormat="1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s="45" customFormat="1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s="45" customFormat="1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s="45" customFormat="1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s="45" customFormat="1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s="45" customFormat="1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s="45" customFormat="1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s="45" customFormat="1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s="45" customFormat="1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s="45" customFormat="1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s="45" customFormat="1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s="45" customFormat="1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s="45" customFormat="1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s="45" customFormat="1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s="45" customFormat="1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s="45" customFormat="1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s="45" customFormat="1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s="45" customFormat="1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s="45" customFormat="1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s="45" customFormat="1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s="45" customFormat="1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s="45" customFormat="1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s="45" customFormat="1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s="45" customFormat="1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s="45" customFormat="1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s="45" customFormat="1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s="45" customFormat="1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s="45" customFormat="1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s="45" customFormat="1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s="45" customFormat="1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s="45" customFormat="1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s="45" customFormat="1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s="45" customFormat="1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s="45" customFormat="1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s="45" customFormat="1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s="45" customFormat="1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s="45" customFormat="1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s="45" customFormat="1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s="45" customFormat="1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s="45" customFormat="1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s="45" customFormat="1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s="45" customFormat="1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s="45" customFormat="1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s="45" customFormat="1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s="45" customFormat="1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s="45" customFormat="1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s="45" customFormat="1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s="45" customFormat="1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s="45" customFormat="1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s="45" customFormat="1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s="45" customFormat="1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s="45" customFormat="1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s="45" customFormat="1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s="45" customFormat="1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s="45" customFormat="1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s="45" customFormat="1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s="45" customFormat="1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s="45" customFormat="1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s="45" customFormat="1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s="45" customFormat="1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s="45" customFormat="1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s="45" customFormat="1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s="45" customFormat="1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s="45" customFormat="1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s="45" customFormat="1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s="45" customFormat="1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s="45" customFormat="1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8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tables_7313010</vt:lpstr>
      <vt:lpstr>tables_7314010</vt:lpstr>
      <vt:lpstr>tables_7315010</vt:lpstr>
      <vt:lpstr>tables_7316010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2017-02-22T04:53:43Z</dcterms:modified>
</cp:coreProperties>
</file>