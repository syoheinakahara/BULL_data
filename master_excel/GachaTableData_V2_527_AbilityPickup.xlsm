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27010" sheetId="157" r:id="rId4"/>
    <sheet name="tables_527010" sheetId="158" r:id="rId5"/>
    <sheet name="input_527100" sheetId="153" r:id="rId6"/>
    <sheet name="tables_527100" sheetId="154" r:id="rId7"/>
    <sheet name="tables_settle_527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tables_527010!$A$1:$V$350</definedName>
    <definedName name="_xlnm._FilterDatabase" localSheetId="6" hidden="1">tables_527100!$A$1:$V$294</definedName>
    <definedName name="_xlnm._FilterDatabase" localSheetId="7" hidden="1">tables_settle_527100!$A$1:$V$1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B10" i="157"/>
  <c r="E6" i="157"/>
  <c r="B23" i="157"/>
  <c r="E26" i="157"/>
  <c r="B26" i="157"/>
  <c r="F5" i="157"/>
  <c r="E5" i="157"/>
  <c r="E28" i="157"/>
  <c r="B28" i="157"/>
  <c r="E29" i="157"/>
  <c r="B29" i="157"/>
  <c r="C23" i="157"/>
  <c r="C29" i="157"/>
  <c r="B21" i="157"/>
  <c r="A2" i="157"/>
  <c r="A36" i="157"/>
  <c r="G29" i="157"/>
  <c r="H29" i="157"/>
  <c r="O314" i="158"/>
  <c r="E19" i="157"/>
  <c r="B5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27" i="157"/>
  <c r="B27" i="157"/>
  <c r="C22" i="157"/>
  <c r="B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R4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R3" i="157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R5" i="157"/>
  <c r="O348" i="158"/>
  <c r="R6" i="157"/>
  <c r="O349" i="158"/>
  <c r="R7" i="157"/>
  <c r="O350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B3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6" i="153"/>
  <c r="B27" i="153"/>
  <c r="B10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C23" i="153"/>
  <c r="C29" i="153"/>
  <c r="B21" i="153"/>
  <c r="E20" i="153"/>
  <c r="B20" i="153"/>
  <c r="E19" i="153"/>
  <c r="B19" i="153"/>
  <c r="C22" i="153"/>
  <c r="B18" i="153"/>
  <c r="B17" i="153"/>
  <c r="E18" i="153"/>
  <c r="A2" i="153"/>
  <c r="A346" i="154"/>
  <c r="H346" i="154"/>
  <c r="K346" i="154"/>
  <c r="L346" i="154"/>
  <c r="M346" i="154"/>
  <c r="N346" i="154"/>
  <c r="A36" i="153"/>
  <c r="R7" i="153"/>
  <c r="G29" i="153"/>
  <c r="H29" i="153"/>
  <c r="R3" i="153"/>
  <c r="O346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1" i="153"/>
  <c r="O54" i="154"/>
  <c r="O55" i="154"/>
  <c r="O57" i="154"/>
  <c r="O58" i="154"/>
  <c r="O60" i="154"/>
  <c r="O61" i="154"/>
  <c r="O63" i="154"/>
  <c r="O64" i="154"/>
  <c r="O66" i="154"/>
  <c r="O67" i="154"/>
  <c r="O69" i="154"/>
  <c r="O70" i="154"/>
  <c r="O72" i="154"/>
  <c r="O73" i="154"/>
  <c r="O75" i="154"/>
  <c r="O76" i="154"/>
  <c r="O78" i="154"/>
  <c r="O79" i="154"/>
  <c r="O81" i="154"/>
  <c r="O82" i="154"/>
  <c r="O84" i="154"/>
  <c r="O85" i="154"/>
  <c r="O87" i="154"/>
  <c r="O88" i="154"/>
  <c r="O90" i="154"/>
  <c r="O91" i="154"/>
  <c r="O93" i="154"/>
  <c r="O94" i="154"/>
  <c r="O96" i="154"/>
  <c r="O97" i="154"/>
  <c r="O99" i="154"/>
  <c r="O100" i="154"/>
  <c r="O102" i="154"/>
  <c r="O103" i="154"/>
  <c r="O105" i="154"/>
  <c r="O106" i="154"/>
  <c r="O108" i="154"/>
  <c r="O109" i="154"/>
  <c r="O111" i="154"/>
  <c r="O112" i="154"/>
  <c r="O113" i="154"/>
  <c r="O114" i="154"/>
  <c r="O115" i="154"/>
  <c r="O117" i="154"/>
  <c r="O118" i="154"/>
  <c r="O120" i="154"/>
  <c r="O121" i="154"/>
  <c r="O123" i="154"/>
  <c r="O124" i="154"/>
  <c r="O126" i="154"/>
  <c r="O127" i="154"/>
  <c r="O129" i="154"/>
  <c r="O130" i="154"/>
  <c r="O132" i="154"/>
  <c r="O133" i="154"/>
  <c r="O135" i="154"/>
  <c r="O136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9" i="154"/>
  <c r="O150" i="154"/>
  <c r="O151" i="154"/>
  <c r="O152" i="154"/>
  <c r="O153" i="154"/>
  <c r="O154" i="154"/>
  <c r="O156" i="154"/>
  <c r="O157" i="154"/>
  <c r="O158" i="154"/>
  <c r="O159" i="154"/>
  <c r="O161" i="154"/>
  <c r="O162" i="154"/>
  <c r="O164" i="154"/>
  <c r="O165" i="154"/>
  <c r="O166" i="154"/>
  <c r="O167" i="154"/>
  <c r="O169" i="154"/>
  <c r="O170" i="154"/>
  <c r="O171" i="154"/>
  <c r="O172" i="154"/>
  <c r="O174" i="154"/>
  <c r="O175" i="154"/>
  <c r="O176" i="154"/>
  <c r="O177" i="154"/>
  <c r="O178" i="154"/>
  <c r="O179" i="154"/>
  <c r="O181" i="154"/>
  <c r="O182" i="154"/>
  <c r="O184" i="154"/>
  <c r="O185" i="154"/>
  <c r="O186" i="154"/>
  <c r="O187" i="154"/>
  <c r="O189" i="154"/>
  <c r="O190" i="154"/>
  <c r="O191" i="154"/>
  <c r="O192" i="154"/>
  <c r="O193" i="154"/>
  <c r="O194" i="154"/>
  <c r="O196" i="154"/>
  <c r="O197" i="154"/>
  <c r="O198" i="154"/>
  <c r="O199" i="154"/>
  <c r="O201" i="154"/>
  <c r="O202" i="154"/>
  <c r="O203" i="154"/>
  <c r="O204" i="154"/>
  <c r="O206" i="154"/>
  <c r="O207" i="154"/>
  <c r="O208" i="154"/>
  <c r="O209" i="154"/>
  <c r="O210" i="154"/>
  <c r="O211" i="154"/>
  <c r="O213" i="154"/>
  <c r="O214" i="154"/>
  <c r="O221" i="154"/>
  <c r="O222" i="154"/>
  <c r="O223" i="154"/>
  <c r="O224" i="154"/>
  <c r="O226" i="154"/>
  <c r="O227" i="154"/>
  <c r="O229" i="154"/>
  <c r="O230" i="154"/>
  <c r="O231" i="154"/>
  <c r="O232" i="154"/>
  <c r="O234" i="154"/>
  <c r="O235" i="154"/>
  <c r="O237" i="154"/>
  <c r="O238" i="154"/>
  <c r="O239" i="154"/>
  <c r="O240" i="154"/>
  <c r="O242" i="154"/>
  <c r="O243" i="154"/>
  <c r="O244" i="154"/>
  <c r="O245" i="154"/>
  <c r="O246" i="154"/>
  <c r="O247" i="154"/>
  <c r="O249" i="154"/>
  <c r="O250" i="154"/>
  <c r="O252" i="154"/>
  <c r="O253" i="154"/>
  <c r="O255" i="154"/>
  <c r="O256" i="154"/>
  <c r="O258" i="154"/>
  <c r="O259" i="154"/>
  <c r="O260" i="154"/>
  <c r="O261" i="154"/>
  <c r="R4" i="153"/>
  <c r="O266" i="154"/>
  <c r="O267" i="154"/>
  <c r="O268" i="154"/>
  <c r="O269" i="154"/>
  <c r="O274" i="154"/>
  <c r="O275" i="154"/>
  <c r="O276" i="154"/>
  <c r="O277" i="154"/>
  <c r="O278" i="154"/>
  <c r="O279" i="154"/>
  <c r="O281" i="154"/>
  <c r="O282" i="154"/>
  <c r="O284" i="154"/>
  <c r="O285" i="154"/>
  <c r="O294" i="154"/>
  <c r="O295" i="154"/>
  <c r="O296" i="154"/>
  <c r="O299" i="154"/>
  <c r="O300" i="154"/>
  <c r="O301" i="154"/>
  <c r="O302" i="154"/>
  <c r="O305" i="154"/>
  <c r="O308" i="154"/>
  <c r="O309" i="154"/>
  <c r="O310" i="154"/>
  <c r="O313" i="154"/>
  <c r="O314" i="154"/>
  <c r="O315" i="154"/>
  <c r="O316" i="154"/>
  <c r="O317" i="154"/>
  <c r="O320" i="154"/>
  <c r="O321" i="154"/>
  <c r="O322" i="154"/>
  <c r="O323" i="154"/>
  <c r="O328" i="154"/>
  <c r="O329" i="154"/>
  <c r="O330" i="154"/>
  <c r="O331" i="154"/>
  <c r="O332" i="154"/>
  <c r="O333" i="154"/>
  <c r="O336" i="154"/>
  <c r="O337" i="154"/>
  <c r="O338" i="154"/>
  <c r="O341" i="154"/>
  <c r="O342" i="154"/>
  <c r="R5" i="153"/>
  <c r="O343" i="154"/>
  <c r="R6" i="153"/>
  <c r="O347" i="154"/>
  <c r="O348" i="154"/>
  <c r="G22" i="153"/>
  <c r="H22" i="153"/>
  <c r="O349" i="154"/>
  <c r="G23" i="153"/>
  <c r="H23" i="153"/>
  <c r="O350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A350" i="158"/>
  <c r="H350" i="158"/>
  <c r="K350" i="158"/>
  <c r="L350" i="158"/>
  <c r="M350" i="158"/>
  <c r="N350" i="158"/>
  <c r="A349" i="158"/>
  <c r="H349" i="158"/>
  <c r="K349" i="158"/>
  <c r="L349" i="158"/>
  <c r="M349" i="158"/>
  <c r="N349" i="158"/>
  <c r="A346" i="158"/>
  <c r="H346" i="158"/>
  <c r="K346" i="158"/>
  <c r="L346" i="158"/>
  <c r="M346" i="158"/>
  <c r="N346" i="158"/>
  <c r="A347" i="158"/>
  <c r="H347" i="158"/>
  <c r="K347" i="158"/>
  <c r="L347" i="158"/>
  <c r="M347" i="158"/>
  <c r="N347" i="158"/>
  <c r="A348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O262" i="154"/>
  <c r="O264" i="154"/>
  <c r="O270" i="154"/>
  <c r="O272" i="154"/>
  <c r="G21" i="153"/>
  <c r="H21" i="153"/>
  <c r="O53" i="154"/>
  <c r="O56" i="154"/>
  <c r="O59" i="154"/>
  <c r="O62" i="154"/>
  <c r="O65" i="154"/>
  <c r="O68" i="154"/>
  <c r="O71" i="154"/>
  <c r="O74" i="154"/>
  <c r="O77" i="154"/>
  <c r="O80" i="154"/>
  <c r="O83" i="154"/>
  <c r="O86" i="154"/>
  <c r="O89" i="154"/>
  <c r="O92" i="154"/>
  <c r="O95" i="154"/>
  <c r="O98" i="154"/>
  <c r="O101" i="154"/>
  <c r="O104" i="154"/>
  <c r="O107" i="154"/>
  <c r="O110" i="154"/>
  <c r="O116" i="154"/>
  <c r="O119" i="154"/>
  <c r="O122" i="154"/>
  <c r="O125" i="154"/>
  <c r="O128" i="154"/>
  <c r="O131" i="154"/>
  <c r="O134" i="154"/>
  <c r="O137" i="154"/>
  <c r="O148" i="154"/>
  <c r="O155" i="154"/>
  <c r="O160" i="154"/>
  <c r="O163" i="154"/>
  <c r="O168" i="154"/>
  <c r="O173" i="154"/>
  <c r="O180" i="154"/>
  <c r="O183" i="154"/>
  <c r="O188" i="154"/>
  <c r="O195" i="154"/>
  <c r="O200" i="154"/>
  <c r="O205" i="154"/>
  <c r="O212" i="154"/>
  <c r="O215" i="154"/>
  <c r="O216" i="154"/>
  <c r="O217" i="154"/>
  <c r="O218" i="154"/>
  <c r="O219" i="154"/>
  <c r="O220" i="154"/>
  <c r="O225" i="154"/>
  <c r="O228" i="154"/>
  <c r="O233" i="154"/>
  <c r="O236" i="154"/>
  <c r="O241" i="154"/>
  <c r="O248" i="154"/>
  <c r="O251" i="154"/>
  <c r="O254" i="154"/>
  <c r="O257" i="154"/>
  <c r="O263" i="154"/>
  <c r="O265" i="154"/>
  <c r="O271" i="154"/>
  <c r="O273" i="154"/>
  <c r="O280" i="154"/>
  <c r="O283" i="154"/>
  <c r="O286" i="154"/>
  <c r="O287" i="154"/>
  <c r="O288" i="154"/>
  <c r="O289" i="154"/>
  <c r="O290" i="154"/>
  <c r="O291" i="154"/>
  <c r="O292" i="154"/>
  <c r="O293" i="154"/>
  <c r="O297" i="154"/>
  <c r="O298" i="154"/>
  <c r="O303" i="154"/>
  <c r="O304" i="154"/>
  <c r="O306" i="154"/>
  <c r="O307" i="154"/>
  <c r="O311" i="154"/>
  <c r="O312" i="154"/>
  <c r="O318" i="154"/>
  <c r="O319" i="154"/>
  <c r="O324" i="154"/>
  <c r="O325" i="154"/>
  <c r="O326" i="154"/>
  <c r="O327" i="154"/>
  <c r="O334" i="154"/>
  <c r="O335" i="154"/>
  <c r="O339" i="154"/>
  <c r="O340" i="154"/>
  <c r="O344" i="154"/>
  <c r="O345" i="154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<sst xmlns="http://schemas.openxmlformats.org/spreadsheetml/2006/main" count="535" uniqueCount="256">
  <si>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</si>
  <si>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</si>
  <si>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</si>
  <si>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</si>
  <si>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</si>
  <si>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</si>
  <si>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</si>
  <si>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</si>
  <si>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</si>
  <si>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</si>
  <si>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</si>
  <si>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</si>
  <si>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</si>
  <si>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</si>
  <si>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</si>
  <si>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</si>
  <si>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</si>
  <si>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</si>
  <si>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</si>
  <si>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</si>
  <si>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</si>
  <si>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</si>
  <si>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</si>
  <si>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</si>
  <si>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</si>
  <si>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</si>
  <si>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</si>
  <si>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</si>
  <si>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</si>
  <si>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</si>
  <si>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</si>
  <si>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</si>
  <si>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</si>
  <si>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</si>
  <si>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</si>
  <si>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</si>
  <si>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</si>
  <si>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</si>
  <si>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</si>
  <si>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</si>
  <si>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</si>
  <si>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</si>
  <si>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</si>
  <si>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</si>
  <si>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</si>
  <si>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</si>
  <si>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</si>
  <si>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</si>
  <si>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</si>
  <si>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</si>
  <si>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</si>
  <si>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</si>
  <si>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</si>
  <si>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</si>
  <si>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</si>
  <si>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</si>
  <si>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</si>
  <si>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</si>
  <si>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</si>
  <si>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</si>
  <si>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</si>
  <si>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</si>
  <si>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</si>
  <si>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</si>
  <si>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</si>
  <si>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</si>
  <si>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</si>
  <si>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</si>
  <si>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</si>
  <si>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</si>
  <si>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</si>
  <si>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</si>
  <si>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</si>
  <si>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</si>
  <si>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</si>
  <si>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</si>
  <si>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</si>
  <si>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</si>
  <si>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</si>
  <si>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</si>
  <si>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</si>
  <si>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</si>
  <si>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</si>
  <si>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</si>
  <si>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</si>
  <si>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</si>
  <si>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</si>
  <si>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</si>
  <si>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</si>
  <si>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</si>
  <si>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</si>
  <si>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</si>
  <si>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</si>
  <si>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</si>
  <si>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</si>
  <si>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</si>
  <si>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</si>
  <si>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</si>
  <si>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</si>
  <si>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</si>
  <si>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</si>
  <si>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</si>
  <si>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</si>
  <si>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</si>
  <si>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</si>
  <si>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</si>
  <si>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</si>
  <si>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</si>
  <si>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</si>
  <si>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</si>
  <si>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</si>
  <si>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</si>
  <si>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</si>
  <si>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</si>
  <si>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</si>
  <si>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</si>
  <si>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</si>
  <si>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</si>
  <si>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</si>
  <si>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</si>
  <si>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</si>
  <si>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</si>
  <si>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</si>
  <si>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</si>
  <si>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</si>
  <si>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</si>
  <si>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</si>
  <si>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</si>
  <si>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</si>
  <si>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</si>
  <si>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</si>
  <si>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</si>
  <si>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</si>
  <si>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</si>
  <si>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</si>
  <si>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</si>
  <si>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</si>
  <si>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</si>
  <si>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</si>
  <si>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</si>
  <si>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</si>
  <si>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</si>
  <si>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</si>
  <si>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</si>
  <si>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</si>
  <si>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</si>
  <si>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</si>
  <si>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</si>
  <si>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</si>
  <si>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</si>
  <si>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</si>
  <si>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</si>
  <si>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</si>
  <si>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</si>
  <si>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</si>
  <si>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</si>
  <si>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</si>
  <si>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</si>
  <si>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</si>
  <si>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</si>
  <si>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</si>
  <si>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</si>
  <si>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</si>
  <si>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</si>
  <si>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</si>
  <si>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</si>
  <si>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</si>
  <si>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</si>
  <si>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</si>
  <si>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</si>
  <si>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</si>
  <si>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</si>
  <si>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</si>
  <si>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</si>
  <si>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</si>
  <si>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</si>
  <si>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</si>
  <si>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</si>
  <si>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</si>
  <si>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</si>
  <si>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</si>
  <si>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</si>
  <si>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</si>
  <si>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</si>
  <si>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</si>
  <si>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</si>
  <si>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</si>
  <si>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</si>
  <si>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</si>
  <si>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</si>
  <si>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</si>
  <si>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</si>
  <si>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</si>
  <si>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</si>
  <si>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</si>
  <si>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</si>
  <si>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</si>
  <si>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</si>
  <si>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</si>
  <si>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</si>
  <si>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</si>
  <si>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</si>
  <si>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</si>
  <si>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</si>
  <si>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</si>
  <si>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</si>
  <si>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</si>
  <si>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</si>
  <si>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</si>
  <si>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</si>
  <si>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</si>
  <si>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</si>
  <si>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</si>
  <si>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</si>
  <si>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</si>
  <si>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</si>
  <si>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</si>
  <si>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</si>
  <si>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</si>
  <si>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</si>
  <si>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</si>
  <si>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</si>
  <si>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</si>
  <si>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</si>
  <si>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</si>
  <si>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</si>
  <si>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</si>
  <si>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</si>
  <si>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</si>
  <si>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</si>
  <si>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</si>
  <si>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</si>
  <si>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</si>
  <si>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</si>
  <si>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</si>
  <si>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</si>
  <si>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</si>
  <si>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</si>
  <si>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</si>
  <si>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</si>
  <si>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</si>
  <si>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</si>
  <si>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</si>
  <si>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</si>
  <si>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</si>
  <si>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</si>
  <si>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</si>
  <si>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</si>
  <si>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</si>
  <si>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</si>
  <si>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</si>
  <si>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</si>
  <si>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</si>
  <si>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tables_527100</t>
    <phoneticPr fontId="21"/>
  </si>
  <si>
    <t>tables_527010</t>
    <phoneticPr fontId="21"/>
  </si>
  <si>
    <t>tables_settle_527100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</si>
</sst>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2" fillId="4" borderId="1" xfId="2978" applyFont="1" applyFill="1" applyBorder="1"/>
    <xf numFmtId="0" fontId="53" fillId="3" borderId="14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1504</v>
          </cell>
          <cell r="B1386" t="str">
            <v>ja</v>
          </cell>
          <cell r="C1386" t="str">
            <v>ネコ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red</v>
          </cell>
          <cell r="I1386">
            <v>1</v>
          </cell>
          <cell r="J1386" t="str">
            <v>Drop1T</v>
          </cell>
          <cell r="K1386" t="str">
            <v>balance</v>
          </cell>
          <cell r="L1386" t="str">
            <v>バランスタイプ</v>
          </cell>
          <cell r="M1386" t="str">
            <v>unknown</v>
          </cell>
        </row>
        <row r="1387">
          <cell r="A1387">
            <v>1505</v>
          </cell>
          <cell r="B1387" t="str">
            <v>ja</v>
          </cell>
          <cell r="C1387" t="str">
            <v>タンクネコ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green</v>
          </cell>
          <cell r="I1387">
            <v>1</v>
          </cell>
          <cell r="J1387" t="str">
            <v>Drop1T</v>
          </cell>
          <cell r="K1387" t="str">
            <v>hp</v>
          </cell>
          <cell r="L1387" t="str">
            <v>体力タイプ</v>
          </cell>
          <cell r="M1387" t="str">
            <v>unknown</v>
          </cell>
        </row>
        <row r="1388">
          <cell r="A1388">
            <v>1506</v>
          </cell>
          <cell r="B1388" t="str">
            <v>ja</v>
          </cell>
          <cell r="C1388" t="str">
            <v>バトルネコ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yellow</v>
          </cell>
          <cell r="I1388">
            <v>2</v>
          </cell>
          <cell r="J1388" t="str">
            <v>Drop1S</v>
          </cell>
          <cell r="K1388" t="str">
            <v>attack</v>
          </cell>
          <cell r="L1388" t="str">
            <v>攻撃タイプ</v>
          </cell>
          <cell r="M1388" t="str">
            <v>unknown</v>
          </cell>
        </row>
        <row r="1389">
          <cell r="A1389">
            <v>1507</v>
          </cell>
          <cell r="B1389" t="str">
            <v>ja</v>
          </cell>
          <cell r="C1389" t="str">
            <v>キモネコ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blue</v>
          </cell>
          <cell r="I1389">
            <v>3</v>
          </cell>
          <cell r="J1389" t="str">
            <v>Drop2N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1508</v>
          </cell>
          <cell r="B1390" t="str">
            <v>ja</v>
          </cell>
          <cell r="C1390" t="str">
            <v>ネコノトリ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red</v>
          </cell>
          <cell r="I1390">
            <v>4</v>
          </cell>
          <cell r="J1390" t="str">
            <v>Drop2N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1509</v>
          </cell>
          <cell r="B1391" t="str">
            <v>ja</v>
          </cell>
          <cell r="C1391" t="str">
            <v>巨神ネコ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green</v>
          </cell>
          <cell r="I1391">
            <v>5</v>
          </cell>
          <cell r="J1391" t="str">
            <v>Drop2N</v>
          </cell>
          <cell r="K1391" t="str">
            <v>hp</v>
          </cell>
          <cell r="L1391" t="str">
            <v>体力タイプ</v>
          </cell>
          <cell r="M1391" t="str">
            <v>god</v>
          </cell>
        </row>
        <row r="1392">
          <cell r="A1392">
            <v>1510</v>
          </cell>
          <cell r="B1392" t="str">
            <v>ja</v>
          </cell>
          <cell r="C1392" t="str">
            <v>ネコヴァルキリー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yellow</v>
          </cell>
          <cell r="I1392">
            <v>4</v>
          </cell>
          <cell r="J1392" t="str">
            <v>DropWizS</v>
          </cell>
          <cell r="K1392" t="str">
            <v>balance</v>
          </cell>
          <cell r="L1392" t="str">
            <v>バランスタイプ</v>
          </cell>
          <cell r="M1392" t="str">
            <v>god</v>
          </cell>
        </row>
        <row r="1393">
          <cell r="A1393">
            <v>1511</v>
          </cell>
          <cell r="B1393" t="str">
            <v>ja</v>
          </cell>
          <cell r="C1393" t="str">
            <v>ネコヴァルキリー・真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5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1512</v>
          </cell>
          <cell r="B1394" t="str">
            <v>ja</v>
          </cell>
          <cell r="C1394" t="str">
            <v>ネコヴァルキリー・聖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6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1513</v>
          </cell>
          <cell r="B1395" t="str">
            <v>ja</v>
          </cell>
          <cell r="C1395" t="str">
            <v>金ネコ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4</v>
          </cell>
          <cell r="J1395" t="str">
            <v>Material</v>
          </cell>
          <cell r="K1395" t="str">
            <v>coin</v>
          </cell>
          <cell r="L1395" t="str">
            <v>コインタイプ</v>
          </cell>
          <cell r="M1395" t="str">
            <v>unknown</v>
          </cell>
        </row>
        <row r="1396">
          <cell r="A1396">
            <v>1514</v>
          </cell>
          <cell r="B1396" t="str">
            <v>ja</v>
          </cell>
          <cell r="C1396" t="str">
            <v>金ネコビルダー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5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1515</v>
          </cell>
          <cell r="B1397" t="str">
            <v>ja</v>
          </cell>
          <cell r="C1397" t="str">
            <v>メタルネコ（赤）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red</v>
          </cell>
          <cell r="I1397">
            <v>4</v>
          </cell>
          <cell r="J1397" t="str">
            <v>Material</v>
          </cell>
          <cell r="K1397" t="str">
            <v>exp</v>
          </cell>
          <cell r="L1397" t="str">
            <v>強化素材タイプ</v>
          </cell>
          <cell r="M1397" t="str">
            <v>unknown</v>
          </cell>
        </row>
        <row r="1398">
          <cell r="A1398">
            <v>1516</v>
          </cell>
          <cell r="B1398" t="str">
            <v>ja</v>
          </cell>
          <cell r="C1398" t="str">
            <v>メタルネコビルダー（赤）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5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1517</v>
          </cell>
          <cell r="B1399" t="str">
            <v>ja</v>
          </cell>
          <cell r="C1399" t="str">
            <v>メタルネコ（青）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blue</v>
          </cell>
          <cell r="I1399">
            <v>4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1518</v>
          </cell>
          <cell r="B1400" t="str">
            <v>ja</v>
          </cell>
          <cell r="C1400" t="str">
            <v>メタルネコビルダー（青）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5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1519</v>
          </cell>
          <cell r="B1401" t="str">
            <v>ja</v>
          </cell>
          <cell r="C1401" t="str">
            <v>メタルネコ（緑）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green</v>
          </cell>
          <cell r="I1401">
            <v>4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1520</v>
          </cell>
          <cell r="B1402" t="str">
            <v>ja</v>
          </cell>
          <cell r="C1402" t="str">
            <v>メタルネコビルダー（緑）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5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1521</v>
          </cell>
          <cell r="B1403" t="str">
            <v>ja</v>
          </cell>
          <cell r="C1403" t="str">
            <v>メタルネコ（黄）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1522</v>
          </cell>
          <cell r="B1404" t="str">
            <v>ja</v>
          </cell>
          <cell r="C1404" t="str">
            <v>メタルネコビルダー（黄）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1523</v>
          </cell>
          <cell r="B1405" t="str">
            <v>ja</v>
          </cell>
          <cell r="C1405" t="str">
            <v>ネコムート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blue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animal</v>
          </cell>
        </row>
        <row r="1406">
          <cell r="A1406">
            <v>1524</v>
          </cell>
          <cell r="B1406" t="str">
            <v>ja</v>
          </cell>
          <cell r="C1406" t="str">
            <v>狂乱のネコムート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6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1525</v>
          </cell>
          <cell r="B1407" t="str">
            <v>ja</v>
          </cell>
          <cell r="C1407" t="str">
            <v>狂乱のネコ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red</v>
          </cell>
          <cell r="I1407">
            <v>5</v>
          </cell>
          <cell r="J1407" t="str">
            <v>DropWizSS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1526</v>
          </cell>
          <cell r="B1408" t="str">
            <v>ja</v>
          </cell>
          <cell r="C1408" t="str">
            <v>狂乱のネコビルダー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6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1527</v>
          </cell>
          <cell r="B1409" t="str">
            <v>ja</v>
          </cell>
          <cell r="C1409" t="str">
            <v>ネコ魔剣士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4</v>
          </cell>
          <cell r="J1409" t="str">
            <v>PremiumS</v>
          </cell>
          <cell r="K1409" t="str">
            <v>attack</v>
          </cell>
          <cell r="L1409" t="str">
            <v>攻撃タイプ</v>
          </cell>
          <cell r="M1409" t="str">
            <v>animal</v>
          </cell>
        </row>
        <row r="1410">
          <cell r="A1410">
            <v>1528</v>
          </cell>
          <cell r="B1410" t="str">
            <v>ja</v>
          </cell>
          <cell r="C1410" t="str">
            <v>双剣ネコ魔剣士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5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1529</v>
          </cell>
          <cell r="B1411" t="str">
            <v>ja</v>
          </cell>
          <cell r="C1411" t="str">
            <v>ねこ海賊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blue</v>
          </cell>
          <cell r="I1411">
            <v>4</v>
          </cell>
          <cell r="J1411" t="str">
            <v>PremiumS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1530</v>
          </cell>
          <cell r="B1412" t="str">
            <v>ja</v>
          </cell>
          <cell r="C1412" t="str">
            <v>ニャーコック船長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5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1531</v>
          </cell>
          <cell r="B1413" t="str">
            <v>ja</v>
          </cell>
          <cell r="C1413" t="str">
            <v>ねこジュラ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green</v>
          </cell>
          <cell r="I1413">
            <v>4</v>
          </cell>
          <cell r="J1413" t="str">
            <v>PremiumS</v>
          </cell>
          <cell r="K1413" t="str">
            <v>technical</v>
          </cell>
          <cell r="L1413" t="str">
            <v>テクニカルタイプ</v>
          </cell>
          <cell r="M1413" t="str">
            <v>animal</v>
          </cell>
        </row>
        <row r="1414">
          <cell r="A1414">
            <v>1532</v>
          </cell>
          <cell r="B1414" t="str">
            <v>ja</v>
          </cell>
          <cell r="C1414" t="str">
            <v>ねこジュラシッター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5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1533</v>
          </cell>
          <cell r="B1415" t="str">
            <v>ja</v>
          </cell>
          <cell r="C1415" t="str">
            <v>ネコエステ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yellow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1534</v>
          </cell>
          <cell r="B1416" t="str">
            <v>ja</v>
          </cell>
          <cell r="C1416" t="str">
            <v>ネコジェンヌ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5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1535</v>
          </cell>
          <cell r="B1417" t="str">
            <v>ja</v>
          </cell>
          <cell r="C1417" t="str">
            <v>ねこナース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red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god</v>
          </cell>
        </row>
        <row r="1418">
          <cell r="A1418">
            <v>1536</v>
          </cell>
          <cell r="B1418" t="str">
            <v>ja</v>
          </cell>
          <cell r="C1418" t="str">
            <v>ハートフルねこナース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1537</v>
          </cell>
          <cell r="B1419" t="str">
            <v>ja</v>
          </cell>
          <cell r="C1419" t="str">
            <v>キャットマンダディ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blue</v>
          </cell>
          <cell r="I1419">
            <v>5</v>
          </cell>
          <cell r="J1419" t="str">
            <v>PremiumSSS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1538</v>
          </cell>
          <cell r="B1420" t="str">
            <v>ja</v>
          </cell>
          <cell r="C1420" t="str">
            <v>キャットマンダーク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6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1539</v>
          </cell>
          <cell r="B1421" t="str">
            <v>ja</v>
          </cell>
          <cell r="C1421" t="str">
            <v>雷神のサンディア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yellow</v>
          </cell>
          <cell r="I1421">
            <v>5</v>
          </cell>
          <cell r="J1421" t="str">
            <v>PremiumSS</v>
          </cell>
          <cell r="K1421" t="str">
            <v>attack</v>
          </cell>
          <cell r="L1421" t="str">
            <v>攻撃タイプ</v>
          </cell>
          <cell r="M1421" t="str">
            <v>god</v>
          </cell>
        </row>
        <row r="1422">
          <cell r="A1422">
            <v>1540</v>
          </cell>
          <cell r="B1422" t="str">
            <v>ja</v>
          </cell>
          <cell r="C1422" t="str">
            <v>雷神のサンディアβ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6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1541</v>
          </cell>
          <cell r="B1423" t="str">
            <v>ja</v>
          </cell>
          <cell r="C1423" t="str">
            <v>美女神アフロディーテ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red</v>
          </cell>
          <cell r="I1423">
            <v>5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god</v>
          </cell>
        </row>
        <row r="1424">
          <cell r="A1424">
            <v>1542</v>
          </cell>
          <cell r="B1424" t="str">
            <v>ja</v>
          </cell>
          <cell r="C1424" t="str">
            <v>メガロディーテ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6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1543</v>
          </cell>
          <cell r="B1425" t="str">
            <v>ja</v>
          </cell>
          <cell r="C1425" t="str">
            <v>ツルの恩返し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blue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1544</v>
          </cell>
          <cell r="B1426" t="str">
            <v>ja</v>
          </cell>
          <cell r="C1426" t="str">
            <v>銀河戦士コスモ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1545</v>
          </cell>
          <cell r="B1427" t="str">
            <v>ja</v>
          </cell>
          <cell r="C1427" t="str">
            <v>ネコルガ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green</v>
          </cell>
          <cell r="I1427">
            <v>5</v>
          </cell>
          <cell r="J1427" t="str">
            <v>PremiumSS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1546</v>
          </cell>
          <cell r="B1428" t="str">
            <v>ja</v>
          </cell>
          <cell r="C1428" t="str">
            <v>ケセランパサラン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6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1547</v>
          </cell>
          <cell r="B1429" t="str">
            <v>ja</v>
          </cell>
          <cell r="C1429" t="str">
            <v>ネコフラワー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4</v>
          </cell>
          <cell r="J1429" t="str">
            <v>Drop2N</v>
          </cell>
          <cell r="K1429" t="str">
            <v>hp</v>
          </cell>
          <cell r="L1429" t="str">
            <v>体力タイプ</v>
          </cell>
          <cell r="M1429" t="str">
            <v>animal</v>
          </cell>
        </row>
        <row r="1430">
          <cell r="A1430">
            <v>1548</v>
          </cell>
          <cell r="B1430" t="str">
            <v>ja</v>
          </cell>
          <cell r="C1430" t="str">
            <v>にゃんこ扇風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5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1549</v>
          </cell>
          <cell r="B1431" t="str">
            <v>ja</v>
          </cell>
          <cell r="C1431" t="str">
            <v>ネコリンゴ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DropWizS</v>
          </cell>
          <cell r="K1431" t="str">
            <v>balance</v>
          </cell>
          <cell r="L1431" t="str">
            <v>バランスタイプ</v>
          </cell>
          <cell r="M1431" t="str">
            <v>unknown</v>
          </cell>
        </row>
        <row r="1432">
          <cell r="A1432">
            <v>1550</v>
          </cell>
          <cell r="B1432" t="str">
            <v>ja</v>
          </cell>
          <cell r="C1432" t="str">
            <v>カオルくん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6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5001</v>
          </cell>
          <cell r="B1433" t="str">
            <v>ja</v>
          </cell>
          <cell r="C1433" t="str">
            <v>ガルーダ</v>
          </cell>
          <cell r="D1433" t="str">
            <v>ノーマルクエスト</v>
          </cell>
          <cell r="E1433" t="str">
            <v>QoH</v>
          </cell>
          <cell r="F1433" t="str">
            <v>世界観</v>
          </cell>
          <cell r="G1433" t="str">
            <v>不明</v>
          </cell>
          <cell r="H1433" t="str">
            <v>red</v>
          </cell>
          <cell r="I1433">
            <v>5</v>
          </cell>
          <cell r="J1433" t="str">
            <v>PremiumSSw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5002</v>
          </cell>
          <cell r="B1434" t="str">
            <v>ja</v>
          </cell>
          <cell r="C1434" t="str">
            <v>ガルーダ★６</v>
          </cell>
          <cell r="D1434" t="str">
            <v>ノーマルクエスト</v>
          </cell>
          <cell r="E1434" t="str">
            <v>アバター</v>
          </cell>
          <cell r="F1434" t="str">
            <v>世界観</v>
          </cell>
          <cell r="G1434" t="str">
            <v>男性</v>
          </cell>
          <cell r="H1434" t="str">
            <v>red</v>
          </cell>
          <cell r="I1434">
            <v>6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5003</v>
          </cell>
          <cell r="B1435" t="str">
            <v>ja</v>
          </cell>
          <cell r="C1435" t="str">
            <v>ナーガ</v>
          </cell>
          <cell r="D1435" t="str">
            <v>リンクガチャ:4神</v>
          </cell>
          <cell r="E1435" t="str">
            <v>守護神</v>
          </cell>
          <cell r="F1435" t="str">
            <v>格好いい</v>
          </cell>
          <cell r="G1435" t="str">
            <v>不明</v>
          </cell>
          <cell r="H1435" t="str">
            <v>green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5004</v>
          </cell>
          <cell r="B1436" t="str">
            <v>ja</v>
          </cell>
          <cell r="C1436" t="str">
            <v>ナーガ★６</v>
          </cell>
          <cell r="D1436" t="str">
            <v>ノーマルクエスト</v>
          </cell>
          <cell r="E1436" t="str">
            <v>アバター</v>
          </cell>
          <cell r="F1436" t="str">
            <v>世界観</v>
          </cell>
          <cell r="G1436" t="str">
            <v>不明</v>
          </cell>
          <cell r="H1436" t="str">
            <v>green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5005</v>
          </cell>
          <cell r="B1437" t="str">
            <v>ja</v>
          </cell>
          <cell r="C1437" t="str">
            <v>カーミラ</v>
          </cell>
          <cell r="D1437" t="str">
            <v>ノーマルクエスト</v>
          </cell>
          <cell r="E1437" t="str">
            <v>QoH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5</v>
          </cell>
          <cell r="J1437" t="str">
            <v>PremiumSSw</v>
          </cell>
          <cell r="K1437" t="str">
            <v>balance</v>
          </cell>
          <cell r="L1437" t="str">
            <v>バランスタイプ</v>
          </cell>
          <cell r="M1437" t="str">
            <v>demon</v>
          </cell>
        </row>
        <row r="1438">
          <cell r="A1438">
            <v>5006</v>
          </cell>
          <cell r="B1438" t="str">
            <v>ja</v>
          </cell>
          <cell r="C1438" t="str">
            <v>カーミラ★６</v>
          </cell>
          <cell r="D1438" t="str">
            <v>ノーマルクエスト</v>
          </cell>
          <cell r="E1438" t="str">
            <v>アバター</v>
          </cell>
          <cell r="F1438" t="str">
            <v>世界観</v>
          </cell>
          <cell r="G1438" t="str">
            <v>男性</v>
          </cell>
          <cell r="H1438" t="str">
            <v>green</v>
          </cell>
          <cell r="I1438">
            <v>6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5007</v>
          </cell>
          <cell r="B1439" t="str">
            <v>ja</v>
          </cell>
          <cell r="C1439" t="str">
            <v>ヘルシング</v>
          </cell>
          <cell r="D1439" t="str">
            <v>リンクガチャ:4神</v>
          </cell>
          <cell r="E1439" t="str">
            <v>守護神</v>
          </cell>
          <cell r="F1439" t="str">
            <v>格好いい</v>
          </cell>
          <cell r="G1439" t="str">
            <v>不明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5008</v>
          </cell>
          <cell r="B1440" t="str">
            <v>ja</v>
          </cell>
          <cell r="C1440" t="str">
            <v>ヘルシング★６</v>
          </cell>
          <cell r="D1440" t="str">
            <v>ノーマルクエスト</v>
          </cell>
          <cell r="E1440" t="str">
            <v>アバター</v>
          </cell>
          <cell r="F1440" t="str">
            <v>世界観</v>
          </cell>
          <cell r="G1440" t="str">
            <v>不明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6001</v>
          </cell>
          <cell r="B1441" t="str">
            <v>ja</v>
          </cell>
          <cell r="C1441" t="str">
            <v>ジェリー</v>
          </cell>
          <cell r="D1441" t="str">
            <v>ノーマルクエスト</v>
          </cell>
          <cell r="E1441" t="str">
            <v>QoH</v>
          </cell>
          <cell r="F1441" t="str">
            <v>世界観</v>
          </cell>
          <cell r="G1441" t="str">
            <v>不明</v>
          </cell>
          <cell r="H1441" t="str">
            <v>red</v>
          </cell>
          <cell r="I1441">
            <v>1</v>
          </cell>
          <cell r="J1441" t="str">
            <v>Drop1T</v>
          </cell>
          <cell r="K1441" t="str">
            <v>ra</v>
          </cell>
          <cell r="L1441" t="str">
            <v>ラグランジュチャレンジ</v>
          </cell>
          <cell r="M1441" t="str">
            <v>unknown</v>
          </cell>
        </row>
        <row r="1442">
          <cell r="A1442">
            <v>6002</v>
          </cell>
          <cell r="B1442" t="str">
            <v>ja</v>
          </cell>
          <cell r="C1442" t="str">
            <v>ヨシタカ</v>
          </cell>
          <cell r="D1442" t="str">
            <v>ノーマルクエスト</v>
          </cell>
          <cell r="E1442" t="str">
            <v>アバター</v>
          </cell>
          <cell r="F1442" t="str">
            <v>世界観</v>
          </cell>
          <cell r="G1442" t="str">
            <v>男性</v>
          </cell>
          <cell r="H1442" t="str">
            <v>red</v>
          </cell>
          <cell r="I1442">
            <v>2</v>
          </cell>
          <cell r="J1442" t="str">
            <v>Drop1N</v>
          </cell>
          <cell r="K1442" t="str">
            <v>ra</v>
          </cell>
          <cell r="L1442" t="str">
            <v>ラグランジュチャレンジ</v>
          </cell>
          <cell r="M1442" t="str">
            <v>human</v>
          </cell>
        </row>
        <row r="1443">
          <cell r="A1443">
            <v>6003</v>
          </cell>
          <cell r="B1443" t="str">
            <v>ja</v>
          </cell>
          <cell r="C1443" t="str">
            <v>朱雀</v>
          </cell>
          <cell r="D1443" t="str">
            <v>リンクガチャ:4神</v>
          </cell>
          <cell r="E1443" t="str">
            <v>守護神</v>
          </cell>
          <cell r="F1443" t="str">
            <v>格好いい</v>
          </cell>
          <cell r="G1443" t="str">
            <v>不明</v>
          </cell>
          <cell r="H1443" t="str">
            <v>red</v>
          </cell>
          <cell r="I1443">
            <v>3</v>
          </cell>
          <cell r="J1443" t="str">
            <v>Drop2N</v>
          </cell>
          <cell r="K1443" t="str">
            <v>ra</v>
          </cell>
          <cell r="L1443" t="str">
            <v>ラグランジュチャレンジ</v>
          </cell>
          <cell r="M1443" t="str">
            <v>animal</v>
          </cell>
        </row>
        <row r="1444">
          <cell r="A1444">
            <v>6004</v>
          </cell>
          <cell r="B1444" t="str">
            <v>ja</v>
          </cell>
          <cell r="C1444" t="str">
            <v>ブレット</v>
          </cell>
          <cell r="D1444" t="str">
            <v>ノーマルクエスト</v>
          </cell>
          <cell r="E1444" t="str">
            <v>アバター</v>
          </cell>
          <cell r="F1444" t="str">
            <v>世界観</v>
          </cell>
          <cell r="G1444" t="str">
            <v>不明</v>
          </cell>
          <cell r="H1444" t="str">
            <v>red</v>
          </cell>
          <cell r="I1444">
            <v>1</v>
          </cell>
          <cell r="J1444" t="str">
            <v>Drop1W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6005</v>
          </cell>
          <cell r="B1445" t="str">
            <v>ja</v>
          </cell>
          <cell r="C1445" t="str">
            <v>孤神 テティス</v>
          </cell>
          <cell r="D1445" t="str">
            <v>初期ガチャ</v>
          </cell>
          <cell r="E1445" t="str">
            <v>管理者</v>
          </cell>
          <cell r="F1445" t="str">
            <v>美しい</v>
          </cell>
          <cell r="G1445" t="str">
            <v>女性</v>
          </cell>
          <cell r="H1445" t="str">
            <v>blue</v>
          </cell>
          <cell r="I1445">
            <v>4</v>
          </cell>
          <cell r="J1445" t="str">
            <v>PremiumN</v>
          </cell>
          <cell r="K1445" t="str">
            <v>ra</v>
          </cell>
          <cell r="L1445" t="str">
            <v>ラグランジュチャレンジ</v>
          </cell>
          <cell r="M1445" t="str">
            <v>god</v>
          </cell>
        </row>
        <row r="1446">
          <cell r="A1446">
            <v>6006</v>
          </cell>
          <cell r="B1446" t="str">
            <v>ja</v>
          </cell>
          <cell r="C1446" t="str">
            <v>海底の孤高神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5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6007</v>
          </cell>
          <cell r="B1447" t="str">
            <v>ja</v>
          </cell>
          <cell r="C1447" t="str">
            <v>番犬 ケルベロス</v>
          </cell>
          <cell r="D1447" t="str">
            <v>初期ガチャ</v>
          </cell>
          <cell r="E1447" t="str">
            <v>破界者</v>
          </cell>
          <cell r="F1447" t="str">
            <v>可愛い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animal</v>
          </cell>
        </row>
        <row r="1448">
          <cell r="A1448">
            <v>6008</v>
          </cell>
          <cell r="B1448" t="str">
            <v>ja</v>
          </cell>
          <cell r="C1448" t="str">
            <v>焔神 プロメテウス</v>
          </cell>
          <cell r="D1448" t="str">
            <v>初期ガチャ</v>
          </cell>
          <cell r="E1448" t="str">
            <v>管理者</v>
          </cell>
          <cell r="F1448" t="str">
            <v>格好いい</v>
          </cell>
          <cell r="G1448" t="str">
            <v>男性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god</v>
          </cell>
        </row>
        <row r="1449">
          <cell r="A1449">
            <v>6009</v>
          </cell>
          <cell r="B1449" t="str">
            <v>ja</v>
          </cell>
          <cell r="C1449" t="str">
            <v>超越自我 ラグランジュ</v>
          </cell>
          <cell r="D1449" t="str">
            <v>ガチャ:フィーバーフェス02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5</v>
          </cell>
          <cell r="J1449" t="str">
            <v>PremiumSSS</v>
          </cell>
          <cell r="K1449" t="str">
            <v>ra</v>
          </cell>
          <cell r="L1449" t="str">
            <v>ラグランジュチャレンジ</v>
          </cell>
          <cell r="M1449" t="str">
            <v>human</v>
          </cell>
        </row>
        <row r="1450">
          <cell r="A1450">
            <v>6010</v>
          </cell>
          <cell r="B1450" t="str">
            <v>ja</v>
          </cell>
          <cell r="C1450" t="str">
            <v>超越凌駕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6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6011</v>
          </cell>
          <cell r="B1451" t="str">
            <v>ja</v>
          </cell>
          <cell r="C1451" t="str">
            <v>パトドッグリーダー ポチ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男性</v>
          </cell>
          <cell r="H1451" t="str">
            <v>blue</v>
          </cell>
          <cell r="I1451">
            <v>2</v>
          </cell>
          <cell r="J1451" t="str">
            <v>Drop1T</v>
          </cell>
          <cell r="K1451" t="str">
            <v>ra002</v>
          </cell>
          <cell r="L1451" t="str">
            <v>ユークリッドチャレンジ</v>
          </cell>
          <cell r="M1451" t="str">
            <v>unknown</v>
          </cell>
        </row>
        <row r="1452">
          <cell r="A1452">
            <v>6012</v>
          </cell>
          <cell r="B1452" t="str">
            <v>ja</v>
          </cell>
          <cell r="C1452" t="str">
            <v>ミミ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yellow</v>
          </cell>
          <cell r="I1452">
            <v>1</v>
          </cell>
          <cell r="J1452" t="str">
            <v>Drop1W</v>
          </cell>
          <cell r="K1452" t="str">
            <v>ra002</v>
          </cell>
          <cell r="L1452" t="str">
            <v>ユークリッドチャレンジ</v>
          </cell>
          <cell r="M1452" t="str">
            <v>animal</v>
          </cell>
        </row>
        <row r="1453">
          <cell r="A1453">
            <v>6013</v>
          </cell>
          <cell r="B1453" t="str">
            <v>ja</v>
          </cell>
          <cell r="C1453" t="str">
            <v>護衛機人 スケアクロウ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blue</v>
          </cell>
          <cell r="I1453">
            <v>2</v>
          </cell>
          <cell r="J1453" t="str">
            <v>Drop1N</v>
          </cell>
          <cell r="K1453" t="str">
            <v>ra002</v>
          </cell>
          <cell r="L1453" t="str">
            <v>ユークリッドチャレンジ</v>
          </cell>
          <cell r="M1453" t="str">
            <v>machine</v>
          </cell>
        </row>
        <row r="1454">
          <cell r="A1454">
            <v>6014</v>
          </cell>
          <cell r="B1454" t="str">
            <v>ja</v>
          </cell>
          <cell r="C1454" t="str">
            <v>月下の人狼 ローレンス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4</v>
          </cell>
          <cell r="J1454" t="str">
            <v>PremiumW</v>
          </cell>
          <cell r="K1454" t="str">
            <v>ra002</v>
          </cell>
          <cell r="L1454" t="str">
            <v>ユークリッドチャレンジ</v>
          </cell>
          <cell r="M1454" t="str">
            <v>animal</v>
          </cell>
        </row>
        <row r="1455">
          <cell r="A1455">
            <v>6015</v>
          </cell>
          <cell r="B1455" t="str">
            <v>ja</v>
          </cell>
          <cell r="C1455" t="str">
            <v>フレイヤ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PremiumSS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6016</v>
          </cell>
          <cell r="B1456" t="str">
            <v>ja</v>
          </cell>
          <cell r="C1456" t="str">
            <v>根原論理 ユークリッド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5</v>
          </cell>
          <cell r="J1456" t="str">
            <v>PremiumSSS</v>
          </cell>
          <cell r="K1456" t="str">
            <v>ra002</v>
          </cell>
          <cell r="L1456" t="str">
            <v>ユークリッドチャレンジ</v>
          </cell>
          <cell r="M1456" t="str">
            <v>human</v>
          </cell>
        </row>
        <row r="1457">
          <cell r="A1457">
            <v>6017</v>
          </cell>
          <cell r="B1457" t="str">
            <v>ja</v>
          </cell>
          <cell r="C1457" t="str">
            <v>不朽の極論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6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6018</v>
          </cell>
          <cell r="B1458" t="str">
            <v>ja</v>
          </cell>
          <cell r="C1458" t="str">
            <v>ハヅル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red</v>
          </cell>
          <cell r="I1458">
            <v>4</v>
          </cell>
          <cell r="J1458" t="str">
            <v>PremiumSS</v>
          </cell>
          <cell r="K1458" t="str">
            <v>ra002</v>
          </cell>
          <cell r="L1458" t="str">
            <v>ユークリッドチャレンジ</v>
          </cell>
          <cell r="M1458" t="str">
            <v>animal</v>
          </cell>
        </row>
        <row r="1459">
          <cell r="A1459">
            <v>6019</v>
          </cell>
          <cell r="B1459" t="str">
            <v>ja</v>
          </cell>
          <cell r="C1459" t="str">
            <v>天織羽鶴 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5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6020</v>
          </cell>
          <cell r="B1460" t="str">
            <v>ja</v>
          </cell>
          <cell r="C1460" t="str">
            <v>ミズチ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4</v>
          </cell>
          <cell r="J1460" t="str">
            <v>PremiumS</v>
          </cell>
          <cell r="K1460" t="str">
            <v>ra002</v>
          </cell>
          <cell r="L1460" t="str">
            <v>ユークリッドチャレンジ</v>
          </cell>
          <cell r="M1460" t="str">
            <v>dragon</v>
          </cell>
        </row>
        <row r="1461">
          <cell r="A1461">
            <v>8001</v>
          </cell>
          <cell r="B1461" t="str">
            <v>ja</v>
          </cell>
          <cell r="C1461" t="str">
            <v>媽祖</v>
          </cell>
          <cell r="D1461" t="str">
            <v>イベント:ミクコラボ01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8002</v>
          </cell>
          <cell r="B1462" t="str">
            <v>ja</v>
          </cell>
          <cell r="C1462" t="str">
            <v>宣導する天海妃 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8003</v>
          </cell>
          <cell r="B1463" t="str">
            <v>ja</v>
          </cell>
          <cell r="C1463" t="str">
            <v>蛟龍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DropWizS</v>
          </cell>
          <cell r="K1463" t="str">
            <v>hp</v>
          </cell>
          <cell r="L1463" t="str">
            <v>体力タイプ</v>
          </cell>
          <cell r="M1463" t="str">
            <v>dragon</v>
          </cell>
        </row>
        <row r="1464">
          <cell r="A1464">
            <v>8004</v>
          </cell>
          <cell r="B1464" t="str">
            <v>ja</v>
          </cell>
          <cell r="C1464" t="str">
            <v>呼嵐の蒼棲龍 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6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8005</v>
          </cell>
          <cell r="B1465" t="str">
            <v>ja</v>
          </cell>
          <cell r="C1465" t="str">
            <v>三蔵法師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human</v>
          </cell>
        </row>
        <row r="1466">
          <cell r="A1466">
            <v>8006</v>
          </cell>
          <cell r="B1466" t="str">
            <v>ja</v>
          </cell>
          <cell r="C1466" t="str">
            <v>慈戒の呪封使 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8007</v>
          </cell>
          <cell r="B1467" t="str">
            <v>ja</v>
          </cell>
          <cell r="C1467" t="str">
            <v>孫悟空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DropWizS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8008</v>
          </cell>
          <cell r="B1468" t="str">
            <v>ja</v>
          </cell>
          <cell r="C1468" t="str">
            <v>花果の天猿仙人 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6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8009</v>
          </cell>
          <cell r="B1469" t="str">
            <v>ja</v>
          </cell>
          <cell r="C1469" t="str">
            <v>西王娘娘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green</v>
          </cell>
          <cell r="I1469">
            <v>5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8010</v>
          </cell>
          <cell r="B1470" t="str">
            <v>ja</v>
          </cell>
          <cell r="C1470" t="str">
            <v>極楽瑶池の聖母 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6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8011</v>
          </cell>
          <cell r="B1471" t="str">
            <v>ja</v>
          </cell>
          <cell r="C1471" t="str">
            <v>月下老人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god</v>
          </cell>
        </row>
        <row r="1472">
          <cell r="A1472">
            <v>8012</v>
          </cell>
          <cell r="B1472" t="str">
            <v>ja</v>
          </cell>
          <cell r="C1472" t="str">
            <v>破戀斬る縁剣 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8013</v>
          </cell>
          <cell r="B1473" t="str">
            <v>ja</v>
          </cell>
          <cell r="C1473" t="str">
            <v>初音ミクV3</v>
          </cell>
          <cell r="D1473" t="str">
            <v>初音ミクV3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unknown</v>
          </cell>
        </row>
        <row r="1474">
          <cell r="A1474">
            <v>8014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8015</v>
          </cell>
          <cell r="B1475" t="str">
            <v>ja</v>
          </cell>
          <cell r="C1475" t="str">
            <v>初音ミク・アペンド</v>
          </cell>
          <cell r="D1475" t="str">
            <v>初音ミク・アペンド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green</v>
          </cell>
          <cell r="I1475">
            <v>4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unknown</v>
          </cell>
        </row>
        <row r="1476">
          <cell r="A1476">
            <v>8016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5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8017</v>
          </cell>
          <cell r="B1477" t="str">
            <v>ja</v>
          </cell>
          <cell r="C1477" t="str">
            <v>初音ミク</v>
          </cell>
          <cell r="D1477" t="str">
            <v>初音ミク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4</v>
          </cell>
          <cell r="J1477" t="str">
            <v>PremiumSSS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8018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5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8019</v>
          </cell>
          <cell r="B1479" t="str">
            <v>ja</v>
          </cell>
          <cell r="C1479" t="str">
            <v>鏡音リン</v>
          </cell>
          <cell r="D1479" t="str">
            <v>鏡音リン</v>
          </cell>
          <cell r="E1479" t="str">
            <v>執行者</v>
          </cell>
          <cell r="F1479" t="str">
            <v>格好いい</v>
          </cell>
          <cell r="G1479" t="str">
            <v>男性</v>
          </cell>
          <cell r="H1479" t="str">
            <v>yellow</v>
          </cell>
          <cell r="I1479">
            <v>4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8020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5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8021</v>
          </cell>
          <cell r="B1481" t="str">
            <v>ja</v>
          </cell>
          <cell r="C1481" t="str">
            <v>鏡音レン</v>
          </cell>
          <cell r="D1481" t="str">
            <v>鏡音レン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8022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8023</v>
          </cell>
          <cell r="B1483" t="str">
            <v>ja</v>
          </cell>
          <cell r="C1483" t="str">
            <v>巡音ルカ</v>
          </cell>
          <cell r="D1483" t="str">
            <v>巡音ルカ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8024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8025</v>
          </cell>
          <cell r="B1485" t="str">
            <v>ja</v>
          </cell>
          <cell r="C1485" t="str">
            <v>MEIKO</v>
          </cell>
          <cell r="D1485" t="str">
            <v>MEIKO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red</v>
          </cell>
          <cell r="I1485">
            <v>3</v>
          </cell>
          <cell r="J1485" t="str">
            <v>PremiumS</v>
          </cell>
          <cell r="K1485" t="str">
            <v>hp</v>
          </cell>
          <cell r="L1485" t="str">
            <v>体力タイプ</v>
          </cell>
          <cell r="M1485" t="str">
            <v>unknown</v>
          </cell>
        </row>
        <row r="1486">
          <cell r="A1486">
            <v>8026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8027</v>
          </cell>
          <cell r="B1487" t="str">
            <v>ja</v>
          </cell>
          <cell r="C1487" t="str">
            <v>KAITO</v>
          </cell>
          <cell r="D1487" t="str">
            <v>KAITO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3</v>
          </cell>
          <cell r="J1487" t="str">
            <v>PremiumS</v>
          </cell>
          <cell r="K1487" t="str">
            <v>technical</v>
          </cell>
          <cell r="L1487" t="str">
            <v>テクニカルタイプ</v>
          </cell>
          <cell r="M1487" t="str">
            <v>unknown</v>
          </cell>
        </row>
        <row r="1488">
          <cell r="A1488">
            <v>8028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4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8029</v>
          </cell>
          <cell r="B1489" t="str">
            <v>ja</v>
          </cell>
          <cell r="C1489" t="str">
            <v>Expoミク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Drop2N</v>
          </cell>
          <cell r="K1489" t="str">
            <v>heal</v>
          </cell>
          <cell r="L1489" t="str">
            <v>回復タイプ</v>
          </cell>
          <cell r="M1489" t="str">
            <v>unknown</v>
          </cell>
        </row>
        <row r="1490">
          <cell r="A1490">
            <v>8030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8031</v>
          </cell>
          <cell r="B1491" t="str">
            <v>ja</v>
          </cell>
          <cell r="C1491" t="str">
            <v>閻羅王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red</v>
          </cell>
          <cell r="I1491">
            <v>5</v>
          </cell>
          <cell r="J1491" t="str">
            <v>PremiumSS</v>
          </cell>
          <cell r="K1491" t="str">
            <v>balance</v>
          </cell>
          <cell r="L1491" t="str">
            <v>バランスタイプ</v>
          </cell>
          <cell r="M1491" t="str">
            <v>god</v>
          </cell>
        </row>
        <row r="1492">
          <cell r="A1492">
            <v>8032</v>
          </cell>
          <cell r="B1492" t="str">
            <v>ja</v>
          </cell>
          <cell r="C1492" t="str">
            <v>六道輪廻の絶獄 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6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8033</v>
          </cell>
          <cell r="B1493" t="str">
            <v>ja</v>
          </cell>
          <cell r="C1493" t="str">
            <v>牛頭馬面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green</v>
          </cell>
          <cell r="I1493">
            <v>5</v>
          </cell>
          <cell r="J1493" t="str">
            <v>DropWizS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8034</v>
          </cell>
          <cell r="B1494" t="str">
            <v>ja</v>
          </cell>
          <cell r="C1494" t="str">
            <v>冥府狩る魂使 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6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8035</v>
          </cell>
          <cell r="B1495" t="str">
            <v>ja</v>
          </cell>
          <cell r="C1495" t="str">
            <v>飛衛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heal</v>
          </cell>
          <cell r="L1495" t="str">
            <v>回復タイプ</v>
          </cell>
          <cell r="M1495" t="str">
            <v>human</v>
          </cell>
        </row>
        <row r="1496">
          <cell r="A1496">
            <v>8036</v>
          </cell>
          <cell r="B1496" t="str">
            <v>ja</v>
          </cell>
          <cell r="C1496" t="str">
            <v>レア６飛衛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8037</v>
          </cell>
          <cell r="B1497" t="str">
            <v>ja</v>
          </cell>
          <cell r="C1497" t="str">
            <v>紀昌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human</v>
          </cell>
        </row>
        <row r="1498">
          <cell r="A1498">
            <v>8038</v>
          </cell>
          <cell r="B1498" t="str">
            <v>ja</v>
          </cell>
          <cell r="C1498" t="str">
            <v>レア６紀昌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8039</v>
          </cell>
          <cell r="B1499" t="str">
            <v>ja</v>
          </cell>
          <cell r="C1499" t="str">
            <v>何仙姑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PremiumSSw</v>
          </cell>
          <cell r="K1499" t="str">
            <v>hp</v>
          </cell>
          <cell r="L1499" t="str">
            <v>体力タイプ</v>
          </cell>
          <cell r="M1499" t="str">
            <v>god</v>
          </cell>
        </row>
        <row r="1500">
          <cell r="A1500">
            <v>8040</v>
          </cell>
          <cell r="B1500" t="str">
            <v>ja</v>
          </cell>
          <cell r="C1500" t="str">
            <v>レア６何仙姑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8041</v>
          </cell>
          <cell r="B1501" t="str">
            <v>ja</v>
          </cell>
          <cell r="C1501" t="str">
            <v>藍采和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6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yellow</v>
          </cell>
          <cell r="I1543">
            <v>5</v>
          </cell>
          <cell r="J1543" t="str">
            <v>DropWizSS</v>
          </cell>
          <cell r="K1543" t="str">
            <v>technical</v>
          </cell>
          <cell r="L1543" t="str">
            <v>テクニカルタイプ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6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red</v>
          </cell>
          <cell r="I1545">
            <v>5</v>
          </cell>
          <cell r="J1545" t="str">
            <v>PremiumSSS</v>
          </cell>
          <cell r="K1545" t="str">
            <v>technical</v>
          </cell>
          <cell r="L1545" t="str">
            <v>テクニカルタイプ</v>
          </cell>
          <cell r="M1545" t="str">
            <v>god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6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attack</v>
          </cell>
          <cell r="L1547" t="str">
            <v>攻撃タイプ</v>
          </cell>
          <cell r="M1547" t="str">
            <v>animal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Material</v>
          </cell>
          <cell r="K1549" t="str">
            <v>exp</v>
          </cell>
          <cell r="L1549" t="str">
            <v>強化素材タイプ</v>
          </cell>
          <cell r="M1549" t="str">
            <v>unknown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527100</v>
      </c>
      <c r="D2" s="19" t="s">
        <v>45</v>
      </c>
      <c r="E2" s="17" t="str">
        <f t="shared" ref="E2" si="1">B2&amp;C2&amp;D2</f>
        <v>gacha_select_tables_527100.tmp</v>
      </c>
      <c r="F2" s="102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527010</v>
      </c>
      <c r="D3" s="19" t="s">
        <v>45</v>
      </c>
      <c r="E3" s="17" t="str">
        <f t="shared" ref="E3:E10" si="3">B3&amp;C3&amp;D3</f>
        <v>gacha_select_tables_527010.tmp</v>
      </c>
      <c r="F3" s="102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527100</v>
      </c>
      <c r="D4" s="19" t="s">
        <v>250</v>
      </c>
      <c r="E4" s="17" t="str">
        <f t="shared" si="3"/>
        <v>gacha_settle_tables_527100.tmp</v>
      </c>
      <c r="F4" s="102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937</v>
      </c>
      <c r="M3" s="37" t="str">
        <f>VLOOKUP(L3,[1]characters!$A:$C,3,FALSE)</f>
        <v>ナポレオン</v>
      </c>
      <c r="N3" s="63">
        <v>0.03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VLOOKUP(L3,tables_527010!B:C,2,FALSE)</f>
        <v>PremiumSS5R5only</v>
      </c>
      <c r="R3" s="62">
        <f t="shared" ref="R3:R20" si="1">N3*A$36</f>
        <v>3819000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732</v>
      </c>
      <c r="M4" s="37" t="str">
        <f>VLOOKUP(L4,[1]characters!$A:$C,3,FALSE)</f>
        <v>上杉謙信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VLOOKUP(L4,tables_527010!B:C,2,FALSE)</f>
        <v>PremiumSS5R5only</v>
      </c>
      <c r="R4" s="62">
        <f t="shared" si="1"/>
        <v>3819000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0.4</v>
      </c>
      <c r="D5" t="s">
        <v>201</v>
      </c>
      <c r="E5" s="43">
        <f>(B11-H5)/(F5-I5)</f>
        <v>2.2388059701492538E-4</v>
      </c>
      <c r="F5">
        <f>(COUNTIF(tables_527010!C:C,input_527010!A28)+COUNTIF(tables_527010!C:C,input_527010!A29))</f>
        <v>69</v>
      </c>
      <c r="H5" s="84">
        <v>0.06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9.7368421052631583E-3</v>
      </c>
      <c r="F6">
        <f>(COUNTIF(tables_527010!C:C,input_527010!A25)+COUNTIF(tables_527010!C:C,input_527010!A18)+COUNTIF(tables_527010!C:C,input_527010!A20)+COUNTIF(tables_527010!C:C,input_527010!A22))</f>
        <v>95</v>
      </c>
      <c r="H6" s="89"/>
      <c r="I6" s="31"/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0.06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0.18189473684210525</v>
      </c>
      <c r="C17" s="85">
        <f t="shared" ref="C17:C31" si="2">SUMIF(Q:Q,A17,N:N)</f>
        <v>0</v>
      </c>
      <c r="D17" s="74">
        <f t="shared" ref="D17:D32" si="3">B17-C17</f>
        <v>0.18189473684210525</v>
      </c>
      <c r="E17">
        <f>COUNTIF(tables_527010!C:C,input_527010!A17)-COUNTIF(Q:Q,A17)</f>
        <v>20</v>
      </c>
      <c r="F17" s="43">
        <f>IFERROR(B17/E17,0)</f>
        <v>9.0947368421052631E-3</v>
      </c>
      <c r="G17">
        <f t="shared" ref="G17:G31" si="4">A$36*B17</f>
        <v>23155199.999999996</v>
      </c>
      <c r="H17">
        <f t="shared" ref="H17:H31" si="5">IFERROR(ROUND(G17/E17,5),0)</f>
        <v>1157760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6.1068735271013308E-2</v>
      </c>
      <c r="C18" s="85">
        <f t="shared" si="2"/>
        <v>0</v>
      </c>
      <c r="D18" s="74">
        <f t="shared" si="3"/>
        <v>6.1068735271013308E-2</v>
      </c>
      <c r="E18">
        <f>COUNTIF(tables_527010!C:C,input_527010!A18)-COUNTIF(Q:Q,A18)</f>
        <v>20</v>
      </c>
      <c r="F18" s="43">
        <f>IFERROR(B18/E18,0)</f>
        <v>3.0534367635506655E-3</v>
      </c>
      <c r="G18">
        <f t="shared" si="4"/>
        <v>7774049.9999999944</v>
      </c>
      <c r="H18">
        <f t="shared" si="5"/>
        <v>388702.5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0.20252631578947372</v>
      </c>
      <c r="C19" s="85">
        <f t="shared" si="2"/>
        <v>0</v>
      </c>
      <c r="D19" s="74">
        <f t="shared" si="3"/>
        <v>0.20252631578947372</v>
      </c>
      <c r="E19">
        <f>COUNTIF(tables_527010!C:C,input_527010!A19)-COUNTIF(Q:Q,A19)</f>
        <v>52</v>
      </c>
      <c r="F19" s="43">
        <f t="shared" ref="F19:F31" si="8">IFERROR(B19/E19,0)</f>
        <v>3.8947368421052638E-3</v>
      </c>
      <c r="G19">
        <f t="shared" si="4"/>
        <v>25781600.000000004</v>
      </c>
      <c r="H19">
        <f t="shared" si="5"/>
        <v>495800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0.25315789473684214</v>
      </c>
      <c r="C20" s="85">
        <f t="shared" si="2"/>
        <v>0</v>
      </c>
      <c r="D20" s="74">
        <f t="shared" si="3"/>
        <v>0.25315789473684214</v>
      </c>
      <c r="E20">
        <f>COUNTIF(tables_527010!C:C,input_527010!A20)-COUNTIF(Q:Q,A20)</f>
        <v>52</v>
      </c>
      <c r="F20" s="43">
        <f t="shared" si="8"/>
        <v>4.8684210526315792E-3</v>
      </c>
      <c r="G20">
        <f t="shared" si="4"/>
        <v>32227000.000000004</v>
      </c>
      <c r="H20">
        <f t="shared" si="5"/>
        <v>619750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2.4049489395129575E-3</v>
      </c>
      <c r="C21" s="85">
        <f t="shared" si="2"/>
        <v>0</v>
      </c>
      <c r="D21" s="74">
        <f t="shared" si="3"/>
        <v>2.4049489395129575E-3</v>
      </c>
      <c r="E21">
        <f>COUNTIF(tables_527010!C:C,input_527010!A21)-COUNTIF(Q:Q,A21)</f>
        <v>52</v>
      </c>
      <c r="F21" s="43">
        <f t="shared" si="8"/>
        <v>4.6249018067556874E-5</v>
      </c>
      <c r="G21">
        <f t="shared" si="4"/>
        <v>306149.99999999948</v>
      </c>
      <c r="H21">
        <f t="shared" si="5"/>
        <v>5887.5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0.16065789473684211</v>
      </c>
      <c r="C22" s="85">
        <f t="shared" si="2"/>
        <v>0</v>
      </c>
      <c r="D22" s="74">
        <f t="shared" si="3"/>
        <v>0.16065789473684211</v>
      </c>
      <c r="E22">
        <f>COUNTIF(tables_527010!C:C,input_527010!A22)-COUNTIF(Q:Q,A22)</f>
        <v>19</v>
      </c>
      <c r="F22" s="43">
        <f t="shared" si="8"/>
        <v>8.4556786703601106E-3</v>
      </c>
      <c r="G22">
        <f t="shared" si="4"/>
        <v>20451750</v>
      </c>
      <c r="H22">
        <f t="shared" si="5"/>
        <v>1076407.8947399999</v>
      </c>
      <c r="I22">
        <f t="shared" si="6"/>
        <v>0.89473999990150332</v>
      </c>
      <c r="J22">
        <f t="shared" si="7"/>
        <v>1.1176431143238081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2.4342105263157898E-2</v>
      </c>
      <c r="C23" s="85">
        <f t="shared" si="2"/>
        <v>0</v>
      </c>
      <c r="D23" s="74">
        <f t="shared" si="3"/>
        <v>2.4342105263157898E-2</v>
      </c>
      <c r="E23">
        <f>COUNTIF(tables_527010!C:C,input_527010!A23)-COUNTIF(Q:Q,A23)</f>
        <v>25</v>
      </c>
      <c r="F23" s="43">
        <f t="shared" si="8"/>
        <v>9.7368421052631594E-4</v>
      </c>
      <c r="G23">
        <f t="shared" si="4"/>
        <v>3098750.0000000005</v>
      </c>
      <c r="H23">
        <f t="shared" si="5"/>
        <v>123950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1.5578947368421053E-2</v>
      </c>
      <c r="C24" s="85">
        <f t="shared" si="2"/>
        <v>0</v>
      </c>
      <c r="D24" s="74">
        <f t="shared" si="3"/>
        <v>1.5578947368421053E-2</v>
      </c>
      <c r="E24">
        <f>COUNTIF(tables_527010!C:C,input_527010!A24)-COUNTIF(Q:Q,A24)</f>
        <v>4</v>
      </c>
      <c r="F24" s="43">
        <f t="shared" si="8"/>
        <v>3.8947368421052633E-3</v>
      </c>
      <c r="G24">
        <f t="shared" si="4"/>
        <v>1983200</v>
      </c>
      <c r="H24">
        <f t="shared" si="5"/>
        <v>495800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1.9473684210526317E-2</v>
      </c>
      <c r="C25" s="85">
        <f t="shared" si="2"/>
        <v>0</v>
      </c>
      <c r="D25" s="74">
        <f t="shared" si="3"/>
        <v>1.9473684210526317E-2</v>
      </c>
      <c r="E25">
        <f>COUNTIF(tables_527010!C:C,input_527010!A25)-COUNTIF(Q:Q,A25)</f>
        <v>4</v>
      </c>
      <c r="F25" s="43">
        <f t="shared" si="8"/>
        <v>4.8684210526315792E-3</v>
      </c>
      <c r="G25">
        <f t="shared" si="4"/>
        <v>2479000</v>
      </c>
      <c r="H25">
        <f t="shared" si="5"/>
        <v>619750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3.8947368421052633E-3</v>
      </c>
      <c r="C26" s="85">
        <f t="shared" si="2"/>
        <v>0</v>
      </c>
      <c r="D26" s="74">
        <f t="shared" si="3"/>
        <v>3.8947368421052633E-3</v>
      </c>
      <c r="E26">
        <f>COUNTIF(tables_527010!C:C,input_527010!A26)-COUNTIF(Q:Q,A26)</f>
        <v>4</v>
      </c>
      <c r="F26" s="43">
        <f t="shared" si="8"/>
        <v>9.7368421052631583E-4</v>
      </c>
      <c r="G26">
        <f t="shared" si="4"/>
        <v>495800</v>
      </c>
      <c r="H26">
        <f t="shared" si="5"/>
        <v>123950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5.6417910447761196E-3</v>
      </c>
      <c r="C27" s="85">
        <f t="shared" si="2"/>
        <v>0</v>
      </c>
      <c r="D27" s="74">
        <f t="shared" si="3"/>
        <v>5.6417910447761196E-3</v>
      </c>
      <c r="E27">
        <f>COUNTIF(tables_527010!C:C,input_527010!A27)-COUNTIF(Q:Q,A27)</f>
        <v>28</v>
      </c>
      <c r="F27" s="43">
        <f>IFERROR(B27/E27,0)</f>
        <v>2.0149253731343284E-4</v>
      </c>
      <c r="G27">
        <f t="shared" si="4"/>
        <v>718200</v>
      </c>
      <c r="H27">
        <f t="shared" si="5"/>
        <v>25650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6.2686567164179112E-4</v>
      </c>
      <c r="C28" s="85">
        <f t="shared" si="2"/>
        <v>0</v>
      </c>
      <c r="D28" s="74">
        <f t="shared" si="3"/>
        <v>6.2686567164179112E-4</v>
      </c>
      <c r="E28">
        <f>COUNTIF(tables_527010!C:C,input_527010!A28)-COUNTIF(Q:Q,A28)</f>
        <v>28</v>
      </c>
      <c r="F28" s="43">
        <f t="shared" si="8"/>
        <v>2.2388059701492539E-5</v>
      </c>
      <c r="G28">
        <f t="shared" si="4"/>
        <v>79800.000000000015</v>
      </c>
      <c r="H28">
        <f t="shared" si="5"/>
        <v>2850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8.7313432835820892E-3</v>
      </c>
      <c r="C29" s="85">
        <f t="shared" si="2"/>
        <v>0.06</v>
      </c>
      <c r="D29" s="74">
        <f t="shared" si="3"/>
        <v>-5.1268656716417907E-2</v>
      </c>
      <c r="E29">
        <f>COUNTIF(tables_527010!C:C,input_527010!A29)-COUNTIF(Q:Q,A29)</f>
        <v>39</v>
      </c>
      <c r="F29" s="43">
        <f t="shared" si="8"/>
        <v>2.2388059701492538E-4</v>
      </c>
      <c r="G29">
        <f t="shared" si="4"/>
        <v>1111500</v>
      </c>
      <c r="H29">
        <f t="shared" si="5"/>
        <v>28500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COUNTIF(tables_527010!C:C,input_527010!A30)-COUNTIF(Q:Q,A30)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COUNTIF(tables_527010!C:C,input_527010!A31)-COUNTIF(Q:Q,A31)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0.94000000000000006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127300000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SUMIF(tables_527010!C:C,input_527010!A40,tables_527010!O:O)</f>
        <v>25781600</v>
      </c>
      <c r="C40" s="54">
        <f t="shared" ref="C40:C46" ca="1" si="9">B40/B$47</f>
        <v>0.43614279491311098</v>
      </c>
      <c r="E40">
        <v>3</v>
      </c>
      <c r="F40">
        <f ca="1">SUMIF(tables_527010!J:J,input_527010!E40,tables_527010!O:O)</f>
        <v>50920000</v>
      </c>
      <c r="G40">
        <f ca="1">F40/A36</f>
        <v>0.4</v>
      </c>
    </row>
    <row r="41" spans="1:7" x14ac:dyDescent="0.15">
      <c r="A41" s="33" t="s">
        <v>104</v>
      </c>
      <c r="B41">
        <f ca="1">SUMIF(tables_527010!C:C,input_527010!A41,tables_527010!O:O)</f>
        <v>32227000</v>
      </c>
      <c r="C41" s="54">
        <f t="shared" ca="1" si="9"/>
        <v>0.54517849364138871</v>
      </c>
      <c r="E41">
        <v>4</v>
      </c>
      <c r="F41">
        <f ca="1">SUMIF(tables_527010!J:J,input_527010!E41,tables_527010!O:O)</f>
        <v>63650000.000060007</v>
      </c>
      <c r="G41">
        <f ca="1">F41/A36</f>
        <v>0.5000000000004714</v>
      </c>
    </row>
    <row r="42" spans="1:7" x14ac:dyDescent="0.15">
      <c r="A42" s="33" t="s">
        <v>106</v>
      </c>
      <c r="B42">
        <f ca="1">SUMIF(tables_527010!C:C,input_527010!A42,tables_527010!O:O)</f>
        <v>718200</v>
      </c>
      <c r="C42" s="54">
        <f t="shared" ca="1" si="9"/>
        <v>1.2149663143738026E-2</v>
      </c>
      <c r="E42">
        <v>5</v>
      </c>
      <c r="F42">
        <f ca="1">SUMIF(tables_527010!J:J,input_527010!E42,tables_527010!O:O)</f>
        <v>12730000</v>
      </c>
      <c r="G42">
        <f ca="1">F42/A36</f>
        <v>0.1</v>
      </c>
    </row>
    <row r="43" spans="1:7" x14ac:dyDescent="0.15">
      <c r="A43" s="33" t="s">
        <v>109</v>
      </c>
      <c r="B43">
        <f>SUMIF(tables_527010!C:C,input_527010!A43,tables_527010!O:O)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SUMIF(tables_527010!C:C,input_527010!A44,tables_527010!O:O)</f>
        <v>306150</v>
      </c>
      <c r="C44" s="54">
        <f t="shared" ca="1" si="9"/>
        <v>5.179085730235863E-3</v>
      </c>
      <c r="E44" t="s">
        <v>54</v>
      </c>
      <c r="F44" s="55"/>
    </row>
    <row r="45" spans="1:7" x14ac:dyDescent="0.15">
      <c r="A45" s="33" t="s">
        <v>107</v>
      </c>
      <c r="B45">
        <f ca="1">SUMIF(tables_527010!C:C,input_527010!A45,tables_527010!O:O)</f>
        <v>79800</v>
      </c>
      <c r="C45" s="54">
        <f t="shared" ca="1" si="9"/>
        <v>1.3499625715264474E-3</v>
      </c>
      <c r="E45" t="s">
        <v>204</v>
      </c>
      <c r="F45" s="55">
        <f ca="1">SUMIF(tables_527010!I:I,input_527010!E45,tables_527010!P:P)</f>
        <v>0.24880557737615899</v>
      </c>
    </row>
    <row r="46" spans="1:7" x14ac:dyDescent="0.15">
      <c r="A46" s="33" t="s">
        <v>108</v>
      </c>
      <c r="B46">
        <f>SUMIF(tables_527010!C:C,input_527010!A46,tables_527010!O:O)</f>
        <v>0</v>
      </c>
      <c r="C46" s="54">
        <f t="shared" ca="1" si="9"/>
        <v>0</v>
      </c>
      <c r="E46" t="s">
        <v>205</v>
      </c>
      <c r="F46" s="55">
        <f ca="1">SUMIF(tables_527010!I:I,input_527010!E46,tables_527010!P:P)</f>
        <v>0.17897044383337984</v>
      </c>
    </row>
    <row r="47" spans="1:7" x14ac:dyDescent="0.15">
      <c r="A47" s="39" t="s">
        <v>59</v>
      </c>
      <c r="B47">
        <f ca="1">SUM(B40:B46)</f>
        <v>59112750</v>
      </c>
      <c r="C47" s="55">
        <f ca="1">SUM(C40:C46)</f>
        <v>1</v>
      </c>
      <c r="E47" t="s">
        <v>206</v>
      </c>
      <c r="F47" s="55">
        <f ca="1">SUMIF(tables_527010!I:I,input_527010!E47,tables_527010!P:P)</f>
        <v>0.49722397879049651</v>
      </c>
    </row>
    <row r="48" spans="1:7" x14ac:dyDescent="0.15">
      <c r="E48" t="s">
        <v>207</v>
      </c>
      <c r="F48" s="55">
        <f ca="1">SUMIF(tables_527010!I:I,input_527010!E48,tables_527010!P:P)</f>
        <v>7.320895522384617E-2</v>
      </c>
      <c r="G48" s="55"/>
    </row>
    <row r="49" spans="5:6" x14ac:dyDescent="0.15">
      <c r="E49" t="s">
        <v>251</v>
      </c>
      <c r="F49" s="55">
        <f ca="1">SUMIF(tables_527010!I:I,input_527010!E49,tables_527010!P:P)</f>
        <v>1.7910447761185586E-3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input_527010!A$2</f>
        <v>527010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IFERROR(VLOOKUP(B2,input_527010!L:R,7,FALSE),VLOOKUP(tables_527010!C2,input_527010!A:H,8,FALSE))</f>
        <v>1157760</v>
      </c>
      <c r="P2" s="46">
        <f t="shared" ref="P2:P65" ca="1" si="1">O2/SUM(O:O)</f>
        <v>9.0947368421009766E-3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input_527010!A$2</f>
        <v>527010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IFERROR(VLOOKUP(B3,input_527010!L:R,7,FALSE),VLOOKUP(tables_527010!C3,input_527010!A:H,8,FALSE))</f>
        <v>388702.5</v>
      </c>
      <c r="P3" s="46">
        <f t="shared" ca="1" si="1"/>
        <v>3.0534367635492283E-3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input_527010!A$2</f>
        <v>527010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IFERROR(VLOOKUP(B4,input_527010!L:R,7,FALSE),VLOOKUP(tables_527010!C4,input_527010!A:H,8,FALSE))</f>
        <v>1157760</v>
      </c>
      <c r="P4" s="46">
        <f t="shared" ca="1" si="1"/>
        <v>9.0947368421009766E-3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input_527010!A$2</f>
        <v>527010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IFERROR(VLOOKUP(B5,input_527010!L:R,7,FALSE),VLOOKUP(tables_527010!C5,input_527010!A:H,8,FALSE))</f>
        <v>388702.5</v>
      </c>
      <c r="P5" s="46">
        <f t="shared" ca="1" si="1"/>
        <v>3.0534367635492283E-3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input_527010!A$2</f>
        <v>527010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IFERROR(VLOOKUP(B6,input_527010!L:R,7,FALSE),VLOOKUP(tables_527010!C6,input_527010!A:H,8,FALSE))</f>
        <v>1157760</v>
      </c>
      <c r="P6" s="46">
        <f t="shared" ca="1" si="1"/>
        <v>9.0947368421009766E-3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input_527010!A$2</f>
        <v>527010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IFERROR(VLOOKUP(B7,input_527010!L:R,7,FALSE),VLOOKUP(tables_527010!C7,input_527010!A:H,8,FALSE))</f>
        <v>388702.5</v>
      </c>
      <c r="P7" s="46">
        <f t="shared" ca="1" si="1"/>
        <v>3.0534367635492283E-3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input_527010!A$2</f>
        <v>527010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IFERROR(VLOOKUP(B8,input_527010!L:R,7,FALSE),VLOOKUP(tables_527010!C8,input_527010!A:H,8,FALSE))</f>
        <v>1157760</v>
      </c>
      <c r="P8" s="46">
        <f t="shared" ca="1" si="1"/>
        <v>9.0947368421009766E-3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input_527010!A$2</f>
        <v>527010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IFERROR(VLOOKUP(B9,input_527010!L:R,7,FALSE),VLOOKUP(tables_527010!C9,input_527010!A:H,8,FALSE))</f>
        <v>388702.5</v>
      </c>
      <c r="P9" s="46">
        <f t="shared" ca="1" si="1"/>
        <v>3.0534367635492283E-3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input_527010!A$2</f>
        <v>527010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IFERROR(VLOOKUP(B10,input_527010!L:R,7,FALSE),VLOOKUP(tables_527010!C10,input_527010!A:H,8,FALSE))</f>
        <v>1157760</v>
      </c>
      <c r="P10" s="46">
        <f t="shared" ca="1" si="1"/>
        <v>9.0947368421009766E-3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input_527010!A$2</f>
        <v>527010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IFERROR(VLOOKUP(B11,input_527010!L:R,7,FALSE),VLOOKUP(tables_527010!C11,input_527010!A:H,8,FALSE))</f>
        <v>388702.5</v>
      </c>
      <c r="P11" s="46">
        <f t="shared" ca="1" si="1"/>
        <v>3.0534367635492283E-3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input_527010!A$2</f>
        <v>527010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IFERROR(VLOOKUP(B12,input_527010!L:R,7,FALSE),VLOOKUP(tables_527010!C12,input_527010!A:H,8,FALSE))</f>
        <v>1157760</v>
      </c>
      <c r="P12" s="46">
        <f t="shared" ca="1" si="1"/>
        <v>9.0947368421009766E-3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input_527010!A$2</f>
        <v>527010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IFERROR(VLOOKUP(B13,input_527010!L:R,7,FALSE),VLOOKUP(tables_527010!C13,input_527010!A:H,8,FALSE))</f>
        <v>388702.5</v>
      </c>
      <c r="P13" s="46">
        <f t="shared" ca="1" si="1"/>
        <v>3.0534367635492283E-3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input_527010!A$2</f>
        <v>527010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IFERROR(VLOOKUP(B14,input_527010!L:R,7,FALSE),VLOOKUP(tables_527010!C14,input_527010!A:H,8,FALSE))</f>
        <v>1157760</v>
      </c>
      <c r="P14" s="46">
        <f t="shared" ca="1" si="1"/>
        <v>9.0947368421009766E-3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input_527010!A$2</f>
        <v>527010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IFERROR(VLOOKUP(B15,input_527010!L:R,7,FALSE),VLOOKUP(tables_527010!C15,input_527010!A:H,8,FALSE))</f>
        <v>388702.5</v>
      </c>
      <c r="P15" s="46">
        <f t="shared" ca="1" si="1"/>
        <v>3.0534367635492283E-3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input_527010!A$2</f>
        <v>527010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IFERROR(VLOOKUP(B16,input_527010!L:R,7,FALSE),VLOOKUP(tables_527010!C16,input_527010!A:H,8,FALSE))</f>
        <v>1157760</v>
      </c>
      <c r="P16" s="46">
        <f t="shared" ca="1" si="1"/>
        <v>9.0947368421009766E-3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input_527010!A$2</f>
        <v>527010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IFERROR(VLOOKUP(B17,input_527010!L:R,7,FALSE),VLOOKUP(tables_527010!C17,input_527010!A:H,8,FALSE))</f>
        <v>388702.5</v>
      </c>
      <c r="P17" s="46">
        <f t="shared" ca="1" si="1"/>
        <v>3.0534367635492283E-3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input_527010!A$2</f>
        <v>527010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IFERROR(VLOOKUP(B18,input_527010!L:R,7,FALSE),VLOOKUP(tables_527010!C18,input_527010!A:H,8,FALSE))</f>
        <v>1157760</v>
      </c>
      <c r="P18" s="46">
        <f t="shared" ca="1" si="1"/>
        <v>9.0947368421009766E-3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input_527010!A$2</f>
        <v>527010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IFERROR(VLOOKUP(B19,input_527010!L:R,7,FALSE),VLOOKUP(tables_527010!C19,input_527010!A:H,8,FALSE))</f>
        <v>388702.5</v>
      </c>
      <c r="P19" s="46">
        <f t="shared" ca="1" si="1"/>
        <v>3.0534367635492283E-3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input_527010!A$2</f>
        <v>527010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IFERROR(VLOOKUP(B20,input_527010!L:R,7,FALSE),VLOOKUP(tables_527010!C20,input_527010!A:H,8,FALSE))</f>
        <v>1157760</v>
      </c>
      <c r="P20" s="46">
        <f t="shared" ca="1" si="1"/>
        <v>9.0947368421009766E-3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input_527010!A$2</f>
        <v>527010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IFERROR(VLOOKUP(B21,input_527010!L:R,7,FALSE),VLOOKUP(tables_527010!C21,input_527010!A:H,8,FALSE))</f>
        <v>388702.5</v>
      </c>
      <c r="P21" s="46">
        <f t="shared" ca="1" si="1"/>
        <v>3.0534367635492283E-3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input_527010!A$2</f>
        <v>527010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IFERROR(VLOOKUP(B22,input_527010!L:R,7,FALSE),VLOOKUP(tables_527010!C22,input_527010!A:H,8,FALSE))</f>
        <v>1157760</v>
      </c>
      <c r="P22" s="46">
        <f t="shared" ca="1" si="1"/>
        <v>9.0947368421009766E-3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input_527010!A$2</f>
        <v>527010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IFERROR(VLOOKUP(B23,input_527010!L:R,7,FALSE),VLOOKUP(tables_527010!C23,input_527010!A:H,8,FALSE))</f>
        <v>388702.5</v>
      </c>
      <c r="P23" s="46">
        <f t="shared" ca="1" si="1"/>
        <v>3.0534367635492283E-3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input_527010!A$2</f>
        <v>527010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IFERROR(VLOOKUP(B24,input_527010!L:R,7,FALSE),VLOOKUP(tables_527010!C24,input_527010!A:H,8,FALSE))</f>
        <v>1157760</v>
      </c>
      <c r="P24" s="46">
        <f t="shared" ca="1" si="1"/>
        <v>9.0947368421009766E-3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input_527010!A$2</f>
        <v>527010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IFERROR(VLOOKUP(B25,input_527010!L:R,7,FALSE),VLOOKUP(tables_527010!C25,input_527010!A:H,8,FALSE))</f>
        <v>388702.5</v>
      </c>
      <c r="P25" s="46">
        <f t="shared" ca="1" si="1"/>
        <v>3.0534367635492283E-3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input_527010!A$2</f>
        <v>527010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IFERROR(VLOOKUP(B26,input_527010!L:R,7,FALSE),VLOOKUP(tables_527010!C26,input_527010!A:H,8,FALSE))</f>
        <v>1157760</v>
      </c>
      <c r="P26" s="46">
        <f t="shared" ca="1" si="1"/>
        <v>9.0947368421009766E-3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input_527010!A$2</f>
        <v>527010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IFERROR(VLOOKUP(B27,input_527010!L:R,7,FALSE),VLOOKUP(tables_527010!C27,input_527010!A:H,8,FALSE))</f>
        <v>388702.5</v>
      </c>
      <c r="P27" s="46">
        <f t="shared" ca="1" si="1"/>
        <v>3.0534367635492283E-3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input_527010!A$2</f>
        <v>527010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IFERROR(VLOOKUP(B28,input_527010!L:R,7,FALSE),VLOOKUP(tables_527010!C28,input_527010!A:H,8,FALSE))</f>
        <v>1157760</v>
      </c>
      <c r="P28" s="46">
        <f t="shared" ca="1" si="1"/>
        <v>9.0947368421009766E-3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input_527010!A$2</f>
        <v>527010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IFERROR(VLOOKUP(B29,input_527010!L:R,7,FALSE),VLOOKUP(tables_527010!C29,input_527010!A:H,8,FALSE))</f>
        <v>388702.5</v>
      </c>
      <c r="P29" s="46">
        <f t="shared" ca="1" si="1"/>
        <v>3.0534367635492283E-3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input_527010!A$2</f>
        <v>527010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IFERROR(VLOOKUP(B30,input_527010!L:R,7,FALSE),VLOOKUP(tables_527010!C30,input_527010!A:H,8,FALSE))</f>
        <v>1157760</v>
      </c>
      <c r="P30" s="46">
        <f t="shared" ca="1" si="1"/>
        <v>9.0947368421009766E-3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input_527010!A$2</f>
        <v>527010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IFERROR(VLOOKUP(B31,input_527010!L:R,7,FALSE),VLOOKUP(tables_527010!C31,input_527010!A:H,8,FALSE))</f>
        <v>388702.5</v>
      </c>
      <c r="P31" s="46">
        <f t="shared" ca="1" si="1"/>
        <v>3.0534367635492283E-3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input_527010!A$2</f>
        <v>527010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IFERROR(VLOOKUP(B32,input_527010!L:R,7,FALSE),VLOOKUP(tables_527010!C32,input_527010!A:H,8,FALSE))</f>
        <v>1157760</v>
      </c>
      <c r="P32" s="46">
        <f t="shared" ca="1" si="1"/>
        <v>9.0947368421009766E-3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input_527010!A$2</f>
        <v>527010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IFERROR(VLOOKUP(B33,input_527010!L:R,7,FALSE),VLOOKUP(tables_527010!C33,input_527010!A:H,8,FALSE))</f>
        <v>388702.5</v>
      </c>
      <c r="P33" s="46">
        <f t="shared" ca="1" si="1"/>
        <v>3.0534367635492283E-3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input_527010!A$2</f>
        <v>527010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IFERROR(VLOOKUP(B34,input_527010!L:R,7,FALSE),VLOOKUP(tables_527010!C34,input_527010!A:H,8,FALSE))</f>
        <v>1157760</v>
      </c>
      <c r="P34" s="46">
        <f t="shared" ca="1" si="1"/>
        <v>9.0947368421009766E-3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input_527010!A$2</f>
        <v>527010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IFERROR(VLOOKUP(B35,input_527010!L:R,7,FALSE),VLOOKUP(tables_527010!C35,input_527010!A:H,8,FALSE))</f>
        <v>388702.5</v>
      </c>
      <c r="P35" s="46">
        <f t="shared" ca="1" si="1"/>
        <v>3.0534367635492283E-3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input_527010!A$2</f>
        <v>527010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IFERROR(VLOOKUP(B36,input_527010!L:R,7,FALSE),VLOOKUP(tables_527010!C36,input_527010!A:H,8,FALSE))</f>
        <v>1157760</v>
      </c>
      <c r="P36" s="46">
        <f t="shared" ca="1" si="1"/>
        <v>9.0947368421009766E-3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input_527010!A$2</f>
        <v>527010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IFERROR(VLOOKUP(B37,input_527010!L:R,7,FALSE),VLOOKUP(tables_527010!C37,input_527010!A:H,8,FALSE))</f>
        <v>388702.5</v>
      </c>
      <c r="P37" s="46">
        <f t="shared" ca="1" si="1"/>
        <v>3.0534367635492283E-3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input_527010!A$2</f>
        <v>527010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IFERROR(VLOOKUP(B38,input_527010!L:R,7,FALSE),VLOOKUP(tables_527010!C38,input_527010!A:H,8,FALSE))</f>
        <v>1157760</v>
      </c>
      <c r="P38" s="46">
        <f t="shared" ca="1" si="1"/>
        <v>9.0947368421009766E-3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input_527010!A$2</f>
        <v>527010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IFERROR(VLOOKUP(B39,input_527010!L:R,7,FALSE),VLOOKUP(tables_527010!C39,input_527010!A:H,8,FALSE))</f>
        <v>388702.5</v>
      </c>
      <c r="P39" s="46">
        <f t="shared" ca="1" si="1"/>
        <v>3.0534367635492283E-3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input_527010!A$2</f>
        <v>527010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IFERROR(VLOOKUP(B40,input_527010!L:R,7,FALSE),VLOOKUP(tables_527010!C40,input_527010!A:H,8,FALSE))</f>
        <v>1157760</v>
      </c>
      <c r="P40" s="46">
        <f t="shared" ca="1" si="1"/>
        <v>9.0947368421009766E-3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input_527010!A$2</f>
        <v>527010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IFERROR(VLOOKUP(B41,input_527010!L:R,7,FALSE),VLOOKUP(tables_527010!C41,input_527010!A:H,8,FALSE))</f>
        <v>388702.5</v>
      </c>
      <c r="P41" s="46">
        <f t="shared" ca="1" si="1"/>
        <v>3.0534367635492283E-3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input_527010!A$2</f>
        <v>527010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IFERROR(VLOOKUP(B42,input_527010!L:R,7,FALSE),VLOOKUP(tables_527010!C42,input_527010!A:H,8,FALSE))</f>
        <v>495800</v>
      </c>
      <c r="P42" s="46">
        <f t="shared" ca="1" si="1"/>
        <v>3.8947368421034271E-3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input_527010!A$2</f>
        <v>527010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IFERROR(VLOOKUP(B43,input_527010!L:R,7,FALSE),VLOOKUP(tables_527010!C43,input_527010!A:H,8,FALSE))</f>
        <v>619750</v>
      </c>
      <c r="P43" s="46">
        <f t="shared" ca="1" si="1"/>
        <v>4.8684210526292841E-3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input_527010!A$2</f>
        <v>527010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IFERROR(VLOOKUP(B44,input_527010!L:R,7,FALSE),VLOOKUP(tables_527010!C44,input_527010!A:H,8,FALSE))</f>
        <v>123950</v>
      </c>
      <c r="P44" s="46">
        <f t="shared" ca="1" si="1"/>
        <v>9.7368421052585678E-4</v>
      </c>
      <c r="Q44" s="103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input_527010!A$2</f>
        <v>527010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IFERROR(VLOOKUP(B45,input_527010!L:R,7,FALSE),VLOOKUP(tables_527010!C45,input_527010!A:H,8,FALSE))</f>
        <v>495800</v>
      </c>
      <c r="P45" s="46">
        <f t="shared" ca="1" si="1"/>
        <v>3.8947368421034271E-3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input_527010!A$2</f>
        <v>527010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IFERROR(VLOOKUP(B46,input_527010!L:R,7,FALSE),VLOOKUP(tables_527010!C46,input_527010!A:H,8,FALSE))</f>
        <v>619750</v>
      </c>
      <c r="P46" s="46">
        <f t="shared" ca="1" si="1"/>
        <v>4.8684210526292841E-3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input_527010!A$2</f>
        <v>527010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IFERROR(VLOOKUP(B47,input_527010!L:R,7,FALSE),VLOOKUP(tables_527010!C47,input_527010!A:H,8,FALSE))</f>
        <v>123950</v>
      </c>
      <c r="P47" s="46">
        <f t="shared" ca="1" si="1"/>
        <v>9.7368421052585678E-4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input_527010!A$2</f>
        <v>527010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IFERROR(VLOOKUP(B48,input_527010!L:R,7,FALSE),VLOOKUP(tables_527010!C48,input_527010!A:H,8,FALSE))</f>
        <v>495800</v>
      </c>
      <c r="P48" s="46">
        <f t="shared" ca="1" si="1"/>
        <v>3.8947368421034271E-3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input_527010!A$2</f>
        <v>527010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IFERROR(VLOOKUP(B49,input_527010!L:R,7,FALSE),VLOOKUP(tables_527010!C49,input_527010!A:H,8,FALSE))</f>
        <v>619750</v>
      </c>
      <c r="P49" s="46">
        <f t="shared" ca="1" si="1"/>
        <v>4.8684210526292841E-3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input_527010!A$2</f>
        <v>527010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IFERROR(VLOOKUP(B50,input_527010!L:R,7,FALSE),VLOOKUP(tables_527010!C50,input_527010!A:H,8,FALSE))</f>
        <v>123950</v>
      </c>
      <c r="P50" s="46">
        <f t="shared" ca="1" si="1"/>
        <v>9.7368421052585678E-4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input_527010!A$2</f>
        <v>527010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IFERROR(VLOOKUP(B51,input_527010!L:R,7,FALSE),VLOOKUP(tables_527010!C51,input_527010!A:H,8,FALSE))</f>
        <v>495800</v>
      </c>
      <c r="P51" s="46">
        <f t="shared" ca="1" si="1"/>
        <v>3.8947368421034271E-3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input_527010!A$2</f>
        <v>527010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IFERROR(VLOOKUP(B52,input_527010!L:R,7,FALSE),VLOOKUP(tables_527010!C52,input_527010!A:H,8,FALSE))</f>
        <v>619750</v>
      </c>
      <c r="P52" s="46">
        <f t="shared" ca="1" si="1"/>
        <v>4.8684210526292841E-3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input_527010!A$2</f>
        <v>527010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IFERROR(VLOOKUP(B53,input_527010!L:R,7,FALSE),VLOOKUP(tables_527010!C53,input_527010!A:H,8,FALSE))</f>
        <v>5887.5</v>
      </c>
      <c r="P53" s="46">
        <f t="shared" ca="1" si="1"/>
        <v>4.624901806753515E-5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input_527010!A$2</f>
        <v>527010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IFERROR(VLOOKUP(B54,input_527010!L:R,7,FALSE),VLOOKUP(tables_527010!C54,input_527010!A:H,8,FALSE))</f>
        <v>495800</v>
      </c>
      <c r="P54" s="46">
        <f t="shared" ca="1" si="1"/>
        <v>3.8947368421034271E-3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input_527010!A$2</f>
        <v>527010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IFERROR(VLOOKUP(B55,input_527010!L:R,7,FALSE),VLOOKUP(tables_527010!C55,input_527010!A:H,8,FALSE))</f>
        <v>619750</v>
      </c>
      <c r="P55" s="46">
        <f t="shared" ca="1" si="1"/>
        <v>4.8684210526292841E-3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input_527010!A$2</f>
        <v>527010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IFERROR(VLOOKUP(B56,input_527010!L:R,7,FALSE),VLOOKUP(tables_527010!C56,input_527010!A:H,8,FALSE))</f>
        <v>5887.5</v>
      </c>
      <c r="P56" s="46">
        <f t="shared" ca="1" si="1"/>
        <v>4.624901806753515E-5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input_527010!A$2</f>
        <v>527010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IFERROR(VLOOKUP(B57,input_527010!L:R,7,FALSE),VLOOKUP(tables_527010!C57,input_527010!A:H,8,FALSE))</f>
        <v>495800</v>
      </c>
      <c r="P57" s="46">
        <f t="shared" ca="1" si="1"/>
        <v>3.8947368421034271E-3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input_527010!A$2</f>
        <v>527010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IFERROR(VLOOKUP(B58,input_527010!L:R,7,FALSE),VLOOKUP(tables_527010!C58,input_527010!A:H,8,FALSE))</f>
        <v>619750</v>
      </c>
      <c r="P58" s="46">
        <f t="shared" ca="1" si="1"/>
        <v>4.8684210526292841E-3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input_527010!A$2</f>
        <v>527010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IFERROR(VLOOKUP(B59,input_527010!L:R,7,FALSE),VLOOKUP(tables_527010!C59,input_527010!A:H,8,FALSE))</f>
        <v>5887.5</v>
      </c>
      <c r="P59" s="46">
        <f t="shared" ca="1" si="1"/>
        <v>4.624901806753515E-5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input_527010!A$2</f>
        <v>527010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IFERROR(VLOOKUP(B60,input_527010!L:R,7,FALSE),VLOOKUP(tables_527010!C60,input_527010!A:H,8,FALSE))</f>
        <v>495800</v>
      </c>
      <c r="P60" s="46">
        <f t="shared" ca="1" si="1"/>
        <v>3.8947368421034271E-3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input_527010!A$2</f>
        <v>527010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IFERROR(VLOOKUP(B61,input_527010!L:R,7,FALSE),VLOOKUP(tables_527010!C61,input_527010!A:H,8,FALSE))</f>
        <v>619750</v>
      </c>
      <c r="P61" s="46">
        <f t="shared" ca="1" si="1"/>
        <v>4.8684210526292841E-3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input_527010!A$2</f>
        <v>527010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IFERROR(VLOOKUP(B62,input_527010!L:R,7,FALSE),VLOOKUP(tables_527010!C62,input_527010!A:H,8,FALSE))</f>
        <v>5887.5</v>
      </c>
      <c r="P62" s="46">
        <f t="shared" ca="1" si="1"/>
        <v>4.624901806753515E-5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input_527010!A$2</f>
        <v>527010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IFERROR(VLOOKUP(B63,input_527010!L:R,7,FALSE),VLOOKUP(tables_527010!C63,input_527010!A:H,8,FALSE))</f>
        <v>495800</v>
      </c>
      <c r="P63" s="46">
        <f t="shared" ca="1" si="1"/>
        <v>3.8947368421034271E-3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input_527010!A$2</f>
        <v>527010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IFERROR(VLOOKUP(B64,input_527010!L:R,7,FALSE),VLOOKUP(tables_527010!C64,input_527010!A:H,8,FALSE))</f>
        <v>619750</v>
      </c>
      <c r="P64" s="46">
        <f t="shared" ca="1" si="1"/>
        <v>4.8684210526292841E-3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input_527010!A$2</f>
        <v>527010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IFERROR(VLOOKUP(B65,input_527010!L:R,7,FALSE),VLOOKUP(tables_527010!C65,input_527010!A:H,8,FALSE))</f>
        <v>5887.5</v>
      </c>
      <c r="P65" s="46">
        <f t="shared" ca="1" si="1"/>
        <v>4.624901806753515E-5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input_527010!A$2</f>
        <v>527010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IFERROR(VLOOKUP(B66,input_527010!L:R,7,FALSE),VLOOKUP(tables_527010!C66,input_527010!A:H,8,FALSE))</f>
        <v>495800</v>
      </c>
      <c r="P66" s="46">
        <f t="shared" ref="P66:P129" ca="1" si="4">O66/SUM(O:O)</f>
        <v>3.8947368421034271E-3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input_527010!A$2</f>
        <v>527010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IFERROR(VLOOKUP(B67,input_527010!L:R,7,FALSE),VLOOKUP(tables_527010!C67,input_527010!A:H,8,FALSE))</f>
        <v>619750</v>
      </c>
      <c r="P67" s="46">
        <f t="shared" ca="1" si="4"/>
        <v>4.8684210526292841E-3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input_527010!A$2</f>
        <v>527010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IFERROR(VLOOKUP(B68,input_527010!L:R,7,FALSE),VLOOKUP(tables_527010!C68,input_527010!A:H,8,FALSE))</f>
        <v>5887.5</v>
      </c>
      <c r="P68" s="46">
        <f t="shared" ca="1" si="4"/>
        <v>4.624901806753515E-5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input_527010!A$2</f>
        <v>527010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IFERROR(VLOOKUP(B69,input_527010!L:R,7,FALSE),VLOOKUP(tables_527010!C69,input_527010!A:H,8,FALSE))</f>
        <v>495800</v>
      </c>
      <c r="P69" s="46">
        <f t="shared" ca="1" si="4"/>
        <v>3.8947368421034271E-3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input_527010!A$2</f>
        <v>527010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IFERROR(VLOOKUP(B70,input_527010!L:R,7,FALSE),VLOOKUP(tables_527010!C70,input_527010!A:H,8,FALSE))</f>
        <v>619750</v>
      </c>
      <c r="P70" s="46">
        <f t="shared" ca="1" si="4"/>
        <v>4.8684210526292841E-3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input_527010!A$2</f>
        <v>527010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IFERROR(VLOOKUP(B71,input_527010!L:R,7,FALSE),VLOOKUP(tables_527010!C71,input_527010!A:H,8,FALSE))</f>
        <v>5887.5</v>
      </c>
      <c r="P71" s="46">
        <f t="shared" ca="1" si="4"/>
        <v>4.624901806753515E-5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input_527010!A$2</f>
        <v>527010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IFERROR(VLOOKUP(B72,input_527010!L:R,7,FALSE),VLOOKUP(tables_527010!C72,input_527010!A:H,8,FALSE))</f>
        <v>495800</v>
      </c>
      <c r="P72" s="46">
        <f t="shared" ca="1" si="4"/>
        <v>3.8947368421034271E-3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input_527010!A$2</f>
        <v>527010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IFERROR(VLOOKUP(B73,input_527010!L:R,7,FALSE),VLOOKUP(tables_527010!C73,input_527010!A:H,8,FALSE))</f>
        <v>619750</v>
      </c>
      <c r="P73" s="46">
        <f t="shared" ca="1" si="4"/>
        <v>4.8684210526292841E-3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input_527010!A$2</f>
        <v>527010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IFERROR(VLOOKUP(B74,input_527010!L:R,7,FALSE),VLOOKUP(tables_527010!C74,input_527010!A:H,8,FALSE))</f>
        <v>5887.5</v>
      </c>
      <c r="P74" s="46">
        <f t="shared" ca="1" si="4"/>
        <v>4.624901806753515E-5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input_527010!A$2</f>
        <v>527010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IFERROR(VLOOKUP(B75,input_527010!L:R,7,FALSE),VLOOKUP(tables_527010!C75,input_527010!A:H,8,FALSE))</f>
        <v>495800</v>
      </c>
      <c r="P75" s="46">
        <f t="shared" ca="1" si="4"/>
        <v>3.8947368421034271E-3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input_527010!A$2</f>
        <v>527010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IFERROR(VLOOKUP(B76,input_527010!L:R,7,FALSE),VLOOKUP(tables_527010!C76,input_527010!A:H,8,FALSE))</f>
        <v>619750</v>
      </c>
      <c r="P76" s="46">
        <f t="shared" ca="1" si="4"/>
        <v>4.8684210526292841E-3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input_527010!A$2</f>
        <v>527010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IFERROR(VLOOKUP(B77,input_527010!L:R,7,FALSE),VLOOKUP(tables_527010!C77,input_527010!A:H,8,FALSE))</f>
        <v>5887.5</v>
      </c>
      <c r="P77" s="46">
        <f t="shared" ca="1" si="4"/>
        <v>4.624901806753515E-5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input_527010!A$2</f>
        <v>527010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IFERROR(VLOOKUP(B78,input_527010!L:R,7,FALSE),VLOOKUP(tables_527010!C78,input_527010!A:H,8,FALSE))</f>
        <v>495800</v>
      </c>
      <c r="P78" s="46">
        <f t="shared" ca="1" si="4"/>
        <v>3.8947368421034271E-3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input_527010!A$2</f>
        <v>527010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IFERROR(VLOOKUP(B79,input_527010!L:R,7,FALSE),VLOOKUP(tables_527010!C79,input_527010!A:H,8,FALSE))</f>
        <v>619750</v>
      </c>
      <c r="P79" s="46">
        <f t="shared" ca="1" si="4"/>
        <v>4.8684210526292841E-3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input_527010!A$2</f>
        <v>527010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IFERROR(VLOOKUP(B80,input_527010!L:R,7,FALSE),VLOOKUP(tables_527010!C80,input_527010!A:H,8,FALSE))</f>
        <v>5887.5</v>
      </c>
      <c r="P80" s="46">
        <f t="shared" ca="1" si="4"/>
        <v>4.624901806753515E-5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input_527010!A$2</f>
        <v>527010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IFERROR(VLOOKUP(B81,input_527010!L:R,7,FALSE),VLOOKUP(tables_527010!C81,input_527010!A:H,8,FALSE))</f>
        <v>495800</v>
      </c>
      <c r="P81" s="46">
        <f t="shared" ca="1" si="4"/>
        <v>3.8947368421034271E-3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input_527010!A$2</f>
        <v>527010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IFERROR(VLOOKUP(B82,input_527010!L:R,7,FALSE),VLOOKUP(tables_527010!C82,input_527010!A:H,8,FALSE))</f>
        <v>619750</v>
      </c>
      <c r="P82" s="46">
        <f t="shared" ca="1" si="4"/>
        <v>4.8684210526292841E-3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input_527010!A$2</f>
        <v>527010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IFERROR(VLOOKUP(B83,input_527010!L:R,7,FALSE),VLOOKUP(tables_527010!C83,input_527010!A:H,8,FALSE))</f>
        <v>5887.5</v>
      </c>
      <c r="P83" s="46">
        <f t="shared" ca="1" si="4"/>
        <v>4.624901806753515E-5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input_527010!A$2</f>
        <v>527010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IFERROR(VLOOKUP(B84,input_527010!L:R,7,FALSE),VLOOKUP(tables_527010!C84,input_527010!A:H,8,FALSE))</f>
        <v>495800</v>
      </c>
      <c r="P84" s="46">
        <f t="shared" ca="1" si="4"/>
        <v>3.8947368421034271E-3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input_527010!A$2</f>
        <v>527010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IFERROR(VLOOKUP(B85,input_527010!L:R,7,FALSE),VLOOKUP(tables_527010!C85,input_527010!A:H,8,FALSE))</f>
        <v>619750</v>
      </c>
      <c r="P85" s="46">
        <f t="shared" ca="1" si="4"/>
        <v>4.8684210526292841E-3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input_527010!A$2</f>
        <v>527010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IFERROR(VLOOKUP(B86,input_527010!L:R,7,FALSE),VLOOKUP(tables_527010!C86,input_527010!A:H,8,FALSE))</f>
        <v>5887.5</v>
      </c>
      <c r="P86" s="46">
        <f t="shared" ca="1" si="4"/>
        <v>4.624901806753515E-5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input_527010!A$2</f>
        <v>527010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IFERROR(VLOOKUP(B87,input_527010!L:R,7,FALSE),VLOOKUP(tables_527010!C87,input_527010!A:H,8,FALSE))</f>
        <v>495800</v>
      </c>
      <c r="P87" s="46">
        <f t="shared" ca="1" si="4"/>
        <v>3.8947368421034271E-3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input_527010!A$2</f>
        <v>527010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IFERROR(VLOOKUP(B88,input_527010!L:R,7,FALSE),VLOOKUP(tables_527010!C88,input_527010!A:H,8,FALSE))</f>
        <v>619750</v>
      </c>
      <c r="P88" s="46">
        <f t="shared" ca="1" si="4"/>
        <v>4.8684210526292841E-3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input_527010!A$2</f>
        <v>527010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IFERROR(VLOOKUP(B89,input_527010!L:R,7,FALSE),VLOOKUP(tables_527010!C89,input_527010!A:H,8,FALSE))</f>
        <v>5887.5</v>
      </c>
      <c r="P89" s="46">
        <f t="shared" ca="1" si="4"/>
        <v>4.624901806753515E-5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input_527010!A$2</f>
        <v>527010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IFERROR(VLOOKUP(B90,input_527010!L:R,7,FALSE),VLOOKUP(tables_527010!C90,input_527010!A:H,8,FALSE))</f>
        <v>495800</v>
      </c>
      <c r="P90" s="46">
        <f t="shared" ca="1" si="4"/>
        <v>3.8947368421034271E-3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input_527010!A$2</f>
        <v>527010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IFERROR(VLOOKUP(B91,input_527010!L:R,7,FALSE),VLOOKUP(tables_527010!C91,input_527010!A:H,8,FALSE))</f>
        <v>619750</v>
      </c>
      <c r="P91" s="46">
        <f t="shared" ca="1" si="4"/>
        <v>4.8684210526292841E-3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input_527010!A$2</f>
        <v>527010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IFERROR(VLOOKUP(B92,input_527010!L:R,7,FALSE),VLOOKUP(tables_527010!C92,input_527010!A:H,8,FALSE))</f>
        <v>5887.5</v>
      </c>
      <c r="P92" s="46">
        <f t="shared" ca="1" si="4"/>
        <v>4.624901806753515E-5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input_527010!A$2</f>
        <v>527010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IFERROR(VLOOKUP(B93,input_527010!L:R,7,FALSE),VLOOKUP(tables_527010!C93,input_527010!A:H,8,FALSE))</f>
        <v>495800</v>
      </c>
      <c r="P93" s="46">
        <f t="shared" ca="1" si="4"/>
        <v>3.8947368421034271E-3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input_527010!A$2</f>
        <v>527010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IFERROR(VLOOKUP(B94,input_527010!L:R,7,FALSE),VLOOKUP(tables_527010!C94,input_527010!A:H,8,FALSE))</f>
        <v>619750</v>
      </c>
      <c r="P94" s="46">
        <f t="shared" ca="1" si="4"/>
        <v>4.8684210526292841E-3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input_527010!A$2</f>
        <v>527010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IFERROR(VLOOKUP(B95,input_527010!L:R,7,FALSE),VLOOKUP(tables_527010!C95,input_527010!A:H,8,FALSE))</f>
        <v>5887.5</v>
      </c>
      <c r="P95" s="46">
        <f t="shared" ca="1" si="4"/>
        <v>4.624901806753515E-5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input_527010!A$2</f>
        <v>527010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IFERROR(VLOOKUP(B96,input_527010!L:R,7,FALSE),VLOOKUP(tables_527010!C96,input_527010!A:H,8,FALSE))</f>
        <v>495800</v>
      </c>
      <c r="P96" s="46">
        <f t="shared" ca="1" si="4"/>
        <v>3.8947368421034271E-3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input_527010!A$2</f>
        <v>527010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IFERROR(VLOOKUP(B97,input_527010!L:R,7,FALSE),VLOOKUP(tables_527010!C97,input_527010!A:H,8,FALSE))</f>
        <v>619750</v>
      </c>
      <c r="P97" s="46">
        <f t="shared" ca="1" si="4"/>
        <v>4.8684210526292841E-3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input_527010!A$2</f>
        <v>527010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IFERROR(VLOOKUP(B98,input_527010!L:R,7,FALSE),VLOOKUP(tables_527010!C98,input_527010!A:H,8,FALSE))</f>
        <v>5887.5</v>
      </c>
      <c r="P98" s="46">
        <f t="shared" ca="1" si="4"/>
        <v>4.624901806753515E-5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input_527010!A$2</f>
        <v>527010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IFERROR(VLOOKUP(B99,input_527010!L:R,7,FALSE),VLOOKUP(tables_527010!C99,input_527010!A:H,8,FALSE))</f>
        <v>495800</v>
      </c>
      <c r="P99" s="46">
        <f t="shared" ca="1" si="4"/>
        <v>3.8947368421034271E-3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input_527010!A$2</f>
        <v>527010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IFERROR(VLOOKUP(B100,input_527010!L:R,7,FALSE),VLOOKUP(tables_527010!C100,input_527010!A:H,8,FALSE))</f>
        <v>619750</v>
      </c>
      <c r="P100" s="46">
        <f t="shared" ca="1" si="4"/>
        <v>4.8684210526292841E-3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input_527010!A$2</f>
        <v>527010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IFERROR(VLOOKUP(B101,input_527010!L:R,7,FALSE),VLOOKUP(tables_527010!C101,input_527010!A:H,8,FALSE))</f>
        <v>5887.5</v>
      </c>
      <c r="P101" s="46">
        <f t="shared" ca="1" si="4"/>
        <v>4.624901806753515E-5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input_527010!A$2</f>
        <v>527010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IFERROR(VLOOKUP(B102,input_527010!L:R,7,FALSE),VLOOKUP(tables_527010!C102,input_527010!A:H,8,FALSE))</f>
        <v>495800</v>
      </c>
      <c r="P102" s="46">
        <f t="shared" ca="1" si="4"/>
        <v>3.8947368421034271E-3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input_527010!A$2</f>
        <v>527010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IFERROR(VLOOKUP(B103,input_527010!L:R,7,FALSE),VLOOKUP(tables_527010!C103,input_527010!A:H,8,FALSE))</f>
        <v>619750</v>
      </c>
      <c r="P103" s="46">
        <f t="shared" ca="1" si="4"/>
        <v>4.8684210526292841E-3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input_527010!A$2</f>
        <v>527010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IFERROR(VLOOKUP(B104,input_527010!L:R,7,FALSE),VLOOKUP(tables_527010!C104,input_527010!A:H,8,FALSE))</f>
        <v>5887.5</v>
      </c>
      <c r="P104" s="46">
        <f t="shared" ca="1" si="4"/>
        <v>4.624901806753515E-5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input_527010!A$2</f>
        <v>527010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IFERROR(VLOOKUP(B105,input_527010!L:R,7,FALSE),VLOOKUP(tables_527010!C105,input_527010!A:H,8,FALSE))</f>
        <v>495800</v>
      </c>
      <c r="P105" s="46">
        <f t="shared" ca="1" si="4"/>
        <v>3.8947368421034271E-3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input_527010!A$2</f>
        <v>527010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IFERROR(VLOOKUP(B106,input_527010!L:R,7,FALSE),VLOOKUP(tables_527010!C106,input_527010!A:H,8,FALSE))</f>
        <v>619750</v>
      </c>
      <c r="P106" s="46">
        <f t="shared" ca="1" si="4"/>
        <v>4.8684210526292841E-3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input_527010!A$2</f>
        <v>527010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IFERROR(VLOOKUP(B107,input_527010!L:R,7,FALSE),VLOOKUP(tables_527010!C107,input_527010!A:H,8,FALSE))</f>
        <v>5887.5</v>
      </c>
      <c r="P107" s="46">
        <f t="shared" ca="1" si="4"/>
        <v>4.624901806753515E-5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input_527010!A$2</f>
        <v>527010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IFERROR(VLOOKUP(B108,input_527010!L:R,7,FALSE),VLOOKUP(tables_527010!C108,input_527010!A:H,8,FALSE))</f>
        <v>495800</v>
      </c>
      <c r="P108" s="46">
        <f t="shared" ca="1" si="4"/>
        <v>3.8947368421034271E-3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input_527010!A$2</f>
        <v>527010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IFERROR(VLOOKUP(B109,input_527010!L:R,7,FALSE),VLOOKUP(tables_527010!C109,input_527010!A:H,8,FALSE))</f>
        <v>619750</v>
      </c>
      <c r="P109" s="46">
        <f t="shared" ca="1" si="4"/>
        <v>4.8684210526292841E-3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input_527010!A$2</f>
        <v>527010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IFERROR(VLOOKUP(B110,input_527010!L:R,7,FALSE),VLOOKUP(tables_527010!C110,input_527010!A:H,8,FALSE))</f>
        <v>5887.5</v>
      </c>
      <c r="P110" s="46">
        <f t="shared" ca="1" si="4"/>
        <v>4.624901806753515E-5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input_527010!A$2</f>
        <v>527010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IFERROR(VLOOKUP(B111,input_527010!L:R,7,FALSE),VLOOKUP(tables_527010!C111,input_527010!A:H,8,FALSE))</f>
        <v>495800</v>
      </c>
      <c r="P111" s="46">
        <f t="shared" ca="1" si="4"/>
        <v>3.8947368421034271E-3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input_527010!A$2</f>
        <v>527010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IFERROR(VLOOKUP(B112,input_527010!L:R,7,FALSE),VLOOKUP(tables_527010!C112,input_527010!A:H,8,FALSE))</f>
        <v>619750</v>
      </c>
      <c r="P112" s="46">
        <f t="shared" ca="1" si="4"/>
        <v>4.8684210526292841E-3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input_527010!A$2</f>
        <v>527010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IFERROR(VLOOKUP(B113,input_527010!L:R,7,FALSE),VLOOKUP(tables_527010!C113,input_527010!A:H,8,FALSE))</f>
        <v>123950</v>
      </c>
      <c r="P113" s="46">
        <f t="shared" ca="1" si="4"/>
        <v>9.7368421052585678E-4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input_527010!A$2</f>
        <v>527010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IFERROR(VLOOKUP(B114,input_527010!L:R,7,FALSE),VLOOKUP(tables_527010!C114,input_527010!A:H,8,FALSE))</f>
        <v>495800</v>
      </c>
      <c r="P114" s="46">
        <f t="shared" ca="1" si="4"/>
        <v>3.8947368421034271E-3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input_527010!A$2</f>
        <v>527010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IFERROR(VLOOKUP(B115,input_527010!L:R,7,FALSE),VLOOKUP(tables_527010!C115,input_527010!A:H,8,FALSE))</f>
        <v>619750</v>
      </c>
      <c r="P115" s="46">
        <f t="shared" ca="1" si="4"/>
        <v>4.8684210526292841E-3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input_527010!A$2</f>
        <v>527010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IFERROR(VLOOKUP(B116,input_527010!L:R,7,FALSE),VLOOKUP(tables_527010!C116,input_527010!A:H,8,FALSE))</f>
        <v>5887.5</v>
      </c>
      <c r="P116" s="46">
        <f t="shared" ca="1" si="4"/>
        <v>4.624901806753515E-5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input_527010!A$2</f>
        <v>527010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IFERROR(VLOOKUP(B117,input_527010!L:R,7,FALSE),VLOOKUP(tables_527010!C117,input_527010!A:H,8,FALSE))</f>
        <v>495800</v>
      </c>
      <c r="P117" s="46">
        <f t="shared" ca="1" si="4"/>
        <v>3.8947368421034271E-3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input_527010!A$2</f>
        <v>527010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IFERROR(VLOOKUP(B118,input_527010!L:R,7,FALSE),VLOOKUP(tables_527010!C118,input_527010!A:H,8,FALSE))</f>
        <v>619750</v>
      </c>
      <c r="P118" s="46">
        <f t="shared" ca="1" si="4"/>
        <v>4.8684210526292841E-3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input_527010!A$2</f>
        <v>527010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IFERROR(VLOOKUP(B119,input_527010!L:R,7,FALSE),VLOOKUP(tables_527010!C119,input_527010!A:H,8,FALSE))</f>
        <v>5887.5</v>
      </c>
      <c r="P119" s="46">
        <f t="shared" ca="1" si="4"/>
        <v>4.624901806753515E-5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input_527010!A$2</f>
        <v>527010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IFERROR(VLOOKUP(B120,input_527010!L:R,7,FALSE),VLOOKUP(tables_527010!C120,input_527010!A:H,8,FALSE))</f>
        <v>495800</v>
      </c>
      <c r="P120" s="46">
        <f t="shared" ca="1" si="4"/>
        <v>3.8947368421034271E-3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input_527010!A$2</f>
        <v>527010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IFERROR(VLOOKUP(B121,input_527010!L:R,7,FALSE),VLOOKUP(tables_527010!C121,input_527010!A:H,8,FALSE))</f>
        <v>619750</v>
      </c>
      <c r="P121" s="46">
        <f t="shared" ca="1" si="4"/>
        <v>4.8684210526292841E-3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input_527010!A$2</f>
        <v>527010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IFERROR(VLOOKUP(B122,input_527010!L:R,7,FALSE),VLOOKUP(tables_527010!C122,input_527010!A:H,8,FALSE))</f>
        <v>5887.5</v>
      </c>
      <c r="P122" s="46">
        <f t="shared" ca="1" si="4"/>
        <v>4.624901806753515E-5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input_527010!A$2</f>
        <v>527010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IFERROR(VLOOKUP(B123,input_527010!L:R,7,FALSE),VLOOKUP(tables_527010!C123,input_527010!A:H,8,FALSE))</f>
        <v>495800</v>
      </c>
      <c r="P123" s="46">
        <f t="shared" ca="1" si="4"/>
        <v>3.8947368421034271E-3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input_527010!A$2</f>
        <v>527010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IFERROR(VLOOKUP(B124,input_527010!L:R,7,FALSE),VLOOKUP(tables_527010!C124,input_527010!A:H,8,FALSE))</f>
        <v>619750</v>
      </c>
      <c r="P124" s="46">
        <f t="shared" ca="1" si="4"/>
        <v>4.8684210526292841E-3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input_527010!A$2</f>
        <v>527010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IFERROR(VLOOKUP(B125,input_527010!L:R,7,FALSE),VLOOKUP(tables_527010!C125,input_527010!A:H,8,FALSE))</f>
        <v>5887.5</v>
      </c>
      <c r="P125" s="46">
        <f t="shared" ca="1" si="4"/>
        <v>4.624901806753515E-5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input_527010!A$2</f>
        <v>527010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IFERROR(VLOOKUP(B126,input_527010!L:R,7,FALSE),VLOOKUP(tables_527010!C126,input_527010!A:H,8,FALSE))</f>
        <v>495800</v>
      </c>
      <c r="P126" s="46">
        <f t="shared" ca="1" si="4"/>
        <v>3.8947368421034271E-3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input_527010!A$2</f>
        <v>527010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IFERROR(VLOOKUP(B127,input_527010!L:R,7,FALSE),VLOOKUP(tables_527010!C127,input_527010!A:H,8,FALSE))</f>
        <v>619750</v>
      </c>
      <c r="P127" s="46">
        <f t="shared" ca="1" si="4"/>
        <v>4.8684210526292841E-3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input_527010!A$2</f>
        <v>527010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IFERROR(VLOOKUP(B128,input_527010!L:R,7,FALSE),VLOOKUP(tables_527010!C128,input_527010!A:H,8,FALSE))</f>
        <v>5887.5</v>
      </c>
      <c r="P128" s="46">
        <f t="shared" ca="1" si="4"/>
        <v>4.624901806753515E-5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input_527010!A$2</f>
        <v>527010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IFERROR(VLOOKUP(B129,input_527010!L:R,7,FALSE),VLOOKUP(tables_527010!C129,input_527010!A:H,8,FALSE))</f>
        <v>495800</v>
      </c>
      <c r="P129" s="46">
        <f t="shared" ca="1" si="4"/>
        <v>3.8947368421034271E-3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input_527010!A$2</f>
        <v>527010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IFERROR(VLOOKUP(B130,input_527010!L:R,7,FALSE),VLOOKUP(tables_527010!C130,input_527010!A:H,8,FALSE))</f>
        <v>619750</v>
      </c>
      <c r="P130" s="46">
        <f t="shared" ref="P130:P193" ca="1" si="7">O130/SUM(O:O)</f>
        <v>4.8684210526292841E-3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input_527010!A$2</f>
        <v>527010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IFERROR(VLOOKUP(B131,input_527010!L:R,7,FALSE),VLOOKUP(tables_527010!C131,input_527010!A:H,8,FALSE))</f>
        <v>5887.5</v>
      </c>
      <c r="P131" s="46">
        <f t="shared" ca="1" si="7"/>
        <v>4.624901806753515E-5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input_527010!A$2</f>
        <v>527010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IFERROR(VLOOKUP(B132,input_527010!L:R,7,FALSE),VLOOKUP(tables_527010!C132,input_527010!A:H,8,FALSE))</f>
        <v>495800</v>
      </c>
      <c r="P132" s="46">
        <f t="shared" ca="1" si="7"/>
        <v>3.8947368421034271E-3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input_527010!A$2</f>
        <v>527010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IFERROR(VLOOKUP(B133,input_527010!L:R,7,FALSE),VLOOKUP(tables_527010!C133,input_527010!A:H,8,FALSE))</f>
        <v>619750</v>
      </c>
      <c r="P133" s="46">
        <f t="shared" ca="1" si="7"/>
        <v>4.8684210526292841E-3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input_527010!A$2</f>
        <v>527010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IFERROR(VLOOKUP(B134,input_527010!L:R,7,FALSE),VLOOKUP(tables_527010!C134,input_527010!A:H,8,FALSE))</f>
        <v>5887.5</v>
      </c>
      <c r="P134" s="46">
        <f t="shared" ca="1" si="7"/>
        <v>4.624901806753515E-5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input_527010!A$2</f>
        <v>527010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IFERROR(VLOOKUP(B135,input_527010!L:R,7,FALSE),VLOOKUP(tables_527010!C135,input_527010!A:H,8,FALSE))</f>
        <v>495800</v>
      </c>
      <c r="P135" s="46">
        <f t="shared" ca="1" si="7"/>
        <v>3.8947368421034271E-3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input_527010!A$2</f>
        <v>527010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IFERROR(VLOOKUP(B136,input_527010!L:R,7,FALSE),VLOOKUP(tables_527010!C136,input_527010!A:H,8,FALSE))</f>
        <v>619750</v>
      </c>
      <c r="P136" s="46">
        <f t="shared" ca="1" si="7"/>
        <v>4.8684210526292841E-3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input_527010!A$2</f>
        <v>527010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IFERROR(VLOOKUP(B137,input_527010!L:R,7,FALSE),VLOOKUP(tables_527010!C137,input_527010!A:H,8,FALSE))</f>
        <v>5887.5</v>
      </c>
      <c r="P137" s="46">
        <f t="shared" ca="1" si="7"/>
        <v>4.624901806753515E-5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input_527010!A$2</f>
        <v>527010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IFERROR(VLOOKUP(B138,input_527010!L:R,7,FALSE),VLOOKUP(tables_527010!C138,input_527010!A:H,8,FALSE))</f>
        <v>25650</v>
      </c>
      <c r="P138" s="46">
        <f t="shared" ca="1" si="7"/>
        <v>2.0149253731333787E-4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input_527010!A$2</f>
        <v>527010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IFERROR(VLOOKUP(B139,input_527010!L:R,7,FALSE),VLOOKUP(tables_527010!C139,input_527010!A:H,8,FALSE))</f>
        <v>2850</v>
      </c>
      <c r="P139" s="46">
        <f t="shared" ca="1" si="7"/>
        <v>2.2388059701481985E-5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input_527010!A$2</f>
        <v>527010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IFERROR(VLOOKUP(B140,input_527010!L:R,7,FALSE),VLOOKUP(tables_527010!C140,input_527010!A:H,8,FALSE))</f>
        <v>25650</v>
      </c>
      <c r="P140" s="46">
        <f t="shared" ca="1" si="7"/>
        <v>2.0149253731333787E-4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input_527010!A$2</f>
        <v>527010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IFERROR(VLOOKUP(B141,input_527010!L:R,7,FALSE),VLOOKUP(tables_527010!C141,input_527010!A:H,8,FALSE))</f>
        <v>2850</v>
      </c>
      <c r="P141" s="46">
        <f t="shared" ca="1" si="7"/>
        <v>2.2388059701481985E-5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input_527010!A$2</f>
        <v>527010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IFERROR(VLOOKUP(B142,input_527010!L:R,7,FALSE),VLOOKUP(tables_527010!C142,input_527010!A:H,8,FALSE))</f>
        <v>25650</v>
      </c>
      <c r="P142" s="46">
        <f t="shared" ca="1" si="7"/>
        <v>2.0149253731333787E-4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input_527010!A$2</f>
        <v>527010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IFERROR(VLOOKUP(B143,input_527010!L:R,7,FALSE),VLOOKUP(tables_527010!C143,input_527010!A:H,8,FALSE))</f>
        <v>2850</v>
      </c>
      <c r="P143" s="46">
        <f t="shared" ca="1" si="7"/>
        <v>2.2388059701481985E-5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input_527010!A$2</f>
        <v>527010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IFERROR(VLOOKUP(B144,input_527010!L:R,7,FALSE),VLOOKUP(tables_527010!C144,input_527010!A:H,8,FALSE))</f>
        <v>25650</v>
      </c>
      <c r="P144" s="46">
        <f t="shared" ca="1" si="7"/>
        <v>2.0149253731333787E-4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input_527010!A$2</f>
        <v>527010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IFERROR(VLOOKUP(B145,input_527010!L:R,7,FALSE),VLOOKUP(tables_527010!C145,input_527010!A:H,8,FALSE))</f>
        <v>2850</v>
      </c>
      <c r="P145" s="46">
        <f t="shared" ca="1" si="7"/>
        <v>2.2388059701481985E-5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input_527010!A$2</f>
        <v>527010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IFERROR(VLOOKUP(B146,input_527010!L:R,7,FALSE),VLOOKUP(tables_527010!C146,input_527010!A:H,8,FALSE))</f>
        <v>495800</v>
      </c>
      <c r="P146" s="46">
        <f t="shared" ca="1" si="7"/>
        <v>3.8947368421034271E-3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input_527010!A$2</f>
        <v>527010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IFERROR(VLOOKUP(B147,input_527010!L:R,7,FALSE),VLOOKUP(tables_527010!C147,input_527010!A:H,8,FALSE))</f>
        <v>619750</v>
      </c>
      <c r="P147" s="46">
        <f t="shared" ca="1" si="7"/>
        <v>4.8684210526292841E-3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input_527010!A$2</f>
        <v>527010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IFERROR(VLOOKUP(B148,input_527010!L:R,7,FALSE),VLOOKUP(tables_527010!C148,input_527010!A:H,8,FALSE))</f>
        <v>5887.5</v>
      </c>
      <c r="P148" s="46">
        <f t="shared" ca="1" si="7"/>
        <v>4.624901806753515E-5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input_527010!A$2</f>
        <v>527010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IFERROR(VLOOKUP(B149,input_527010!L:R,7,FALSE),VLOOKUP(tables_527010!C149,input_527010!A:H,8,FALSE))</f>
        <v>25650</v>
      </c>
      <c r="P149" s="46">
        <f t="shared" ca="1" si="7"/>
        <v>2.0149253731333787E-4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input_527010!A$2</f>
        <v>527010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IFERROR(VLOOKUP(B150,input_527010!L:R,7,FALSE),VLOOKUP(tables_527010!C150,input_527010!A:H,8,FALSE))</f>
        <v>2850</v>
      </c>
      <c r="P150" s="46">
        <f t="shared" ca="1" si="7"/>
        <v>2.2388059701481985E-5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input_527010!A$2</f>
        <v>527010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IFERROR(VLOOKUP(B151,input_527010!L:R,7,FALSE),VLOOKUP(tables_527010!C151,input_527010!A:H,8,FALSE))</f>
        <v>25650</v>
      </c>
      <c r="P151" s="46">
        <f t="shared" ca="1" si="7"/>
        <v>2.0149253731333787E-4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input_527010!A$2</f>
        <v>527010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IFERROR(VLOOKUP(B152,input_527010!L:R,7,FALSE),VLOOKUP(tables_527010!C152,input_527010!A:H,8,FALSE))</f>
        <v>2850</v>
      </c>
      <c r="P152" s="46">
        <f t="shared" ca="1" si="7"/>
        <v>2.2388059701481985E-5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input_527010!A$2</f>
        <v>527010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IFERROR(VLOOKUP(B153,input_527010!L:R,7,FALSE),VLOOKUP(tables_527010!C153,input_527010!A:H,8,FALSE))</f>
        <v>495800</v>
      </c>
      <c r="P153" s="46">
        <f t="shared" ca="1" si="7"/>
        <v>3.8947368421034271E-3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input_527010!A$2</f>
        <v>527010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IFERROR(VLOOKUP(B154,input_527010!L:R,7,FALSE),VLOOKUP(tables_527010!C154,input_527010!A:H,8,FALSE))</f>
        <v>619750</v>
      </c>
      <c r="P154" s="46">
        <f t="shared" ca="1" si="7"/>
        <v>4.8684210526292841E-3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input_527010!A$2</f>
        <v>527010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IFERROR(VLOOKUP(B155,input_527010!L:R,7,FALSE),VLOOKUP(tables_527010!C155,input_527010!A:H,8,FALSE))</f>
        <v>5887.5</v>
      </c>
      <c r="P155" s="46">
        <f t="shared" ca="1" si="7"/>
        <v>4.624901806753515E-5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input_527010!A$2</f>
        <v>527010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IFERROR(VLOOKUP(B156,input_527010!L:R,7,FALSE),VLOOKUP(tables_527010!C156,input_527010!A:H,8,FALSE))</f>
        <v>25650</v>
      </c>
      <c r="P156" s="46">
        <f t="shared" ca="1" si="7"/>
        <v>2.0149253731333787E-4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input_527010!A$2</f>
        <v>527010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IFERROR(VLOOKUP(B157,input_527010!L:R,7,FALSE),VLOOKUP(tables_527010!C157,input_527010!A:H,8,FALSE))</f>
        <v>2850</v>
      </c>
      <c r="P157" s="46">
        <f t="shared" ca="1" si="7"/>
        <v>2.2388059701481985E-5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input_527010!A$2</f>
        <v>527010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IFERROR(VLOOKUP(B158,input_527010!L:R,7,FALSE),VLOOKUP(tables_527010!C158,input_527010!A:H,8,FALSE))</f>
        <v>495800</v>
      </c>
      <c r="P158" s="46">
        <f t="shared" ca="1" si="7"/>
        <v>3.8947368421034271E-3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input_527010!A$2</f>
        <v>527010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IFERROR(VLOOKUP(B159,input_527010!L:R,7,FALSE),VLOOKUP(tables_527010!C159,input_527010!A:H,8,FALSE))</f>
        <v>619750</v>
      </c>
      <c r="P159" s="46">
        <f t="shared" ca="1" si="7"/>
        <v>4.8684210526292841E-3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input_527010!A$2</f>
        <v>527010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IFERROR(VLOOKUP(B160,input_527010!L:R,7,FALSE),VLOOKUP(tables_527010!C160,input_527010!A:H,8,FALSE))</f>
        <v>5887.5</v>
      </c>
      <c r="P160" s="46">
        <f t="shared" ca="1" si="7"/>
        <v>4.624901806753515E-5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input_527010!A$2</f>
        <v>527010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IFERROR(VLOOKUP(B161,input_527010!L:R,7,FALSE),VLOOKUP(tables_527010!C161,input_527010!A:H,8,FALSE))</f>
        <v>495800</v>
      </c>
      <c r="P161" s="46">
        <f t="shared" ca="1" si="7"/>
        <v>3.8947368421034271E-3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input_527010!A$2</f>
        <v>527010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IFERROR(VLOOKUP(B162,input_527010!L:R,7,FALSE),VLOOKUP(tables_527010!C162,input_527010!A:H,8,FALSE))</f>
        <v>619750</v>
      </c>
      <c r="P162" s="46">
        <f t="shared" ca="1" si="7"/>
        <v>4.8684210526292841E-3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input_527010!A$2</f>
        <v>527010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IFERROR(VLOOKUP(B163,input_527010!L:R,7,FALSE),VLOOKUP(tables_527010!C163,input_527010!A:H,8,FALSE))</f>
        <v>5887.5</v>
      </c>
      <c r="P163" s="46">
        <f t="shared" ca="1" si="7"/>
        <v>4.624901806753515E-5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input_527010!A$2</f>
        <v>527010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IFERROR(VLOOKUP(B164,input_527010!L:R,7,FALSE),VLOOKUP(tables_527010!C164,input_527010!A:H,8,FALSE))</f>
        <v>25650</v>
      </c>
      <c r="P164" s="46">
        <f t="shared" ca="1" si="7"/>
        <v>2.0149253731333787E-4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input_527010!A$2</f>
        <v>527010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IFERROR(VLOOKUP(B165,input_527010!L:R,7,FALSE),VLOOKUP(tables_527010!C165,input_527010!A:H,8,FALSE))</f>
        <v>2850</v>
      </c>
      <c r="P165" s="46">
        <f t="shared" ca="1" si="7"/>
        <v>2.2388059701481985E-5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input_527010!A$2</f>
        <v>527010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IFERROR(VLOOKUP(B166,input_527010!L:R,7,FALSE),VLOOKUP(tables_527010!C166,input_527010!A:H,8,FALSE))</f>
        <v>495800</v>
      </c>
      <c r="P166" s="46">
        <f t="shared" ca="1" si="7"/>
        <v>3.8947368421034271E-3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input_527010!A$2</f>
        <v>527010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IFERROR(VLOOKUP(B167,input_527010!L:R,7,FALSE),VLOOKUP(tables_527010!C167,input_527010!A:H,8,FALSE))</f>
        <v>619750</v>
      </c>
      <c r="P167" s="46">
        <f t="shared" ca="1" si="7"/>
        <v>4.8684210526292841E-3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input_527010!A$2</f>
        <v>527010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IFERROR(VLOOKUP(B168,input_527010!L:R,7,FALSE),VLOOKUP(tables_527010!C168,input_527010!A:H,8,FALSE))</f>
        <v>5887.5</v>
      </c>
      <c r="P168" s="46">
        <f t="shared" ca="1" si="7"/>
        <v>4.624901806753515E-5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input_527010!A$2</f>
        <v>527010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IFERROR(VLOOKUP(B169,input_527010!L:R,7,FALSE),VLOOKUP(tables_527010!C169,input_527010!A:H,8,FALSE))</f>
        <v>25650</v>
      </c>
      <c r="P169" s="46">
        <f t="shared" ca="1" si="7"/>
        <v>2.0149253731333787E-4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input_527010!A$2</f>
        <v>527010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IFERROR(VLOOKUP(B170,input_527010!L:R,7,FALSE),VLOOKUP(tables_527010!C170,input_527010!A:H,8,FALSE))</f>
        <v>2850</v>
      </c>
      <c r="P170" s="46">
        <f t="shared" ca="1" si="7"/>
        <v>2.2388059701481985E-5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input_527010!A$2</f>
        <v>527010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IFERROR(VLOOKUP(B171,input_527010!L:R,7,FALSE),VLOOKUP(tables_527010!C171,input_527010!A:H,8,FALSE))</f>
        <v>495800</v>
      </c>
      <c r="P171" s="46">
        <f t="shared" ca="1" si="7"/>
        <v>3.8947368421034271E-3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input_527010!A$2</f>
        <v>527010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IFERROR(VLOOKUP(B172,input_527010!L:R,7,FALSE),VLOOKUP(tables_527010!C172,input_527010!A:H,8,FALSE))</f>
        <v>619750</v>
      </c>
      <c r="P172" s="46">
        <f t="shared" ca="1" si="7"/>
        <v>4.8684210526292841E-3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input_527010!A$2</f>
        <v>527010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IFERROR(VLOOKUP(B173,input_527010!L:R,7,FALSE),VLOOKUP(tables_527010!C173,input_527010!A:H,8,FALSE))</f>
        <v>5887.5</v>
      </c>
      <c r="P173" s="46">
        <f t="shared" ca="1" si="7"/>
        <v>4.624901806753515E-5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input_527010!A$2</f>
        <v>527010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IFERROR(VLOOKUP(B174,input_527010!L:R,7,FALSE),VLOOKUP(tables_527010!C174,input_527010!A:H,8,FALSE))</f>
        <v>25650</v>
      </c>
      <c r="P174" s="46">
        <f t="shared" ca="1" si="7"/>
        <v>2.0149253731333787E-4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input_527010!A$2</f>
        <v>527010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IFERROR(VLOOKUP(B175,input_527010!L:R,7,FALSE),VLOOKUP(tables_527010!C175,input_527010!A:H,8,FALSE))</f>
        <v>2850</v>
      </c>
      <c r="P175" s="46">
        <f t="shared" ca="1" si="7"/>
        <v>2.2388059701481985E-5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input_527010!A$2</f>
        <v>527010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IFERROR(VLOOKUP(B176,input_527010!L:R,7,FALSE),VLOOKUP(tables_527010!C176,input_527010!A:H,8,FALSE))</f>
        <v>25650</v>
      </c>
      <c r="P176" s="46">
        <f t="shared" ca="1" si="7"/>
        <v>2.0149253731333787E-4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input_527010!A$2</f>
        <v>527010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IFERROR(VLOOKUP(B177,input_527010!L:R,7,FALSE),VLOOKUP(tables_527010!C177,input_527010!A:H,8,FALSE))</f>
        <v>2850</v>
      </c>
      <c r="P177" s="46">
        <f t="shared" ca="1" si="7"/>
        <v>2.2388059701481985E-5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input_527010!A$2</f>
        <v>527010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IFERROR(VLOOKUP(B178,input_527010!L:R,7,FALSE),VLOOKUP(tables_527010!C178,input_527010!A:H,8,FALSE))</f>
        <v>495800</v>
      </c>
      <c r="P178" s="46">
        <f t="shared" ca="1" si="7"/>
        <v>3.8947368421034271E-3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input_527010!A$2</f>
        <v>527010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IFERROR(VLOOKUP(B179,input_527010!L:R,7,FALSE),VLOOKUP(tables_527010!C179,input_527010!A:H,8,FALSE))</f>
        <v>619750</v>
      </c>
      <c r="P179" s="46">
        <f t="shared" ca="1" si="7"/>
        <v>4.8684210526292841E-3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input_527010!A$2</f>
        <v>527010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IFERROR(VLOOKUP(B180,input_527010!L:R,7,FALSE),VLOOKUP(tables_527010!C180,input_527010!A:H,8,FALSE))</f>
        <v>5887.5</v>
      </c>
      <c r="P180" s="46">
        <f t="shared" ca="1" si="7"/>
        <v>4.624901806753515E-5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input_527010!A$2</f>
        <v>527010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IFERROR(VLOOKUP(B181,input_527010!L:R,7,FALSE),VLOOKUP(tables_527010!C181,input_527010!A:H,8,FALSE))</f>
        <v>495800</v>
      </c>
      <c r="P181" s="46">
        <f t="shared" ca="1" si="7"/>
        <v>3.8947368421034271E-3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input_527010!A$2</f>
        <v>527010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IFERROR(VLOOKUP(B182,input_527010!L:R,7,FALSE),VLOOKUP(tables_527010!C182,input_527010!A:H,8,FALSE))</f>
        <v>619750</v>
      </c>
      <c r="P182" s="46">
        <f t="shared" ca="1" si="7"/>
        <v>4.8684210526292841E-3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input_527010!A$2</f>
        <v>527010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IFERROR(VLOOKUP(B183,input_527010!L:R,7,FALSE),VLOOKUP(tables_527010!C183,input_527010!A:H,8,FALSE))</f>
        <v>5887.5</v>
      </c>
      <c r="P183" s="46">
        <f t="shared" ca="1" si="7"/>
        <v>4.624901806753515E-5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input_527010!A$2</f>
        <v>527010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IFERROR(VLOOKUP(B184,input_527010!L:R,7,FALSE),VLOOKUP(tables_527010!C184,input_527010!A:H,8,FALSE))</f>
        <v>25650</v>
      </c>
      <c r="P184" s="46">
        <f t="shared" ca="1" si="7"/>
        <v>2.0149253731333787E-4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input_527010!A$2</f>
        <v>527010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IFERROR(VLOOKUP(B185,input_527010!L:R,7,FALSE),VLOOKUP(tables_527010!C185,input_527010!A:H,8,FALSE))</f>
        <v>2850</v>
      </c>
      <c r="P185" s="46">
        <f t="shared" ca="1" si="7"/>
        <v>2.2388059701481985E-5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input_527010!A$2</f>
        <v>527010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IFERROR(VLOOKUP(B186,input_527010!L:R,7,FALSE),VLOOKUP(tables_527010!C186,input_527010!A:H,8,FALSE))</f>
        <v>495800</v>
      </c>
      <c r="P186" s="46">
        <f t="shared" ca="1" si="7"/>
        <v>3.8947368421034271E-3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input_527010!A$2</f>
        <v>527010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IFERROR(VLOOKUP(B187,input_527010!L:R,7,FALSE),VLOOKUP(tables_527010!C187,input_527010!A:H,8,FALSE))</f>
        <v>619750</v>
      </c>
      <c r="P187" s="46">
        <f t="shared" ca="1" si="7"/>
        <v>4.8684210526292841E-3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input_527010!A$2</f>
        <v>527010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IFERROR(VLOOKUP(B188,input_527010!L:R,7,FALSE),VLOOKUP(tables_527010!C188,input_527010!A:H,8,FALSE))</f>
        <v>5887.5</v>
      </c>
      <c r="P188" s="46">
        <f t="shared" ca="1" si="7"/>
        <v>4.624901806753515E-5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input_527010!A$2</f>
        <v>527010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IFERROR(VLOOKUP(B189,input_527010!L:R,7,FALSE),VLOOKUP(tables_527010!C189,input_527010!A:H,8,FALSE))</f>
        <v>25650</v>
      </c>
      <c r="P189" s="46">
        <f t="shared" ca="1" si="7"/>
        <v>2.0149253731333787E-4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input_527010!A$2</f>
        <v>527010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IFERROR(VLOOKUP(B190,input_527010!L:R,7,FALSE),VLOOKUP(tables_527010!C190,input_527010!A:H,8,FALSE))</f>
        <v>2850</v>
      </c>
      <c r="P190" s="46">
        <f t="shared" ca="1" si="7"/>
        <v>2.2388059701481985E-5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input_527010!A$2</f>
        <v>527010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IFERROR(VLOOKUP(B191,input_527010!L:R,7,FALSE),VLOOKUP(tables_527010!C191,input_527010!A:H,8,FALSE))</f>
        <v>25650</v>
      </c>
      <c r="P191" s="46">
        <f t="shared" ca="1" si="7"/>
        <v>2.0149253731333787E-4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input_527010!A$2</f>
        <v>527010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IFERROR(VLOOKUP(B192,input_527010!L:R,7,FALSE),VLOOKUP(tables_527010!C192,input_527010!A:H,8,FALSE))</f>
        <v>2850</v>
      </c>
      <c r="P192" s="46">
        <f t="shared" ca="1" si="7"/>
        <v>2.2388059701481985E-5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input_527010!A$2</f>
        <v>527010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IFERROR(VLOOKUP(B193,input_527010!L:R,7,FALSE),VLOOKUP(tables_527010!C193,input_527010!A:H,8,FALSE))</f>
        <v>495800</v>
      </c>
      <c r="P193" s="46">
        <f t="shared" ca="1" si="7"/>
        <v>3.8947368421034271E-3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input_527010!A$2</f>
        <v>527010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IFERROR(VLOOKUP(B194,input_527010!L:R,7,FALSE),VLOOKUP(tables_527010!C194,input_527010!A:H,8,FALSE))</f>
        <v>619750</v>
      </c>
      <c r="P194" s="46">
        <f t="shared" ref="P194:P257" ca="1" si="10">O194/SUM(O:O)</f>
        <v>4.8684210526292841E-3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input_527010!A$2</f>
        <v>527010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IFERROR(VLOOKUP(B195,input_527010!L:R,7,FALSE),VLOOKUP(tables_527010!C195,input_527010!A:H,8,FALSE))</f>
        <v>5887.5</v>
      </c>
      <c r="P195" s="46">
        <f t="shared" ca="1" si="10"/>
        <v>4.624901806753515E-5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input_527010!A$2</f>
        <v>527010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IFERROR(VLOOKUP(B196,input_527010!L:R,7,FALSE),VLOOKUP(tables_527010!C196,input_527010!A:H,8,FALSE))</f>
        <v>25650</v>
      </c>
      <c r="P196" s="46">
        <f t="shared" ca="1" si="10"/>
        <v>2.0149253731333787E-4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input_527010!A$2</f>
        <v>527010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IFERROR(VLOOKUP(B197,input_527010!L:R,7,FALSE),VLOOKUP(tables_527010!C197,input_527010!A:H,8,FALSE))</f>
        <v>2850</v>
      </c>
      <c r="P197" s="46">
        <f t="shared" ca="1" si="10"/>
        <v>2.2388059701481985E-5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input_527010!A$2</f>
        <v>527010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IFERROR(VLOOKUP(B198,input_527010!L:R,7,FALSE),VLOOKUP(tables_527010!C198,input_527010!A:H,8,FALSE))</f>
        <v>495800</v>
      </c>
      <c r="P198" s="46">
        <f t="shared" ca="1" si="10"/>
        <v>3.8947368421034271E-3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input_527010!A$2</f>
        <v>527010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IFERROR(VLOOKUP(B199,input_527010!L:R,7,FALSE),VLOOKUP(tables_527010!C199,input_527010!A:H,8,FALSE))</f>
        <v>619750</v>
      </c>
      <c r="P199" s="46">
        <f t="shared" ca="1" si="10"/>
        <v>4.8684210526292841E-3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input_527010!A$2</f>
        <v>527010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IFERROR(VLOOKUP(B200,input_527010!L:R,7,FALSE),VLOOKUP(tables_527010!C200,input_527010!A:H,8,FALSE))</f>
        <v>5887.5</v>
      </c>
      <c r="P200" s="46">
        <f t="shared" ca="1" si="10"/>
        <v>4.624901806753515E-5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input_527010!A$2</f>
        <v>527010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IFERROR(VLOOKUP(B201,input_527010!L:R,7,FALSE),VLOOKUP(tables_527010!C201,input_527010!A:H,8,FALSE))</f>
        <v>25650</v>
      </c>
      <c r="P201" s="46">
        <f t="shared" ca="1" si="10"/>
        <v>2.0149253731333787E-4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input_527010!A$2</f>
        <v>527010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IFERROR(VLOOKUP(B202,input_527010!L:R,7,FALSE),VLOOKUP(tables_527010!C202,input_527010!A:H,8,FALSE))</f>
        <v>2850</v>
      </c>
      <c r="P202" s="46">
        <f t="shared" ca="1" si="10"/>
        <v>2.2388059701481985E-5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input_527010!A$2</f>
        <v>527010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IFERROR(VLOOKUP(B203,input_527010!L:R,7,FALSE),VLOOKUP(tables_527010!C203,input_527010!A:H,8,FALSE))</f>
        <v>495800</v>
      </c>
      <c r="P203" s="46">
        <f t="shared" ca="1" si="10"/>
        <v>3.8947368421034271E-3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input_527010!A$2</f>
        <v>527010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IFERROR(VLOOKUP(B204,input_527010!L:R,7,FALSE),VLOOKUP(tables_527010!C204,input_527010!A:H,8,FALSE))</f>
        <v>619750</v>
      </c>
      <c r="P204" s="46">
        <f t="shared" ca="1" si="10"/>
        <v>4.8684210526292841E-3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input_527010!A$2</f>
        <v>527010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IFERROR(VLOOKUP(B205,input_527010!L:R,7,FALSE),VLOOKUP(tables_527010!C205,input_527010!A:H,8,FALSE))</f>
        <v>5887.5</v>
      </c>
      <c r="P205" s="46">
        <f t="shared" ca="1" si="10"/>
        <v>4.624901806753515E-5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input_527010!A$2</f>
        <v>527010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IFERROR(VLOOKUP(B206,input_527010!L:R,7,FALSE),VLOOKUP(tables_527010!C206,input_527010!A:H,8,FALSE))</f>
        <v>25650</v>
      </c>
      <c r="P206" s="46">
        <f t="shared" ca="1" si="10"/>
        <v>2.0149253731333787E-4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input_527010!A$2</f>
        <v>527010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IFERROR(VLOOKUP(B207,input_527010!L:R,7,FALSE),VLOOKUP(tables_527010!C207,input_527010!A:H,8,FALSE))</f>
        <v>2850</v>
      </c>
      <c r="P207" s="46">
        <f t="shared" ca="1" si="10"/>
        <v>2.2388059701481985E-5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input_527010!A$2</f>
        <v>527010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IFERROR(VLOOKUP(B208,input_527010!L:R,7,FALSE),VLOOKUP(tables_527010!C208,input_527010!A:H,8,FALSE))</f>
        <v>25650</v>
      </c>
      <c r="P208" s="46">
        <f t="shared" ca="1" si="10"/>
        <v>2.0149253731333787E-4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input_527010!A$2</f>
        <v>527010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IFERROR(VLOOKUP(B209,input_527010!L:R,7,FALSE),VLOOKUP(tables_527010!C209,input_527010!A:H,8,FALSE))</f>
        <v>2850</v>
      </c>
      <c r="P209" s="46">
        <f t="shared" ca="1" si="10"/>
        <v>2.2388059701481985E-5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input_527010!A$2</f>
        <v>527010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IFERROR(VLOOKUP(B210,input_527010!L:R,7,FALSE),VLOOKUP(tables_527010!C210,input_527010!A:H,8,FALSE))</f>
        <v>495800</v>
      </c>
      <c r="P210" s="46">
        <f t="shared" ca="1" si="10"/>
        <v>3.8947368421034271E-3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input_527010!A$2</f>
        <v>527010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IFERROR(VLOOKUP(B211,input_527010!L:R,7,FALSE),VLOOKUP(tables_527010!C211,input_527010!A:H,8,FALSE))</f>
        <v>619750</v>
      </c>
      <c r="P211" s="46">
        <f t="shared" ca="1" si="10"/>
        <v>4.8684210526292841E-3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input_527010!A$2</f>
        <v>527010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IFERROR(VLOOKUP(B212,input_527010!L:R,7,FALSE),VLOOKUP(tables_527010!C212,input_527010!A:H,8,FALSE))</f>
        <v>5887.5</v>
      </c>
      <c r="P212" s="46">
        <f t="shared" ca="1" si="10"/>
        <v>4.624901806753515E-5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input_527010!A$2</f>
        <v>527010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IFERROR(VLOOKUP(B213,input_527010!L:R,7,FALSE),VLOOKUP(tables_527010!C213,input_527010!A:H,8,FALSE))</f>
        <v>25650</v>
      </c>
      <c r="P213" s="46">
        <f t="shared" ca="1" si="10"/>
        <v>2.0149253731333787E-4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input_527010!A$2</f>
        <v>527010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IFERROR(VLOOKUP(B214,input_527010!L:R,7,FALSE),VLOOKUP(tables_527010!C214,input_527010!A:H,8,FALSE))</f>
        <v>2850</v>
      </c>
      <c r="P214" s="46">
        <f t="shared" ca="1" si="10"/>
        <v>2.2388059701481985E-5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input_527010!A$2</f>
        <v>527010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IFERROR(VLOOKUP(B215,input_527010!L:R,7,FALSE),VLOOKUP(tables_527010!C215,input_527010!A:H,8,FALSE))</f>
        <v>123950</v>
      </c>
      <c r="P215" s="46">
        <f t="shared" ca="1" si="10"/>
        <v>9.7368421052585678E-4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input_527010!A$2</f>
        <v>527010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IFERROR(VLOOKUP(B216,input_527010!L:R,7,FALSE),VLOOKUP(tables_527010!C216,input_527010!A:H,8,FALSE))</f>
        <v>123950</v>
      </c>
      <c r="P216" s="46">
        <f t="shared" ca="1" si="10"/>
        <v>9.7368421052585678E-4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input_527010!A$2</f>
        <v>527010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IFERROR(VLOOKUP(B217,input_527010!L:R,7,FALSE),VLOOKUP(tables_527010!C217,input_527010!A:H,8,FALSE))</f>
        <v>123950</v>
      </c>
      <c r="P217" s="46">
        <f t="shared" ca="1" si="10"/>
        <v>9.7368421052585678E-4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input_527010!A$2</f>
        <v>527010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IFERROR(VLOOKUP(B218,input_527010!L:R,7,FALSE),VLOOKUP(tables_527010!C218,input_527010!A:H,8,FALSE))</f>
        <v>123950</v>
      </c>
      <c r="P218" s="46">
        <f t="shared" ca="1" si="10"/>
        <v>9.7368421052585678E-4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input_527010!A$2</f>
        <v>527010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IFERROR(VLOOKUP(B219,input_527010!L:R,7,FALSE),VLOOKUP(tables_527010!C219,input_527010!A:H,8,FALSE))</f>
        <v>123950</v>
      </c>
      <c r="P219" s="46">
        <f t="shared" ca="1" si="10"/>
        <v>9.7368421052585678E-4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input_527010!A$2</f>
        <v>527010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IFERROR(VLOOKUP(B220,input_527010!L:R,7,FALSE),VLOOKUP(tables_527010!C220,input_527010!A:H,8,FALSE))</f>
        <v>123950</v>
      </c>
      <c r="P220" s="46">
        <f t="shared" ca="1" si="10"/>
        <v>9.7368421052585678E-4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input_527010!A$2</f>
        <v>527010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IFERROR(VLOOKUP(B221,input_527010!L:R,7,FALSE),VLOOKUP(tables_527010!C221,input_527010!A:H,8,FALSE))</f>
        <v>25650</v>
      </c>
      <c r="P221" s="46">
        <f t="shared" ca="1" si="10"/>
        <v>2.0149253731333787E-4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input_527010!A$2</f>
        <v>527010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IFERROR(VLOOKUP(B222,input_527010!L:R,7,FALSE),VLOOKUP(tables_527010!C222,input_527010!A:H,8,FALSE))</f>
        <v>2850</v>
      </c>
      <c r="P222" s="46">
        <f t="shared" ca="1" si="10"/>
        <v>2.2388059701481985E-5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input_527010!A$2</f>
        <v>527010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IFERROR(VLOOKUP(B223,input_527010!L:R,7,FALSE),VLOOKUP(tables_527010!C223,input_527010!A:H,8,FALSE))</f>
        <v>495800</v>
      </c>
      <c r="P223" s="46">
        <f t="shared" ca="1" si="10"/>
        <v>3.8947368421034271E-3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input_527010!A$2</f>
        <v>527010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IFERROR(VLOOKUP(B224,input_527010!L:R,7,FALSE),VLOOKUP(tables_527010!C224,input_527010!A:H,8,FALSE))</f>
        <v>619750</v>
      </c>
      <c r="P224" s="46">
        <f t="shared" ca="1" si="10"/>
        <v>4.8684210526292841E-3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input_527010!A$2</f>
        <v>527010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IFERROR(VLOOKUP(B225,input_527010!L:R,7,FALSE),VLOOKUP(tables_527010!C225,input_527010!A:H,8,FALSE))</f>
        <v>5887.5</v>
      </c>
      <c r="P225" s="46">
        <f t="shared" ca="1" si="10"/>
        <v>4.624901806753515E-5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input_527010!A$2</f>
        <v>527010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IFERROR(VLOOKUP(B226,input_527010!L:R,7,FALSE),VLOOKUP(tables_527010!C226,input_527010!A:H,8,FALSE))</f>
        <v>495800</v>
      </c>
      <c r="P226" s="46">
        <f t="shared" ca="1" si="10"/>
        <v>3.8947368421034271E-3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input_527010!A$2</f>
        <v>527010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IFERROR(VLOOKUP(B227,input_527010!L:R,7,FALSE),VLOOKUP(tables_527010!C227,input_527010!A:H,8,FALSE))</f>
        <v>619750</v>
      </c>
      <c r="P227" s="46">
        <f t="shared" ca="1" si="10"/>
        <v>4.8684210526292841E-3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input_527010!A$2</f>
        <v>527010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IFERROR(VLOOKUP(B228,input_527010!L:R,7,FALSE),VLOOKUP(tables_527010!C228,input_527010!A:H,8,FALSE))</f>
        <v>5887.5</v>
      </c>
      <c r="P228" s="46">
        <f t="shared" ca="1" si="10"/>
        <v>4.624901806753515E-5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input_527010!A$2</f>
        <v>527010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IFERROR(VLOOKUP(B229,input_527010!L:R,7,FALSE),VLOOKUP(tables_527010!C229,input_527010!A:H,8,FALSE))</f>
        <v>25650</v>
      </c>
      <c r="P229" s="46">
        <f t="shared" ca="1" si="10"/>
        <v>2.0149253731333787E-4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input_527010!A$2</f>
        <v>527010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IFERROR(VLOOKUP(B230,input_527010!L:R,7,FALSE),VLOOKUP(tables_527010!C230,input_527010!A:H,8,FALSE))</f>
        <v>2850</v>
      </c>
      <c r="P230" s="46">
        <f t="shared" ca="1" si="10"/>
        <v>2.2388059701481985E-5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input_527010!A$2</f>
        <v>527010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IFERROR(VLOOKUP(B231,input_527010!L:R,7,FALSE),VLOOKUP(tables_527010!C231,input_527010!A:H,8,FALSE))</f>
        <v>495800</v>
      </c>
      <c r="P231" s="46">
        <f t="shared" ca="1" si="10"/>
        <v>3.8947368421034271E-3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input_527010!A$2</f>
        <v>527010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IFERROR(VLOOKUP(B232,input_527010!L:R,7,FALSE),VLOOKUP(tables_527010!C232,input_527010!A:H,8,FALSE))</f>
        <v>619750</v>
      </c>
      <c r="P232" s="46">
        <f t="shared" ca="1" si="10"/>
        <v>4.8684210526292841E-3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input_527010!A$2</f>
        <v>527010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IFERROR(VLOOKUP(B233,input_527010!L:R,7,FALSE),VLOOKUP(tables_527010!C233,input_527010!A:H,8,FALSE))</f>
        <v>5887.5</v>
      </c>
      <c r="P233" s="46">
        <f t="shared" ca="1" si="10"/>
        <v>4.624901806753515E-5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input_527010!A$2</f>
        <v>527010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IFERROR(VLOOKUP(B234,input_527010!L:R,7,FALSE),VLOOKUP(tables_527010!C234,input_527010!A:H,8,FALSE))</f>
        <v>495800</v>
      </c>
      <c r="P234" s="46">
        <f t="shared" ca="1" si="10"/>
        <v>3.8947368421034271E-3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input_527010!A$2</f>
        <v>527010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IFERROR(VLOOKUP(B235,input_527010!L:R,7,FALSE),VLOOKUP(tables_527010!C235,input_527010!A:H,8,FALSE))</f>
        <v>619750</v>
      </c>
      <c r="P235" s="46">
        <f t="shared" ca="1" si="10"/>
        <v>4.8684210526292841E-3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input_527010!A$2</f>
        <v>527010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IFERROR(VLOOKUP(B236,input_527010!L:R,7,FALSE),VLOOKUP(tables_527010!C236,input_527010!A:H,8,FALSE))</f>
        <v>5887.5</v>
      </c>
      <c r="P236" s="46">
        <f t="shared" ca="1" si="10"/>
        <v>4.624901806753515E-5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input_527010!A$2</f>
        <v>527010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IFERROR(VLOOKUP(B237,input_527010!L:R,7,FALSE),VLOOKUP(tables_527010!C237,input_527010!A:H,8,FALSE))</f>
        <v>25650</v>
      </c>
      <c r="P237" s="46">
        <f t="shared" ca="1" si="10"/>
        <v>2.0149253731333787E-4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input_527010!A$2</f>
        <v>527010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IFERROR(VLOOKUP(B238,input_527010!L:R,7,FALSE),VLOOKUP(tables_527010!C238,input_527010!A:H,8,FALSE))</f>
        <v>2850</v>
      </c>
      <c r="P238" s="46">
        <f t="shared" ca="1" si="10"/>
        <v>2.2388059701481985E-5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input_527010!A$2</f>
        <v>527010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IFERROR(VLOOKUP(B239,input_527010!L:R,7,FALSE),VLOOKUP(tables_527010!C239,input_527010!A:H,8,FALSE))</f>
        <v>495800</v>
      </c>
      <c r="P239" s="46">
        <f t="shared" ca="1" si="10"/>
        <v>3.8947368421034271E-3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input_527010!A$2</f>
        <v>527010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IFERROR(VLOOKUP(B240,input_527010!L:R,7,FALSE),VLOOKUP(tables_527010!C240,input_527010!A:H,8,FALSE))</f>
        <v>619750</v>
      </c>
      <c r="P240" s="46">
        <f t="shared" ca="1" si="10"/>
        <v>4.8684210526292841E-3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input_527010!A$2</f>
        <v>527010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IFERROR(VLOOKUP(B241,input_527010!L:R,7,FALSE),VLOOKUP(tables_527010!C241,input_527010!A:H,8,FALSE))</f>
        <v>5887.5</v>
      </c>
      <c r="P241" s="46">
        <f t="shared" ca="1" si="10"/>
        <v>4.624901806753515E-5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input_527010!A$2</f>
        <v>527010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IFERROR(VLOOKUP(B242,input_527010!L:R,7,FALSE),VLOOKUP(tables_527010!C242,input_527010!A:H,8,FALSE))</f>
        <v>25650</v>
      </c>
      <c r="P242" s="46">
        <f t="shared" ca="1" si="10"/>
        <v>2.0149253731333787E-4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input_527010!A$2</f>
        <v>527010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IFERROR(VLOOKUP(B243,input_527010!L:R,7,FALSE),VLOOKUP(tables_527010!C243,input_527010!A:H,8,FALSE))</f>
        <v>2850</v>
      </c>
      <c r="P243" s="46">
        <f t="shared" ca="1" si="10"/>
        <v>2.2388059701481985E-5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input_527010!A$2</f>
        <v>527010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IFERROR(VLOOKUP(B244,input_527010!L:R,7,FALSE),VLOOKUP(tables_527010!C244,input_527010!A:H,8,FALSE))</f>
        <v>25650</v>
      </c>
      <c r="P244" s="46">
        <f t="shared" ca="1" si="10"/>
        <v>2.0149253731333787E-4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input_527010!A$2</f>
        <v>527010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IFERROR(VLOOKUP(B245,input_527010!L:R,7,FALSE),VLOOKUP(tables_527010!C245,input_527010!A:H,8,FALSE))</f>
        <v>2850</v>
      </c>
      <c r="P245" s="46">
        <f t="shared" ca="1" si="10"/>
        <v>2.2388059701481985E-5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input_527010!A$2</f>
        <v>527010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IFERROR(VLOOKUP(B246,input_527010!L:R,7,FALSE),VLOOKUP(tables_527010!C246,input_527010!A:H,8,FALSE))</f>
        <v>495800</v>
      </c>
      <c r="P246" s="46">
        <f t="shared" ca="1" si="10"/>
        <v>3.8947368421034271E-3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input_527010!A$2</f>
        <v>527010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IFERROR(VLOOKUP(B247,input_527010!L:R,7,FALSE),VLOOKUP(tables_527010!C247,input_527010!A:H,8,FALSE))</f>
        <v>619750</v>
      </c>
      <c r="P247" s="46">
        <f t="shared" ca="1" si="10"/>
        <v>4.8684210526292841E-3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input_527010!A$2</f>
        <v>527010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IFERROR(VLOOKUP(B248,input_527010!L:R,7,FALSE),VLOOKUP(tables_527010!C248,input_527010!A:H,8,FALSE))</f>
        <v>5887.5</v>
      </c>
      <c r="P248" s="46">
        <f t="shared" ca="1" si="10"/>
        <v>4.624901806753515E-5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input_527010!A$2</f>
        <v>527010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IFERROR(VLOOKUP(B249,input_527010!L:R,7,FALSE),VLOOKUP(tables_527010!C249,input_527010!A:H,8,FALSE))</f>
        <v>495800</v>
      </c>
      <c r="P249" s="46">
        <f t="shared" ca="1" si="10"/>
        <v>3.8947368421034271E-3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input_527010!A$2</f>
        <v>527010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IFERROR(VLOOKUP(B250,input_527010!L:R,7,FALSE),VLOOKUP(tables_527010!C250,input_527010!A:H,8,FALSE))</f>
        <v>619750</v>
      </c>
      <c r="P250" s="46">
        <f t="shared" ca="1" si="10"/>
        <v>4.8684210526292841E-3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input_527010!A$2</f>
        <v>527010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IFERROR(VLOOKUP(B251,input_527010!L:R,7,FALSE),VLOOKUP(tables_527010!C251,input_527010!A:H,8,FALSE))</f>
        <v>5887.5</v>
      </c>
      <c r="P251" s="46">
        <f t="shared" ca="1" si="10"/>
        <v>4.624901806753515E-5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input_527010!A$2</f>
        <v>527010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IFERROR(VLOOKUP(B252,input_527010!L:R,7,FALSE),VLOOKUP(tables_527010!C252,input_527010!A:H,8,FALSE))</f>
        <v>495800</v>
      </c>
      <c r="P252" s="46">
        <f t="shared" ca="1" si="10"/>
        <v>3.8947368421034271E-3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input_527010!A$2</f>
        <v>527010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IFERROR(VLOOKUP(B253,input_527010!L:R,7,FALSE),VLOOKUP(tables_527010!C253,input_527010!A:H,8,FALSE))</f>
        <v>619750</v>
      </c>
      <c r="P253" s="46">
        <f t="shared" ca="1" si="10"/>
        <v>4.8684210526292841E-3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input_527010!A$2</f>
        <v>527010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IFERROR(VLOOKUP(B254,input_527010!L:R,7,FALSE),VLOOKUP(tables_527010!C254,input_527010!A:H,8,FALSE))</f>
        <v>5887.5</v>
      </c>
      <c r="P254" s="46">
        <f t="shared" ca="1" si="10"/>
        <v>4.624901806753515E-5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input_527010!A$2</f>
        <v>527010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IFERROR(VLOOKUP(B255,input_527010!L:R,7,FALSE),VLOOKUP(tables_527010!C255,input_527010!A:H,8,FALSE))</f>
        <v>495800</v>
      </c>
      <c r="P255" s="46">
        <f t="shared" ca="1" si="10"/>
        <v>3.8947368421034271E-3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input_527010!A$2</f>
        <v>527010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IFERROR(VLOOKUP(B256,input_527010!L:R,7,FALSE),VLOOKUP(tables_527010!C256,input_527010!A:H,8,FALSE))</f>
        <v>619750</v>
      </c>
      <c r="P256" s="46">
        <f t="shared" ca="1" si="10"/>
        <v>4.8684210526292841E-3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input_527010!A$2</f>
        <v>527010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IFERROR(VLOOKUP(B257,input_527010!L:R,7,FALSE),VLOOKUP(tables_527010!C257,input_527010!A:H,8,FALSE))</f>
        <v>5887.5</v>
      </c>
      <c r="P257" s="46">
        <f t="shared" ca="1" si="10"/>
        <v>4.624901806753515E-5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input_527010!A$2</f>
        <v>527010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IFERROR(VLOOKUP(B258,input_527010!L:R,7,FALSE),VLOOKUP(tables_527010!C258,input_527010!A:H,8,FALSE))</f>
        <v>25650</v>
      </c>
      <c r="P258" s="46">
        <f t="shared" ref="P258:P321" ca="1" si="13">O258/SUM(O:O)</f>
        <v>2.0149253731333787E-4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input_527010!A$2</f>
        <v>527010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IFERROR(VLOOKUP(B259,input_527010!L:R,7,FALSE),VLOOKUP(tables_527010!C259,input_527010!A:H,8,FALSE))</f>
        <v>2850</v>
      </c>
      <c r="P259" s="46">
        <f t="shared" ca="1" si="13"/>
        <v>2.2388059701481985E-5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input_527010!A$2</f>
        <v>527010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IFERROR(VLOOKUP(B260,input_527010!L:R,7,FALSE),VLOOKUP(tables_527010!C260,input_527010!A:H,8,FALSE))</f>
        <v>25650</v>
      </c>
      <c r="P260" s="46">
        <f t="shared" ca="1" si="13"/>
        <v>2.0149253731333787E-4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input_527010!A$2</f>
        <v>527010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IFERROR(VLOOKUP(B261,input_527010!L:R,7,FALSE),VLOOKUP(tables_527010!C261,input_527010!A:H,8,FALSE))</f>
        <v>2850</v>
      </c>
      <c r="P261" s="46">
        <f t="shared" ca="1" si="13"/>
        <v>2.2388059701481985E-5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input_527010!A$2</f>
        <v>527010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IFERROR(VLOOKUP(B262,input_527010!L:R,7,FALSE),VLOOKUP(tables_527010!C262,input_527010!A:H,8,FALSE))</f>
        <v>1076407.8947399999</v>
      </c>
      <c r="P262" s="46">
        <f t="shared" ca="1" si="13"/>
        <v>8.4556786703809308E-3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input_527010!A$2</f>
        <v>527010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IFERROR(VLOOKUP(B263,input_527010!L:R,7,FALSE),VLOOKUP(tables_527010!C263,input_527010!A:H,8,FALSE))</f>
        <v>123950</v>
      </c>
      <c r="P263" s="46">
        <f t="shared" ca="1" si="13"/>
        <v>9.7368421052585678E-4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input_527010!A$2</f>
        <v>527010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IFERROR(VLOOKUP(B264,input_527010!L:R,7,FALSE),VLOOKUP(tables_527010!C264,input_527010!A:H,8,FALSE))</f>
        <v>1076407.8947399999</v>
      </c>
      <c r="P264" s="46">
        <f t="shared" ca="1" si="13"/>
        <v>8.4556786703809308E-3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input_527010!A$2</f>
        <v>527010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IFERROR(VLOOKUP(B265,input_527010!L:R,7,FALSE),VLOOKUP(tables_527010!C265,input_527010!A:H,8,FALSE))</f>
        <v>123950</v>
      </c>
      <c r="P265" s="46">
        <f t="shared" ca="1" si="13"/>
        <v>9.7368421052585678E-4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input_527010!A$2</f>
        <v>527010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IFERROR(VLOOKUP(B266,input_527010!L:R,7,FALSE),VLOOKUP(tables_527010!C266,input_527010!A:H,8,FALSE))</f>
        <v>3819000</v>
      </c>
      <c r="P266" s="46">
        <f t="shared" ca="1" si="13"/>
        <v>2.9999999999985857E-2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input_527010!A$2</f>
        <v>527010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IFERROR(VLOOKUP(B267,input_527010!L:R,7,FALSE),VLOOKUP(tables_527010!C267,input_527010!A:H,8,FALSE))</f>
        <v>28500</v>
      </c>
      <c r="P267" s="46">
        <f t="shared" ca="1" si="13"/>
        <v>2.2388059701481983E-4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input_527010!A$2</f>
        <v>527010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IFERROR(VLOOKUP(B268,input_527010!L:R,7,FALSE),VLOOKUP(tables_527010!C268,input_527010!A:H,8,FALSE))</f>
        <v>28500</v>
      </c>
      <c r="P268" s="46">
        <f t="shared" ca="1" si="13"/>
        <v>2.2388059701481983E-4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input_527010!A$2</f>
        <v>527010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IFERROR(VLOOKUP(B269,input_527010!L:R,7,FALSE),VLOOKUP(tables_527010!C269,input_527010!A:H,8,FALSE))</f>
        <v>28500</v>
      </c>
      <c r="P269" s="46">
        <f t="shared" ca="1" si="13"/>
        <v>2.2388059701481983E-4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input_527010!A$2</f>
        <v>527010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IFERROR(VLOOKUP(B270,input_527010!L:R,7,FALSE),VLOOKUP(tables_527010!C270,input_527010!A:H,8,FALSE))</f>
        <v>1076407.8947399999</v>
      </c>
      <c r="P270" s="46">
        <f t="shared" ca="1" si="13"/>
        <v>8.4556786703809308E-3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input_527010!A$2</f>
        <v>527010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IFERROR(VLOOKUP(B271,input_527010!L:R,7,FALSE),VLOOKUP(tables_527010!C271,input_527010!A:H,8,FALSE))</f>
        <v>123950</v>
      </c>
      <c r="P271" s="46">
        <f t="shared" ca="1" si="13"/>
        <v>9.7368421052585678E-4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input_527010!A$2</f>
        <v>527010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IFERROR(VLOOKUP(B272,input_527010!L:R,7,FALSE),VLOOKUP(tables_527010!C272,input_527010!A:H,8,FALSE))</f>
        <v>1076407.8947399999</v>
      </c>
      <c r="P272" s="46">
        <f t="shared" ca="1" si="13"/>
        <v>8.4556786703809308E-3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input_527010!A$2</f>
        <v>527010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IFERROR(VLOOKUP(B273,input_527010!L:R,7,FALSE),VLOOKUP(tables_527010!C273,input_527010!A:H,8,FALSE))</f>
        <v>123950</v>
      </c>
      <c r="P273" s="46">
        <f t="shared" ca="1" si="13"/>
        <v>9.7368421052585678E-4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input_527010!A$2</f>
        <v>527010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IFERROR(VLOOKUP(B274,input_527010!L:R,7,FALSE),VLOOKUP(tables_527010!C274,input_527010!A:H,8,FALSE))</f>
        <v>25650</v>
      </c>
      <c r="P274" s="46">
        <f t="shared" ca="1" si="13"/>
        <v>2.0149253731333787E-4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input_527010!A$2</f>
        <v>527010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IFERROR(VLOOKUP(B275,input_527010!L:R,7,FALSE),VLOOKUP(tables_527010!C275,input_527010!A:H,8,FALSE))</f>
        <v>2850</v>
      </c>
      <c r="P275" s="46">
        <f t="shared" ca="1" si="13"/>
        <v>2.2388059701481985E-5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input_527010!A$2</f>
        <v>527010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IFERROR(VLOOKUP(B276,input_527010!L:R,7,FALSE),VLOOKUP(tables_527010!C276,input_527010!A:H,8,FALSE))</f>
        <v>25650</v>
      </c>
      <c r="P276" s="46">
        <f t="shared" ca="1" si="13"/>
        <v>2.0149253731333787E-4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input_527010!A$2</f>
        <v>527010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IFERROR(VLOOKUP(B277,input_527010!L:R,7,FALSE),VLOOKUP(tables_527010!C277,input_527010!A:H,8,FALSE))</f>
        <v>2850</v>
      </c>
      <c r="P277" s="46">
        <f t="shared" ca="1" si="13"/>
        <v>2.2388059701481985E-5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input_527010!A$2</f>
        <v>527010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IFERROR(VLOOKUP(B278,input_527010!L:R,7,FALSE),VLOOKUP(tables_527010!C278,input_527010!A:H,8,FALSE))</f>
        <v>495800</v>
      </c>
      <c r="P278" s="46">
        <f t="shared" ca="1" si="13"/>
        <v>3.8947368421034271E-3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input_527010!A$2</f>
        <v>527010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IFERROR(VLOOKUP(B279,input_527010!L:R,7,FALSE),VLOOKUP(tables_527010!C279,input_527010!A:H,8,FALSE))</f>
        <v>619750</v>
      </c>
      <c r="P279" s="46">
        <f t="shared" ca="1" si="13"/>
        <v>4.8684210526292841E-3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input_527010!A$2</f>
        <v>527010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IFERROR(VLOOKUP(B280,input_527010!L:R,7,FALSE),VLOOKUP(tables_527010!C280,input_527010!A:H,8,FALSE))</f>
        <v>5887.5</v>
      </c>
      <c r="P280" s="46">
        <f t="shared" ca="1" si="13"/>
        <v>4.624901806753515E-5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input_527010!A$2</f>
        <v>527010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IFERROR(VLOOKUP(B281,input_527010!L:R,7,FALSE),VLOOKUP(tables_527010!C281,input_527010!A:H,8,FALSE))</f>
        <v>495800</v>
      </c>
      <c r="P281" s="46">
        <f t="shared" ca="1" si="13"/>
        <v>3.8947368421034271E-3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input_527010!A$2</f>
        <v>527010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IFERROR(VLOOKUP(B282,input_527010!L:R,7,FALSE),VLOOKUP(tables_527010!C282,input_527010!A:H,8,FALSE))</f>
        <v>619750</v>
      </c>
      <c r="P282" s="46">
        <f t="shared" ca="1" si="13"/>
        <v>4.8684210526292841E-3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input_527010!A$2</f>
        <v>527010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IFERROR(VLOOKUP(B283,input_527010!L:R,7,FALSE),VLOOKUP(tables_527010!C283,input_527010!A:H,8,FALSE))</f>
        <v>5887.5</v>
      </c>
      <c r="P283" s="46">
        <f t="shared" ca="1" si="13"/>
        <v>4.624901806753515E-5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input_527010!A$2</f>
        <v>527010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IFERROR(VLOOKUP(B284,input_527010!L:R,7,FALSE),VLOOKUP(tables_527010!C284,input_527010!A:H,8,FALSE))</f>
        <v>28500</v>
      </c>
      <c r="P284" s="46">
        <f t="shared" ca="1" si="13"/>
        <v>2.2388059701481983E-4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input_527010!A$2</f>
        <v>527010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IFERROR(VLOOKUP(B285,input_527010!L:R,7,FALSE),VLOOKUP(tables_527010!C285,input_527010!A:H,8,FALSE))</f>
        <v>28500</v>
      </c>
      <c r="P285" s="46">
        <f t="shared" ca="1" si="13"/>
        <v>2.2388059701481983E-4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input_527010!A$2</f>
        <v>527010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IFERROR(VLOOKUP(B286,input_527010!L:R,7,FALSE),VLOOKUP(tables_527010!C286,input_527010!A:H,8,FALSE))</f>
        <v>1076407.8947399999</v>
      </c>
      <c r="P286" s="46">
        <f t="shared" ca="1" si="13"/>
        <v>8.4556786703809308E-3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input_527010!A$2</f>
        <v>527010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IFERROR(VLOOKUP(B287,input_527010!L:R,7,FALSE),VLOOKUP(tables_527010!C287,input_527010!A:H,8,FALSE))</f>
        <v>123950</v>
      </c>
      <c r="P287" s="46">
        <f t="shared" ca="1" si="13"/>
        <v>9.7368421052585678E-4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input_527010!A$2</f>
        <v>527010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IFERROR(VLOOKUP(B288,input_527010!L:R,7,FALSE),VLOOKUP(tables_527010!C288,input_527010!A:H,8,FALSE))</f>
        <v>1076407.8947399999</v>
      </c>
      <c r="P288" s="46">
        <f t="shared" ca="1" si="13"/>
        <v>8.4556786703809308E-3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input_527010!A$2</f>
        <v>527010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IFERROR(VLOOKUP(B289,input_527010!L:R,7,FALSE),VLOOKUP(tables_527010!C289,input_527010!A:H,8,FALSE))</f>
        <v>123950</v>
      </c>
      <c r="P289" s="46">
        <f t="shared" ca="1" si="13"/>
        <v>9.7368421052585678E-4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input_527010!A$2</f>
        <v>527010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IFERROR(VLOOKUP(B290,input_527010!L:R,7,FALSE),VLOOKUP(tables_527010!C290,input_527010!A:H,8,FALSE))</f>
        <v>1076407.8947399999</v>
      </c>
      <c r="P290" s="46">
        <f t="shared" ca="1" si="13"/>
        <v>8.4556786703809308E-3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input_527010!A$2</f>
        <v>527010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IFERROR(VLOOKUP(B291,input_527010!L:R,7,FALSE),VLOOKUP(tables_527010!C291,input_527010!A:H,8,FALSE))</f>
        <v>123950</v>
      </c>
      <c r="P291" s="46">
        <f t="shared" ca="1" si="13"/>
        <v>9.7368421052585678E-4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input_527010!A$2</f>
        <v>527010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IFERROR(VLOOKUP(B292,input_527010!L:R,7,FALSE),VLOOKUP(tables_527010!C292,input_527010!A:H,8,FALSE))</f>
        <v>1076407.8947399999</v>
      </c>
      <c r="P292" s="46">
        <f t="shared" ca="1" si="13"/>
        <v>8.4556786703809308E-3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input_527010!A$2</f>
        <v>527010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IFERROR(VLOOKUP(B293,input_527010!L:R,7,FALSE),VLOOKUP(tables_527010!C293,input_527010!A:H,8,FALSE))</f>
        <v>123950</v>
      </c>
      <c r="P293" s="46">
        <f t="shared" ca="1" si="13"/>
        <v>9.7368421052585678E-4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input_527010!A$2</f>
        <v>527010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IFERROR(VLOOKUP(B294,input_527010!L:R,7,FALSE),VLOOKUP(tables_527010!C294,input_527010!A:H,8,FALSE))</f>
        <v>28500</v>
      </c>
      <c r="P294" s="46">
        <f t="shared" ca="1" si="13"/>
        <v>2.2388059701481983E-4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input_527010!A$2</f>
        <v>527010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IFERROR(VLOOKUP(B295,input_527010!L:R,7,FALSE),VLOOKUP(tables_527010!C295,input_527010!A:H,8,FALSE))</f>
        <v>28500</v>
      </c>
      <c r="P295" s="46">
        <f t="shared" ca="1" si="13"/>
        <v>2.2388059701481983E-4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input_527010!A$2</f>
        <v>527010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IFERROR(VLOOKUP(B296,input_527010!L:R,7,FALSE),VLOOKUP(tables_527010!C296,input_527010!A:H,8,FALSE))</f>
        <v>3819000</v>
      </c>
      <c r="P296" s="46">
        <f t="shared" ca="1" si="13"/>
        <v>2.9999999999985857E-2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input_527010!A$2</f>
        <v>527010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IFERROR(VLOOKUP(B297,input_527010!L:R,7,FALSE),VLOOKUP(tables_527010!C297,input_527010!A:H,8,FALSE))</f>
        <v>1076407.8947399999</v>
      </c>
      <c r="P297" s="46">
        <f t="shared" ca="1" si="13"/>
        <v>8.4556786703809308E-3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input_527010!A$2</f>
        <v>527010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IFERROR(VLOOKUP(B298,input_527010!L:R,7,FALSE),VLOOKUP(tables_527010!C298,input_527010!A:H,8,FALSE))</f>
        <v>123950</v>
      </c>
      <c r="P298" s="46">
        <f t="shared" ca="1" si="13"/>
        <v>9.7368421052585678E-4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input_527010!A$2</f>
        <v>527010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IFERROR(VLOOKUP(B299,input_527010!L:R,7,FALSE),VLOOKUP(tables_527010!C299,input_527010!A:H,8,FALSE))</f>
        <v>28500</v>
      </c>
      <c r="P299" s="46">
        <f t="shared" ca="1" si="13"/>
        <v>2.2388059701481983E-4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input_527010!A$2</f>
        <v>527010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IFERROR(VLOOKUP(B300,input_527010!L:R,7,FALSE),VLOOKUP(tables_527010!C300,input_527010!A:H,8,FALSE))</f>
        <v>28500</v>
      </c>
      <c r="P300" s="46">
        <f t="shared" ca="1" si="13"/>
        <v>2.2388059701481983E-4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input_527010!A$2</f>
        <v>527010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IFERROR(VLOOKUP(B301,input_527010!L:R,7,FALSE),VLOOKUP(tables_527010!C301,input_527010!A:H,8,FALSE))</f>
        <v>28500</v>
      </c>
      <c r="P301" s="46">
        <f t="shared" ca="1" si="13"/>
        <v>2.2388059701481983E-4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input_527010!A$2</f>
        <v>527010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IFERROR(VLOOKUP(B302,input_527010!L:R,7,FALSE),VLOOKUP(tables_527010!C302,input_527010!A:H,8,FALSE))</f>
        <v>28500</v>
      </c>
      <c r="P302" s="46">
        <f t="shared" ca="1" si="13"/>
        <v>2.2388059701481983E-4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input_527010!A$2</f>
        <v>527010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IFERROR(VLOOKUP(B303,input_527010!L:R,7,FALSE),VLOOKUP(tables_527010!C303,input_527010!A:H,8,FALSE))</f>
        <v>1076407.8947399999</v>
      </c>
      <c r="P303" s="46">
        <f t="shared" ca="1" si="13"/>
        <v>8.4556786703809308E-3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input_527010!A$2</f>
        <v>527010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IFERROR(VLOOKUP(B304,input_527010!L:R,7,FALSE),VLOOKUP(tables_527010!C304,input_527010!A:H,8,FALSE))</f>
        <v>123950</v>
      </c>
      <c r="P304" s="46">
        <f t="shared" ca="1" si="13"/>
        <v>9.7368421052585678E-4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input_527010!A$2</f>
        <v>527010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IFERROR(VLOOKUP(B305,input_527010!L:R,7,FALSE),VLOOKUP(tables_527010!C305,input_527010!A:H,8,FALSE))</f>
        <v>28500</v>
      </c>
      <c r="P305" s="46">
        <f t="shared" ca="1" si="13"/>
        <v>2.2388059701481983E-4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input_527010!A$2</f>
        <v>527010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IFERROR(VLOOKUP(B306,input_527010!L:R,7,FALSE),VLOOKUP(tables_527010!C306,input_527010!A:H,8,FALSE))</f>
        <v>1076407.8947399999</v>
      </c>
      <c r="P306" s="46">
        <f t="shared" ca="1" si="13"/>
        <v>8.4556786703809308E-3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input_527010!A$2</f>
        <v>527010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IFERROR(VLOOKUP(B307,input_527010!L:R,7,FALSE),VLOOKUP(tables_527010!C307,input_527010!A:H,8,FALSE))</f>
        <v>123950</v>
      </c>
      <c r="P307" s="46">
        <f t="shared" ca="1" si="13"/>
        <v>9.7368421052585678E-4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input_527010!A$2</f>
        <v>527010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IFERROR(VLOOKUP(B308,input_527010!L:R,7,FALSE),VLOOKUP(tables_527010!C308,input_527010!A:H,8,FALSE))</f>
        <v>28500</v>
      </c>
      <c r="P308" s="46">
        <f t="shared" ca="1" si="13"/>
        <v>2.2388059701481983E-4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input_527010!A$2</f>
        <v>527010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IFERROR(VLOOKUP(B309,input_527010!L:R,7,FALSE),VLOOKUP(tables_527010!C309,input_527010!A:H,8,FALSE))</f>
        <v>28500</v>
      </c>
      <c r="P309" s="46">
        <f t="shared" ca="1" si="13"/>
        <v>2.2388059701481983E-4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input_527010!A$2</f>
        <v>527010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IFERROR(VLOOKUP(B310,input_527010!L:R,7,FALSE),VLOOKUP(tables_527010!C310,input_527010!A:H,8,FALSE))</f>
        <v>28500</v>
      </c>
      <c r="P310" s="46">
        <f t="shared" ca="1" si="13"/>
        <v>2.2388059701481983E-4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input_527010!A$2</f>
        <v>527010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IFERROR(VLOOKUP(B311,input_527010!L:R,7,FALSE),VLOOKUP(tables_527010!C311,input_527010!A:H,8,FALSE))</f>
        <v>1076407.8947399999</v>
      </c>
      <c r="P311" s="46">
        <f t="shared" ca="1" si="13"/>
        <v>8.4556786703809308E-3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input_527010!A$2</f>
        <v>527010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IFERROR(VLOOKUP(B312,input_527010!L:R,7,FALSE),VLOOKUP(tables_527010!C312,input_527010!A:H,8,FALSE))</f>
        <v>123950</v>
      </c>
      <c r="P312" s="46">
        <f t="shared" ca="1" si="13"/>
        <v>9.7368421052585678E-4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input_527010!A$2</f>
        <v>527010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IFERROR(VLOOKUP(B313,input_527010!L:R,7,FALSE),VLOOKUP(tables_527010!C313,input_527010!A:H,8,FALSE))</f>
        <v>28500</v>
      </c>
      <c r="P313" s="46">
        <f t="shared" ca="1" si="13"/>
        <v>2.2388059701481983E-4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input_527010!A$2</f>
        <v>527010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IFERROR(VLOOKUP(B314,input_527010!L:R,7,FALSE),VLOOKUP(tables_527010!C314,input_527010!A:H,8,FALSE))</f>
        <v>28500</v>
      </c>
      <c r="P314" s="46">
        <f t="shared" ca="1" si="13"/>
        <v>2.2388059701481983E-4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input_527010!A$2</f>
        <v>527010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IFERROR(VLOOKUP(B315,input_527010!L:R,7,FALSE),VLOOKUP(tables_527010!C315,input_527010!A:H,8,FALSE))</f>
        <v>28500</v>
      </c>
      <c r="P315" s="46">
        <f t="shared" ca="1" si="13"/>
        <v>2.2388059701481983E-4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input_527010!A$2</f>
        <v>527010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IFERROR(VLOOKUP(B316,input_527010!L:R,7,FALSE),VLOOKUP(tables_527010!C316,input_527010!A:H,8,FALSE))</f>
        <v>28500</v>
      </c>
      <c r="P316" s="46">
        <f t="shared" ca="1" si="13"/>
        <v>2.2388059701481983E-4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input_527010!A$2</f>
        <v>527010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IFERROR(VLOOKUP(B317,input_527010!L:R,7,FALSE),VLOOKUP(tables_527010!C317,input_527010!A:H,8,FALSE))</f>
        <v>28500</v>
      </c>
      <c r="P317" s="46">
        <f t="shared" ca="1" si="13"/>
        <v>2.2388059701481983E-4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input_527010!A$2</f>
        <v>527010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IFERROR(VLOOKUP(B318,input_527010!L:R,7,FALSE),VLOOKUP(tables_527010!C318,input_527010!A:H,8,FALSE))</f>
        <v>1076407.8947399999</v>
      </c>
      <c r="P318" s="46">
        <f t="shared" ca="1" si="13"/>
        <v>8.4556786703809308E-3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input_527010!A$2</f>
        <v>527010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IFERROR(VLOOKUP(B319,input_527010!L:R,7,FALSE),VLOOKUP(tables_527010!C319,input_527010!A:H,8,FALSE))</f>
        <v>123950</v>
      </c>
      <c r="P319" s="46">
        <f t="shared" ca="1" si="13"/>
        <v>9.7368421052585678E-4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input_527010!A$2</f>
        <v>527010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IFERROR(VLOOKUP(B320,input_527010!L:R,7,FALSE),VLOOKUP(tables_527010!C320,input_527010!A:H,8,FALSE))</f>
        <v>28500</v>
      </c>
      <c r="P320" s="46">
        <f t="shared" ca="1" si="13"/>
        <v>2.2388059701481983E-4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input_527010!A$2</f>
        <v>527010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IFERROR(VLOOKUP(B321,input_527010!L:R,7,FALSE),VLOOKUP(tables_527010!C321,input_527010!A:H,8,FALSE))</f>
        <v>28500</v>
      </c>
      <c r="P321" s="46">
        <f t="shared" ca="1" si="13"/>
        <v>2.2388059701481983E-4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input_527010!A$2</f>
        <v>527010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IFERROR(VLOOKUP(B322,input_527010!L:R,7,FALSE),VLOOKUP(tables_527010!C322,input_527010!A:H,8,FALSE))</f>
        <v>28500</v>
      </c>
      <c r="P322" s="46">
        <f t="shared" ref="P322:P330" ca="1" si="23">O322/SUM(O:O)</f>
        <v>2.2388059701481983E-4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input_527010!A$2</f>
        <v>527010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IFERROR(VLOOKUP(B323,input_527010!L:R,7,FALSE),VLOOKUP(tables_527010!C323,input_527010!A:H,8,FALSE))</f>
        <v>28500</v>
      </c>
      <c r="P323" s="46">
        <f t="shared" ca="1" si="23"/>
        <v>2.2388059701481983E-4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input_527010!A$2</f>
        <v>527010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IFERROR(VLOOKUP(B324,input_527010!L:R,7,FALSE),VLOOKUP(tables_527010!C324,input_527010!A:H,8,FALSE))</f>
        <v>1076407.8947399999</v>
      </c>
      <c r="P324" s="46">
        <f t="shared" ca="1" si="23"/>
        <v>8.4556786703809308E-3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input_527010!A$2</f>
        <v>527010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IFERROR(VLOOKUP(B325,input_527010!L:R,7,FALSE),VLOOKUP(tables_527010!C325,input_527010!A:H,8,FALSE))</f>
        <v>123950</v>
      </c>
      <c r="P325" s="46">
        <f t="shared" ca="1" si="23"/>
        <v>9.7368421052585678E-4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input_527010!A$2</f>
        <v>527010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IFERROR(VLOOKUP(B326,input_527010!L:R,7,FALSE),VLOOKUP(tables_527010!C326,input_527010!A:H,8,FALSE))</f>
        <v>1076407.8947399999</v>
      </c>
      <c r="P326" s="46">
        <f t="shared" ca="1" si="23"/>
        <v>8.4556786703809308E-3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input_527010!A$2</f>
        <v>527010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IFERROR(VLOOKUP(B327,input_527010!L:R,7,FALSE),VLOOKUP(tables_527010!C327,input_527010!A:H,8,FALSE))</f>
        <v>123950</v>
      </c>
      <c r="P327" s="46">
        <f t="shared" ca="1" si="23"/>
        <v>9.7368421052585678E-4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input_527010!A$2</f>
        <v>527010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IFERROR(VLOOKUP(B328,input_527010!L:R,7,FALSE),VLOOKUP(tables_527010!C328,input_527010!A:H,8,FALSE))</f>
        <v>28500</v>
      </c>
      <c r="P328" s="46">
        <f t="shared" ca="1" si="23"/>
        <v>2.2388059701481983E-4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input_527010!A$2</f>
        <v>527010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IFERROR(VLOOKUP(B329,input_527010!L:R,7,FALSE),VLOOKUP(tables_527010!C329,input_527010!A:H,8,FALSE))</f>
        <v>28500</v>
      </c>
      <c r="P329" s="46">
        <f t="shared" ca="1" si="23"/>
        <v>2.2388059701481983E-4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input_527010!A$2</f>
        <v>527010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IFERROR(VLOOKUP(B330,input_527010!L:R,7,FALSE),VLOOKUP(tables_527010!C330,input_527010!A:H,8,FALSE))</f>
        <v>28500</v>
      </c>
      <c r="P330" s="46">
        <f t="shared" ca="1" si="23"/>
        <v>2.2388059701481983E-4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input_527010!A$2</f>
        <v>527010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IFERROR(VLOOKUP(B331,input_527010!L:R,7,FALSE),VLOOKUP(tables_527010!C331,input_527010!A:H,8,FALSE))</f>
        <v>28500</v>
      </c>
      <c r="P331" s="46">
        <f t="shared" ref="P331:P335" ca="1" si="28">O331/SUM(O:O)</f>
        <v>2.2388059701481983E-4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input_527010!A$2</f>
        <v>527010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IFERROR(VLOOKUP(B332,input_527010!L:R,7,FALSE),VLOOKUP(tables_527010!C332,input_527010!A:H,8,FALSE))</f>
        <v>28500</v>
      </c>
      <c r="P332" s="46">
        <f t="shared" ca="1" si="28"/>
        <v>2.2388059701481983E-4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input_527010!A$2</f>
        <v>527010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IFERROR(VLOOKUP(B333,input_527010!L:R,7,FALSE),VLOOKUP(tables_527010!C333,input_527010!A:H,8,FALSE))</f>
        <v>28500</v>
      </c>
      <c r="P333" s="46">
        <f t="shared" ca="1" si="28"/>
        <v>2.2388059701481983E-4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input_527010!A$2</f>
        <v>527010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IFERROR(VLOOKUP(B334,input_527010!L:R,7,FALSE),VLOOKUP(tables_527010!C334,input_527010!A:H,8,FALSE))</f>
        <v>1076407.8947399999</v>
      </c>
      <c r="P334" s="46">
        <f t="shared" ca="1" si="28"/>
        <v>8.4556786703809308E-3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input_527010!A$2</f>
        <v>527010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IFERROR(VLOOKUP(B335,input_527010!L:R,7,FALSE),VLOOKUP(tables_527010!C335,input_527010!A:H,8,FALSE))</f>
        <v>123950</v>
      </c>
      <c r="P335" s="46">
        <f t="shared" ca="1" si="28"/>
        <v>9.7368421052585678E-4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input_527010!A$2</f>
        <v>527010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IFERROR(VLOOKUP(B336,input_527010!L:R,7,FALSE),VLOOKUP(tables_527010!C336,input_527010!A:H,8,FALSE))</f>
        <v>28500</v>
      </c>
      <c r="P336" s="46">
        <f t="shared" ref="P336:P340" ca="1" si="31">O336/SUM(O:O)</f>
        <v>2.2388059701481983E-4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input_527010!A$2</f>
        <v>527010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IFERROR(VLOOKUP(B337,input_527010!L:R,7,FALSE),VLOOKUP(tables_527010!C337,input_527010!A:H,8,FALSE))</f>
        <v>28500</v>
      </c>
      <c r="P337" s="46">
        <f t="shared" ca="1" si="31"/>
        <v>2.2388059701481983E-4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input_527010!A$2</f>
        <v>527010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IFERROR(VLOOKUP(B338,input_527010!L:R,7,FALSE),VLOOKUP(tables_527010!C338,input_527010!A:H,8,FALSE))</f>
        <v>28500</v>
      </c>
      <c r="P338" s="46">
        <f t="shared" ca="1" si="31"/>
        <v>2.2388059701481983E-4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input_527010!A$2</f>
        <v>527010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IFERROR(VLOOKUP(B339,input_527010!L:R,7,FALSE),VLOOKUP(tables_527010!C339,input_527010!A:H,8,FALSE))</f>
        <v>1076407.8947399999</v>
      </c>
      <c r="P339" s="46">
        <f t="shared" ca="1" si="31"/>
        <v>8.4556786703809308E-3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input_527010!A$2</f>
        <v>527010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IFERROR(VLOOKUP(B340,input_527010!L:R,7,FALSE),VLOOKUP(tables_527010!C340,input_527010!A:H,8,FALSE))</f>
        <v>123950</v>
      </c>
      <c r="P340" s="46">
        <f t="shared" ca="1" si="31"/>
        <v>9.7368421052585678E-4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input_527010!A$2</f>
        <v>527010</v>
      </c>
      <c r="B341" s="1">
        <v>1250</v>
      </c>
      <c r="C341" s="7" t="str">
        <f t="shared" ref="C341:C345" si="32">D341&amp;J341&amp;E341&amp;F341&amp;G341</f>
        <v>PremiumSS5R5only</v>
      </c>
      <c r="D341" s="98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IFERROR(VLOOKUP(B341,input_527010!L:R,7,FALSE),VLOOKUP(tables_527010!C341,input_527010!A:H,8,FALSE))</f>
        <v>28500</v>
      </c>
      <c r="P341" s="46">
        <f t="shared" ref="P341:P345" ca="1" si="34">O341/SUM(O:O)</f>
        <v>2.2388059701481983E-4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input_527010!A$2</f>
        <v>527010</v>
      </c>
      <c r="B342" s="1">
        <v>1244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IFERROR(VLOOKUP(B342,input_527010!L:R,7,FALSE),VLOOKUP(tables_527010!C342,input_527010!A:H,8,FALSE))</f>
        <v>28500</v>
      </c>
      <c r="P342" s="46">
        <f t="shared" ca="1" si="34"/>
        <v>2.2388059701481983E-4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input_527010!A$2</f>
        <v>527010</v>
      </c>
      <c r="B343" s="1">
        <v>1246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IFERROR(VLOOKUP(B343,input_527010!L:R,7,FALSE),VLOOKUP(tables_527010!C343,input_527010!A:H,8,FALSE))</f>
        <v>28500</v>
      </c>
      <c r="P343" s="46">
        <f t="shared" ca="1" si="34"/>
        <v>2.2388059701481983E-4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input_527010!A$2</f>
        <v>527010</v>
      </c>
      <c r="B344" s="1">
        <v>1248</v>
      </c>
      <c r="C344" s="7" t="str">
        <f t="shared" si="32"/>
        <v>Premium4R3less</v>
      </c>
      <c r="D344" s="98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IFERROR(VLOOKUP(B344,input_527010!L:R,7,FALSE),VLOOKUP(tables_527010!C344,input_527010!A:H,8,FALSE))</f>
        <v>1076407.8947399999</v>
      </c>
      <c r="P344" s="46">
        <f t="shared" ca="1" si="34"/>
        <v>8.4556786703809308E-3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input_527010!A$2</f>
        <v>527010</v>
      </c>
      <c r="B345" s="1">
        <v>1249</v>
      </c>
      <c r="C345" s="7" t="str">
        <f t="shared" si="32"/>
        <v>Premium5R3less</v>
      </c>
      <c r="D345" s="98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IFERROR(VLOOKUP(B345,input_527010!L:R,7,FALSE),VLOOKUP(tables_527010!C345,input_527010!A:H,8,FALSE))</f>
        <v>123950</v>
      </c>
      <c r="P345" s="46">
        <f t="shared" ca="1" si="34"/>
        <v>9.7368421052585678E-4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input_527010!A$2</f>
        <v>527010</v>
      </c>
      <c r="B346" s="1">
        <v>1260</v>
      </c>
      <c r="C346" s="7" t="str">
        <f t="shared" ref="C346:C348" si="35">D346&amp;J346&amp;E346&amp;F346&amp;G346</f>
        <v>PremiumSS5R5only</v>
      </c>
      <c r="D346" s="98" t="str">
        <f t="shared" ref="D346:D348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IFERROR(VLOOKUP(B346,input_527010!L:R,7,FALSE),VLOOKUP(tables_527010!C346,input_527010!A:H,8,FALSE))</f>
        <v>28500</v>
      </c>
      <c r="P346" s="46">
        <f t="shared" ref="P346:P348" ca="1" si="37">O346/SUM(O:O)</f>
        <v>2.2388059701481983E-4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input_527010!A$2</f>
        <v>527010</v>
      </c>
      <c r="B347" s="1">
        <v>1262</v>
      </c>
      <c r="C347" s="7" t="str">
        <f t="shared" si="35"/>
        <v>PremiumSS5R5only</v>
      </c>
      <c r="D347" s="98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IFERROR(VLOOKUP(B347,input_527010!L:R,7,FALSE),VLOOKUP(tables_527010!C347,input_527010!A:H,8,FALSE))</f>
        <v>28500</v>
      </c>
      <c r="P347" s="46">
        <f t="shared" ca="1" si="37"/>
        <v>2.2388059701481983E-4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input_527010!A$2</f>
        <v>527010</v>
      </c>
      <c r="B348" s="1">
        <v>1264</v>
      </c>
      <c r="C348" s="7" t="str">
        <f t="shared" si="35"/>
        <v>PremiumSS5R5only</v>
      </c>
      <c r="D348" s="98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IFERROR(VLOOKUP(B348,input_527010!L:R,7,FALSE),VLOOKUP(tables_527010!C348,input_527010!A:H,8,FALSE))</f>
        <v>28500</v>
      </c>
      <c r="P348" s="46">
        <f t="shared" ca="1" si="37"/>
        <v>2.2388059701481983E-4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input_527010!A$2</f>
        <v>527010</v>
      </c>
      <c r="B349" s="1">
        <v>1266</v>
      </c>
      <c r="C349" s="7" t="str">
        <f t="shared" ref="C349" si="38">D349&amp;J349&amp;E349&amp;F349&amp;G349</f>
        <v>Premium4R3less</v>
      </c>
      <c r="D349" s="98" t="str">
        <f t="shared" ref="D349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IFERROR(VLOOKUP(B349,input_527010!L:R,7,FALSE),VLOOKUP(tables_527010!C349,input_527010!A:H,8,FALSE))</f>
        <v>1076407.8947399999</v>
      </c>
      <c r="P349" s="46">
        <f t="shared" ref="P349" ca="1" si="40">O349/SUM(O:O)</f>
        <v>8.4556786703809308E-3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input_527010!A$2</f>
        <v>527010</v>
      </c>
      <c r="B350" s="1">
        <v>1267</v>
      </c>
      <c r="C350" s="7" t="str">
        <f t="shared" ref="C350" si="41">D350&amp;J350&amp;E350&amp;F350&amp;G350</f>
        <v>Premium5R3less</v>
      </c>
      <c r="D350" s="98" t="str">
        <f t="shared" ref="D350" si="42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IFERROR(VLOOKUP(B350,input_527010!L:R,7,FALSE),VLOOKUP(tables_527010!C350,input_527010!A:H,8,FALSE))</f>
        <v>123950</v>
      </c>
      <c r="P350" s="46">
        <f t="shared" ref="P350" ca="1" si="43">O350/SUM(O:O)</f>
        <v>9.7368421052585678E-4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937</v>
      </c>
      <c r="M3" s="37" t="str">
        <f>VLOOKUP(L3,[1]characters!$A:$C,3,FALSE)</f>
        <v>ナポレオン</v>
      </c>
      <c r="N3" s="63">
        <v>0.03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VLOOKUP(L3,tables_527100!B:C,2,FALSE)</f>
        <v>PremiumSS5R5only</v>
      </c>
      <c r="R3" s="62">
        <f t="shared" ref="R3:R20" si="1">N3*A$36</f>
        <v>3819000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732</v>
      </c>
      <c r="M4" s="37" t="str">
        <f>VLOOKUP(L4,[1]characters!$A:$C,3,FALSE)</f>
        <v>上杉謙信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VLOOKUP(L4,tables_527100!B:C,2,FALSE)</f>
        <v>PremiumSS5R5only</v>
      </c>
      <c r="R4" s="62">
        <f t="shared" si="1"/>
        <v>3819000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2.2388059701492538E-4</v>
      </c>
      <c r="F5">
        <f>(COUNTIF(tables_527100!C:C,input_527100!A28)+COUNTIF(tables_527100!C:C,input_527100!A29))</f>
        <v>69</v>
      </c>
      <c r="H5" s="84">
        <v>0.06</v>
      </c>
      <c r="I5" s="31">
        <v>2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9.7368421052631583E-3</v>
      </c>
      <c r="F6">
        <f>(COUNTIF(tables_527100!C:C,input_527100!A25)+COUNTIF(tables_527100!C:C,input_527100!A18)+COUNTIF(tables_527100!C:C,input_527100!A20)+COUNTIF(tables_527100!C:C,input_527100!A22))</f>
        <v>95</v>
      </c>
      <c r="H6" s="89"/>
      <c r="I6" s="31"/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0.06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COUNTIF(tables_527100!C:C,input_527100!A17)-COUNTIF(Q:Q,A17)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0.24296347211311864</v>
      </c>
      <c r="C18" s="85">
        <f t="shared" si="2"/>
        <v>0</v>
      </c>
      <c r="D18" s="74">
        <f t="shared" si="3"/>
        <v>0.24296347211311864</v>
      </c>
      <c r="E18">
        <f>COUNTIF(tables_527100!C:C,input_527100!A18)-COUNTIF(Q:Q,A18)</f>
        <v>20</v>
      </c>
      <c r="F18" s="43">
        <f>IFERROR(B18/E18,0)</f>
        <v>1.2148173605655932E-2</v>
      </c>
      <c r="G18">
        <f t="shared" si="4"/>
        <v>30929250.000000004</v>
      </c>
      <c r="H18">
        <f t="shared" si="5"/>
        <v>1546462.5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COUNTIF(tables_527100!C:C,input_527100!A19)-COUNTIF(Q:Q,A19)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0.45568421052631586</v>
      </c>
      <c r="C20" s="85">
        <f t="shared" si="2"/>
        <v>0</v>
      </c>
      <c r="D20" s="74">
        <f t="shared" si="3"/>
        <v>0.45568421052631586</v>
      </c>
      <c r="E20">
        <f>COUNTIF(tables_527100!C:C,input_527100!A20)-COUNTIF(Q:Q,A20)</f>
        <v>52</v>
      </c>
      <c r="F20" s="43">
        <f t="shared" si="8"/>
        <v>8.7631578947368442E-3</v>
      </c>
      <c r="G20">
        <f t="shared" si="4"/>
        <v>58008600.000000007</v>
      </c>
      <c r="H20">
        <f t="shared" si="5"/>
        <v>1115550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2.4049489395129575E-3</v>
      </c>
      <c r="C21" s="85">
        <f t="shared" si="2"/>
        <v>0</v>
      </c>
      <c r="D21" s="74">
        <f t="shared" si="3"/>
        <v>2.4049489395129575E-3</v>
      </c>
      <c r="E21">
        <f>COUNTIF(tables_527100!C:C,input_527100!A21)-COUNTIF(Q:Q,A21)</f>
        <v>52</v>
      </c>
      <c r="F21" s="43">
        <f t="shared" si="8"/>
        <v>4.6249018067556874E-5</v>
      </c>
      <c r="G21">
        <f t="shared" si="4"/>
        <v>306149.99999999948</v>
      </c>
      <c r="H21">
        <f t="shared" si="5"/>
        <v>5887.5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0.16065789473684211</v>
      </c>
      <c r="C22" s="85">
        <f t="shared" si="2"/>
        <v>0</v>
      </c>
      <c r="D22" s="74">
        <f t="shared" si="3"/>
        <v>0.16065789473684211</v>
      </c>
      <c r="E22">
        <f>COUNTIF(tables_527100!C:C,input_527100!A22)-COUNTIF(Q:Q,A22)</f>
        <v>19</v>
      </c>
      <c r="F22" s="43">
        <f t="shared" si="8"/>
        <v>8.4556786703601106E-3</v>
      </c>
      <c r="G22">
        <f t="shared" si="4"/>
        <v>20451750</v>
      </c>
      <c r="H22">
        <f t="shared" si="5"/>
        <v>1076407.8947399999</v>
      </c>
      <c r="I22">
        <f t="shared" si="6"/>
        <v>0.89473999990150332</v>
      </c>
      <c r="J22">
        <f t="shared" si="7"/>
        <v>1.1176431143238081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2.4342105263157898E-2</v>
      </c>
      <c r="C23" s="85">
        <f t="shared" si="2"/>
        <v>0</v>
      </c>
      <c r="D23" s="74">
        <f t="shared" si="3"/>
        <v>2.4342105263157898E-2</v>
      </c>
      <c r="E23">
        <f>COUNTIF(tables_527100!C:C,input_527100!A23)-COUNTIF(Q:Q,A23)</f>
        <v>25</v>
      </c>
      <c r="F23" s="43">
        <f t="shared" si="8"/>
        <v>9.7368421052631594E-4</v>
      </c>
      <c r="G23">
        <f t="shared" si="4"/>
        <v>3098750.0000000005</v>
      </c>
      <c r="H23">
        <f t="shared" si="5"/>
        <v>123950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COUNTIF(tables_527100!C:C,input_527100!A24)-COUNTIF(Q:Q,A24)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3.505263157894737E-2</v>
      </c>
      <c r="C25" s="85">
        <f t="shared" si="2"/>
        <v>0</v>
      </c>
      <c r="D25" s="74">
        <f t="shared" si="3"/>
        <v>3.505263157894737E-2</v>
      </c>
      <c r="E25">
        <f>COUNTIF(tables_527100!C:C,input_527100!A25)-COUNTIF(Q:Q,A25)</f>
        <v>4</v>
      </c>
      <c r="F25" s="43">
        <f t="shared" si="8"/>
        <v>8.7631578947368425E-3</v>
      </c>
      <c r="G25">
        <f t="shared" si="4"/>
        <v>4462200</v>
      </c>
      <c r="H25">
        <f t="shared" si="5"/>
        <v>1115550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3.8947368421052633E-3</v>
      </c>
      <c r="C26" s="85">
        <f t="shared" si="2"/>
        <v>0</v>
      </c>
      <c r="D26" s="74">
        <f t="shared" si="3"/>
        <v>3.8947368421052633E-3</v>
      </c>
      <c r="E26">
        <f>COUNTIF(tables_527100!C:C,input_527100!A26)-COUNTIF(Q:Q,A26)</f>
        <v>4</v>
      </c>
      <c r="F26" s="43">
        <f t="shared" si="8"/>
        <v>9.7368421052631583E-4</v>
      </c>
      <c r="G26">
        <f t="shared" si="4"/>
        <v>495800</v>
      </c>
      <c r="H26">
        <f t="shared" si="5"/>
        <v>123950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5.6417910447761196E-3</v>
      </c>
      <c r="C27" s="85">
        <f t="shared" si="2"/>
        <v>0</v>
      </c>
      <c r="D27" s="74">
        <f t="shared" si="3"/>
        <v>5.6417910447761196E-3</v>
      </c>
      <c r="E27">
        <f>COUNTIF(tables_527100!C:C,input_527100!A27)-COUNTIF(Q:Q,A27)</f>
        <v>28</v>
      </c>
      <c r="F27" s="43">
        <f>IFERROR(B27/E27,0)</f>
        <v>2.0149253731343284E-4</v>
      </c>
      <c r="G27">
        <f t="shared" si="4"/>
        <v>718200</v>
      </c>
      <c r="H27">
        <f t="shared" si="5"/>
        <v>25650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6.2686567164179112E-4</v>
      </c>
      <c r="C28" s="85">
        <f t="shared" si="2"/>
        <v>0</v>
      </c>
      <c r="D28" s="74">
        <f t="shared" si="3"/>
        <v>6.2686567164179112E-4</v>
      </c>
      <c r="E28">
        <f>COUNTIF(tables_527100!C:C,input_527100!A28)-COUNTIF(Q:Q,A28)</f>
        <v>28</v>
      </c>
      <c r="F28" s="43">
        <f t="shared" si="8"/>
        <v>2.2388059701492539E-5</v>
      </c>
      <c r="G28">
        <f t="shared" si="4"/>
        <v>79800.000000000015</v>
      </c>
      <c r="H28">
        <f t="shared" si="5"/>
        <v>2850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8.7313432835820892E-3</v>
      </c>
      <c r="C29" s="85">
        <f t="shared" si="2"/>
        <v>0.06</v>
      </c>
      <c r="D29" s="74">
        <f t="shared" si="3"/>
        <v>-5.1268656716417907E-2</v>
      </c>
      <c r="E29">
        <f>COUNTIF(tables_527100!C:C,input_527100!A29)-COUNTIF(Q:Q,A29)</f>
        <v>39</v>
      </c>
      <c r="F29" s="43">
        <f t="shared" si="8"/>
        <v>2.2388059701492538E-4</v>
      </c>
      <c r="G29">
        <f t="shared" si="4"/>
        <v>1111500</v>
      </c>
      <c r="H29">
        <f t="shared" si="5"/>
        <v>28500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COUNTIF(tables_527100!C:C,input_527100!A30)-COUNTIF(Q:Q,A30)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COUNTIF(tables_527100!C:C,input_527100!A31)-COUNTIF(Q:Q,A31)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0.94000000000000017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127300000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SUMIF(tables_527100!C:C,input_527100!A40,tables_527100!O:O)</f>
        <v>0</v>
      </c>
      <c r="C40" s="54">
        <f t="shared" ref="C40:C46" ca="1" si="9">B40/B$47</f>
        <v>0</v>
      </c>
      <c r="E40">
        <v>3</v>
      </c>
      <c r="F40">
        <f ca="1">SUMIF(tables_527100!J:J,input_527100!E40,tables_527100!O:O)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SUMIF(tables_527100!C:C,input_527100!A41,tables_527100!O:O)</f>
        <v>58008600</v>
      </c>
      <c r="C41" s="54">
        <f t="shared" ca="1" si="9"/>
        <v>0.98132128855449963</v>
      </c>
      <c r="E41">
        <v>4</v>
      </c>
      <c r="F41">
        <f ca="1">SUMIF(tables_527100!J:J,input_527100!E41,tables_527100!O:O)</f>
        <v>114570000.00006001</v>
      </c>
      <c r="G41">
        <f ca="1">F41/A36</f>
        <v>0.90000000000047142</v>
      </c>
    </row>
    <row r="42" spans="1:7" x14ac:dyDescent="0.15">
      <c r="A42" s="33" t="s">
        <v>106</v>
      </c>
      <c r="B42">
        <f ca="1">SUMIF(tables_527100!C:C,input_527100!A42,tables_527100!O:O)</f>
        <v>718200</v>
      </c>
      <c r="C42" s="54">
        <f t="shared" ca="1" si="9"/>
        <v>1.2149663143738026E-2</v>
      </c>
      <c r="E42">
        <v>5</v>
      </c>
      <c r="F42">
        <f ca="1">SUMIF(tables_527100!J:J,input_527100!E42,tables_527100!O:O)</f>
        <v>12730000</v>
      </c>
      <c r="G42">
        <f ca="1">F42/A36</f>
        <v>0.1</v>
      </c>
    </row>
    <row r="43" spans="1:7" x14ac:dyDescent="0.15">
      <c r="A43" s="33" t="s">
        <v>109</v>
      </c>
      <c r="B43">
        <f>SUMIF(tables_527100!C:C,input_527100!A43,tables_527100!O:O)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SUMIF(tables_527100!C:C,input_527100!A44,tables_527100!O:O)</f>
        <v>306150</v>
      </c>
      <c r="C44" s="54">
        <f t="shared" ca="1" si="9"/>
        <v>5.179085730235863E-3</v>
      </c>
      <c r="E44" t="s">
        <v>54</v>
      </c>
      <c r="F44" s="55"/>
    </row>
    <row r="45" spans="1:7" x14ac:dyDescent="0.15">
      <c r="A45" s="33" t="s">
        <v>107</v>
      </c>
      <c r="B45">
        <f ca="1">SUMIF(tables_527100!C:C,input_527100!A45,tables_527100!O:O)</f>
        <v>79800</v>
      </c>
      <c r="C45" s="54">
        <f t="shared" ca="1" si="9"/>
        <v>1.3499625715264474E-3</v>
      </c>
      <c r="E45" t="s">
        <v>204</v>
      </c>
      <c r="F45" s="55">
        <f ca="1">SUMIF(tables_527100!I:I,input_527100!E45,tables_527100!P:P)</f>
        <v>0.24880557737615924</v>
      </c>
    </row>
    <row r="46" spans="1:7" x14ac:dyDescent="0.15">
      <c r="A46" s="33" t="s">
        <v>108</v>
      </c>
      <c r="B46">
        <f>SUMIF(tables_527100!C:C,input_527100!A46,tables_527100!O:O)</f>
        <v>0</v>
      </c>
      <c r="C46" s="54">
        <f t="shared" ca="1" si="9"/>
        <v>0</v>
      </c>
      <c r="E46" t="s">
        <v>205</v>
      </c>
      <c r="F46" s="55">
        <f ca="1">SUMIF(tables_527100!I:I,input_527100!E46,tables_527100!P:P)</f>
        <v>0.1789704438333799</v>
      </c>
    </row>
    <row r="47" spans="1:7" x14ac:dyDescent="0.15">
      <c r="A47" s="39" t="s">
        <v>59</v>
      </c>
      <c r="B47">
        <f ca="1">SUM(B40:B46)</f>
        <v>59112750</v>
      </c>
      <c r="C47" s="55">
        <f ca="1">SUM(C40:C46)</f>
        <v>0.99999999999999989</v>
      </c>
      <c r="E47" t="s">
        <v>206</v>
      </c>
      <c r="F47" s="55">
        <f ca="1">SUMIF(tables_527100!I:I,input_527100!E47,tables_527100!P:P)</f>
        <v>0.49722397879049612</v>
      </c>
    </row>
    <row r="48" spans="1:7" x14ac:dyDescent="0.15">
      <c r="E48" t="s">
        <v>207</v>
      </c>
      <c r="F48" s="55">
        <f ca="1">SUMIF(tables_527100!I:I,input_527100!E48,tables_527100!P:P)</f>
        <v>7.320895522384617E-2</v>
      </c>
    </row>
    <row r="49" spans="5:6" x14ac:dyDescent="0.15">
      <c r="E49" t="s">
        <v>252</v>
      </c>
      <c r="F49" s="55">
        <f ca="1">SUMIF(tables_527100!I:I,input_527100!E49,tables_527100!P:P)</f>
        <v>1.7910447761185586E-3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input_527100!A$2</f>
        <v>527100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IFERROR(VLOOKUP(B2,input_527100!L:R,7,FALSE),VLOOKUP(tables_527100!C2,input_527100!A:H,8,FALSE))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input_527100!A$2</f>
        <v>527100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IFERROR(VLOOKUP(B3,input_527100!L:R,7,FALSE),VLOOKUP(tables_527100!C3,input_527100!A:H,8,FALSE))</f>
        <v>1546462.5</v>
      </c>
      <c r="P3" s="46">
        <f t="shared" ca="1" si="1"/>
        <v>1.2148173605650205E-2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input_527100!A$2</f>
        <v>527100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IFERROR(VLOOKUP(B4,input_527100!L:R,7,FALSE),VLOOKUP(tables_527100!C4,input_527100!A:H,8,FALSE))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input_527100!A$2</f>
        <v>527100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IFERROR(VLOOKUP(B5,input_527100!L:R,7,FALSE),VLOOKUP(tables_527100!C5,input_527100!A:H,8,FALSE))</f>
        <v>1546462.5</v>
      </c>
      <c r="P5" s="46">
        <f t="shared" ca="1" si="1"/>
        <v>1.2148173605650205E-2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input_527100!A$2</f>
        <v>527100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IFERROR(VLOOKUP(B6,input_527100!L:R,7,FALSE),VLOOKUP(tables_527100!C6,input_527100!A:H,8,FALSE))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input_527100!A$2</f>
        <v>527100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IFERROR(VLOOKUP(B7,input_527100!L:R,7,FALSE),VLOOKUP(tables_527100!C7,input_527100!A:H,8,FALSE))</f>
        <v>1546462.5</v>
      </c>
      <c r="P7" s="46">
        <f t="shared" ca="1" si="1"/>
        <v>1.2148173605650205E-2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input_527100!A$2</f>
        <v>527100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IFERROR(VLOOKUP(B8,input_527100!L:R,7,FALSE),VLOOKUP(tables_527100!C8,input_527100!A:H,8,FALSE))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input_527100!A$2</f>
        <v>527100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IFERROR(VLOOKUP(B9,input_527100!L:R,7,FALSE),VLOOKUP(tables_527100!C9,input_527100!A:H,8,FALSE))</f>
        <v>1546462.5</v>
      </c>
      <c r="P9" s="46">
        <f t="shared" ca="1" si="1"/>
        <v>1.2148173605650205E-2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input_527100!A$2</f>
        <v>527100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IFERROR(VLOOKUP(B10,input_527100!L:R,7,FALSE),VLOOKUP(tables_527100!C10,input_527100!A:H,8,FALSE))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input_527100!A$2</f>
        <v>527100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IFERROR(VLOOKUP(B11,input_527100!L:R,7,FALSE),VLOOKUP(tables_527100!C11,input_527100!A:H,8,FALSE))</f>
        <v>1546462.5</v>
      </c>
      <c r="P11" s="46">
        <f t="shared" ca="1" si="1"/>
        <v>1.2148173605650205E-2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input_527100!A$2</f>
        <v>527100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IFERROR(VLOOKUP(B12,input_527100!L:R,7,FALSE),VLOOKUP(tables_527100!C12,input_527100!A:H,8,FALSE))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input_527100!A$2</f>
        <v>527100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IFERROR(VLOOKUP(B13,input_527100!L:R,7,FALSE),VLOOKUP(tables_527100!C13,input_527100!A:H,8,FALSE))</f>
        <v>1546462.5</v>
      </c>
      <c r="P13" s="46">
        <f t="shared" ca="1" si="1"/>
        <v>1.2148173605650205E-2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input_527100!A$2</f>
        <v>527100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IFERROR(VLOOKUP(B14,input_527100!L:R,7,FALSE),VLOOKUP(tables_527100!C14,input_527100!A:H,8,FALSE))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input_527100!A$2</f>
        <v>527100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IFERROR(VLOOKUP(B15,input_527100!L:R,7,FALSE),VLOOKUP(tables_527100!C15,input_527100!A:H,8,FALSE))</f>
        <v>1546462.5</v>
      </c>
      <c r="P15" s="46">
        <f t="shared" ca="1" si="1"/>
        <v>1.2148173605650205E-2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input_527100!A$2</f>
        <v>527100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IFERROR(VLOOKUP(B16,input_527100!L:R,7,FALSE),VLOOKUP(tables_527100!C16,input_527100!A:H,8,FALSE))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input_527100!A$2</f>
        <v>527100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IFERROR(VLOOKUP(B17,input_527100!L:R,7,FALSE),VLOOKUP(tables_527100!C17,input_527100!A:H,8,FALSE))</f>
        <v>1546462.5</v>
      </c>
      <c r="P17" s="46">
        <f t="shared" ca="1" si="1"/>
        <v>1.2148173605650205E-2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input_527100!A$2</f>
        <v>527100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IFERROR(VLOOKUP(B18,input_527100!L:R,7,FALSE),VLOOKUP(tables_527100!C18,input_527100!A:H,8,FALSE))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input_527100!A$2</f>
        <v>527100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IFERROR(VLOOKUP(B19,input_527100!L:R,7,FALSE),VLOOKUP(tables_527100!C19,input_527100!A:H,8,FALSE))</f>
        <v>1546462.5</v>
      </c>
      <c r="P19" s="46">
        <f t="shared" ca="1" si="1"/>
        <v>1.2148173605650205E-2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input_527100!A$2</f>
        <v>527100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IFERROR(VLOOKUP(B20,input_527100!L:R,7,FALSE),VLOOKUP(tables_527100!C20,input_527100!A:H,8,FALSE))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input_527100!A$2</f>
        <v>527100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IFERROR(VLOOKUP(B21,input_527100!L:R,7,FALSE),VLOOKUP(tables_527100!C21,input_527100!A:H,8,FALSE))</f>
        <v>1546462.5</v>
      </c>
      <c r="P21" s="46">
        <f t="shared" ca="1" si="1"/>
        <v>1.2148173605650205E-2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input_527100!A$2</f>
        <v>527100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IFERROR(VLOOKUP(B22,input_527100!L:R,7,FALSE),VLOOKUP(tables_527100!C22,input_527100!A:H,8,FALSE))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input_527100!A$2</f>
        <v>527100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IFERROR(VLOOKUP(B23,input_527100!L:R,7,FALSE),VLOOKUP(tables_527100!C23,input_527100!A:H,8,FALSE))</f>
        <v>1546462.5</v>
      </c>
      <c r="P23" s="46">
        <f t="shared" ca="1" si="1"/>
        <v>1.2148173605650205E-2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input_527100!A$2</f>
        <v>527100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IFERROR(VLOOKUP(B24,input_527100!L:R,7,FALSE),VLOOKUP(tables_527100!C24,input_527100!A:H,8,FALSE))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input_527100!A$2</f>
        <v>527100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IFERROR(VLOOKUP(B25,input_527100!L:R,7,FALSE),VLOOKUP(tables_527100!C25,input_527100!A:H,8,FALSE))</f>
        <v>1546462.5</v>
      </c>
      <c r="P25" s="46">
        <f t="shared" ca="1" si="1"/>
        <v>1.2148173605650205E-2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input_527100!A$2</f>
        <v>527100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IFERROR(VLOOKUP(B26,input_527100!L:R,7,FALSE),VLOOKUP(tables_527100!C26,input_527100!A:H,8,FALSE))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input_527100!A$2</f>
        <v>527100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IFERROR(VLOOKUP(B27,input_527100!L:R,7,FALSE),VLOOKUP(tables_527100!C27,input_527100!A:H,8,FALSE))</f>
        <v>1546462.5</v>
      </c>
      <c r="P27" s="46">
        <f t="shared" ca="1" si="1"/>
        <v>1.2148173605650205E-2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input_527100!A$2</f>
        <v>527100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IFERROR(VLOOKUP(B28,input_527100!L:R,7,FALSE),VLOOKUP(tables_527100!C28,input_527100!A:H,8,FALSE))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input_527100!A$2</f>
        <v>527100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IFERROR(VLOOKUP(B29,input_527100!L:R,7,FALSE),VLOOKUP(tables_527100!C29,input_527100!A:H,8,FALSE))</f>
        <v>1546462.5</v>
      </c>
      <c r="P29" s="46">
        <f t="shared" ca="1" si="1"/>
        <v>1.2148173605650205E-2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input_527100!A$2</f>
        <v>527100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IFERROR(VLOOKUP(B30,input_527100!L:R,7,FALSE),VLOOKUP(tables_527100!C30,input_527100!A:H,8,FALSE))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input_527100!A$2</f>
        <v>527100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IFERROR(VLOOKUP(B31,input_527100!L:R,7,FALSE),VLOOKUP(tables_527100!C31,input_527100!A:H,8,FALSE))</f>
        <v>1546462.5</v>
      </c>
      <c r="P31" s="46">
        <f t="shared" ca="1" si="1"/>
        <v>1.2148173605650205E-2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input_527100!A$2</f>
        <v>527100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IFERROR(VLOOKUP(B32,input_527100!L:R,7,FALSE),VLOOKUP(tables_527100!C32,input_527100!A:H,8,FALSE))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input_527100!A$2</f>
        <v>527100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IFERROR(VLOOKUP(B33,input_527100!L:R,7,FALSE),VLOOKUP(tables_527100!C33,input_527100!A:H,8,FALSE))</f>
        <v>1546462.5</v>
      </c>
      <c r="P33" s="46">
        <f t="shared" ca="1" si="1"/>
        <v>1.2148173605650205E-2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input_527100!A$2</f>
        <v>527100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IFERROR(VLOOKUP(B34,input_527100!L:R,7,FALSE),VLOOKUP(tables_527100!C34,input_527100!A:H,8,FALSE))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input_527100!A$2</f>
        <v>527100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IFERROR(VLOOKUP(B35,input_527100!L:R,7,FALSE),VLOOKUP(tables_527100!C35,input_527100!A:H,8,FALSE))</f>
        <v>1546462.5</v>
      </c>
      <c r="P35" s="46">
        <f t="shared" ca="1" si="1"/>
        <v>1.2148173605650205E-2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input_527100!A$2</f>
        <v>527100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IFERROR(VLOOKUP(B36,input_527100!L:R,7,FALSE),VLOOKUP(tables_527100!C36,input_527100!A:H,8,FALSE))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input_527100!A$2</f>
        <v>527100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IFERROR(VLOOKUP(B37,input_527100!L:R,7,FALSE),VLOOKUP(tables_527100!C37,input_527100!A:H,8,FALSE))</f>
        <v>1546462.5</v>
      </c>
      <c r="P37" s="46">
        <f t="shared" ca="1" si="1"/>
        <v>1.2148173605650205E-2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input_527100!A$2</f>
        <v>527100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IFERROR(VLOOKUP(B38,input_527100!L:R,7,FALSE),VLOOKUP(tables_527100!C38,input_527100!A:H,8,FALSE))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input_527100!A$2</f>
        <v>527100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IFERROR(VLOOKUP(B39,input_527100!L:R,7,FALSE),VLOOKUP(tables_527100!C39,input_527100!A:H,8,FALSE))</f>
        <v>1546462.5</v>
      </c>
      <c r="P39" s="46">
        <f t="shared" ca="1" si="1"/>
        <v>1.2148173605650205E-2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input_527100!A$2</f>
        <v>527100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IFERROR(VLOOKUP(B40,input_527100!L:R,7,FALSE),VLOOKUP(tables_527100!C40,input_527100!A:H,8,FALSE))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input_527100!A$2</f>
        <v>527100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IFERROR(VLOOKUP(B41,input_527100!L:R,7,FALSE),VLOOKUP(tables_527100!C41,input_527100!A:H,8,FALSE))</f>
        <v>1546462.5</v>
      </c>
      <c r="P41" s="46">
        <f t="shared" ca="1" si="1"/>
        <v>1.2148173605650205E-2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input_527100!A$2</f>
        <v>527100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IFERROR(VLOOKUP(B42,input_527100!L:R,7,FALSE),VLOOKUP(tables_527100!C42,input_527100!A:H,8,FALSE))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input_527100!A$2</f>
        <v>527100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IFERROR(VLOOKUP(B43,input_527100!L:R,7,FALSE),VLOOKUP(tables_527100!C43,input_527100!A:H,8,FALSE))</f>
        <v>1115550</v>
      </c>
      <c r="P43" s="46">
        <f t="shared" ca="1" si="1"/>
        <v>8.7631578947327121E-3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input_527100!A$2</f>
        <v>527100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IFERROR(VLOOKUP(B44,input_527100!L:R,7,FALSE),VLOOKUP(tables_527100!C44,input_527100!A:H,8,FALSE))</f>
        <v>123950</v>
      </c>
      <c r="P44" s="46">
        <f t="shared" ca="1" si="1"/>
        <v>9.7368421052585678E-4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input_527100!A$2</f>
        <v>527100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IFERROR(VLOOKUP(B45,input_527100!L:R,7,FALSE),VLOOKUP(tables_527100!C45,input_527100!A:H,8,FALSE))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input_527100!A$2</f>
        <v>527100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IFERROR(VLOOKUP(B46,input_527100!L:R,7,FALSE),VLOOKUP(tables_527100!C46,input_527100!A:H,8,FALSE))</f>
        <v>1115550</v>
      </c>
      <c r="P46" s="46">
        <f t="shared" ca="1" si="1"/>
        <v>8.7631578947327121E-3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input_527100!A$2</f>
        <v>527100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IFERROR(VLOOKUP(B47,input_527100!L:R,7,FALSE),VLOOKUP(tables_527100!C47,input_527100!A:H,8,FALSE))</f>
        <v>123950</v>
      </c>
      <c r="P47" s="46">
        <f t="shared" ca="1" si="1"/>
        <v>9.7368421052585678E-4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input_527100!A$2</f>
        <v>527100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IFERROR(VLOOKUP(B48,input_527100!L:R,7,FALSE),VLOOKUP(tables_527100!C48,input_527100!A:H,8,FALSE))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input_527100!A$2</f>
        <v>527100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IFERROR(VLOOKUP(B49,input_527100!L:R,7,FALSE),VLOOKUP(tables_527100!C49,input_527100!A:H,8,FALSE))</f>
        <v>1115550</v>
      </c>
      <c r="P49" s="46">
        <f t="shared" ca="1" si="1"/>
        <v>8.7631578947327121E-3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input_527100!A$2</f>
        <v>527100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IFERROR(VLOOKUP(B50,input_527100!L:R,7,FALSE),VLOOKUP(tables_527100!C50,input_527100!A:H,8,FALSE))</f>
        <v>123950</v>
      </c>
      <c r="P50" s="46">
        <f t="shared" ca="1" si="1"/>
        <v>9.7368421052585678E-4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input_527100!A$2</f>
        <v>527100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IFERROR(VLOOKUP(B51,input_527100!L:R,7,FALSE),VLOOKUP(tables_527100!C51,input_527100!A:H,8,FALSE))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input_527100!A$2</f>
        <v>527100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IFERROR(VLOOKUP(B52,input_527100!L:R,7,FALSE),VLOOKUP(tables_527100!C52,input_527100!A:H,8,FALSE))</f>
        <v>1115550</v>
      </c>
      <c r="P52" s="46">
        <f t="shared" ca="1" si="1"/>
        <v>8.7631578947327121E-3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input_527100!A$2</f>
        <v>527100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IFERROR(VLOOKUP(B53,input_527100!L:R,7,FALSE),VLOOKUP(tables_527100!C53,input_527100!A:H,8,FALSE))</f>
        <v>5887.5</v>
      </c>
      <c r="P53" s="46">
        <f t="shared" ca="1" si="1"/>
        <v>4.624901806753515E-5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input_527100!A$2</f>
        <v>527100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IFERROR(VLOOKUP(B54,input_527100!L:R,7,FALSE),VLOOKUP(tables_527100!C54,input_527100!A:H,8,FALSE))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input_527100!A$2</f>
        <v>527100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IFERROR(VLOOKUP(B55,input_527100!L:R,7,FALSE),VLOOKUP(tables_527100!C55,input_527100!A:H,8,FALSE))</f>
        <v>1115550</v>
      </c>
      <c r="P55" s="46">
        <f t="shared" ca="1" si="1"/>
        <v>8.7631578947327121E-3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input_527100!A$2</f>
        <v>527100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IFERROR(VLOOKUP(B56,input_527100!L:R,7,FALSE),VLOOKUP(tables_527100!C56,input_527100!A:H,8,FALSE))</f>
        <v>5887.5</v>
      </c>
      <c r="P56" s="46">
        <f t="shared" ca="1" si="1"/>
        <v>4.624901806753515E-5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input_527100!A$2</f>
        <v>527100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IFERROR(VLOOKUP(B57,input_527100!L:R,7,FALSE),VLOOKUP(tables_527100!C57,input_527100!A:H,8,FALSE))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input_527100!A$2</f>
        <v>527100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IFERROR(VLOOKUP(B58,input_527100!L:R,7,FALSE),VLOOKUP(tables_527100!C58,input_527100!A:H,8,FALSE))</f>
        <v>1115550</v>
      </c>
      <c r="P58" s="46">
        <f t="shared" ca="1" si="1"/>
        <v>8.7631578947327121E-3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input_527100!A$2</f>
        <v>527100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IFERROR(VLOOKUP(B59,input_527100!L:R,7,FALSE),VLOOKUP(tables_527100!C59,input_527100!A:H,8,FALSE))</f>
        <v>5887.5</v>
      </c>
      <c r="P59" s="46">
        <f t="shared" ca="1" si="1"/>
        <v>4.624901806753515E-5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input_527100!A$2</f>
        <v>527100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IFERROR(VLOOKUP(B60,input_527100!L:R,7,FALSE),VLOOKUP(tables_527100!C60,input_527100!A:H,8,FALSE))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input_527100!A$2</f>
        <v>527100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IFERROR(VLOOKUP(B61,input_527100!L:R,7,FALSE),VLOOKUP(tables_527100!C61,input_527100!A:H,8,FALSE))</f>
        <v>1115550</v>
      </c>
      <c r="P61" s="46">
        <f t="shared" ca="1" si="1"/>
        <v>8.7631578947327121E-3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input_527100!A$2</f>
        <v>527100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IFERROR(VLOOKUP(B62,input_527100!L:R,7,FALSE),VLOOKUP(tables_527100!C62,input_527100!A:H,8,FALSE))</f>
        <v>5887.5</v>
      </c>
      <c r="P62" s="46">
        <f t="shared" ca="1" si="1"/>
        <v>4.624901806753515E-5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input_527100!A$2</f>
        <v>527100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IFERROR(VLOOKUP(B63,input_527100!L:R,7,FALSE),VLOOKUP(tables_527100!C63,input_527100!A:H,8,FALSE))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input_527100!A$2</f>
        <v>527100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IFERROR(VLOOKUP(B64,input_527100!L:R,7,FALSE),VLOOKUP(tables_527100!C64,input_527100!A:H,8,FALSE))</f>
        <v>1115550</v>
      </c>
      <c r="P64" s="46">
        <f t="shared" ca="1" si="1"/>
        <v>8.7631578947327121E-3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input_527100!A$2</f>
        <v>527100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IFERROR(VLOOKUP(B65,input_527100!L:R,7,FALSE),VLOOKUP(tables_527100!C65,input_527100!A:H,8,FALSE))</f>
        <v>5887.5</v>
      </c>
      <c r="P65" s="46">
        <f t="shared" ca="1" si="1"/>
        <v>4.624901806753515E-5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input_527100!A$2</f>
        <v>527100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IFERROR(VLOOKUP(B66,input_527100!L:R,7,FALSE),VLOOKUP(tables_527100!C66,input_527100!A:H,8,FALSE))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input_527100!A$2</f>
        <v>527100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IFERROR(VLOOKUP(B67,input_527100!L:R,7,FALSE),VLOOKUP(tables_527100!C67,input_527100!A:H,8,FALSE))</f>
        <v>1115550</v>
      </c>
      <c r="P67" s="46">
        <f t="shared" ca="1" si="4"/>
        <v>8.7631578947327121E-3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input_527100!A$2</f>
        <v>527100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IFERROR(VLOOKUP(B68,input_527100!L:R,7,FALSE),VLOOKUP(tables_527100!C68,input_527100!A:H,8,FALSE))</f>
        <v>5887.5</v>
      </c>
      <c r="P68" s="46">
        <f t="shared" ca="1" si="4"/>
        <v>4.624901806753515E-5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input_527100!A$2</f>
        <v>527100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IFERROR(VLOOKUP(B69,input_527100!L:R,7,FALSE),VLOOKUP(tables_527100!C69,input_527100!A:H,8,FALSE))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input_527100!A$2</f>
        <v>527100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IFERROR(VLOOKUP(B70,input_527100!L:R,7,FALSE),VLOOKUP(tables_527100!C70,input_527100!A:H,8,FALSE))</f>
        <v>1115550</v>
      </c>
      <c r="P70" s="46">
        <f t="shared" ca="1" si="4"/>
        <v>8.7631578947327121E-3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input_527100!A$2</f>
        <v>527100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IFERROR(VLOOKUP(B71,input_527100!L:R,7,FALSE),VLOOKUP(tables_527100!C71,input_527100!A:H,8,FALSE))</f>
        <v>5887.5</v>
      </c>
      <c r="P71" s="46">
        <f t="shared" ca="1" si="4"/>
        <v>4.624901806753515E-5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input_527100!A$2</f>
        <v>527100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IFERROR(VLOOKUP(B72,input_527100!L:R,7,FALSE),VLOOKUP(tables_527100!C72,input_527100!A:H,8,FALSE))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input_527100!A$2</f>
        <v>527100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IFERROR(VLOOKUP(B73,input_527100!L:R,7,FALSE),VLOOKUP(tables_527100!C73,input_527100!A:H,8,FALSE))</f>
        <v>1115550</v>
      </c>
      <c r="P73" s="46">
        <f t="shared" ca="1" si="4"/>
        <v>8.7631578947327121E-3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input_527100!A$2</f>
        <v>527100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IFERROR(VLOOKUP(B74,input_527100!L:R,7,FALSE),VLOOKUP(tables_527100!C74,input_527100!A:H,8,FALSE))</f>
        <v>5887.5</v>
      </c>
      <c r="P74" s="46">
        <f t="shared" ca="1" si="4"/>
        <v>4.624901806753515E-5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input_527100!A$2</f>
        <v>527100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IFERROR(VLOOKUP(B75,input_527100!L:R,7,FALSE),VLOOKUP(tables_527100!C75,input_527100!A:H,8,FALSE))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input_527100!A$2</f>
        <v>527100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IFERROR(VLOOKUP(B76,input_527100!L:R,7,FALSE),VLOOKUP(tables_527100!C76,input_527100!A:H,8,FALSE))</f>
        <v>1115550</v>
      </c>
      <c r="P76" s="46">
        <f t="shared" ca="1" si="4"/>
        <v>8.7631578947327121E-3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input_527100!A$2</f>
        <v>527100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IFERROR(VLOOKUP(B77,input_527100!L:R,7,FALSE),VLOOKUP(tables_527100!C77,input_527100!A:H,8,FALSE))</f>
        <v>5887.5</v>
      </c>
      <c r="P77" s="46">
        <f t="shared" ca="1" si="4"/>
        <v>4.624901806753515E-5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input_527100!A$2</f>
        <v>527100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IFERROR(VLOOKUP(B78,input_527100!L:R,7,FALSE),VLOOKUP(tables_527100!C78,input_527100!A:H,8,FALSE))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input_527100!A$2</f>
        <v>527100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IFERROR(VLOOKUP(B79,input_527100!L:R,7,FALSE),VLOOKUP(tables_527100!C79,input_527100!A:H,8,FALSE))</f>
        <v>1115550</v>
      </c>
      <c r="P79" s="46">
        <f t="shared" ca="1" si="4"/>
        <v>8.7631578947327121E-3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input_527100!A$2</f>
        <v>527100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IFERROR(VLOOKUP(B80,input_527100!L:R,7,FALSE),VLOOKUP(tables_527100!C80,input_527100!A:H,8,FALSE))</f>
        <v>5887.5</v>
      </c>
      <c r="P80" s="46">
        <f t="shared" ca="1" si="4"/>
        <v>4.624901806753515E-5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input_527100!A$2</f>
        <v>527100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IFERROR(VLOOKUP(B81,input_527100!L:R,7,FALSE),VLOOKUP(tables_527100!C81,input_527100!A:H,8,FALSE))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input_527100!A$2</f>
        <v>527100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IFERROR(VLOOKUP(B82,input_527100!L:R,7,FALSE),VLOOKUP(tables_527100!C82,input_527100!A:H,8,FALSE))</f>
        <v>1115550</v>
      </c>
      <c r="P82" s="46">
        <f t="shared" ca="1" si="4"/>
        <v>8.7631578947327121E-3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input_527100!A$2</f>
        <v>527100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IFERROR(VLOOKUP(B83,input_527100!L:R,7,FALSE),VLOOKUP(tables_527100!C83,input_527100!A:H,8,FALSE))</f>
        <v>5887.5</v>
      </c>
      <c r="P83" s="46">
        <f t="shared" ca="1" si="4"/>
        <v>4.624901806753515E-5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input_527100!A$2</f>
        <v>527100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IFERROR(VLOOKUP(B84,input_527100!L:R,7,FALSE),VLOOKUP(tables_527100!C84,input_527100!A:H,8,FALSE))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input_527100!A$2</f>
        <v>527100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IFERROR(VLOOKUP(B85,input_527100!L:R,7,FALSE),VLOOKUP(tables_527100!C85,input_527100!A:H,8,FALSE))</f>
        <v>1115550</v>
      </c>
      <c r="P85" s="46">
        <f t="shared" ca="1" si="4"/>
        <v>8.7631578947327121E-3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input_527100!A$2</f>
        <v>527100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IFERROR(VLOOKUP(B86,input_527100!L:R,7,FALSE),VLOOKUP(tables_527100!C86,input_527100!A:H,8,FALSE))</f>
        <v>5887.5</v>
      </c>
      <c r="P86" s="46">
        <f t="shared" ca="1" si="4"/>
        <v>4.624901806753515E-5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input_527100!A$2</f>
        <v>527100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IFERROR(VLOOKUP(B87,input_527100!L:R,7,FALSE),VLOOKUP(tables_527100!C87,input_527100!A:H,8,FALSE))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input_527100!A$2</f>
        <v>527100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IFERROR(VLOOKUP(B88,input_527100!L:R,7,FALSE),VLOOKUP(tables_527100!C88,input_527100!A:H,8,FALSE))</f>
        <v>1115550</v>
      </c>
      <c r="P88" s="46">
        <f t="shared" ca="1" si="4"/>
        <v>8.7631578947327121E-3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input_527100!A$2</f>
        <v>527100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IFERROR(VLOOKUP(B89,input_527100!L:R,7,FALSE),VLOOKUP(tables_527100!C89,input_527100!A:H,8,FALSE))</f>
        <v>5887.5</v>
      </c>
      <c r="P89" s="46">
        <f t="shared" ca="1" si="4"/>
        <v>4.624901806753515E-5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input_527100!A$2</f>
        <v>527100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IFERROR(VLOOKUP(B90,input_527100!L:R,7,FALSE),VLOOKUP(tables_527100!C90,input_527100!A:H,8,FALSE))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input_527100!A$2</f>
        <v>527100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IFERROR(VLOOKUP(B91,input_527100!L:R,7,FALSE),VLOOKUP(tables_527100!C91,input_527100!A:H,8,FALSE))</f>
        <v>1115550</v>
      </c>
      <c r="P91" s="46">
        <f t="shared" ca="1" si="4"/>
        <v>8.7631578947327121E-3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input_527100!A$2</f>
        <v>527100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IFERROR(VLOOKUP(B92,input_527100!L:R,7,FALSE),VLOOKUP(tables_527100!C92,input_527100!A:H,8,FALSE))</f>
        <v>5887.5</v>
      </c>
      <c r="P92" s="46">
        <f t="shared" ca="1" si="4"/>
        <v>4.624901806753515E-5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input_527100!A$2</f>
        <v>527100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IFERROR(VLOOKUP(B93,input_527100!L:R,7,FALSE),VLOOKUP(tables_527100!C93,input_527100!A:H,8,FALSE))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input_527100!A$2</f>
        <v>527100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IFERROR(VLOOKUP(B94,input_527100!L:R,7,FALSE),VLOOKUP(tables_527100!C94,input_527100!A:H,8,FALSE))</f>
        <v>1115550</v>
      </c>
      <c r="P94" s="46">
        <f t="shared" ca="1" si="4"/>
        <v>8.7631578947327121E-3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input_527100!A$2</f>
        <v>527100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IFERROR(VLOOKUP(B95,input_527100!L:R,7,FALSE),VLOOKUP(tables_527100!C95,input_527100!A:H,8,FALSE))</f>
        <v>5887.5</v>
      </c>
      <c r="P95" s="46">
        <f t="shared" ca="1" si="4"/>
        <v>4.624901806753515E-5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input_527100!A$2</f>
        <v>527100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IFERROR(VLOOKUP(B96,input_527100!L:R,7,FALSE),VLOOKUP(tables_527100!C96,input_527100!A:H,8,FALSE))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input_527100!A$2</f>
        <v>527100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IFERROR(VLOOKUP(B97,input_527100!L:R,7,FALSE),VLOOKUP(tables_527100!C97,input_527100!A:H,8,FALSE))</f>
        <v>1115550</v>
      </c>
      <c r="P97" s="46">
        <f t="shared" ca="1" si="4"/>
        <v>8.7631578947327121E-3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input_527100!A$2</f>
        <v>527100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IFERROR(VLOOKUP(B98,input_527100!L:R,7,FALSE),VLOOKUP(tables_527100!C98,input_527100!A:H,8,FALSE))</f>
        <v>5887.5</v>
      </c>
      <c r="P98" s="46">
        <f t="shared" ca="1" si="4"/>
        <v>4.624901806753515E-5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input_527100!A$2</f>
        <v>527100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IFERROR(VLOOKUP(B99,input_527100!L:R,7,FALSE),VLOOKUP(tables_527100!C99,input_527100!A:H,8,FALSE))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input_527100!A$2</f>
        <v>527100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IFERROR(VLOOKUP(B100,input_527100!L:R,7,FALSE),VLOOKUP(tables_527100!C100,input_527100!A:H,8,FALSE))</f>
        <v>1115550</v>
      </c>
      <c r="P100" s="46">
        <f t="shared" ca="1" si="4"/>
        <v>8.7631578947327121E-3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input_527100!A$2</f>
        <v>527100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IFERROR(VLOOKUP(B101,input_527100!L:R,7,FALSE),VLOOKUP(tables_527100!C101,input_527100!A:H,8,FALSE))</f>
        <v>5887.5</v>
      </c>
      <c r="P101" s="46">
        <f t="shared" ca="1" si="4"/>
        <v>4.624901806753515E-5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input_527100!A$2</f>
        <v>527100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IFERROR(VLOOKUP(B102,input_527100!L:R,7,FALSE),VLOOKUP(tables_527100!C102,input_527100!A:H,8,FALSE))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input_527100!A$2</f>
        <v>527100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IFERROR(VLOOKUP(B103,input_527100!L:R,7,FALSE),VLOOKUP(tables_527100!C103,input_527100!A:H,8,FALSE))</f>
        <v>1115550</v>
      </c>
      <c r="P103" s="46">
        <f t="shared" ca="1" si="4"/>
        <v>8.7631578947327121E-3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input_527100!A$2</f>
        <v>527100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IFERROR(VLOOKUP(B104,input_527100!L:R,7,FALSE),VLOOKUP(tables_527100!C104,input_527100!A:H,8,FALSE))</f>
        <v>5887.5</v>
      </c>
      <c r="P104" s="46">
        <f t="shared" ca="1" si="4"/>
        <v>4.624901806753515E-5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input_527100!A$2</f>
        <v>527100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IFERROR(VLOOKUP(B105,input_527100!L:R,7,FALSE),VLOOKUP(tables_527100!C105,input_527100!A:H,8,FALSE))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input_527100!A$2</f>
        <v>527100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IFERROR(VLOOKUP(B106,input_527100!L:R,7,FALSE),VLOOKUP(tables_527100!C106,input_527100!A:H,8,FALSE))</f>
        <v>1115550</v>
      </c>
      <c r="P106" s="46">
        <f t="shared" ca="1" si="4"/>
        <v>8.7631578947327121E-3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input_527100!A$2</f>
        <v>527100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IFERROR(VLOOKUP(B107,input_527100!L:R,7,FALSE),VLOOKUP(tables_527100!C107,input_527100!A:H,8,FALSE))</f>
        <v>5887.5</v>
      </c>
      <c r="P107" s="46">
        <f t="shared" ca="1" si="4"/>
        <v>4.624901806753515E-5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input_527100!A$2</f>
        <v>527100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IFERROR(VLOOKUP(B108,input_527100!L:R,7,FALSE),VLOOKUP(tables_527100!C108,input_527100!A:H,8,FALSE))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input_527100!A$2</f>
        <v>527100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IFERROR(VLOOKUP(B109,input_527100!L:R,7,FALSE),VLOOKUP(tables_527100!C109,input_527100!A:H,8,FALSE))</f>
        <v>1115550</v>
      </c>
      <c r="P109" s="46">
        <f t="shared" ca="1" si="4"/>
        <v>8.7631578947327121E-3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input_527100!A$2</f>
        <v>527100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IFERROR(VLOOKUP(B110,input_527100!L:R,7,FALSE),VLOOKUP(tables_527100!C110,input_527100!A:H,8,FALSE))</f>
        <v>5887.5</v>
      </c>
      <c r="P110" s="46">
        <f t="shared" ca="1" si="4"/>
        <v>4.624901806753515E-5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input_527100!A$2</f>
        <v>527100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IFERROR(VLOOKUP(B111,input_527100!L:R,7,FALSE),VLOOKUP(tables_527100!C111,input_527100!A:H,8,FALSE))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input_527100!A$2</f>
        <v>527100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IFERROR(VLOOKUP(B112,input_527100!L:R,7,FALSE),VLOOKUP(tables_527100!C112,input_527100!A:H,8,FALSE))</f>
        <v>1115550</v>
      </c>
      <c r="P112" s="46">
        <f t="shared" ca="1" si="4"/>
        <v>8.7631578947327121E-3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input_527100!A$2</f>
        <v>527100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IFERROR(VLOOKUP(B113,input_527100!L:R,7,FALSE),VLOOKUP(tables_527100!C113,input_527100!A:H,8,FALSE))</f>
        <v>123950</v>
      </c>
      <c r="P113" s="46">
        <f t="shared" ca="1" si="4"/>
        <v>9.7368421052585678E-4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input_527100!A$2</f>
        <v>527100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IFERROR(VLOOKUP(B114,input_527100!L:R,7,FALSE),VLOOKUP(tables_527100!C114,input_527100!A:H,8,FALSE))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input_527100!A$2</f>
        <v>527100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IFERROR(VLOOKUP(B115,input_527100!L:R,7,FALSE),VLOOKUP(tables_527100!C115,input_527100!A:H,8,FALSE))</f>
        <v>1115550</v>
      </c>
      <c r="P115" s="46">
        <f t="shared" ca="1" si="4"/>
        <v>8.7631578947327121E-3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input_527100!A$2</f>
        <v>527100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IFERROR(VLOOKUP(B116,input_527100!L:R,7,FALSE),VLOOKUP(tables_527100!C116,input_527100!A:H,8,FALSE))</f>
        <v>5887.5</v>
      </c>
      <c r="P116" s="46">
        <f t="shared" ca="1" si="4"/>
        <v>4.624901806753515E-5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input_527100!A$2</f>
        <v>527100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IFERROR(VLOOKUP(B117,input_527100!L:R,7,FALSE),VLOOKUP(tables_527100!C117,input_527100!A:H,8,FALSE))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input_527100!A$2</f>
        <v>527100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IFERROR(VLOOKUP(B118,input_527100!L:R,7,FALSE),VLOOKUP(tables_527100!C118,input_527100!A:H,8,FALSE))</f>
        <v>1115550</v>
      </c>
      <c r="P118" s="46">
        <f t="shared" ca="1" si="4"/>
        <v>8.7631578947327121E-3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input_527100!A$2</f>
        <v>527100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IFERROR(VLOOKUP(B119,input_527100!L:R,7,FALSE),VLOOKUP(tables_527100!C119,input_527100!A:H,8,FALSE))</f>
        <v>5887.5</v>
      </c>
      <c r="P119" s="46">
        <f t="shared" ca="1" si="4"/>
        <v>4.624901806753515E-5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input_527100!A$2</f>
        <v>527100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IFERROR(VLOOKUP(B120,input_527100!L:R,7,FALSE),VLOOKUP(tables_527100!C120,input_527100!A:H,8,FALSE))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input_527100!A$2</f>
        <v>527100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IFERROR(VLOOKUP(B121,input_527100!L:R,7,FALSE),VLOOKUP(tables_527100!C121,input_527100!A:H,8,FALSE))</f>
        <v>1115550</v>
      </c>
      <c r="P121" s="46">
        <f t="shared" ca="1" si="4"/>
        <v>8.7631578947327121E-3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input_527100!A$2</f>
        <v>527100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IFERROR(VLOOKUP(B122,input_527100!L:R,7,FALSE),VLOOKUP(tables_527100!C122,input_527100!A:H,8,FALSE))</f>
        <v>5887.5</v>
      </c>
      <c r="P122" s="46">
        <f t="shared" ca="1" si="4"/>
        <v>4.624901806753515E-5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input_527100!A$2</f>
        <v>527100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IFERROR(VLOOKUP(B123,input_527100!L:R,7,FALSE),VLOOKUP(tables_527100!C123,input_527100!A:H,8,FALSE))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input_527100!A$2</f>
        <v>527100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IFERROR(VLOOKUP(B124,input_527100!L:R,7,FALSE),VLOOKUP(tables_527100!C124,input_527100!A:H,8,FALSE))</f>
        <v>1115550</v>
      </c>
      <c r="P124" s="46">
        <f t="shared" ca="1" si="4"/>
        <v>8.7631578947327121E-3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input_527100!A$2</f>
        <v>527100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IFERROR(VLOOKUP(B125,input_527100!L:R,7,FALSE),VLOOKUP(tables_527100!C125,input_527100!A:H,8,FALSE))</f>
        <v>5887.5</v>
      </c>
      <c r="P125" s="46">
        <f t="shared" ca="1" si="4"/>
        <v>4.624901806753515E-5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input_527100!A$2</f>
        <v>527100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IFERROR(VLOOKUP(B126,input_527100!L:R,7,FALSE),VLOOKUP(tables_527100!C126,input_527100!A:H,8,FALSE))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input_527100!A$2</f>
        <v>527100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IFERROR(VLOOKUP(B127,input_527100!L:R,7,FALSE),VLOOKUP(tables_527100!C127,input_527100!A:H,8,FALSE))</f>
        <v>1115550</v>
      </c>
      <c r="P127" s="46">
        <f t="shared" ca="1" si="4"/>
        <v>8.7631578947327121E-3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input_527100!A$2</f>
        <v>527100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IFERROR(VLOOKUP(B128,input_527100!L:R,7,FALSE),VLOOKUP(tables_527100!C128,input_527100!A:H,8,FALSE))</f>
        <v>5887.5</v>
      </c>
      <c r="P128" s="46">
        <f t="shared" ca="1" si="4"/>
        <v>4.624901806753515E-5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input_527100!A$2</f>
        <v>527100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IFERROR(VLOOKUP(B129,input_527100!L:R,7,FALSE),VLOOKUP(tables_527100!C129,input_527100!A:H,8,FALSE))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input_527100!A$2</f>
        <v>527100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IFERROR(VLOOKUP(B130,input_527100!L:R,7,FALSE),VLOOKUP(tables_527100!C130,input_527100!A:H,8,FALSE))</f>
        <v>1115550</v>
      </c>
      <c r="P130" s="46">
        <f t="shared" ref="P130:P193" ca="1" si="7">O130/SUM(O:O)</f>
        <v>8.7631578947327121E-3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input_527100!A$2</f>
        <v>527100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IFERROR(VLOOKUP(B131,input_527100!L:R,7,FALSE),VLOOKUP(tables_527100!C131,input_527100!A:H,8,FALSE))</f>
        <v>5887.5</v>
      </c>
      <c r="P131" s="46">
        <f t="shared" ca="1" si="7"/>
        <v>4.624901806753515E-5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input_527100!A$2</f>
        <v>527100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IFERROR(VLOOKUP(B132,input_527100!L:R,7,FALSE),VLOOKUP(tables_527100!C132,input_527100!A:H,8,FALSE))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input_527100!A$2</f>
        <v>527100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IFERROR(VLOOKUP(B133,input_527100!L:R,7,FALSE),VLOOKUP(tables_527100!C133,input_527100!A:H,8,FALSE))</f>
        <v>1115550</v>
      </c>
      <c r="P133" s="46">
        <f t="shared" ca="1" si="7"/>
        <v>8.7631578947327121E-3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input_527100!A$2</f>
        <v>527100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IFERROR(VLOOKUP(B134,input_527100!L:R,7,FALSE),VLOOKUP(tables_527100!C134,input_527100!A:H,8,FALSE))</f>
        <v>5887.5</v>
      </c>
      <c r="P134" s="46">
        <f t="shared" ca="1" si="7"/>
        <v>4.624901806753515E-5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input_527100!A$2</f>
        <v>527100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IFERROR(VLOOKUP(B135,input_527100!L:R,7,FALSE),VLOOKUP(tables_527100!C135,input_527100!A:H,8,FALSE))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input_527100!A$2</f>
        <v>527100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IFERROR(VLOOKUP(B136,input_527100!L:R,7,FALSE),VLOOKUP(tables_527100!C136,input_527100!A:H,8,FALSE))</f>
        <v>1115550</v>
      </c>
      <c r="P136" s="46">
        <f t="shared" ca="1" si="7"/>
        <v>8.7631578947327121E-3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input_527100!A$2</f>
        <v>527100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IFERROR(VLOOKUP(B137,input_527100!L:R,7,FALSE),VLOOKUP(tables_527100!C137,input_527100!A:H,8,FALSE))</f>
        <v>5887.5</v>
      </c>
      <c r="P137" s="46">
        <f t="shared" ca="1" si="7"/>
        <v>4.624901806753515E-5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input_527100!A$2</f>
        <v>527100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IFERROR(VLOOKUP(B138,input_527100!L:R,7,FALSE),VLOOKUP(tables_527100!C138,input_527100!A:H,8,FALSE))</f>
        <v>25650</v>
      </c>
      <c r="P138" s="46">
        <f t="shared" ca="1" si="7"/>
        <v>2.0149253731333787E-4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input_527100!A$2</f>
        <v>527100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IFERROR(VLOOKUP(B139,input_527100!L:R,7,FALSE),VLOOKUP(tables_527100!C139,input_527100!A:H,8,FALSE))</f>
        <v>2850</v>
      </c>
      <c r="P139" s="46">
        <f t="shared" ca="1" si="7"/>
        <v>2.2388059701481985E-5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input_527100!A$2</f>
        <v>527100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IFERROR(VLOOKUP(B140,input_527100!L:R,7,FALSE),VLOOKUP(tables_527100!C140,input_527100!A:H,8,FALSE))</f>
        <v>25650</v>
      </c>
      <c r="P140" s="46">
        <f t="shared" ca="1" si="7"/>
        <v>2.0149253731333787E-4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input_527100!A$2</f>
        <v>527100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IFERROR(VLOOKUP(B141,input_527100!L:R,7,FALSE),VLOOKUP(tables_527100!C141,input_527100!A:H,8,FALSE))</f>
        <v>2850</v>
      </c>
      <c r="P141" s="46">
        <f t="shared" ca="1" si="7"/>
        <v>2.2388059701481985E-5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input_527100!A$2</f>
        <v>527100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IFERROR(VLOOKUP(B142,input_527100!L:R,7,FALSE),VLOOKUP(tables_527100!C142,input_527100!A:H,8,FALSE))</f>
        <v>25650</v>
      </c>
      <c r="P142" s="46">
        <f t="shared" ca="1" si="7"/>
        <v>2.0149253731333787E-4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input_527100!A$2</f>
        <v>527100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IFERROR(VLOOKUP(B143,input_527100!L:R,7,FALSE),VLOOKUP(tables_527100!C143,input_527100!A:H,8,FALSE))</f>
        <v>2850</v>
      </c>
      <c r="P143" s="46">
        <f t="shared" ca="1" si="7"/>
        <v>2.2388059701481985E-5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input_527100!A$2</f>
        <v>527100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IFERROR(VLOOKUP(B144,input_527100!L:R,7,FALSE),VLOOKUP(tables_527100!C144,input_527100!A:H,8,FALSE))</f>
        <v>25650</v>
      </c>
      <c r="P144" s="46">
        <f t="shared" ca="1" si="7"/>
        <v>2.0149253731333787E-4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input_527100!A$2</f>
        <v>527100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IFERROR(VLOOKUP(B145,input_527100!L:R,7,FALSE),VLOOKUP(tables_527100!C145,input_527100!A:H,8,FALSE))</f>
        <v>2850</v>
      </c>
      <c r="P145" s="46">
        <f t="shared" ca="1" si="7"/>
        <v>2.2388059701481985E-5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input_527100!A$2</f>
        <v>527100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IFERROR(VLOOKUP(B146,input_527100!L:R,7,FALSE),VLOOKUP(tables_527100!C146,input_527100!A:H,8,FALSE))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input_527100!A$2</f>
        <v>527100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IFERROR(VLOOKUP(B147,input_527100!L:R,7,FALSE),VLOOKUP(tables_527100!C147,input_527100!A:H,8,FALSE))</f>
        <v>1115550</v>
      </c>
      <c r="P147" s="46">
        <f t="shared" ca="1" si="7"/>
        <v>8.7631578947327121E-3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input_527100!A$2</f>
        <v>527100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IFERROR(VLOOKUP(B148,input_527100!L:R,7,FALSE),VLOOKUP(tables_527100!C148,input_527100!A:H,8,FALSE))</f>
        <v>5887.5</v>
      </c>
      <c r="P148" s="46">
        <f t="shared" ca="1" si="7"/>
        <v>4.624901806753515E-5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input_527100!A$2</f>
        <v>527100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IFERROR(VLOOKUP(B149,input_527100!L:R,7,FALSE),VLOOKUP(tables_527100!C149,input_527100!A:H,8,FALSE))</f>
        <v>25650</v>
      </c>
      <c r="P149" s="46">
        <f t="shared" ca="1" si="7"/>
        <v>2.0149253731333787E-4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input_527100!A$2</f>
        <v>527100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IFERROR(VLOOKUP(B150,input_527100!L:R,7,FALSE),VLOOKUP(tables_527100!C150,input_527100!A:H,8,FALSE))</f>
        <v>2850</v>
      </c>
      <c r="P150" s="46">
        <f t="shared" ca="1" si="7"/>
        <v>2.2388059701481985E-5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input_527100!A$2</f>
        <v>527100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IFERROR(VLOOKUP(B151,input_527100!L:R,7,FALSE),VLOOKUP(tables_527100!C151,input_527100!A:H,8,FALSE))</f>
        <v>25650</v>
      </c>
      <c r="P151" s="46">
        <f t="shared" ca="1" si="7"/>
        <v>2.0149253731333787E-4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input_527100!A$2</f>
        <v>527100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IFERROR(VLOOKUP(B152,input_527100!L:R,7,FALSE),VLOOKUP(tables_527100!C152,input_527100!A:H,8,FALSE))</f>
        <v>2850</v>
      </c>
      <c r="P152" s="46">
        <f t="shared" ca="1" si="7"/>
        <v>2.2388059701481985E-5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input_527100!A$2</f>
        <v>527100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IFERROR(VLOOKUP(B153,input_527100!L:R,7,FALSE),VLOOKUP(tables_527100!C153,input_527100!A:H,8,FALSE))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input_527100!A$2</f>
        <v>527100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IFERROR(VLOOKUP(B154,input_527100!L:R,7,FALSE),VLOOKUP(tables_527100!C154,input_527100!A:H,8,FALSE))</f>
        <v>1115550</v>
      </c>
      <c r="P154" s="46">
        <f t="shared" ca="1" si="7"/>
        <v>8.7631578947327121E-3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input_527100!A$2</f>
        <v>527100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IFERROR(VLOOKUP(B155,input_527100!L:R,7,FALSE),VLOOKUP(tables_527100!C155,input_527100!A:H,8,FALSE))</f>
        <v>5887.5</v>
      </c>
      <c r="P155" s="46">
        <f t="shared" ca="1" si="7"/>
        <v>4.624901806753515E-5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input_527100!A$2</f>
        <v>527100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IFERROR(VLOOKUP(B156,input_527100!L:R,7,FALSE),VLOOKUP(tables_527100!C156,input_527100!A:H,8,FALSE))</f>
        <v>25650</v>
      </c>
      <c r="P156" s="46">
        <f t="shared" ca="1" si="7"/>
        <v>2.0149253731333787E-4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input_527100!A$2</f>
        <v>527100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IFERROR(VLOOKUP(B157,input_527100!L:R,7,FALSE),VLOOKUP(tables_527100!C157,input_527100!A:H,8,FALSE))</f>
        <v>2850</v>
      </c>
      <c r="P157" s="46">
        <f t="shared" ca="1" si="7"/>
        <v>2.2388059701481985E-5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input_527100!A$2</f>
        <v>527100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IFERROR(VLOOKUP(B158,input_527100!L:R,7,FALSE),VLOOKUP(tables_527100!C158,input_527100!A:H,8,FALSE))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input_527100!A$2</f>
        <v>527100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IFERROR(VLOOKUP(B159,input_527100!L:R,7,FALSE),VLOOKUP(tables_527100!C159,input_527100!A:H,8,FALSE))</f>
        <v>1115550</v>
      </c>
      <c r="P159" s="46">
        <f t="shared" ca="1" si="7"/>
        <v>8.7631578947327121E-3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input_527100!A$2</f>
        <v>527100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IFERROR(VLOOKUP(B160,input_527100!L:R,7,FALSE),VLOOKUP(tables_527100!C160,input_527100!A:H,8,FALSE))</f>
        <v>5887.5</v>
      </c>
      <c r="P160" s="46">
        <f t="shared" ca="1" si="7"/>
        <v>4.624901806753515E-5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input_527100!A$2</f>
        <v>527100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IFERROR(VLOOKUP(B161,input_527100!L:R,7,FALSE),VLOOKUP(tables_527100!C161,input_527100!A:H,8,FALSE))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input_527100!A$2</f>
        <v>527100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IFERROR(VLOOKUP(B162,input_527100!L:R,7,FALSE),VLOOKUP(tables_527100!C162,input_527100!A:H,8,FALSE))</f>
        <v>1115550</v>
      </c>
      <c r="P162" s="46">
        <f t="shared" ca="1" si="7"/>
        <v>8.7631578947327121E-3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input_527100!A$2</f>
        <v>527100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IFERROR(VLOOKUP(B163,input_527100!L:R,7,FALSE),VLOOKUP(tables_527100!C163,input_527100!A:H,8,FALSE))</f>
        <v>5887.5</v>
      </c>
      <c r="P163" s="46">
        <f t="shared" ca="1" si="7"/>
        <v>4.624901806753515E-5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input_527100!A$2</f>
        <v>527100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IFERROR(VLOOKUP(B164,input_527100!L:R,7,FALSE),VLOOKUP(tables_527100!C164,input_527100!A:H,8,FALSE))</f>
        <v>25650</v>
      </c>
      <c r="P164" s="46">
        <f t="shared" ca="1" si="7"/>
        <v>2.0149253731333787E-4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input_527100!A$2</f>
        <v>527100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IFERROR(VLOOKUP(B165,input_527100!L:R,7,FALSE),VLOOKUP(tables_527100!C165,input_527100!A:H,8,FALSE))</f>
        <v>2850</v>
      </c>
      <c r="P165" s="46">
        <f t="shared" ca="1" si="7"/>
        <v>2.2388059701481985E-5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input_527100!A$2</f>
        <v>527100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IFERROR(VLOOKUP(B166,input_527100!L:R,7,FALSE),VLOOKUP(tables_527100!C166,input_527100!A:H,8,FALSE))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input_527100!A$2</f>
        <v>527100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IFERROR(VLOOKUP(B167,input_527100!L:R,7,FALSE),VLOOKUP(tables_527100!C167,input_527100!A:H,8,FALSE))</f>
        <v>1115550</v>
      </c>
      <c r="P167" s="46">
        <f t="shared" ca="1" si="7"/>
        <v>8.7631578947327121E-3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input_527100!A$2</f>
        <v>527100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IFERROR(VLOOKUP(B168,input_527100!L:R,7,FALSE),VLOOKUP(tables_527100!C168,input_527100!A:H,8,FALSE))</f>
        <v>5887.5</v>
      </c>
      <c r="P168" s="46">
        <f t="shared" ca="1" si="7"/>
        <v>4.624901806753515E-5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input_527100!A$2</f>
        <v>527100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IFERROR(VLOOKUP(B169,input_527100!L:R,7,FALSE),VLOOKUP(tables_527100!C169,input_527100!A:H,8,FALSE))</f>
        <v>25650</v>
      </c>
      <c r="P169" s="46">
        <f t="shared" ca="1" si="7"/>
        <v>2.0149253731333787E-4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input_527100!A$2</f>
        <v>527100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IFERROR(VLOOKUP(B170,input_527100!L:R,7,FALSE),VLOOKUP(tables_527100!C170,input_527100!A:H,8,FALSE))</f>
        <v>2850</v>
      </c>
      <c r="P170" s="46">
        <f t="shared" ca="1" si="7"/>
        <v>2.2388059701481985E-5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input_527100!A$2</f>
        <v>527100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IFERROR(VLOOKUP(B171,input_527100!L:R,7,FALSE),VLOOKUP(tables_527100!C171,input_527100!A:H,8,FALSE))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input_527100!A$2</f>
        <v>527100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IFERROR(VLOOKUP(B172,input_527100!L:R,7,FALSE),VLOOKUP(tables_527100!C172,input_527100!A:H,8,FALSE))</f>
        <v>1115550</v>
      </c>
      <c r="P172" s="46">
        <f t="shared" ca="1" si="7"/>
        <v>8.7631578947327121E-3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input_527100!A$2</f>
        <v>527100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IFERROR(VLOOKUP(B173,input_527100!L:R,7,FALSE),VLOOKUP(tables_527100!C173,input_527100!A:H,8,FALSE))</f>
        <v>5887.5</v>
      </c>
      <c r="P173" s="46">
        <f t="shared" ca="1" si="7"/>
        <v>4.624901806753515E-5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input_527100!A$2</f>
        <v>527100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IFERROR(VLOOKUP(B174,input_527100!L:R,7,FALSE),VLOOKUP(tables_527100!C174,input_527100!A:H,8,FALSE))</f>
        <v>25650</v>
      </c>
      <c r="P174" s="46">
        <f t="shared" ca="1" si="7"/>
        <v>2.0149253731333787E-4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input_527100!A$2</f>
        <v>527100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IFERROR(VLOOKUP(B175,input_527100!L:R,7,FALSE),VLOOKUP(tables_527100!C175,input_527100!A:H,8,FALSE))</f>
        <v>2850</v>
      </c>
      <c r="P175" s="46">
        <f t="shared" ca="1" si="7"/>
        <v>2.2388059701481985E-5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input_527100!A$2</f>
        <v>527100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IFERROR(VLOOKUP(B176,input_527100!L:R,7,FALSE),VLOOKUP(tables_527100!C176,input_527100!A:H,8,FALSE))</f>
        <v>25650</v>
      </c>
      <c r="P176" s="46">
        <f t="shared" ca="1" si="7"/>
        <v>2.0149253731333787E-4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input_527100!A$2</f>
        <v>527100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IFERROR(VLOOKUP(B177,input_527100!L:R,7,FALSE),VLOOKUP(tables_527100!C177,input_527100!A:H,8,FALSE))</f>
        <v>2850</v>
      </c>
      <c r="P177" s="46">
        <f t="shared" ca="1" si="7"/>
        <v>2.2388059701481985E-5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input_527100!A$2</f>
        <v>527100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IFERROR(VLOOKUP(B178,input_527100!L:R,7,FALSE),VLOOKUP(tables_527100!C178,input_527100!A:H,8,FALSE))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input_527100!A$2</f>
        <v>527100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IFERROR(VLOOKUP(B179,input_527100!L:R,7,FALSE),VLOOKUP(tables_527100!C179,input_527100!A:H,8,FALSE))</f>
        <v>1115550</v>
      </c>
      <c r="P179" s="46">
        <f t="shared" ca="1" si="7"/>
        <v>8.7631578947327121E-3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input_527100!A$2</f>
        <v>527100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IFERROR(VLOOKUP(B180,input_527100!L:R,7,FALSE),VLOOKUP(tables_527100!C180,input_527100!A:H,8,FALSE))</f>
        <v>5887.5</v>
      </c>
      <c r="P180" s="46">
        <f t="shared" ca="1" si="7"/>
        <v>4.624901806753515E-5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input_527100!A$2</f>
        <v>527100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IFERROR(VLOOKUP(B181,input_527100!L:R,7,FALSE),VLOOKUP(tables_527100!C181,input_527100!A:H,8,FALSE))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input_527100!A$2</f>
        <v>527100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IFERROR(VLOOKUP(B182,input_527100!L:R,7,FALSE),VLOOKUP(tables_527100!C182,input_527100!A:H,8,FALSE))</f>
        <v>1115550</v>
      </c>
      <c r="P182" s="46">
        <f t="shared" ca="1" si="7"/>
        <v>8.7631578947327121E-3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input_527100!A$2</f>
        <v>527100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IFERROR(VLOOKUP(B183,input_527100!L:R,7,FALSE),VLOOKUP(tables_527100!C183,input_527100!A:H,8,FALSE))</f>
        <v>5887.5</v>
      </c>
      <c r="P183" s="46">
        <f t="shared" ca="1" si="7"/>
        <v>4.624901806753515E-5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input_527100!A$2</f>
        <v>527100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IFERROR(VLOOKUP(B184,input_527100!L:R,7,FALSE),VLOOKUP(tables_527100!C184,input_527100!A:H,8,FALSE))</f>
        <v>25650</v>
      </c>
      <c r="P184" s="46">
        <f t="shared" ca="1" si="7"/>
        <v>2.0149253731333787E-4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input_527100!A$2</f>
        <v>527100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IFERROR(VLOOKUP(B185,input_527100!L:R,7,FALSE),VLOOKUP(tables_527100!C185,input_527100!A:H,8,FALSE))</f>
        <v>2850</v>
      </c>
      <c r="P185" s="46">
        <f t="shared" ca="1" si="7"/>
        <v>2.2388059701481985E-5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input_527100!A$2</f>
        <v>527100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IFERROR(VLOOKUP(B186,input_527100!L:R,7,FALSE),VLOOKUP(tables_527100!C186,input_527100!A:H,8,FALSE))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input_527100!A$2</f>
        <v>527100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IFERROR(VLOOKUP(B187,input_527100!L:R,7,FALSE),VLOOKUP(tables_527100!C187,input_527100!A:H,8,FALSE))</f>
        <v>1115550</v>
      </c>
      <c r="P187" s="46">
        <f t="shared" ca="1" si="7"/>
        <v>8.7631578947327121E-3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input_527100!A$2</f>
        <v>527100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IFERROR(VLOOKUP(B188,input_527100!L:R,7,FALSE),VLOOKUP(tables_527100!C188,input_527100!A:H,8,FALSE))</f>
        <v>5887.5</v>
      </c>
      <c r="P188" s="46">
        <f t="shared" ca="1" si="7"/>
        <v>4.624901806753515E-5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input_527100!A$2</f>
        <v>527100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IFERROR(VLOOKUP(B189,input_527100!L:R,7,FALSE),VLOOKUP(tables_527100!C189,input_527100!A:H,8,FALSE))</f>
        <v>25650</v>
      </c>
      <c r="P189" s="46">
        <f t="shared" ca="1" si="7"/>
        <v>2.0149253731333787E-4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input_527100!A$2</f>
        <v>527100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IFERROR(VLOOKUP(B190,input_527100!L:R,7,FALSE),VLOOKUP(tables_527100!C190,input_527100!A:H,8,FALSE))</f>
        <v>2850</v>
      </c>
      <c r="P190" s="46">
        <f t="shared" ca="1" si="7"/>
        <v>2.2388059701481985E-5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input_527100!A$2</f>
        <v>527100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IFERROR(VLOOKUP(B191,input_527100!L:R,7,FALSE),VLOOKUP(tables_527100!C191,input_527100!A:H,8,FALSE))</f>
        <v>25650</v>
      </c>
      <c r="P191" s="46">
        <f t="shared" ca="1" si="7"/>
        <v>2.0149253731333787E-4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input_527100!A$2</f>
        <v>527100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IFERROR(VLOOKUP(B192,input_527100!L:R,7,FALSE),VLOOKUP(tables_527100!C192,input_527100!A:H,8,FALSE))</f>
        <v>2850</v>
      </c>
      <c r="P192" s="46">
        <f t="shared" ca="1" si="7"/>
        <v>2.2388059701481985E-5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input_527100!A$2</f>
        <v>527100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IFERROR(VLOOKUP(B193,input_527100!L:R,7,FALSE),VLOOKUP(tables_527100!C193,input_527100!A:H,8,FALSE))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input_527100!A$2</f>
        <v>527100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IFERROR(VLOOKUP(B194,input_527100!L:R,7,FALSE),VLOOKUP(tables_527100!C194,input_527100!A:H,8,FALSE))</f>
        <v>1115550</v>
      </c>
      <c r="P194" s="46">
        <f t="shared" ref="P194:P257" ca="1" si="10">O194/SUM(O:O)</f>
        <v>8.7631578947327121E-3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input_527100!A$2</f>
        <v>527100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IFERROR(VLOOKUP(B195,input_527100!L:R,7,FALSE),VLOOKUP(tables_527100!C195,input_527100!A:H,8,FALSE))</f>
        <v>5887.5</v>
      </c>
      <c r="P195" s="46">
        <f t="shared" ca="1" si="10"/>
        <v>4.624901806753515E-5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input_527100!A$2</f>
        <v>527100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IFERROR(VLOOKUP(B196,input_527100!L:R,7,FALSE),VLOOKUP(tables_527100!C196,input_527100!A:H,8,FALSE))</f>
        <v>25650</v>
      </c>
      <c r="P196" s="46">
        <f t="shared" ca="1" si="10"/>
        <v>2.0149253731333787E-4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input_527100!A$2</f>
        <v>527100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IFERROR(VLOOKUP(B197,input_527100!L:R,7,FALSE),VLOOKUP(tables_527100!C197,input_527100!A:H,8,FALSE))</f>
        <v>2850</v>
      </c>
      <c r="P197" s="46">
        <f t="shared" ca="1" si="10"/>
        <v>2.2388059701481985E-5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input_527100!A$2</f>
        <v>527100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IFERROR(VLOOKUP(B198,input_527100!L:R,7,FALSE),VLOOKUP(tables_527100!C198,input_527100!A:H,8,FALSE))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input_527100!A$2</f>
        <v>527100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IFERROR(VLOOKUP(B199,input_527100!L:R,7,FALSE),VLOOKUP(tables_527100!C199,input_527100!A:H,8,FALSE))</f>
        <v>1115550</v>
      </c>
      <c r="P199" s="46">
        <f t="shared" ca="1" si="10"/>
        <v>8.7631578947327121E-3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input_527100!A$2</f>
        <v>527100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IFERROR(VLOOKUP(B200,input_527100!L:R,7,FALSE),VLOOKUP(tables_527100!C200,input_527100!A:H,8,FALSE))</f>
        <v>5887.5</v>
      </c>
      <c r="P200" s="46">
        <f t="shared" ca="1" si="10"/>
        <v>4.624901806753515E-5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input_527100!A$2</f>
        <v>527100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IFERROR(VLOOKUP(B201,input_527100!L:R,7,FALSE),VLOOKUP(tables_527100!C201,input_527100!A:H,8,FALSE))</f>
        <v>25650</v>
      </c>
      <c r="P201" s="46">
        <f t="shared" ca="1" si="10"/>
        <v>2.0149253731333787E-4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input_527100!A$2</f>
        <v>527100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IFERROR(VLOOKUP(B202,input_527100!L:R,7,FALSE),VLOOKUP(tables_527100!C202,input_527100!A:H,8,FALSE))</f>
        <v>2850</v>
      </c>
      <c r="P202" s="46">
        <f t="shared" ca="1" si="10"/>
        <v>2.2388059701481985E-5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input_527100!A$2</f>
        <v>527100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IFERROR(VLOOKUP(B203,input_527100!L:R,7,FALSE),VLOOKUP(tables_527100!C203,input_527100!A:H,8,FALSE))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input_527100!A$2</f>
        <v>527100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IFERROR(VLOOKUP(B204,input_527100!L:R,7,FALSE),VLOOKUP(tables_527100!C204,input_527100!A:H,8,FALSE))</f>
        <v>1115550</v>
      </c>
      <c r="P204" s="46">
        <f t="shared" ca="1" si="10"/>
        <v>8.7631578947327121E-3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input_527100!A$2</f>
        <v>527100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IFERROR(VLOOKUP(B205,input_527100!L:R,7,FALSE),VLOOKUP(tables_527100!C205,input_527100!A:H,8,FALSE))</f>
        <v>5887.5</v>
      </c>
      <c r="P205" s="46">
        <f t="shared" ca="1" si="10"/>
        <v>4.624901806753515E-5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input_527100!A$2</f>
        <v>527100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IFERROR(VLOOKUP(B206,input_527100!L:R,7,FALSE),VLOOKUP(tables_527100!C206,input_527100!A:H,8,FALSE))</f>
        <v>25650</v>
      </c>
      <c r="P206" s="46">
        <f t="shared" ca="1" si="10"/>
        <v>2.0149253731333787E-4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input_527100!A$2</f>
        <v>527100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IFERROR(VLOOKUP(B207,input_527100!L:R,7,FALSE),VLOOKUP(tables_527100!C207,input_527100!A:H,8,FALSE))</f>
        <v>2850</v>
      </c>
      <c r="P207" s="46">
        <f t="shared" ca="1" si="10"/>
        <v>2.2388059701481985E-5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input_527100!A$2</f>
        <v>527100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IFERROR(VLOOKUP(B208,input_527100!L:R,7,FALSE),VLOOKUP(tables_527100!C208,input_527100!A:H,8,FALSE))</f>
        <v>25650</v>
      </c>
      <c r="P208" s="46">
        <f t="shared" ca="1" si="10"/>
        <v>2.0149253731333787E-4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input_527100!A$2</f>
        <v>527100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IFERROR(VLOOKUP(B209,input_527100!L:R,7,FALSE),VLOOKUP(tables_527100!C209,input_527100!A:H,8,FALSE))</f>
        <v>2850</v>
      </c>
      <c r="P209" s="46">
        <f t="shared" ca="1" si="10"/>
        <v>2.2388059701481985E-5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input_527100!A$2</f>
        <v>527100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IFERROR(VLOOKUP(B210,input_527100!L:R,7,FALSE),VLOOKUP(tables_527100!C210,input_527100!A:H,8,FALSE))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input_527100!A$2</f>
        <v>527100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IFERROR(VLOOKUP(B211,input_527100!L:R,7,FALSE),VLOOKUP(tables_527100!C211,input_527100!A:H,8,FALSE))</f>
        <v>1115550</v>
      </c>
      <c r="P211" s="46">
        <f t="shared" ca="1" si="10"/>
        <v>8.7631578947327121E-3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input_527100!A$2</f>
        <v>527100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IFERROR(VLOOKUP(B212,input_527100!L:R,7,FALSE),VLOOKUP(tables_527100!C212,input_527100!A:H,8,FALSE))</f>
        <v>5887.5</v>
      </c>
      <c r="P212" s="46">
        <f t="shared" ca="1" si="10"/>
        <v>4.624901806753515E-5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input_527100!A$2</f>
        <v>527100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IFERROR(VLOOKUP(B213,input_527100!L:R,7,FALSE),VLOOKUP(tables_527100!C213,input_527100!A:H,8,FALSE))</f>
        <v>25650</v>
      </c>
      <c r="P213" s="46">
        <f t="shared" ca="1" si="10"/>
        <v>2.0149253731333787E-4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input_527100!A$2</f>
        <v>527100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IFERROR(VLOOKUP(B214,input_527100!L:R,7,FALSE),VLOOKUP(tables_527100!C214,input_527100!A:H,8,FALSE))</f>
        <v>2850</v>
      </c>
      <c r="P214" s="46">
        <f t="shared" ca="1" si="10"/>
        <v>2.2388059701481985E-5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input_527100!A$2</f>
        <v>527100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IFERROR(VLOOKUP(B215,input_527100!L:R,7,FALSE),VLOOKUP(tables_527100!C215,input_527100!A:H,8,FALSE))</f>
        <v>123950</v>
      </c>
      <c r="P215" s="46">
        <f t="shared" ca="1" si="10"/>
        <v>9.7368421052585678E-4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input_527100!A$2</f>
        <v>527100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IFERROR(VLOOKUP(B216,input_527100!L:R,7,FALSE),VLOOKUP(tables_527100!C216,input_527100!A:H,8,FALSE))</f>
        <v>123950</v>
      </c>
      <c r="P216" s="46">
        <f t="shared" ca="1" si="10"/>
        <v>9.7368421052585678E-4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input_527100!A$2</f>
        <v>527100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IFERROR(VLOOKUP(B217,input_527100!L:R,7,FALSE),VLOOKUP(tables_527100!C217,input_527100!A:H,8,FALSE))</f>
        <v>123950</v>
      </c>
      <c r="P217" s="46">
        <f t="shared" ca="1" si="10"/>
        <v>9.7368421052585678E-4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input_527100!A$2</f>
        <v>527100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IFERROR(VLOOKUP(B218,input_527100!L:R,7,FALSE),VLOOKUP(tables_527100!C218,input_527100!A:H,8,FALSE))</f>
        <v>123950</v>
      </c>
      <c r="P218" s="46">
        <f t="shared" ca="1" si="10"/>
        <v>9.7368421052585678E-4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input_527100!A$2</f>
        <v>527100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IFERROR(VLOOKUP(B219,input_527100!L:R,7,FALSE),VLOOKUP(tables_527100!C219,input_527100!A:H,8,FALSE))</f>
        <v>123950</v>
      </c>
      <c r="P219" s="46">
        <f t="shared" ca="1" si="10"/>
        <v>9.7368421052585678E-4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input_527100!A$2</f>
        <v>527100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IFERROR(VLOOKUP(B220,input_527100!L:R,7,FALSE),VLOOKUP(tables_527100!C220,input_527100!A:H,8,FALSE))</f>
        <v>123950</v>
      </c>
      <c r="P220" s="46">
        <f t="shared" ca="1" si="10"/>
        <v>9.7368421052585678E-4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input_527100!A$2</f>
        <v>527100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IFERROR(VLOOKUP(B221,input_527100!L:R,7,FALSE),VLOOKUP(tables_527100!C221,input_527100!A:H,8,FALSE))</f>
        <v>25650</v>
      </c>
      <c r="P221" s="46">
        <f t="shared" ca="1" si="10"/>
        <v>2.0149253731333787E-4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input_527100!A$2</f>
        <v>527100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IFERROR(VLOOKUP(B222,input_527100!L:R,7,FALSE),VLOOKUP(tables_527100!C222,input_527100!A:H,8,FALSE))</f>
        <v>2850</v>
      </c>
      <c r="P222" s="46">
        <f t="shared" ca="1" si="10"/>
        <v>2.2388059701481985E-5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input_527100!A$2</f>
        <v>527100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IFERROR(VLOOKUP(B223,input_527100!L:R,7,FALSE),VLOOKUP(tables_527100!C223,input_527100!A:H,8,FALSE))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input_527100!A$2</f>
        <v>527100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IFERROR(VLOOKUP(B224,input_527100!L:R,7,FALSE),VLOOKUP(tables_527100!C224,input_527100!A:H,8,FALSE))</f>
        <v>1115550</v>
      </c>
      <c r="P224" s="46">
        <f t="shared" ca="1" si="10"/>
        <v>8.7631578947327121E-3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input_527100!A$2</f>
        <v>527100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IFERROR(VLOOKUP(B225,input_527100!L:R,7,FALSE),VLOOKUP(tables_527100!C225,input_527100!A:H,8,FALSE))</f>
        <v>5887.5</v>
      </c>
      <c r="P225" s="46">
        <f t="shared" ca="1" si="10"/>
        <v>4.624901806753515E-5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input_527100!A$2</f>
        <v>527100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IFERROR(VLOOKUP(B226,input_527100!L:R,7,FALSE),VLOOKUP(tables_527100!C226,input_527100!A:H,8,FALSE))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input_527100!A$2</f>
        <v>527100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IFERROR(VLOOKUP(B227,input_527100!L:R,7,FALSE),VLOOKUP(tables_527100!C227,input_527100!A:H,8,FALSE))</f>
        <v>1115550</v>
      </c>
      <c r="P227" s="46">
        <f t="shared" ca="1" si="10"/>
        <v>8.7631578947327121E-3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input_527100!A$2</f>
        <v>527100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IFERROR(VLOOKUP(B228,input_527100!L:R,7,FALSE),VLOOKUP(tables_527100!C228,input_527100!A:H,8,FALSE))</f>
        <v>5887.5</v>
      </c>
      <c r="P228" s="46">
        <f t="shared" ca="1" si="10"/>
        <v>4.624901806753515E-5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input_527100!A$2</f>
        <v>527100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IFERROR(VLOOKUP(B229,input_527100!L:R,7,FALSE),VLOOKUP(tables_527100!C229,input_527100!A:H,8,FALSE))</f>
        <v>25650</v>
      </c>
      <c r="P229" s="46">
        <f t="shared" ca="1" si="10"/>
        <v>2.0149253731333787E-4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input_527100!A$2</f>
        <v>527100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IFERROR(VLOOKUP(B230,input_527100!L:R,7,FALSE),VLOOKUP(tables_527100!C230,input_527100!A:H,8,FALSE))</f>
        <v>2850</v>
      </c>
      <c r="P230" s="46">
        <f t="shared" ca="1" si="10"/>
        <v>2.2388059701481985E-5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input_527100!A$2</f>
        <v>527100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IFERROR(VLOOKUP(B231,input_527100!L:R,7,FALSE),VLOOKUP(tables_527100!C231,input_527100!A:H,8,FALSE))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input_527100!A$2</f>
        <v>527100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IFERROR(VLOOKUP(B232,input_527100!L:R,7,FALSE),VLOOKUP(tables_527100!C232,input_527100!A:H,8,FALSE))</f>
        <v>1115550</v>
      </c>
      <c r="P232" s="46">
        <f t="shared" ca="1" si="10"/>
        <v>8.7631578947327121E-3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input_527100!A$2</f>
        <v>527100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IFERROR(VLOOKUP(B233,input_527100!L:R,7,FALSE),VLOOKUP(tables_527100!C233,input_527100!A:H,8,FALSE))</f>
        <v>5887.5</v>
      </c>
      <c r="P233" s="46">
        <f t="shared" ca="1" si="10"/>
        <v>4.624901806753515E-5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input_527100!A$2</f>
        <v>527100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IFERROR(VLOOKUP(B234,input_527100!L:R,7,FALSE),VLOOKUP(tables_527100!C234,input_527100!A:H,8,FALSE))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input_527100!A$2</f>
        <v>527100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IFERROR(VLOOKUP(B235,input_527100!L:R,7,FALSE),VLOOKUP(tables_527100!C235,input_527100!A:H,8,FALSE))</f>
        <v>1115550</v>
      </c>
      <c r="P235" s="46">
        <f t="shared" ca="1" si="10"/>
        <v>8.7631578947327121E-3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input_527100!A$2</f>
        <v>527100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IFERROR(VLOOKUP(B236,input_527100!L:R,7,FALSE),VLOOKUP(tables_527100!C236,input_527100!A:H,8,FALSE))</f>
        <v>5887.5</v>
      </c>
      <c r="P236" s="46">
        <f t="shared" ca="1" si="10"/>
        <v>4.624901806753515E-5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input_527100!A$2</f>
        <v>527100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IFERROR(VLOOKUP(B237,input_527100!L:R,7,FALSE),VLOOKUP(tables_527100!C237,input_527100!A:H,8,FALSE))</f>
        <v>25650</v>
      </c>
      <c r="P237" s="46">
        <f t="shared" ca="1" si="10"/>
        <v>2.0149253731333787E-4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input_527100!A$2</f>
        <v>527100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IFERROR(VLOOKUP(B238,input_527100!L:R,7,FALSE),VLOOKUP(tables_527100!C238,input_527100!A:H,8,FALSE))</f>
        <v>2850</v>
      </c>
      <c r="P238" s="46">
        <f t="shared" ca="1" si="10"/>
        <v>2.2388059701481985E-5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input_527100!A$2</f>
        <v>527100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IFERROR(VLOOKUP(B239,input_527100!L:R,7,FALSE),VLOOKUP(tables_527100!C239,input_527100!A:H,8,FALSE))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input_527100!A$2</f>
        <v>527100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IFERROR(VLOOKUP(B240,input_527100!L:R,7,FALSE),VLOOKUP(tables_527100!C240,input_527100!A:H,8,FALSE))</f>
        <v>1115550</v>
      </c>
      <c r="P240" s="46">
        <f t="shared" ca="1" si="10"/>
        <v>8.7631578947327121E-3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input_527100!A$2</f>
        <v>527100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IFERROR(VLOOKUP(B241,input_527100!L:R,7,FALSE),VLOOKUP(tables_527100!C241,input_527100!A:H,8,FALSE))</f>
        <v>5887.5</v>
      </c>
      <c r="P241" s="46">
        <f t="shared" ca="1" si="10"/>
        <v>4.624901806753515E-5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input_527100!A$2</f>
        <v>527100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IFERROR(VLOOKUP(B242,input_527100!L:R,7,FALSE),VLOOKUP(tables_527100!C242,input_527100!A:H,8,FALSE))</f>
        <v>25650</v>
      </c>
      <c r="P242" s="46">
        <f t="shared" ca="1" si="10"/>
        <v>2.0149253731333787E-4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input_527100!A$2</f>
        <v>527100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IFERROR(VLOOKUP(B243,input_527100!L:R,7,FALSE),VLOOKUP(tables_527100!C243,input_527100!A:H,8,FALSE))</f>
        <v>2850</v>
      </c>
      <c r="P243" s="46">
        <f t="shared" ca="1" si="10"/>
        <v>2.2388059701481985E-5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input_527100!A$2</f>
        <v>527100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IFERROR(VLOOKUP(B244,input_527100!L:R,7,FALSE),VLOOKUP(tables_527100!C244,input_527100!A:H,8,FALSE))</f>
        <v>25650</v>
      </c>
      <c r="P244" s="46">
        <f t="shared" ca="1" si="10"/>
        <v>2.0149253731333787E-4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input_527100!A$2</f>
        <v>527100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IFERROR(VLOOKUP(B245,input_527100!L:R,7,FALSE),VLOOKUP(tables_527100!C245,input_527100!A:H,8,FALSE))</f>
        <v>2850</v>
      </c>
      <c r="P245" s="46">
        <f t="shared" ca="1" si="10"/>
        <v>2.2388059701481985E-5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input_527100!A$2</f>
        <v>527100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IFERROR(VLOOKUP(B246,input_527100!L:R,7,FALSE),VLOOKUP(tables_527100!C246,input_527100!A:H,8,FALSE))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input_527100!A$2</f>
        <v>527100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IFERROR(VLOOKUP(B247,input_527100!L:R,7,FALSE),VLOOKUP(tables_527100!C247,input_527100!A:H,8,FALSE))</f>
        <v>1115550</v>
      </c>
      <c r="P247" s="46">
        <f t="shared" ca="1" si="10"/>
        <v>8.7631578947327121E-3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input_527100!A$2</f>
        <v>527100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IFERROR(VLOOKUP(B248,input_527100!L:R,7,FALSE),VLOOKUP(tables_527100!C248,input_527100!A:H,8,FALSE))</f>
        <v>5887.5</v>
      </c>
      <c r="P248" s="46">
        <f t="shared" ca="1" si="10"/>
        <v>4.624901806753515E-5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input_527100!A$2</f>
        <v>527100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IFERROR(VLOOKUP(B249,input_527100!L:R,7,FALSE),VLOOKUP(tables_527100!C249,input_527100!A:H,8,FALSE))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input_527100!A$2</f>
        <v>527100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IFERROR(VLOOKUP(B250,input_527100!L:R,7,FALSE),VLOOKUP(tables_527100!C250,input_527100!A:H,8,FALSE))</f>
        <v>1115550</v>
      </c>
      <c r="P250" s="46">
        <f t="shared" ca="1" si="10"/>
        <v>8.7631578947327121E-3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input_527100!A$2</f>
        <v>527100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IFERROR(VLOOKUP(B251,input_527100!L:R,7,FALSE),VLOOKUP(tables_527100!C251,input_527100!A:H,8,FALSE))</f>
        <v>5887.5</v>
      </c>
      <c r="P251" s="46">
        <f t="shared" ca="1" si="10"/>
        <v>4.624901806753515E-5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input_527100!A$2</f>
        <v>527100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IFERROR(VLOOKUP(B252,input_527100!L:R,7,FALSE),VLOOKUP(tables_527100!C252,input_527100!A:H,8,FALSE))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input_527100!A$2</f>
        <v>527100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IFERROR(VLOOKUP(B253,input_527100!L:R,7,FALSE),VLOOKUP(tables_527100!C253,input_527100!A:H,8,FALSE))</f>
        <v>1115550</v>
      </c>
      <c r="P253" s="46">
        <f t="shared" ca="1" si="10"/>
        <v>8.7631578947327121E-3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input_527100!A$2</f>
        <v>527100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IFERROR(VLOOKUP(B254,input_527100!L:R,7,FALSE),VLOOKUP(tables_527100!C254,input_527100!A:H,8,FALSE))</f>
        <v>5887.5</v>
      </c>
      <c r="P254" s="46">
        <f t="shared" ca="1" si="10"/>
        <v>4.624901806753515E-5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input_527100!A$2</f>
        <v>527100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IFERROR(VLOOKUP(B255,input_527100!L:R,7,FALSE),VLOOKUP(tables_527100!C255,input_527100!A:H,8,FALSE))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input_527100!A$2</f>
        <v>527100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IFERROR(VLOOKUP(B256,input_527100!L:R,7,FALSE),VLOOKUP(tables_527100!C256,input_527100!A:H,8,FALSE))</f>
        <v>1115550</v>
      </c>
      <c r="P256" s="46">
        <f t="shared" ca="1" si="10"/>
        <v>8.7631578947327121E-3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input_527100!A$2</f>
        <v>527100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IFERROR(VLOOKUP(B257,input_527100!L:R,7,FALSE),VLOOKUP(tables_527100!C257,input_527100!A:H,8,FALSE))</f>
        <v>5887.5</v>
      </c>
      <c r="P257" s="46">
        <f t="shared" ca="1" si="10"/>
        <v>4.624901806753515E-5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input_527100!A$2</f>
        <v>527100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IFERROR(VLOOKUP(B258,input_527100!L:R,7,FALSE),VLOOKUP(tables_527100!C258,input_527100!A:H,8,FALSE))</f>
        <v>25650</v>
      </c>
      <c r="P258" s="46">
        <f t="shared" ref="P258:P294" ca="1" si="13">O258/SUM(O:O)</f>
        <v>2.0149253731333787E-4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input_527100!A$2</f>
        <v>527100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IFERROR(VLOOKUP(B259,input_527100!L:R,7,FALSE),VLOOKUP(tables_527100!C259,input_527100!A:H,8,FALSE))</f>
        <v>2850</v>
      </c>
      <c r="P259" s="46">
        <f t="shared" ca="1" si="13"/>
        <v>2.2388059701481985E-5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input_527100!A$2</f>
        <v>527100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IFERROR(VLOOKUP(B260,input_527100!L:R,7,FALSE),VLOOKUP(tables_527100!C260,input_527100!A:H,8,FALSE))</f>
        <v>25650</v>
      </c>
      <c r="P260" s="46">
        <f t="shared" ca="1" si="13"/>
        <v>2.0149253731333787E-4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input_527100!A$2</f>
        <v>527100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IFERROR(VLOOKUP(B261,input_527100!L:R,7,FALSE),VLOOKUP(tables_527100!C261,input_527100!A:H,8,FALSE))</f>
        <v>2850</v>
      </c>
      <c r="P261" s="46">
        <f t="shared" ca="1" si="13"/>
        <v>2.2388059701481985E-5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input_527100!A$2</f>
        <v>527100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IFERROR(VLOOKUP(B262,input_527100!L:R,7,FALSE),VLOOKUP(tables_527100!C262,input_527100!A:H,8,FALSE))</f>
        <v>1076407.8947399999</v>
      </c>
      <c r="P262" s="46">
        <f t="shared" ca="1" si="13"/>
        <v>8.4556786703809308E-3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input_527100!A$2</f>
        <v>527100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IFERROR(VLOOKUP(B263,input_527100!L:R,7,FALSE),VLOOKUP(tables_527100!C263,input_527100!A:H,8,FALSE))</f>
        <v>123950</v>
      </c>
      <c r="P263" s="46">
        <f t="shared" ca="1" si="13"/>
        <v>9.7368421052585678E-4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input_527100!A$2</f>
        <v>527100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IFERROR(VLOOKUP(B264,input_527100!L:R,7,FALSE),VLOOKUP(tables_527100!C264,input_527100!A:H,8,FALSE))</f>
        <v>1076407.8947399999</v>
      </c>
      <c r="P264" s="46">
        <f t="shared" ca="1" si="13"/>
        <v>8.4556786703809308E-3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input_527100!A$2</f>
        <v>527100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IFERROR(VLOOKUP(B265,input_527100!L:R,7,FALSE),VLOOKUP(tables_527100!C265,input_527100!A:H,8,FALSE))</f>
        <v>123950</v>
      </c>
      <c r="P265" s="46">
        <f t="shared" ca="1" si="13"/>
        <v>9.7368421052585678E-4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input_527100!A$2</f>
        <v>527100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IFERROR(VLOOKUP(B266,input_527100!L:R,7,FALSE),VLOOKUP(tables_527100!C266,input_527100!A:H,8,FALSE))</f>
        <v>3819000</v>
      </c>
      <c r="P266" s="46">
        <f t="shared" ca="1" si="13"/>
        <v>2.9999999999985857E-2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input_527100!A$2</f>
        <v>527100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IFERROR(VLOOKUP(B267,input_527100!L:R,7,FALSE),VLOOKUP(tables_527100!C267,input_527100!A:H,8,FALSE))</f>
        <v>28500</v>
      </c>
      <c r="P267" s="46">
        <f t="shared" ca="1" si="13"/>
        <v>2.2388059701481983E-4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input_527100!A$2</f>
        <v>527100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IFERROR(VLOOKUP(B268,input_527100!L:R,7,FALSE),VLOOKUP(tables_527100!C268,input_527100!A:H,8,FALSE))</f>
        <v>28500</v>
      </c>
      <c r="P268" s="46">
        <f t="shared" ca="1" si="13"/>
        <v>2.2388059701481983E-4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input_527100!A$2</f>
        <v>527100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IFERROR(VLOOKUP(B269,input_527100!L:R,7,FALSE),VLOOKUP(tables_527100!C269,input_527100!A:H,8,FALSE))</f>
        <v>28500</v>
      </c>
      <c r="P269" s="46">
        <f t="shared" ca="1" si="13"/>
        <v>2.2388059701481983E-4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input_527100!A$2</f>
        <v>527100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IFERROR(VLOOKUP(B270,input_527100!L:R,7,FALSE),VLOOKUP(tables_527100!C270,input_527100!A:H,8,FALSE))</f>
        <v>1076407.8947399999</v>
      </c>
      <c r="P270" s="46">
        <f t="shared" ca="1" si="13"/>
        <v>8.4556786703809308E-3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input_527100!A$2</f>
        <v>527100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IFERROR(VLOOKUP(B271,input_527100!L:R,7,FALSE),VLOOKUP(tables_527100!C271,input_527100!A:H,8,FALSE))</f>
        <v>123950</v>
      </c>
      <c r="P271" s="46">
        <f t="shared" ca="1" si="13"/>
        <v>9.7368421052585678E-4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input_527100!A$2</f>
        <v>527100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IFERROR(VLOOKUP(B272,input_527100!L:R,7,FALSE),VLOOKUP(tables_527100!C272,input_527100!A:H,8,FALSE))</f>
        <v>1076407.8947399999</v>
      </c>
      <c r="P272" s="46">
        <f t="shared" ca="1" si="13"/>
        <v>8.4556786703809308E-3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input_527100!A$2</f>
        <v>527100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IFERROR(VLOOKUP(B273,input_527100!L:R,7,FALSE),VLOOKUP(tables_527100!C273,input_527100!A:H,8,FALSE))</f>
        <v>123950</v>
      </c>
      <c r="P273" s="46">
        <f t="shared" ca="1" si="13"/>
        <v>9.7368421052585678E-4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input_527100!A$2</f>
        <v>527100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IFERROR(VLOOKUP(B274,input_527100!L:R,7,FALSE),VLOOKUP(tables_527100!C274,input_527100!A:H,8,FALSE))</f>
        <v>25650</v>
      </c>
      <c r="P274" s="46">
        <f t="shared" ca="1" si="13"/>
        <v>2.0149253731333787E-4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input_527100!A$2</f>
        <v>527100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IFERROR(VLOOKUP(B275,input_527100!L:R,7,FALSE),VLOOKUP(tables_527100!C275,input_527100!A:H,8,FALSE))</f>
        <v>2850</v>
      </c>
      <c r="P275" s="46">
        <f t="shared" ca="1" si="13"/>
        <v>2.2388059701481985E-5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input_527100!A$2</f>
        <v>527100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IFERROR(VLOOKUP(B276,input_527100!L:R,7,FALSE),VLOOKUP(tables_527100!C276,input_527100!A:H,8,FALSE))</f>
        <v>25650</v>
      </c>
      <c r="P276" s="46">
        <f t="shared" ca="1" si="13"/>
        <v>2.0149253731333787E-4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input_527100!A$2</f>
        <v>527100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IFERROR(VLOOKUP(B277,input_527100!L:R,7,FALSE),VLOOKUP(tables_527100!C277,input_527100!A:H,8,FALSE))</f>
        <v>2850</v>
      </c>
      <c r="P277" s="46">
        <f t="shared" ca="1" si="13"/>
        <v>2.2388059701481985E-5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input_527100!A$2</f>
        <v>527100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IFERROR(VLOOKUP(B278,input_527100!L:R,7,FALSE),VLOOKUP(tables_527100!C278,input_527100!A:H,8,FALSE))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input_527100!A$2</f>
        <v>527100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IFERROR(VLOOKUP(B279,input_527100!L:R,7,FALSE),VLOOKUP(tables_527100!C279,input_527100!A:H,8,FALSE))</f>
        <v>1115550</v>
      </c>
      <c r="P279" s="46">
        <f t="shared" ca="1" si="13"/>
        <v>8.7631578947327121E-3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input_527100!A$2</f>
        <v>527100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IFERROR(VLOOKUP(B280,input_527100!L:R,7,FALSE),VLOOKUP(tables_527100!C280,input_527100!A:H,8,FALSE))</f>
        <v>5887.5</v>
      </c>
      <c r="P280" s="46">
        <f t="shared" ca="1" si="13"/>
        <v>4.624901806753515E-5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input_527100!A$2</f>
        <v>527100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IFERROR(VLOOKUP(B281,input_527100!L:R,7,FALSE),VLOOKUP(tables_527100!C281,input_527100!A:H,8,FALSE))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input_527100!A$2</f>
        <v>527100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IFERROR(VLOOKUP(B282,input_527100!L:R,7,FALSE),VLOOKUP(tables_527100!C282,input_527100!A:H,8,FALSE))</f>
        <v>1115550</v>
      </c>
      <c r="P282" s="46">
        <f t="shared" ca="1" si="13"/>
        <v>8.7631578947327121E-3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input_527100!A$2</f>
        <v>527100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IFERROR(VLOOKUP(B283,input_527100!L:R,7,FALSE),VLOOKUP(tables_527100!C283,input_527100!A:H,8,FALSE))</f>
        <v>5887.5</v>
      </c>
      <c r="P283" s="46">
        <f t="shared" ca="1" si="13"/>
        <v>4.624901806753515E-5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input_527100!A$2</f>
        <v>527100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IFERROR(VLOOKUP(B284,input_527100!L:R,7,FALSE),VLOOKUP(tables_527100!C284,input_527100!A:H,8,FALSE))</f>
        <v>28500</v>
      </c>
      <c r="P284" s="46">
        <f t="shared" ca="1" si="13"/>
        <v>2.2388059701481983E-4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input_527100!A$2</f>
        <v>527100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IFERROR(VLOOKUP(B285,input_527100!L:R,7,FALSE),VLOOKUP(tables_527100!C285,input_527100!A:H,8,FALSE))</f>
        <v>28500</v>
      </c>
      <c r="P285" s="46">
        <f t="shared" ca="1" si="13"/>
        <v>2.2388059701481983E-4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input_527100!A$2</f>
        <v>527100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IFERROR(VLOOKUP(B286,input_527100!L:R,7,FALSE),VLOOKUP(tables_527100!C286,input_527100!A:H,8,FALSE))</f>
        <v>1076407.8947399999</v>
      </c>
      <c r="P286" s="46">
        <f t="shared" ca="1" si="13"/>
        <v>8.4556786703809308E-3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input_527100!A$2</f>
        <v>527100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IFERROR(VLOOKUP(B287,input_527100!L:R,7,FALSE),VLOOKUP(tables_527100!C287,input_527100!A:H,8,FALSE))</f>
        <v>123950</v>
      </c>
      <c r="P287" s="46">
        <f t="shared" ca="1" si="13"/>
        <v>9.7368421052585678E-4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input_527100!A$2</f>
        <v>527100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IFERROR(VLOOKUP(B288,input_527100!L:R,7,FALSE),VLOOKUP(tables_527100!C288,input_527100!A:H,8,FALSE))</f>
        <v>1076407.8947399999</v>
      </c>
      <c r="P288" s="46">
        <f t="shared" ca="1" si="13"/>
        <v>8.4556786703809308E-3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input_527100!A$2</f>
        <v>527100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IFERROR(VLOOKUP(B289,input_527100!L:R,7,FALSE),VLOOKUP(tables_527100!C289,input_527100!A:H,8,FALSE))</f>
        <v>123950</v>
      </c>
      <c r="P289" s="46">
        <f t="shared" ca="1" si="13"/>
        <v>9.7368421052585678E-4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input_527100!A$2</f>
        <v>527100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IFERROR(VLOOKUP(B290,input_527100!L:R,7,FALSE),VLOOKUP(tables_527100!C290,input_527100!A:H,8,FALSE))</f>
        <v>1076407.8947399999</v>
      </c>
      <c r="P290" s="46">
        <f t="shared" ca="1" si="13"/>
        <v>8.4556786703809308E-3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input_527100!A$2</f>
        <v>527100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IFERROR(VLOOKUP(B291,input_527100!L:R,7,FALSE),VLOOKUP(tables_527100!C291,input_527100!A:H,8,FALSE))</f>
        <v>123950</v>
      </c>
      <c r="P291" s="46">
        <f t="shared" ca="1" si="13"/>
        <v>9.7368421052585678E-4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input_527100!A$2</f>
        <v>527100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IFERROR(VLOOKUP(B292,input_527100!L:R,7,FALSE),VLOOKUP(tables_527100!C292,input_527100!A:H,8,FALSE))</f>
        <v>1076407.8947399999</v>
      </c>
      <c r="P292" s="46">
        <f t="shared" ca="1" si="13"/>
        <v>8.4556786703809308E-3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input_527100!A$2</f>
        <v>527100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IFERROR(VLOOKUP(B293,input_527100!L:R,7,FALSE),VLOOKUP(tables_527100!C293,input_527100!A:H,8,FALSE))</f>
        <v>123950</v>
      </c>
      <c r="P293" s="46">
        <f t="shared" ca="1" si="13"/>
        <v>9.7368421052585678E-4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input_527100!A$2</f>
        <v>527100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IFERROR(VLOOKUP(B294,input_527100!L:R,7,FALSE),VLOOKUP(tables_527100!C294,input_527100!A:H,8,FALSE))</f>
        <v>28500</v>
      </c>
      <c r="P294" s="46">
        <f t="shared" ca="1" si="13"/>
        <v>2.2388059701481983E-4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input_527100!A$2</f>
        <v>527100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IFERROR(VLOOKUP(B295,input_527100!L:R,7,FALSE),VLOOKUP(tables_527100!C295,input_527100!A:H,8,FALSE))</f>
        <v>28500</v>
      </c>
      <c r="P295" s="46">
        <f t="shared" ref="P295:P299" ca="1" si="20">O295/SUM(O:O)</f>
        <v>2.2388059701481983E-4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input_527100!A$2</f>
        <v>527100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IFERROR(VLOOKUP(B296,input_527100!L:R,7,FALSE),VLOOKUP(tables_527100!C296,input_527100!A:H,8,FALSE))</f>
        <v>3819000</v>
      </c>
      <c r="P296" s="46">
        <f t="shared" ca="1" si="20"/>
        <v>2.9999999999985857E-2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input_527100!A$2</f>
        <v>527100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IFERROR(VLOOKUP(B297,input_527100!L:R,7,FALSE),VLOOKUP(tables_527100!C297,input_527100!A:H,8,FALSE))</f>
        <v>1076407.8947399999</v>
      </c>
      <c r="P297" s="46">
        <f t="shared" ca="1" si="20"/>
        <v>8.4556786703809308E-3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input_527100!A$2</f>
        <v>527100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IFERROR(VLOOKUP(B298,input_527100!L:R,7,FALSE),VLOOKUP(tables_527100!C298,input_527100!A:H,8,FALSE))</f>
        <v>123950</v>
      </c>
      <c r="P298" s="46">
        <f t="shared" ca="1" si="20"/>
        <v>9.7368421052585678E-4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input_527100!A$2</f>
        <v>527100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IFERROR(VLOOKUP(B299,input_527100!L:R,7,FALSE),VLOOKUP(tables_527100!C299,input_527100!A:H,8,FALSE))</f>
        <v>28500</v>
      </c>
      <c r="P299" s="46">
        <f t="shared" ca="1" si="20"/>
        <v>2.2388059701481983E-4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input_527100!A$2</f>
        <v>527100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IFERROR(VLOOKUP(B300,input_527100!L:R,7,FALSE),VLOOKUP(tables_527100!C300,input_527100!A:H,8,FALSE))</f>
        <v>28500</v>
      </c>
      <c r="P300" s="46">
        <f t="shared" ref="P300:P304" ca="1" si="22">O300/SUM(O:O)</f>
        <v>2.2388059701481983E-4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input_527100!A$2</f>
        <v>527100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IFERROR(VLOOKUP(B301,input_527100!L:R,7,FALSE),VLOOKUP(tables_527100!C301,input_527100!A:H,8,FALSE))</f>
        <v>28500</v>
      </c>
      <c r="P301" s="46">
        <f t="shared" ca="1" si="22"/>
        <v>2.2388059701481983E-4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input_527100!A$2</f>
        <v>527100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IFERROR(VLOOKUP(B302,input_527100!L:R,7,FALSE),VLOOKUP(tables_527100!C302,input_527100!A:H,8,FALSE))</f>
        <v>28500</v>
      </c>
      <c r="P302" s="46">
        <f t="shared" ca="1" si="22"/>
        <v>2.2388059701481983E-4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input_527100!A$2</f>
        <v>527100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IFERROR(VLOOKUP(B303,input_527100!L:R,7,FALSE),VLOOKUP(tables_527100!C303,input_527100!A:H,8,FALSE))</f>
        <v>1076407.8947399999</v>
      </c>
      <c r="P303" s="46">
        <f t="shared" ca="1" si="22"/>
        <v>8.4556786703809308E-3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input_527100!A$2</f>
        <v>527100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IFERROR(VLOOKUP(B304,input_527100!L:R,7,FALSE),VLOOKUP(tables_527100!C304,input_527100!A:H,8,FALSE))</f>
        <v>123950</v>
      </c>
      <c r="P304" s="46">
        <f t="shared" ca="1" si="22"/>
        <v>9.7368421052585678E-4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input_527100!A$2</f>
        <v>527100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IFERROR(VLOOKUP(B305,input_527100!L:R,7,FALSE),VLOOKUP(tables_527100!C305,input_527100!A:H,8,FALSE))</f>
        <v>28500</v>
      </c>
      <c r="P305" s="46">
        <f t="shared" ref="P305:P308" ca="1" si="24">O305/SUM(O:O)</f>
        <v>2.2388059701481983E-4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input_527100!A$2</f>
        <v>527100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IFERROR(VLOOKUP(B306,input_527100!L:R,7,FALSE),VLOOKUP(tables_527100!C306,input_527100!A:H,8,FALSE))</f>
        <v>1076407.8947399999</v>
      </c>
      <c r="P306" s="46">
        <f t="shared" ca="1" si="24"/>
        <v>8.4556786703809308E-3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input_527100!A$2</f>
        <v>527100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IFERROR(VLOOKUP(B307,input_527100!L:R,7,FALSE),VLOOKUP(tables_527100!C307,input_527100!A:H,8,FALSE))</f>
        <v>123950</v>
      </c>
      <c r="P307" s="46">
        <f t="shared" ca="1" si="24"/>
        <v>9.7368421052585678E-4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input_527100!A$2</f>
        <v>527100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IFERROR(VLOOKUP(B308,input_527100!L:R,7,FALSE),VLOOKUP(tables_527100!C308,input_527100!A:H,8,FALSE))</f>
        <v>28500</v>
      </c>
      <c r="P308" s="46">
        <f t="shared" ca="1" si="24"/>
        <v>2.2388059701481983E-4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input_527100!A$2</f>
        <v>527100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IFERROR(VLOOKUP(B309,input_527100!L:R,7,FALSE),VLOOKUP(tables_527100!C309,input_527100!A:H,8,FALSE))</f>
        <v>28500</v>
      </c>
      <c r="P309" s="46">
        <f t="shared" ref="P309" ca="1" si="26">O309/SUM(O:O)</f>
        <v>2.2388059701481983E-4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input_527100!A$2</f>
        <v>527100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IFERROR(VLOOKUP(B310,input_527100!L:R,7,FALSE),VLOOKUP(tables_527100!C310,input_527100!A:H,8,FALSE))</f>
        <v>28500</v>
      </c>
      <c r="P310" s="46">
        <f t="shared" ref="P310:P314" ca="1" si="28">O310/SUM(O:O)</f>
        <v>2.2388059701481983E-4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input_527100!A$2</f>
        <v>527100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IFERROR(VLOOKUP(B311,input_527100!L:R,7,FALSE),VLOOKUP(tables_527100!C311,input_527100!A:H,8,FALSE))</f>
        <v>1076407.8947399999</v>
      </c>
      <c r="P311" s="46">
        <f t="shared" ca="1" si="28"/>
        <v>8.4556786703809308E-3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input_527100!A$2</f>
        <v>527100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IFERROR(VLOOKUP(B312,input_527100!L:R,7,FALSE),VLOOKUP(tables_527100!C312,input_527100!A:H,8,FALSE))</f>
        <v>123950</v>
      </c>
      <c r="P312" s="46">
        <f t="shared" ca="1" si="28"/>
        <v>9.7368421052585678E-4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input_527100!A$2</f>
        <v>527100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IFERROR(VLOOKUP(B313,input_527100!L:R,7,FALSE),VLOOKUP(tables_527100!C313,input_527100!A:H,8,FALSE))</f>
        <v>28500</v>
      </c>
      <c r="P313" s="46">
        <f t="shared" ca="1" si="28"/>
        <v>2.2388059701481983E-4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input_527100!A$2</f>
        <v>527100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IFERROR(VLOOKUP(B314,input_527100!L:R,7,FALSE),VLOOKUP(tables_527100!C314,input_527100!A:H,8,FALSE))</f>
        <v>28500</v>
      </c>
      <c r="P314" s="46">
        <f t="shared" ca="1" si="28"/>
        <v>2.2388059701481983E-4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input_527100!A$2</f>
        <v>527100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IFERROR(VLOOKUP(B315,input_527100!L:R,7,FALSE),VLOOKUP(tables_527100!C315,input_527100!A:H,8,FALSE))</f>
        <v>28500</v>
      </c>
      <c r="P315" s="46">
        <f t="shared" ref="P315:P319" ca="1" si="30">O315/SUM(O:O)</f>
        <v>2.2388059701481983E-4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input_527100!A$2</f>
        <v>527100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IFERROR(VLOOKUP(B316,input_527100!L:R,7,FALSE),VLOOKUP(tables_527100!C316,input_527100!A:H,8,FALSE))</f>
        <v>28500</v>
      </c>
      <c r="P316" s="46">
        <f t="shared" ca="1" si="30"/>
        <v>2.2388059701481983E-4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input_527100!A$2</f>
        <v>527100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IFERROR(VLOOKUP(B317,input_527100!L:R,7,FALSE),VLOOKUP(tables_527100!C317,input_527100!A:H,8,FALSE))</f>
        <v>28500</v>
      </c>
      <c r="P317" s="46">
        <f t="shared" ca="1" si="30"/>
        <v>2.2388059701481983E-4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input_527100!A$2</f>
        <v>527100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IFERROR(VLOOKUP(B318,input_527100!L:R,7,FALSE),VLOOKUP(tables_527100!C318,input_527100!A:H,8,FALSE))</f>
        <v>1076407.8947399999</v>
      </c>
      <c r="P318" s="46">
        <f t="shared" ca="1" si="30"/>
        <v>8.4556786703809308E-3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input_527100!A$2</f>
        <v>527100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IFERROR(VLOOKUP(B319,input_527100!L:R,7,FALSE),VLOOKUP(tables_527100!C319,input_527100!A:H,8,FALSE))</f>
        <v>123950</v>
      </c>
      <c r="P319" s="46">
        <f t="shared" ca="1" si="30"/>
        <v>9.7368421052585678E-4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input_527100!A$2</f>
        <v>527100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IFERROR(VLOOKUP(B320,input_527100!L:R,7,FALSE),VLOOKUP(tables_527100!C320,input_527100!A:H,8,FALSE))</f>
        <v>28500</v>
      </c>
      <c r="P320" s="46">
        <f t="shared" ref="P320:P324" ca="1" si="32">O320/SUM(O:O)</f>
        <v>2.2388059701481983E-4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input_527100!A$2</f>
        <v>527100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IFERROR(VLOOKUP(B321,input_527100!L:R,7,FALSE),VLOOKUP(tables_527100!C321,input_527100!A:H,8,FALSE))</f>
        <v>28500</v>
      </c>
      <c r="P321" s="46">
        <f t="shared" ca="1" si="32"/>
        <v>2.2388059701481983E-4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input_527100!A$2</f>
        <v>527100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IFERROR(VLOOKUP(B322,input_527100!L:R,7,FALSE),VLOOKUP(tables_527100!C322,input_527100!A:H,8,FALSE))</f>
        <v>28500</v>
      </c>
      <c r="P322" s="46">
        <f t="shared" ca="1" si="32"/>
        <v>2.2388059701481983E-4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input_527100!A$2</f>
        <v>527100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IFERROR(VLOOKUP(B323,input_527100!L:R,7,FALSE),VLOOKUP(tables_527100!C323,input_527100!A:H,8,FALSE))</f>
        <v>28500</v>
      </c>
      <c r="P323" s="46">
        <f t="shared" ca="1" si="32"/>
        <v>2.2388059701481983E-4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input_527100!A$2</f>
        <v>527100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IFERROR(VLOOKUP(B324,input_527100!L:R,7,FALSE),VLOOKUP(tables_527100!C324,input_527100!A:H,8,FALSE))</f>
        <v>1076407.8947399999</v>
      </c>
      <c r="P324" s="46">
        <f t="shared" ca="1" si="32"/>
        <v>8.4556786703809308E-3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input_527100!A$2</f>
        <v>527100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IFERROR(VLOOKUP(B325,input_527100!L:R,7,FALSE),VLOOKUP(tables_527100!C325,input_527100!A:H,8,FALSE))</f>
        <v>123950</v>
      </c>
      <c r="P325" s="46">
        <f t="shared" ref="P325:P330" ca="1" si="35">O325/SUM(O:O)</f>
        <v>9.7368421052585678E-4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input_527100!A$2</f>
        <v>527100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IFERROR(VLOOKUP(B326,input_527100!L:R,7,FALSE),VLOOKUP(tables_527100!C326,input_527100!A:H,8,FALSE))</f>
        <v>1076407.8947399999</v>
      </c>
      <c r="P326" s="46">
        <f t="shared" ca="1" si="35"/>
        <v>8.4556786703809308E-3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input_527100!A$2</f>
        <v>527100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IFERROR(VLOOKUP(B327,input_527100!L:R,7,FALSE),VLOOKUP(tables_527100!C327,input_527100!A:H,8,FALSE))</f>
        <v>123950</v>
      </c>
      <c r="P327" s="46">
        <f t="shared" ca="1" si="35"/>
        <v>9.7368421052585678E-4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input_527100!A$2</f>
        <v>527100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IFERROR(VLOOKUP(B328,input_527100!L:R,7,FALSE),VLOOKUP(tables_527100!C328,input_527100!A:H,8,FALSE))</f>
        <v>28500</v>
      </c>
      <c r="P328" s="46">
        <f t="shared" ca="1" si="35"/>
        <v>2.2388059701481983E-4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input_527100!A$2</f>
        <v>527100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IFERROR(VLOOKUP(B329,input_527100!L:R,7,FALSE),VLOOKUP(tables_527100!C329,input_527100!A:H,8,FALSE))</f>
        <v>28500</v>
      </c>
      <c r="P329" s="46">
        <f t="shared" ca="1" si="35"/>
        <v>2.2388059701481983E-4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input_527100!A$2</f>
        <v>527100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IFERROR(VLOOKUP(B330,input_527100!L:R,7,FALSE),VLOOKUP(tables_527100!C330,input_527100!A:H,8,FALSE))</f>
        <v>28500</v>
      </c>
      <c r="P330" s="46">
        <f t="shared" ca="1" si="35"/>
        <v>2.2388059701481983E-4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input_527100!A$2</f>
        <v>527100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IFERROR(VLOOKUP(B331,input_527100!L:R,7,FALSE),VLOOKUP(tables_527100!C331,input_527100!A:H,8,FALSE))</f>
        <v>28500</v>
      </c>
      <c r="P331" s="46">
        <f t="shared" ref="P331:P335" ca="1" si="38">O331/SUM(O:O)</f>
        <v>2.2388059701481983E-4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input_527100!A$2</f>
        <v>527100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IFERROR(VLOOKUP(B332,input_527100!L:R,7,FALSE),VLOOKUP(tables_527100!C332,input_527100!A:H,8,FALSE))</f>
        <v>28500</v>
      </c>
      <c r="P332" s="46">
        <f t="shared" ca="1" si="38"/>
        <v>2.2388059701481983E-4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input_527100!A$2</f>
        <v>527100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IFERROR(VLOOKUP(B333,input_527100!L:R,7,FALSE),VLOOKUP(tables_527100!C333,input_527100!A:H,8,FALSE))</f>
        <v>28500</v>
      </c>
      <c r="P333" s="46">
        <f t="shared" ca="1" si="38"/>
        <v>2.2388059701481983E-4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input_527100!A$2</f>
        <v>527100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IFERROR(VLOOKUP(B334,input_527100!L:R,7,FALSE),VLOOKUP(tables_527100!C334,input_527100!A:H,8,FALSE))</f>
        <v>1076407.8947399999</v>
      </c>
      <c r="P334" s="46">
        <f t="shared" ca="1" si="38"/>
        <v>8.4556786703809308E-3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input_527100!A$2</f>
        <v>527100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IFERROR(VLOOKUP(B335,input_527100!L:R,7,FALSE),VLOOKUP(tables_527100!C335,input_527100!A:H,8,FALSE))</f>
        <v>123950</v>
      </c>
      <c r="P335" s="46">
        <f t="shared" ca="1" si="38"/>
        <v>9.7368421052585678E-4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input_527100!A$2</f>
        <v>527100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IFERROR(VLOOKUP(B336,input_527100!L:R,7,FALSE),VLOOKUP(tables_527100!C336,input_527100!A:H,8,FALSE))</f>
        <v>28500</v>
      </c>
      <c r="P336" s="46">
        <f t="shared" ref="P336:P340" ca="1" si="41">O336/SUM(O:O)</f>
        <v>2.2388059701481983E-4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input_527100!A$2</f>
        <v>527100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IFERROR(VLOOKUP(B337,input_527100!L:R,7,FALSE),VLOOKUP(tables_527100!C337,input_527100!A:H,8,FALSE))</f>
        <v>28500</v>
      </c>
      <c r="P337" s="46">
        <f t="shared" ca="1" si="41"/>
        <v>2.2388059701481983E-4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input_527100!A$2</f>
        <v>527100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IFERROR(VLOOKUP(B338,input_527100!L:R,7,FALSE),VLOOKUP(tables_527100!C338,input_527100!A:H,8,FALSE))</f>
        <v>28500</v>
      </c>
      <c r="P338" s="46">
        <f t="shared" ca="1" si="41"/>
        <v>2.2388059701481983E-4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input_527100!A$2</f>
        <v>527100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IFERROR(VLOOKUP(B339,input_527100!L:R,7,FALSE),VLOOKUP(tables_527100!C339,input_527100!A:H,8,FALSE))</f>
        <v>1076407.8947399999</v>
      </c>
      <c r="P339" s="46">
        <f t="shared" ca="1" si="41"/>
        <v>8.4556786703809308E-3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input_527100!A$2</f>
        <v>527100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IFERROR(VLOOKUP(B340,input_527100!L:R,7,FALSE),VLOOKUP(tables_527100!C340,input_527100!A:H,8,FALSE))</f>
        <v>123950</v>
      </c>
      <c r="P340" s="46">
        <f t="shared" ca="1" si="41"/>
        <v>9.7368421052585678E-4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input_527100!A$2</f>
        <v>527100</v>
      </c>
      <c r="B341" s="1">
        <v>1250</v>
      </c>
      <c r="C341" s="7" t="str">
        <f t="shared" ref="C341:C345" si="42">D341&amp;J341&amp;E341&amp;F341&amp;G341</f>
        <v>PremiumSS5R5only</v>
      </c>
      <c r="D341" s="98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IFERROR(VLOOKUP(B341,input_527100!L:R,7,FALSE),VLOOKUP(tables_527100!C341,input_527100!A:H,8,FALSE))</f>
        <v>28500</v>
      </c>
      <c r="P341" s="46">
        <f t="shared" ref="P341:P345" ca="1" si="44">O341/SUM(O:O)</f>
        <v>2.2388059701481983E-4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input_527100!A$2</f>
        <v>527100</v>
      </c>
      <c r="B342" s="1">
        <v>1244</v>
      </c>
      <c r="C342" s="7" t="str">
        <f t="shared" si="42"/>
        <v>PremiumSS5R5only</v>
      </c>
      <c r="D342" s="98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IFERROR(VLOOKUP(B342,input_527100!L:R,7,FALSE),VLOOKUP(tables_527100!C342,input_527100!A:H,8,FALSE))</f>
        <v>28500</v>
      </c>
      <c r="P342" s="46">
        <f t="shared" ca="1" si="44"/>
        <v>2.2388059701481983E-4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input_527100!A$2</f>
        <v>527100</v>
      </c>
      <c r="B343" s="1">
        <v>1246</v>
      </c>
      <c r="C343" s="7" t="str">
        <f t="shared" si="42"/>
        <v>PremiumSS5R5only</v>
      </c>
      <c r="D343" s="98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IFERROR(VLOOKUP(B343,input_527100!L:R,7,FALSE),VLOOKUP(tables_527100!C343,input_527100!A:H,8,FALSE))</f>
        <v>28500</v>
      </c>
      <c r="P343" s="46">
        <f t="shared" ca="1" si="44"/>
        <v>2.2388059701481983E-4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input_527100!A$2</f>
        <v>527100</v>
      </c>
      <c r="B344" s="1">
        <v>1248</v>
      </c>
      <c r="C344" s="7" t="str">
        <f t="shared" si="42"/>
        <v>Premium4R3less</v>
      </c>
      <c r="D344" s="98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IFERROR(VLOOKUP(B344,input_527100!L:R,7,FALSE),VLOOKUP(tables_527100!C344,input_527100!A:H,8,FALSE))</f>
        <v>1076407.8947399999</v>
      </c>
      <c r="P344" s="46">
        <f t="shared" ca="1" si="44"/>
        <v>8.4556786703809308E-3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input_527100!A$2</f>
        <v>527100</v>
      </c>
      <c r="B345" s="1">
        <v>1249</v>
      </c>
      <c r="C345" s="7" t="str">
        <f t="shared" si="42"/>
        <v>Premium5R3less</v>
      </c>
      <c r="D345" s="98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IFERROR(VLOOKUP(B345,input_527100!L:R,7,FALSE),VLOOKUP(tables_527100!C345,input_527100!A:H,8,FALSE))</f>
        <v>123950</v>
      </c>
      <c r="P345" s="46">
        <f t="shared" ca="1" si="44"/>
        <v>9.7368421052585678E-4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input_527100!A$2</f>
        <v>527100</v>
      </c>
      <c r="B346" s="1">
        <v>1260</v>
      </c>
      <c r="C346" s="7" t="str">
        <f t="shared" ref="C346:C350" si="45">D346&amp;J346&amp;E346&amp;F346&amp;G346</f>
        <v>PremiumSS5R5only</v>
      </c>
      <c r="D346" s="98" t="str">
        <f t="shared" ref="D346:D350" si="4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IFERROR(VLOOKUP(B346,input_527100!L:R,7,FALSE),VLOOKUP(tables_527100!C346,input_527100!A:H,8,FALSE))</f>
        <v>28500</v>
      </c>
      <c r="P346" s="46">
        <f t="shared" ref="P346:P350" ca="1" si="47">O346/SUM(O:O)</f>
        <v>2.2388059701481983E-4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input_527100!A$2</f>
        <v>527100</v>
      </c>
      <c r="B347" s="1">
        <v>1262</v>
      </c>
      <c r="C347" s="7" t="str">
        <f t="shared" si="45"/>
        <v>PremiumSS5R5only</v>
      </c>
      <c r="D347" s="98" t="str">
        <f t="shared" si="4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IFERROR(VLOOKUP(B347,input_527100!L:R,7,FALSE),VLOOKUP(tables_527100!C347,input_527100!A:H,8,FALSE))</f>
        <v>28500</v>
      </c>
      <c r="P347" s="46">
        <f t="shared" ca="1" si="47"/>
        <v>2.2388059701481983E-4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input_527100!A$2</f>
        <v>527100</v>
      </c>
      <c r="B348" s="1">
        <v>1264</v>
      </c>
      <c r="C348" s="7" t="str">
        <f t="shared" si="45"/>
        <v>PremiumSS5R5only</v>
      </c>
      <c r="D348" s="98" t="str">
        <f t="shared" si="4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IFERROR(VLOOKUP(B348,input_527100!L:R,7,FALSE),VLOOKUP(tables_527100!C348,input_527100!A:H,8,FALSE))</f>
        <v>28500</v>
      </c>
      <c r="P348" s="46">
        <f t="shared" ca="1" si="47"/>
        <v>2.2388059701481983E-4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input_527100!A$2</f>
        <v>527100</v>
      </c>
      <c r="B349" s="1">
        <v>1266</v>
      </c>
      <c r="C349" s="7" t="str">
        <f t="shared" si="45"/>
        <v>Premium4R3less</v>
      </c>
      <c r="D349" s="98" t="str">
        <f t="shared" si="4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IFERROR(VLOOKUP(B349,input_527100!L:R,7,FALSE),VLOOKUP(tables_527100!C349,input_527100!A:H,8,FALSE))</f>
        <v>1076407.8947399999</v>
      </c>
      <c r="P349" s="46">
        <f t="shared" ca="1" si="47"/>
        <v>8.4556786703809308E-3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input_527100!A$2</f>
        <v>527100</v>
      </c>
      <c r="B350" s="1">
        <v>1267</v>
      </c>
      <c r="C350" s="7" t="str">
        <f t="shared" si="45"/>
        <v>Premium5R3less</v>
      </c>
      <c r="D350" s="98" t="str">
        <f t="shared" si="4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IFERROR(VLOOKUP(B350,input_527100!L:R,7,FALSE),VLOOKUP(tables_527100!C350,input_527100!A:H,8,FALSE))</f>
        <v>123950</v>
      </c>
      <c r="P350" s="46">
        <f t="shared" ca="1" si="47"/>
        <v>9.7368421052585678E-4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input_527100!A$2</f>
        <v>527100</v>
      </c>
      <c r="B2" s="60">
        <v>937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ナポレオン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10</v>
      </c>
      <c r="P2" s="46">
        <f t="shared" ref="P2:P3" si="1">O2/SUM(O:O)</f>
        <v>0.5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input_527100!A$2</f>
        <v>527100</v>
      </c>
      <c r="B3" s="60">
        <v>732</v>
      </c>
      <c r="C3" s="7" t="str">
        <f t="shared" si="0"/>
        <v>PremiumSS5R5only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上杉謙信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10</v>
      </c>
      <c r="P3" s="46">
        <f t="shared" si="1"/>
        <v>0.5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45"/>
      <c r="P4" s="46"/>
      <c r="Q4" s="30"/>
      <c r="R4" s="30"/>
      <c r="S4" s="30"/>
      <c r="T4" s="30"/>
      <c r="U4" s="30"/>
      <c r="V4" s="30"/>
    </row>
    <row r="5" spans="1:22" ht="21" customHeight="1" x14ac:dyDescent="0.15">
      <c r="A5" s="2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45"/>
      <c r="P5" s="46"/>
      <c r="Q5" s="30"/>
      <c r="R5" s="30"/>
      <c r="S5" s="30"/>
      <c r="T5" s="30"/>
      <c r="U5" s="30"/>
      <c r="V5" s="30"/>
    </row>
    <row r="6" spans="1:22" ht="21" customHeight="1" x14ac:dyDescent="0.15">
      <c r="A6" s="2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input_527010</vt:lpstr>
      <vt:lpstr>tables_527010</vt:lpstr>
      <vt:lpstr>input_527100</vt:lpstr>
      <vt:lpstr>tables_527100</vt:lpstr>
      <vt:lpstr>tables_settle_527100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2017-02-09T14:15:16Z</dcterms:modified>
</cp:coreProperties>
</file>