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480" windowWidth="27700" windowHeight="1620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3" i="57" l="1"/>
  <c r="E3" i="57"/>
  <c r="B3" i="57"/>
  <c r="H2" i="23"/>
  <c r="BR2" i="23"/>
  <c r="E6" i="54"/>
  <c r="E5" i="54"/>
  <c r="E4" i="54"/>
  <c r="E3" i="54"/>
  <c r="E2" i="54"/>
  <c r="D6" i="54"/>
  <c r="B6" i="54"/>
  <c r="D5" i="54"/>
  <c r="B5" i="54"/>
  <c r="D4" i="54"/>
  <c r="B4" i="54"/>
  <c r="D3" i="54"/>
  <c r="B3" i="54"/>
  <c r="D2" i="54"/>
  <c r="B2" i="54"/>
  <c r="G2" i="58"/>
  <c r="U2" i="58"/>
  <c r="G2" i="23"/>
  <c r="BC2" i="23"/>
  <c r="BD2" i="23"/>
  <c r="Q2" i="23"/>
  <c r="S2" i="23"/>
  <c r="W2" i="23"/>
  <c r="AA2" i="23"/>
  <c r="I2" i="23"/>
  <c r="J2" i="23"/>
  <c r="BK2" i="23"/>
  <c r="J4" i="3"/>
  <c r="J3" i="3"/>
  <c r="J5" i="3"/>
  <c r="J2" i="3"/>
  <c r="H5" i="3"/>
  <c r="C5" i="3"/>
  <c r="F5" i="3"/>
  <c r="E5" i="3"/>
  <c r="D5" i="3"/>
  <c r="A5" i="3"/>
  <c r="H4" i="3"/>
  <c r="C4" i="3"/>
  <c r="F4" i="3"/>
  <c r="E4" i="3"/>
  <c r="D4" i="3"/>
  <c r="A4" i="3"/>
  <c r="H3" i="3"/>
  <c r="C3" i="3"/>
  <c r="F3" i="3"/>
  <c r="E3" i="3"/>
  <c r="D3" i="3"/>
  <c r="A3" i="3"/>
  <c r="F2" i="57"/>
  <c r="E2" i="57"/>
  <c r="B2" i="57"/>
  <c r="C2" i="3"/>
  <c r="D2" i="3"/>
  <c r="T2" i="23"/>
  <c r="AB2" i="23"/>
  <c r="K2" i="23"/>
  <c r="BL2" i="23"/>
  <c r="V2" i="23"/>
  <c r="AD2" i="23"/>
  <c r="M2" i="23"/>
  <c r="BN2" i="23"/>
  <c r="H2" i="3"/>
  <c r="S2" i="58"/>
  <c r="T2" i="58"/>
  <c r="R2" i="58"/>
  <c r="B2" i="58"/>
  <c r="G2" i="53"/>
  <c r="AH2" i="23"/>
  <c r="G10" i="13"/>
  <c r="G11" i="13"/>
  <c r="G9" i="13"/>
  <c r="B2" i="23"/>
  <c r="G3" i="13"/>
  <c r="G4" i="13"/>
  <c r="R2" i="23"/>
  <c r="J2" i="52"/>
  <c r="AQ2" i="23"/>
  <c r="H2" i="5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<sst xmlns="http://schemas.openxmlformats.org/spreadsheetml/2006/main" count="886" uniqueCount="362">
  <si>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</si>
  <si>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</si>
  <si>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</si>
  <si>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</si>
  <si>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</si>
  <si>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</si>
  <si>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</si>
  <si>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</si>
  <si>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</si>
  <si>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</si>
  <si>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</si>
  <si>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</si>
  <si>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</si>
  <si>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</si>
  <si>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</si>
  <si>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</si>
  <si>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</si>
  <si>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</si>
  <si>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</si>
  <si>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</si>
  <si>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</si>
  <si>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</si>
  <si>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</si>
  <si>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</si>
  <si>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</si>
  <si>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</si>
  <si>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</si>
  <si>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</si>
  <si>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</si>
  <si>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</si>
  <si>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</si>
  <si>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</si>
  <si>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</si>
  <si>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</si>
  <si>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</si>
  <si>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</si>
  <si>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</si>
  <si>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</si>
  <si>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</si>
  <si>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</si>
  <si>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</si>
  <si>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</si>
  <si>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</si>
  <si>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</si>
  <si>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</si>
  <si>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</si>
  <si>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</si>
  <si>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</si>
  <si>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</si>
  <si>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</si>
  <si>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</si>
  <si>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</si>
  <si>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</si>
  <si>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</si>
  <si>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</si>
  <si>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</si>
  <si>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</si>
  <si>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</si>
  <si>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</si>
  <si>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</si>
  <si>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</si>
  <si>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</si>
  <si>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</si>
  <si>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</si>
  <si>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</si>
  <si>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</si>
  <si>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</si>
  <si>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</si>
  <si>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</si>
  <si>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</si>
  <si>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</si>
  <si>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</si>
  <si>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</si>
  <si>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</si>
  <si>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</si>
  <si>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</si>
  <si>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</si>
  <si>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</si>
  <si>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</si>
  <si>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</si>
  <si>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</si>
  <si>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</si>
  <si>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</si>
  <si>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</si>
  <si>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</si>
  <si>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</si>
  <si>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</si>
  <si>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</si>
  <si>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</si>
  <si>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</si>
  <si>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</si>
  <si>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</si>
  <si>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</si>
  <si>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</si>
  <si>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</si>
  <si>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</si>
  <si>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</si>
  <si>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</si>
  <si>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</si>
  <si>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</si>
  <si>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</si>
  <si>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</si>
  <si>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</si>
  <si>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</si>
  <si>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</si>
  <si>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</si>
  <si>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</si>
  <si>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</si>
  <si>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</si>
  <si>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</si>
  <si>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</si>
  <si>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</si>
  <si>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</si>
  <si>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</si>
  <si>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</si>
  <si>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</si>
  <si>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</si>
  <si>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</si>
  <si>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</si>
  <si>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</si>
  <si>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</si>
  <si>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</si>
  <si>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</si>
  <si>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</si>
  <si>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</si>
  <si>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</si>
  <si>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</si>
  <si>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</si>
  <si>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</si>
  <si>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</si>
  <si>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</si>
  <si>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</si>
  <si>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</si>
  <si>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</si>
  <si>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</si>
  <si>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</si>
  <si>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</si>
  <si>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</si>
  <si>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</si>
  <si>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</si>
  <si>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</si>
  <si>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</si>
  <si>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</si>
  <si>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</si>
  <si>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</si>
  <si>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</si>
  <si>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</si>
  <si>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</si>
  <si>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</si>
  <si>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</si>
  <si>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</si>
  <si>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</si>
  <si>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</si>
  <si>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</si>
  <si>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</si>
  <si>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</si>
  <si>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</si>
  <si>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</si>
  <si>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</si>
  <si>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</si>
  <si>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</si>
  <si>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</si>
  <si>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</si>
  <si>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</si>
  <si>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</si>
  <si>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</si>
  <si>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</si>
  <si>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</si>
  <si>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</si>
  <si>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</si>
  <si>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</si>
  <si>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</si>
  <si>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</si>
  <si>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</si>
  <si>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</si>
  <si>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</si>
  <si>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</si>
  <si>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</si>
  <si>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</si>
  <si>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</si>
  <si>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</si>
  <si>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</si>
  <si>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</si>
  <si>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</si>
  <si>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</si>
  <si>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</si>
  <si>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</si>
  <si>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</si>
  <si>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</si>
  <si>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</si>
  <si>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</si>
  <si>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</si>
  <si>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</si>
  <si>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</si>
  <si>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</si>
  <si>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</si>
  <si>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</si>
  <si>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</si>
  <si>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</si>
  <si>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</si>
  <si>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</si>
  <si>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</si>
  <si>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</si>
  <si>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</si>
  <si>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</si>
  <si>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</si>
  <si>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</si>
  <si>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</si>
  <si>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</si>
  <si>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</si>
  <si>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</si>
  <si>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</si>
  <si>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</si>
  <si>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</si>
  <si>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</si>
  <si>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</si>
  <si>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</si>
  <si>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</si>
  <si>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</si>
  <si>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</si>
  <si>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</si>
  <si>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</si>
  <si>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</si>
  <si>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</si>
  <si>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</si>
  <si>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</si>
  <si>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</si>
  <si>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</si>
  <si>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</si>
  <si>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</si>
  <si>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</si>
  <si>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</si>
  <si>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</si>
  <si>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</si>
  <si>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</si>
  <si>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</si>
  <si>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</si>
  <si>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</si>
  <si>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</si>
  <si>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</si>
  <si>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</si>
  <si>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</si>
  <si>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</si>
  <si>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</si>
  <si>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</si>
  <si>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</si>
  <si>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</si>
  <si>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</si>
  <si>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</si>
  <si>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</si>
  <si>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</si>
  <si>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</si>
  <si>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</si>
  <si>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</si>
  <si>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</si>
  <si>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</si>
  <si>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</si>
  <si>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</si>
  <si>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</si>
  <si>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</si>
  <si>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</si>
  <si>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</si>
  <si>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</si>
  <si>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</si>
  <si>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</si>
  <si>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</si>
  <si>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</si>
  <si>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</si>
  <si>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</si>
  <si>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</si>
  <si>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</si>
  <si>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</si>
  <si>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</si>
  <si>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</si>
  <si>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</si>
  <si>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</si>
  <si>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</si>
  <si>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</si>
  <si>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</si>
  <si>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</si>
  <si>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</si>
  <si>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</si>
  <si>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</si>
  <si>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</si>
  <si>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</si>
  <si>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</si>
  <si>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</si>
  <si>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</si>
  <si>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</si>
  <si>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</si>
  <si>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</si>
  <si>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</si>
  <si>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</si>
  <si>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</si>
  <si>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</si>
  <si>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</si>
  <si>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</si>
  <si>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</si>
  <si>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</si>
  <si>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</si>
  <si>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</si>
  <si>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</si>
  <si>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</si>
  <si>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</si>
  <si>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</si>
  <si>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</si>
  <si>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</si>
  <si>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</si>
  <si>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</si>
  <si>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</si>
  <si>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</si>
  <si>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</si>
  <si>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</si>
  <si>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覚醒があるユニットのみID入れる</t>
    <phoneticPr fontId="22"/>
  </si>
  <si>
    <t>覚醒先のID</t>
    <phoneticPr fontId="22"/>
  </si>
  <si>
    <t>覚醒ベースユニットのID</t>
    <phoneticPr fontId="9"/>
  </si>
  <si>
    <t>覚醒先のID</t>
    <phoneticPr fontId="9"/>
  </si>
  <si>
    <t>素材のID</t>
    <phoneticPr fontId="9"/>
  </si>
  <si>
    <t>右を参照</t>
    <phoneticPr fontId="9"/>
  </si>
  <si>
    <t>必要バグ数</t>
    <phoneticPr fontId="9"/>
  </si>
  <si>
    <t>必要数</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</si>
  <si>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</si>
  <si>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</si>
  <si>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</si>
  <si>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</si>
  <si>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</si>
  <si>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</si>
  <si>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</si>
  <si>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</si>
  <si>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</si>
  <si>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</si>
  <si>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</si>
  <si>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</si>
  <si>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</si>
  <si>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</si>
  <si>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</si>
  <si>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</si>
  <si>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</si>
  <si>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</si>
  <si>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</si>
  <si>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</si>
  <si>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</si>
  <si>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</si>
  <si>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</si>
  <si>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old</t>
  </si>
  <si>
    <t>NULL</t>
    <phoneticPr fontId="10"/>
  </si>
  <si>
    <t>1体に特大ダメージ
種族ゴッドに効果超大</t>
    <phoneticPr fontId="22"/>
  </si>
  <si>
    <t>[effect:damage_anti_tribe, target:enemy_one, tribe:god, val1:3.75, val2:1.5, animation:damage_one_blue04]</t>
    <phoneticPr fontId="22"/>
  </si>
  <si>
    <t>1</t>
    <phoneticPr fontId="22"/>
  </si>
  <si>
    <t>swimmer02</t>
  </si>
  <si>
    <t>swimmer02</t>
    <phoneticPr fontId="22"/>
  </si>
  <si>
    <t>[effect:force_change_block, new_block:crash, target:block_all, ignore01:crash, ignore02:crack_bomb, ignore03:color_break, ignore04:magnet, count:1, val:24, animation:change_block],[effect:force_change_block, new_block:crack_bomb, target:block_all, ignore01:crash, ignore02:crack_bomb, ignore03:color_break, ignore04:magnet, color:blue, count:1, val:24, animation:change_block],[effect:drop_block, block_type:crack_bomb, color:block_all, val:24, rate:0.12, turn:1],[effect:reduction, target:unit_all, turn:2, color:all, val:0.33, animation:reduction_one03]</t>
    <phoneticPr fontId="22"/>
  </si>
  <si>
    <t>サマードリーム・ビヨンド</t>
    <phoneticPr fontId="22"/>
  </si>
  <si>
    <t>百花涼乱オーシャントルネード</t>
    <phoneticPr fontId="22"/>
  </si>
  <si>
    <t>giza</t>
  </si>
  <si>
    <t>夏を独り占めしちゃう！</t>
  </si>
  <si>
    <t>さぁ…私を見なさい！</t>
  </si>
  <si>
    <t>kumo</t>
  </si>
  <si>
    <t>開放的になっちゃえ〜！</t>
  </si>
  <si>
    <t>熱視線に要注意よ！</t>
  </si>
  <si>
    <t>見惚れてるの？…ふーん♪</t>
  </si>
  <si>
    <t>ランダムで最大1個ずつSCP(大)とボム(大)変換+1ターン確率で5色のボム(大)ドロップ+2ターンダメージを33%軽減</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</si>
</sst>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9">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4" fillId="29" borderId="4" xfId="0" applyFont="1" applyFill="1" applyBorder="1" applyAlignment="1">
      <alignment horizontal="left" vertical="center" wrapText="1"/>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0">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対ドラゴン&amp;アニマルダメージUP</v>
          </cell>
          <cell r="D64" t="str">
            <v>自身の攻撃対象が種族ドラゴン、アニマルの場合全ての攻撃の威力をUP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436</v>
          </cell>
          <cell r="B101" t="str">
            <v>ja</v>
          </cell>
          <cell r="C101" t="str">
            <v>対ゴッド&amp;ヒーロー ダメージUP</v>
          </cell>
          <cell r="D101" t="str">
            <v>自身の攻撃対象が種族ゴッド、ヒーローの場合全ての攻撃の威力をUP</v>
          </cell>
        </row>
        <row r="102">
          <cell r="A102">
            <v>600</v>
          </cell>
          <cell r="B102" t="str">
            <v>ja</v>
          </cell>
          <cell r="C102" t="str">
            <v>赤属性耐性25</v>
          </cell>
          <cell r="D102" t="str">
            <v>自身に対する赤属性の敵からの攻撃を25％軽減</v>
          </cell>
        </row>
        <row r="103">
          <cell r="A103">
            <v>601</v>
          </cell>
          <cell r="B103" t="str">
            <v>ja</v>
          </cell>
          <cell r="C103" t="str">
            <v>赤属性耐性25</v>
          </cell>
          <cell r="D103" t="str">
            <v>自身に対する赤属性の敵からの攻撃を25％軽減</v>
          </cell>
        </row>
        <row r="104">
          <cell r="A104">
            <v>602</v>
          </cell>
          <cell r="B104" t="str">
            <v>ja</v>
          </cell>
          <cell r="C104" t="str">
            <v>赤属性耐性25</v>
          </cell>
          <cell r="D104" t="str">
            <v>自身に対する赤属性の敵からの攻撃を25％軽減</v>
          </cell>
        </row>
        <row r="105">
          <cell r="A105">
            <v>603</v>
          </cell>
          <cell r="B105" t="str">
            <v>ja</v>
          </cell>
          <cell r="C105" t="str">
            <v>青属性耐性25</v>
          </cell>
          <cell r="D105" t="str">
            <v>自身に対する青属性の敵からの攻撃を25％軽減</v>
          </cell>
        </row>
        <row r="106">
          <cell r="A106">
            <v>604</v>
          </cell>
          <cell r="B106" t="str">
            <v>ja</v>
          </cell>
          <cell r="C106" t="str">
            <v>青属性耐性25</v>
          </cell>
          <cell r="D106" t="str">
            <v>自身に対する青属性の敵からの攻撃を25％軽減</v>
          </cell>
        </row>
        <row r="107">
          <cell r="A107">
            <v>605</v>
          </cell>
          <cell r="B107" t="str">
            <v>ja</v>
          </cell>
          <cell r="C107" t="str">
            <v>青属性耐性25</v>
          </cell>
          <cell r="D107" t="str">
            <v>自身に対する青属性の敵からの攻撃を25％軽減</v>
          </cell>
        </row>
        <row r="108">
          <cell r="A108">
            <v>606</v>
          </cell>
          <cell r="B108" t="str">
            <v>ja</v>
          </cell>
          <cell r="C108" t="str">
            <v>緑属性耐性25</v>
          </cell>
          <cell r="D108" t="str">
            <v>自身に対する緑属性の敵からの攻撃を25％軽減</v>
          </cell>
        </row>
        <row r="109">
          <cell r="A109">
            <v>607</v>
          </cell>
          <cell r="B109" t="str">
            <v>ja</v>
          </cell>
          <cell r="C109" t="str">
            <v>緑属性耐性25</v>
          </cell>
          <cell r="D109" t="str">
            <v>自身に対する緑属性の敵からの攻撃を25％軽減</v>
          </cell>
        </row>
        <row r="110">
          <cell r="A110">
            <v>608</v>
          </cell>
          <cell r="B110" t="str">
            <v>ja</v>
          </cell>
          <cell r="C110" t="str">
            <v>緑属性耐性25</v>
          </cell>
          <cell r="D110" t="str">
            <v>自身に対する緑属性の敵からの攻撃を25％軽減</v>
          </cell>
        </row>
        <row r="111">
          <cell r="A111">
            <v>609</v>
          </cell>
          <cell r="B111" t="str">
            <v>ja</v>
          </cell>
          <cell r="C111" t="str">
            <v>黄属性耐性25</v>
          </cell>
          <cell r="D111" t="str">
            <v>自身に対する黄属性の敵からの攻撃を25％軽減</v>
          </cell>
        </row>
        <row r="112">
          <cell r="A112">
            <v>610</v>
          </cell>
          <cell r="B112" t="str">
            <v>ja</v>
          </cell>
          <cell r="C112" t="str">
            <v>黄属性耐性25</v>
          </cell>
          <cell r="D112" t="str">
            <v>自身に対する黄属性の敵からの攻撃を25％軽減</v>
          </cell>
        </row>
        <row r="113">
          <cell r="A113">
            <v>611</v>
          </cell>
          <cell r="B113" t="str">
            <v>ja</v>
          </cell>
          <cell r="C113" t="str">
            <v>黄属性耐性25</v>
          </cell>
          <cell r="D113" t="str">
            <v>自身に対する黄属性の敵からの攻撃を25％軽減</v>
          </cell>
        </row>
        <row r="114">
          <cell r="A114">
            <v>612</v>
          </cell>
          <cell r="B114" t="str">
            <v>ja</v>
          </cell>
          <cell r="C114" t="str">
            <v>全属性耐性10</v>
          </cell>
          <cell r="D114" t="str">
            <v>自身に対する全属性の敵からの攻撃を10％軽減</v>
          </cell>
        </row>
        <row r="115">
          <cell r="A115">
            <v>613</v>
          </cell>
          <cell r="B115" t="str">
            <v>ja</v>
          </cell>
          <cell r="C115" t="str">
            <v>赤属性耐性10</v>
          </cell>
          <cell r="D115" t="str">
            <v>自身に対する赤属性の敵からの攻撃を10％軽減</v>
          </cell>
        </row>
        <row r="116">
          <cell r="A116">
            <v>614</v>
          </cell>
          <cell r="B116" t="str">
            <v>ja</v>
          </cell>
          <cell r="C116" t="str">
            <v>青属性耐性10</v>
          </cell>
          <cell r="D116" t="str">
            <v>自身に対する青属性の敵からの攻撃を10％軽減</v>
          </cell>
        </row>
        <row r="117">
          <cell r="A117">
            <v>615</v>
          </cell>
          <cell r="B117" t="str">
            <v>ja</v>
          </cell>
          <cell r="C117" t="str">
            <v>緑属性耐性10</v>
          </cell>
          <cell r="D117" t="str">
            <v>自身に対する緑属性の敵からの攻撃を10％軽減</v>
          </cell>
        </row>
        <row r="118">
          <cell r="A118">
            <v>616</v>
          </cell>
          <cell r="B118" t="str">
            <v>ja</v>
          </cell>
          <cell r="C118" t="str">
            <v>黄属性耐性10</v>
          </cell>
          <cell r="D118" t="str">
            <v>自身に対する黄属性の敵からの攻撃を10％軽減</v>
          </cell>
        </row>
        <row r="119">
          <cell r="A119">
            <v>617</v>
          </cell>
          <cell r="B119" t="str">
            <v>ja</v>
          </cell>
          <cell r="C119" t="str">
            <v>ゴッド種族耐性10</v>
          </cell>
          <cell r="D119" t="str">
            <v>自身に対するゴッド種族の敵からの攻撃を25％軽減</v>
          </cell>
        </row>
        <row r="120">
          <cell r="A120">
            <v>618</v>
          </cell>
          <cell r="B120" t="str">
            <v>ja</v>
          </cell>
          <cell r="C120" t="str">
            <v>赤属性耐性8</v>
          </cell>
          <cell r="D120" t="str">
            <v>自身に対する赤属性の敵からの攻撃を8%軽減</v>
          </cell>
        </row>
        <row r="121">
          <cell r="A121">
            <v>619</v>
          </cell>
          <cell r="B121" t="str">
            <v>ja</v>
          </cell>
          <cell r="C121" t="str">
            <v>青属性耐性8</v>
          </cell>
          <cell r="D121" t="str">
            <v>自身に対する青属性の敵からの攻撃を8%軽減</v>
          </cell>
        </row>
        <row r="122">
          <cell r="A122">
            <v>620</v>
          </cell>
          <cell r="B122" t="str">
            <v>ja</v>
          </cell>
          <cell r="C122" t="str">
            <v>緑属性耐性8</v>
          </cell>
          <cell r="D122" t="str">
            <v>自身に対する緑属性の敵からの攻撃を8%軽減</v>
          </cell>
        </row>
        <row r="123">
          <cell r="A123">
            <v>621</v>
          </cell>
          <cell r="B123" t="str">
            <v>ja</v>
          </cell>
          <cell r="C123" t="str">
            <v>黄属性耐性8</v>
          </cell>
          <cell r="D123" t="str">
            <v>自身に対する黄属性の敵からの攻撃を8%軽減</v>
          </cell>
        </row>
        <row r="124">
          <cell r="A124">
            <v>700</v>
          </cell>
          <cell r="B124" t="str">
            <v>ja</v>
          </cell>
          <cell r="C124" t="str">
            <v>フロア 回復</v>
          </cell>
          <cell r="D124" t="str">
            <v>全フロアの1ターン目終了時にパーティの合計HPの20％を回復する</v>
          </cell>
        </row>
        <row r="125">
          <cell r="A125">
            <v>800</v>
          </cell>
          <cell r="B125" t="str">
            <v>ja</v>
          </cell>
          <cell r="C125" t="str">
            <v>パネルブレイク30 攻撃力UP</v>
          </cell>
          <cell r="D125" t="str">
            <v>自身が先頭の時、1ターンの間に合計30個以上パネルを破壊した場合に攻撃力UP</v>
          </cell>
        </row>
        <row r="126">
          <cell r="A126">
            <v>801</v>
          </cell>
          <cell r="B126" t="str">
            <v>ja</v>
          </cell>
          <cell r="C126" t="str">
            <v>パネルブレイク30 回復力UP</v>
          </cell>
          <cell r="D126" t="str">
            <v>自身が先頭の時、1ターンの間に合計30個以上パネルを破壊した場合に回復力UP</v>
          </cell>
        </row>
        <row r="127">
          <cell r="A127">
            <v>802</v>
          </cell>
          <cell r="B127" t="str">
            <v>ja</v>
          </cell>
          <cell r="C127" t="str">
            <v>パネルブレイク30 防御力小UP</v>
          </cell>
          <cell r="D127" t="str">
            <v>自身が先頭の時、1ターンの間に合計30個以上パネルを破壊した場合に防御力小UP</v>
          </cell>
        </row>
        <row r="128">
          <cell r="A128">
            <v>803</v>
          </cell>
          <cell r="B128" t="str">
            <v>ja</v>
          </cell>
          <cell r="C128" t="str">
            <v>パネルブレイク30 防御力UP</v>
          </cell>
          <cell r="D128" t="str">
            <v>自身が先頭の時、1ターンの間に合計30個以上パネルを破壊した場合に防御力UP</v>
          </cell>
        </row>
        <row r="129">
          <cell r="A129">
            <v>804</v>
          </cell>
          <cell r="B129" t="str">
            <v>ja</v>
          </cell>
          <cell r="C129" t="str">
            <v>パネルブレイク30 防御力大UP</v>
          </cell>
          <cell r="D129" t="str">
            <v>自身が先頭の時、1ターンの間に合計30個以上パネルを破壊した場合に防御力大UP</v>
          </cell>
        </row>
        <row r="130">
          <cell r="A130">
            <v>805</v>
          </cell>
          <cell r="B130" t="str">
            <v>ja</v>
          </cell>
          <cell r="C130" t="str">
            <v>パネルブレイク30 防御力特大UP</v>
          </cell>
          <cell r="D130" t="str">
            <v>自身が先頭の時、1ターンの間に合計30個以上パネルを破壊した場合に防御力特大UP</v>
          </cell>
        </row>
        <row r="131">
          <cell r="A131">
            <v>806</v>
          </cell>
          <cell r="B131" t="str">
            <v>ja</v>
          </cell>
          <cell r="C131" t="str">
            <v>ボムブレイク10 防御力UP</v>
          </cell>
          <cell r="D131" t="str">
            <v>自身または味方が1ターンの間に合計10個以上ボムパネルを破壊した場合に防御力UP</v>
          </cell>
        </row>
        <row r="132">
          <cell r="A132">
            <v>807</v>
          </cell>
          <cell r="B132" t="str">
            <v>ja</v>
          </cell>
          <cell r="C132" t="str">
            <v>パネル18 破壊フィーバーゲージ上昇</v>
          </cell>
          <cell r="D132" t="str">
            <v>自身が先頭の時、1ターンの間に合計18個以上パネルを破壊した場合にフィーバーゲージ上昇</v>
          </cell>
        </row>
        <row r="133">
          <cell r="A133">
            <v>808</v>
          </cell>
          <cell r="B133" t="str">
            <v>ja</v>
          </cell>
          <cell r="C133" t="str">
            <v>パネルブレイク40 防御力UP</v>
          </cell>
          <cell r="D133" t="str">
            <v>自身が先頭の時、1ターンの間に合計40個以上パネルを破壊した場合に青属性ユニットの防御力を400UP</v>
          </cell>
        </row>
        <row r="134">
          <cell r="A134">
            <v>809</v>
          </cell>
          <cell r="B134" t="str">
            <v>ja</v>
          </cell>
          <cell r="C134" t="str">
            <v>パネルブレイク40 攻撃力UP</v>
          </cell>
          <cell r="D134" t="str">
            <v>自身が先頭の時、1ターンの間に合計40個以上パネルを破壊した場合に攻撃力UP</v>
          </cell>
        </row>
        <row r="135">
          <cell r="A135">
            <v>810</v>
          </cell>
          <cell r="B135" t="str">
            <v>ja</v>
          </cell>
          <cell r="C135" t="str">
            <v>パネルブレイク40 攻撃力小UP</v>
          </cell>
          <cell r="D135" t="str">
            <v>自身が先頭の時、1ターンの間に合計40個以上パネルを破壊した場合に攻撃力小UP</v>
          </cell>
        </row>
        <row r="136">
          <cell r="A136">
            <v>811</v>
          </cell>
          <cell r="B136" t="str">
            <v>ja</v>
          </cell>
          <cell r="C136" t="str">
            <v>パネルブレイク30 攻撃力小UP</v>
          </cell>
          <cell r="D136" t="str">
            <v>自身が先頭の時、1ターンの間に合計30個以上パネルを破壊した場合に攻撃力小UP</v>
          </cell>
        </row>
        <row r="137">
          <cell r="A137">
            <v>812</v>
          </cell>
          <cell r="B137" t="str">
            <v>ja</v>
          </cell>
          <cell r="C137" t="str">
            <v>パネルブレイク40 HP小回復</v>
          </cell>
          <cell r="D137" t="str">
            <v>自身が先頭の時、1ターンの間に合計40個以上パネルを破壊した場合にターン終了時HP小回復</v>
          </cell>
        </row>
        <row r="138">
          <cell r="A138">
            <v>813</v>
          </cell>
          <cell r="B138" t="str">
            <v>ja</v>
          </cell>
          <cell r="C138" t="str">
            <v>パネルブレイク100 攻撃力UP</v>
          </cell>
          <cell r="D138" t="str">
            <v>自身が先頭の時、1ターンの間に合計100個以上パネルを破壊した場合に攻撃力2140UP</v>
          </cell>
        </row>
        <row r="139">
          <cell r="A139">
            <v>814</v>
          </cell>
          <cell r="B139" t="str">
            <v>ja</v>
          </cell>
          <cell r="C139" t="str">
            <v>パネルブレイク50 タップ回数UP</v>
          </cell>
          <cell r="D139" t="str">
            <v>自身が先頭の時、1ターンの間に合計50個以上パネルを破壊した場合にタップ回数1UP</v>
          </cell>
        </row>
        <row r="140">
          <cell r="A140">
            <v>815</v>
          </cell>
          <cell r="B140" t="str">
            <v>ja</v>
          </cell>
          <cell r="C140" t="str">
            <v>パネルブレイク50 HP回復</v>
          </cell>
          <cell r="D140" t="str">
            <v>自身が先頭の時、1ターンの間に合計50個以上パネルを破壊した場合にターン終了時HP回復</v>
          </cell>
        </row>
        <row r="141">
          <cell r="A141">
            <v>816</v>
          </cell>
          <cell r="B141" t="str">
            <v>ja</v>
          </cell>
          <cell r="C141" t="str">
            <v>ボムブレイク10 黄属性攻撃力UP</v>
          </cell>
          <cell r="D141" t="str">
            <v>自身または味方が1ターンの間に合計10個以上ボムパネルを破壊した場合に黄属性ユニットの攻撃力UP</v>
          </cell>
        </row>
        <row r="142">
          <cell r="A142">
            <v>900</v>
          </cell>
          <cell r="B142" t="str">
            <v>ja</v>
          </cell>
          <cell r="C142" t="str">
            <v>チェイン12 攻撃力UP</v>
          </cell>
          <cell r="D142" t="str">
            <v>自身が先頭の時、1タップで12個以上パネルを繋げた場合に攻撃力UP</v>
          </cell>
        </row>
        <row r="143">
          <cell r="A143">
            <v>901</v>
          </cell>
          <cell r="B143" t="str">
            <v>ja</v>
          </cell>
          <cell r="C143" t="str">
            <v>チェイン12 回復力UP</v>
          </cell>
          <cell r="D143" t="str">
            <v>自身が先頭の時、1タップで12個以上パネルを繋げた場合に回復力UP</v>
          </cell>
        </row>
        <row r="144">
          <cell r="A144">
            <v>902</v>
          </cell>
          <cell r="B144" t="str">
            <v>ja</v>
          </cell>
          <cell r="C144" t="str">
            <v>チェイン12 タップ回数UP</v>
          </cell>
          <cell r="D144" t="str">
            <v>自身が先頭の時、1タップで12個以上パネルを繋げた場合にタップ回数を1回増やす</v>
          </cell>
        </row>
        <row r="145">
          <cell r="A145">
            <v>903</v>
          </cell>
          <cell r="B145" t="str">
            <v>ja</v>
          </cell>
          <cell r="C145" t="str">
            <v>チェイン18 スキルゲージUP</v>
          </cell>
          <cell r="D145" t="str">
            <v>自身が先頭の時、1タップで18個以上パネルを繋げた場合に自身のスキルゲージを1増やす(1ターンに1度だけ発動)</v>
          </cell>
        </row>
        <row r="146">
          <cell r="A146">
            <v>904</v>
          </cell>
          <cell r="B146" t="str">
            <v>ja</v>
          </cell>
          <cell r="C146" t="str">
            <v>チェイン17 回復力UP</v>
          </cell>
          <cell r="D146" t="str">
            <v>自身が先頭の時、1タップで17個以上パネルを繋げた場合に自身の回復力を2017UP</v>
          </cell>
        </row>
        <row r="147">
          <cell r="A147">
            <v>905</v>
          </cell>
          <cell r="B147" t="str">
            <v>ja</v>
          </cell>
          <cell r="C147" t="str">
            <v>チェイン12 攻撃力小UP</v>
          </cell>
          <cell r="D147" t="str">
            <v>自身が先頭の時、1タップで12個以上パネルを繋げた場合に攻撃力小UP</v>
          </cell>
        </row>
        <row r="148">
          <cell r="A148">
            <v>906</v>
          </cell>
          <cell r="B148" t="str">
            <v>ja</v>
          </cell>
          <cell r="C148" t="str">
            <v>チェイン14 回復力小UP</v>
          </cell>
          <cell r="D148" t="str">
            <v>自身が先頭の時、1タップで14個以上パネルを繋げた場合に回復力小UP</v>
          </cell>
        </row>
        <row r="149">
          <cell r="A149">
            <v>907</v>
          </cell>
          <cell r="B149" t="str">
            <v>ja</v>
          </cell>
          <cell r="C149" t="str">
            <v>チェイン14 攻撃力UP</v>
          </cell>
          <cell r="D149" t="str">
            <v>自身が先頭の時、1タップで14個以上パネルを繋げた場合に攻撃力UP</v>
          </cell>
        </row>
        <row r="150">
          <cell r="A150">
            <v>908</v>
          </cell>
          <cell r="B150" t="str">
            <v>ja</v>
          </cell>
          <cell r="C150" t="str">
            <v>チェイン16 黄属性防御力UP</v>
          </cell>
          <cell r="D150" t="str">
            <v>自身が先頭の時、1タップで16個以上パネルを繋げた場合に黄属性ユニットの防御力UP</v>
          </cell>
        </row>
        <row r="151">
          <cell r="A151">
            <v>1100</v>
          </cell>
          <cell r="B151" t="str">
            <v>ja</v>
          </cell>
          <cell r="C151" t="str">
            <v>Cパネル生成短縮</v>
          </cell>
          <cell r="D151" t="str">
            <v>自身が先頭の時、Cパネル生成に必要なチェイン数を1短縮する</v>
          </cell>
        </row>
        <row r="152">
          <cell r="A152">
            <v>1101</v>
          </cell>
          <cell r="B152" t="str">
            <v>ja</v>
          </cell>
          <cell r="C152" t="str">
            <v>Cパネル生成短縮(大)</v>
          </cell>
          <cell r="D152" t="str">
            <v>自身が先頭の時、Cパネル生成に必要なチェイン数を2短縮する</v>
          </cell>
        </row>
        <row r="153">
          <cell r="A153">
            <v>1200</v>
          </cell>
          <cell r="B153" t="str">
            <v>ja</v>
          </cell>
          <cell r="C153" t="str">
            <v>フィーバー攻撃UP</v>
          </cell>
          <cell r="D153" t="str">
            <v>自身が先頭の時、フィーバー発動時に緑属性の攻撃力と回復力UP</v>
          </cell>
        </row>
        <row r="154">
          <cell r="A154">
            <v>1300</v>
          </cell>
          <cell r="B154" t="str">
            <v>ja</v>
          </cell>
          <cell r="C154" t="str">
            <v>チェイン12 HP回復</v>
          </cell>
          <cell r="D154" t="str">
            <v>自身が先頭の時、1タップで12個以上パネルを繋げた場合にHPを2000回復(1ターンに1度だけ発動)</v>
          </cell>
        </row>
        <row r="155">
          <cell r="A155">
            <v>1400</v>
          </cell>
          <cell r="B155" t="str">
            <v>ja</v>
          </cell>
          <cell r="C155" t="str">
            <v>カウンター威力UP</v>
          </cell>
          <cell r="D155" t="str">
            <v>4ターン毎に自身のカウンタースキルの威力が1ターンの間UP</v>
          </cell>
        </row>
        <row r="156">
          <cell r="A156">
            <v>1500</v>
          </cell>
          <cell r="B156" t="str">
            <v>ja</v>
          </cell>
          <cell r="C156" t="str">
            <v>バリア15000</v>
          </cell>
          <cell r="D156" t="str">
            <v>戦闘開始時に、自身への直接ダメージを15000まで防ぐバリアを一度だけ展開(バリアは破壊されると復活しない)</v>
          </cell>
        </row>
        <row r="157">
          <cell r="A157">
            <v>1501</v>
          </cell>
          <cell r="B157" t="str">
            <v>ja</v>
          </cell>
          <cell r="C157" t="str">
            <v>バリア</v>
          </cell>
          <cell r="D157" t="str">
            <v>戦闘開始時に、ダメージを25000まで防ぐバリアを一度だけ展開</v>
          </cell>
        </row>
        <row r="158">
          <cell r="A158">
            <v>1502</v>
          </cell>
          <cell r="B158" t="str">
            <v>ja</v>
          </cell>
          <cell r="C158" t="str">
            <v>バリア</v>
          </cell>
          <cell r="D158" t="str">
            <v>戦闘開始時に、ダメージを50000まで防ぐバリアを一度だけ展開</v>
          </cell>
        </row>
        <row r="159">
          <cell r="A159">
            <v>1503</v>
          </cell>
          <cell r="B159" t="str">
            <v>ja</v>
          </cell>
          <cell r="C159" t="str">
            <v>バリア8000</v>
          </cell>
          <cell r="D159" t="str">
            <v>戦闘開始時に、自身への直接ダメージを8000まで防ぐバリアを一度だけ展開(バリアは破壊されると復活しない)</v>
          </cell>
        </row>
        <row r="160">
          <cell r="A160">
            <v>1504</v>
          </cell>
          <cell r="B160" t="str">
            <v>ja</v>
          </cell>
          <cell r="C160" t="str">
            <v>バリア10000</v>
          </cell>
          <cell r="D160" t="str">
            <v>戦闘開始時に、自身への直接ダメージを10000まで防ぐバリアを一度だけ展開(バリアは破壊されると復活しない)</v>
          </cell>
        </row>
        <row r="161">
          <cell r="A161">
            <v>1505</v>
          </cell>
          <cell r="B161" t="str">
            <v>ja</v>
          </cell>
          <cell r="C161" t="str">
            <v>バリア3939</v>
          </cell>
          <cell r="D161" t="str">
            <v>戦闘開始時に、自身への直接ダメージを3939まで防ぐバリアを一度だけ展開(バリアは破壊されると復活しない)</v>
          </cell>
        </row>
        <row r="162">
          <cell r="A162">
            <v>1600</v>
          </cell>
          <cell r="B162" t="str">
            <v>ja</v>
          </cell>
          <cell r="C162" t="str">
            <v>攻撃力・回復力UP</v>
          </cell>
          <cell r="D162" t="str">
            <v>自身の攻撃力と回復力をUP</v>
          </cell>
        </row>
        <row r="163">
          <cell r="A163">
            <v>1700</v>
          </cell>
          <cell r="B163" t="str">
            <v>ja</v>
          </cell>
          <cell r="C163" t="str">
            <v>パネルブレイク30 ターンHP小回復</v>
          </cell>
          <cell r="D163" t="str">
            <v>自身が先頭の時、1ターンの間に合計30個以上パネルを破壊した場合に1ターン HP小回復</v>
          </cell>
        </row>
        <row r="164">
          <cell r="A164">
            <v>1800</v>
          </cell>
          <cell r="B164" t="str">
            <v>ja</v>
          </cell>
          <cell r="C164" t="str">
            <v>フィーバー強化</v>
          </cell>
          <cell r="D164" t="str">
            <v>フィーバー時自身の攻撃力、回復力を特大UP</v>
          </cell>
        </row>
        <row r="165">
          <cell r="A165">
            <v>1900</v>
          </cell>
          <cell r="B165" t="str">
            <v>ja</v>
          </cell>
          <cell r="C165" t="str">
            <v>ハート出現率UP</v>
          </cell>
          <cell r="D165" t="str">
            <v>自身が先頭の時、ハートパネルの出現率UP</v>
          </cell>
        </row>
        <row r="166">
          <cell r="A166">
            <v>2000</v>
          </cell>
          <cell r="B166" t="str">
            <v>ja</v>
          </cell>
          <cell r="C166" t="str">
            <v>赤パネル出現率UP</v>
          </cell>
          <cell r="D166" t="str">
            <v>自身が先頭の時、赤パネルの出現率UP</v>
          </cell>
        </row>
        <row r="167">
          <cell r="A167">
            <v>2100</v>
          </cell>
          <cell r="B167" t="str">
            <v>ja</v>
          </cell>
          <cell r="C167" t="str">
            <v>緑パネル出現率UP</v>
          </cell>
          <cell r="D167" t="str">
            <v>自身が先頭の時、緑パネルの出現率UP</v>
          </cell>
        </row>
        <row r="168">
          <cell r="A168">
            <v>2200</v>
          </cell>
          <cell r="B168" t="str">
            <v>ja</v>
          </cell>
          <cell r="C168" t="str">
            <v>青パネル出現率UP</v>
          </cell>
          <cell r="D168" t="str">
            <v>自身が先頭の時、青パネルの出現率UP</v>
          </cell>
        </row>
        <row r="169">
          <cell r="A169">
            <v>2201</v>
          </cell>
          <cell r="B169" t="str">
            <v>ja</v>
          </cell>
          <cell r="C169" t="str">
            <v>青パネル出現率UP</v>
          </cell>
          <cell r="D169" t="str">
            <v>自身が先頭の時、青パネルの出現率UP</v>
          </cell>
        </row>
        <row r="170">
          <cell r="A170">
            <v>2300</v>
          </cell>
          <cell r="B170" t="str">
            <v>ja</v>
          </cell>
          <cell r="C170" t="str">
            <v>黄パネル出現率UP</v>
          </cell>
          <cell r="D170" t="str">
            <v>自身が先頭の時、黄パネルの出現率UP</v>
          </cell>
        </row>
        <row r="171">
          <cell r="A171">
            <v>2400</v>
          </cell>
          <cell r="B171" t="str">
            <v>ja</v>
          </cell>
          <cell r="C171" t="str">
            <v>ハートボムパネルドロップ</v>
          </cell>
          <cell r="D171" t="str">
            <v>自身が先頭の時、ハートパネルを確率でハートボムパネルに変換しドロップ</v>
          </cell>
        </row>
        <row r="172">
          <cell r="A172">
            <v>2401</v>
          </cell>
          <cell r="B172" t="str">
            <v>ja</v>
          </cell>
          <cell r="C172" t="str">
            <v>赤ボムパネルドロップ</v>
          </cell>
          <cell r="D172" t="str">
            <v>自身が先頭の時、赤パネルを低確率で赤ボムパネルに変換しドロップ</v>
          </cell>
        </row>
        <row r="173">
          <cell r="A173">
            <v>2402</v>
          </cell>
          <cell r="B173" t="str">
            <v>ja</v>
          </cell>
          <cell r="C173" t="str">
            <v>緑ボムパネルドロップ</v>
          </cell>
          <cell r="D173" t="str">
            <v>自身が先頭の時、緑パネルを低確率で緑ボムパネルに変換しドロップ</v>
          </cell>
        </row>
        <row r="174">
          <cell r="A174">
            <v>2403</v>
          </cell>
          <cell r="B174" t="str">
            <v>ja</v>
          </cell>
          <cell r="C174" t="str">
            <v>青ボムパネルドロップ</v>
          </cell>
          <cell r="D174" t="str">
            <v>自身が先頭の時、青パネルを確率で青ボムパネルに変換しドロップ</v>
          </cell>
        </row>
        <row r="175">
          <cell r="A175">
            <v>2500</v>
          </cell>
          <cell r="B175" t="str">
            <v>ja</v>
          </cell>
          <cell r="C175" t="str">
            <v>青パネルドロップ</v>
          </cell>
          <cell r="D175" t="str">
            <v>自身が先頭の時、緑パネルを確率で青パネルに変換しドロップ</v>
          </cell>
        </row>
        <row r="176">
          <cell r="A176">
            <v>2501</v>
          </cell>
          <cell r="B176" t="str">
            <v>ja</v>
          </cell>
          <cell r="C176" t="str">
            <v>黄パネルドロップ</v>
          </cell>
          <cell r="D176" t="str">
            <v>自身が先頭の時、青パネルを確率で黄パネルに変換しドロップ</v>
          </cell>
        </row>
        <row r="177">
          <cell r="A177">
            <v>2502</v>
          </cell>
          <cell r="B177" t="str">
            <v>ja</v>
          </cell>
          <cell r="C177" t="str">
            <v>赤パネルドロップ</v>
          </cell>
          <cell r="D177" t="str">
            <v>自身が先頭の時、黄パネルを確率で赤パネルに変換しドロップ</v>
          </cell>
        </row>
        <row r="178">
          <cell r="A178">
            <v>2503</v>
          </cell>
          <cell r="B178" t="str">
            <v>ja</v>
          </cell>
          <cell r="C178" t="str">
            <v>黄パネルドロップ</v>
          </cell>
          <cell r="D178" t="str">
            <v>自身が先頭の時、赤パネルを確率で黄パネルに変換しドロップ</v>
          </cell>
        </row>
        <row r="179">
          <cell r="A179">
            <v>2504</v>
          </cell>
          <cell r="B179" t="str">
            <v>ja</v>
          </cell>
          <cell r="C179" t="str">
            <v>SCパネルドロップ</v>
          </cell>
          <cell r="D179" t="str">
            <v>自身が先頭の時、緑パネルを確率でSCパネルに変換しドロップ</v>
          </cell>
        </row>
        <row r="180">
          <cell r="A180">
            <v>2505</v>
          </cell>
          <cell r="B180" t="str">
            <v>ja</v>
          </cell>
          <cell r="C180" t="str">
            <v>緑ボムパネル(大)ドロップ</v>
          </cell>
          <cell r="D180" t="str">
            <v>自身が先頭の時、低確率で緑ボムパネル(大)をドロップ</v>
          </cell>
        </row>
        <row r="181">
          <cell r="A181">
            <v>2506</v>
          </cell>
          <cell r="B181" t="str">
            <v>ja</v>
          </cell>
          <cell r="C181" t="str">
            <v>ハートボムパネル(大)ドロップ</v>
          </cell>
          <cell r="D181" t="str">
            <v>自身が先頭の時、低確率でハートボムパネル(大)をドロップ</v>
          </cell>
        </row>
        <row r="182">
          <cell r="A182">
            <v>2507</v>
          </cell>
          <cell r="B182" t="str">
            <v>ja</v>
          </cell>
          <cell r="C182" t="str">
            <v>Cパネルドロップ</v>
          </cell>
          <cell r="D182" t="str">
            <v>自身が先頭の時、低確率でCパネルをドロップ</v>
          </cell>
        </row>
        <row r="183">
          <cell r="A183">
            <v>2600</v>
          </cell>
          <cell r="B183" t="str">
            <v>ja</v>
          </cell>
          <cell r="C183" t="str">
            <v>回復力400UP</v>
          </cell>
          <cell r="D183" t="str">
            <v>自身の回復力を400UP</v>
          </cell>
        </row>
        <row r="184">
          <cell r="A184">
            <v>2601</v>
          </cell>
          <cell r="B184" t="str">
            <v>ja</v>
          </cell>
          <cell r="C184" t="str">
            <v>回復力300UP</v>
          </cell>
          <cell r="D184" t="str">
            <v>自身の回復力を300UP</v>
          </cell>
        </row>
        <row r="185">
          <cell r="A185">
            <v>2700</v>
          </cell>
          <cell r="B185" t="str">
            <v>ja</v>
          </cell>
          <cell r="C185" t="str">
            <v>攻撃力UP</v>
          </cell>
          <cell r="D185" t="str">
            <v>自身の攻撃力を300UP</v>
          </cell>
        </row>
        <row r="186">
          <cell r="A186">
            <v>2701</v>
          </cell>
          <cell r="B186" t="str">
            <v>ja</v>
          </cell>
          <cell r="C186" t="str">
            <v>攻撃力UP</v>
          </cell>
          <cell r="D186" t="str">
            <v>自身の攻撃力を500UP</v>
          </cell>
        </row>
        <row r="187">
          <cell r="A187">
            <v>2800</v>
          </cell>
          <cell r="B187" t="str">
            <v>ja</v>
          </cell>
          <cell r="C187" t="str">
            <v>防御力UP</v>
          </cell>
          <cell r="D187" t="str">
            <v>自身の防御力を250UP</v>
          </cell>
        </row>
        <row r="188">
          <cell r="A188">
            <v>2801</v>
          </cell>
          <cell r="B188" t="str">
            <v>ja</v>
          </cell>
          <cell r="C188" t="str">
            <v>防御力UP</v>
          </cell>
          <cell r="D188" t="str">
            <v>自身の防御力を350UP</v>
          </cell>
        </row>
        <row r="189">
          <cell r="A189">
            <v>2802</v>
          </cell>
          <cell r="B189" t="str">
            <v>ja</v>
          </cell>
          <cell r="C189" t="str">
            <v>防御力UP</v>
          </cell>
          <cell r="D189" t="str">
            <v>自身の防御力を300UP</v>
          </cell>
        </row>
        <row r="190">
          <cell r="A190">
            <v>2803</v>
          </cell>
          <cell r="B190" t="str">
            <v>ja</v>
          </cell>
          <cell r="C190" t="str">
            <v>防御力UP</v>
          </cell>
          <cell r="D190" t="str">
            <v>自身の防御力を400UP</v>
          </cell>
        </row>
        <row r="191">
          <cell r="A191">
            <v>2900</v>
          </cell>
          <cell r="B191" t="str">
            <v>ja</v>
          </cell>
          <cell r="C191" t="str">
            <v>フィーバー50 攻撃力小UP</v>
          </cell>
          <cell r="D191" t="str">
            <v>フィーバーゲージが50％以上の時、自身の攻撃力小UP</v>
          </cell>
        </row>
        <row r="192">
          <cell r="A192">
            <v>2901</v>
          </cell>
          <cell r="B192" t="str">
            <v>ja</v>
          </cell>
          <cell r="C192" t="str">
            <v>フィーバー40 攻撃力UP</v>
          </cell>
          <cell r="D192" t="str">
            <v>フィーバーゲージが40％以上の時、自身の攻撃力UP</v>
          </cell>
        </row>
        <row r="193">
          <cell r="A193">
            <v>3000</v>
          </cell>
          <cell r="B193" t="str">
            <v>ja</v>
          </cell>
          <cell r="C193" t="str">
            <v>攻撃参加</v>
          </cell>
          <cell r="D193" t="str">
            <v>最初の1ターン目と、その後7ターン毎に自身が先頭以外でも通常攻撃に参加する</v>
          </cell>
        </row>
        <row r="194">
          <cell r="A194">
            <v>9000</v>
          </cell>
          <cell r="B194" t="str">
            <v>ja</v>
          </cell>
          <cell r="C194" t="str">
            <v>ハップルチャレンジ ダメージUP</v>
          </cell>
          <cell r="D194" t="str">
            <v>ハップルチャレンジ内で自身の全ての攻撃の威力をUP</v>
          </cell>
        </row>
        <row r="195">
          <cell r="A195">
            <v>119402</v>
          </cell>
          <cell r="B195" t="str">
            <v>ja</v>
          </cell>
          <cell r="C195" t="str">
            <v>ハロウィンナイトパニック！ 威力UP</v>
          </cell>
          <cell r="D195" t="str">
            <v>ハロウィンナイトパニック！内で自身の全ての攻撃の威力を究極UP</v>
          </cell>
        </row>
        <row r="196">
          <cell r="A196">
            <v>808082</v>
          </cell>
          <cell r="B196" t="str">
            <v>ja</v>
          </cell>
          <cell r="C196" t="str">
            <v>Cパネルドロップ</v>
          </cell>
          <cell r="D196" t="str">
            <v>自身が先頭の時、低確率でCパネルをドロップ</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C17" sqref="C17"/>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344</v>
      </c>
      <c r="B2" s="105" t="s">
        <v>129</v>
      </c>
      <c r="C2" s="162" t="s">
        <v>350</v>
      </c>
      <c r="D2" s="105" t="s">
        <v>128</v>
      </c>
      <c r="E2" s="104" t="str">
        <f>B2&amp;C2&amp;D2</f>
        <v>units_swimmer02.tmp</v>
      </c>
      <c r="F2" s="105" t="s">
        <v>124</v>
      </c>
      <c r="G2" s="59" t="s">
        <v>17</v>
      </c>
      <c r="H2" s="60" t="s">
        <v>96</v>
      </c>
      <c r="I2" s="60" t="s">
        <v>1</v>
      </c>
      <c r="J2" s="60" t="s">
        <v>3</v>
      </c>
      <c r="K2" s="60" t="s">
        <v>2</v>
      </c>
      <c r="L2" s="60" t="s">
        <v>98</v>
      </c>
      <c r="M2" s="60" t="s">
        <v>20</v>
      </c>
      <c r="N2" s="60" t="s">
        <v>103</v>
      </c>
      <c r="O2" s="60" t="s">
        <v>101</v>
      </c>
      <c r="P2" s="60" t="s">
        <v>39</v>
      </c>
      <c r="Q2" s="60" t="s">
        <v>57</v>
      </c>
      <c r="R2" s="60" t="s">
        <v>322</v>
      </c>
      <c r="S2" s="105"/>
      <c r="T2" s="105"/>
      <c r="U2" s="105"/>
      <c r="V2" s="105"/>
      <c r="W2" s="105"/>
    </row>
    <row r="3" spans="1:29" x14ac:dyDescent="0.15">
      <c r="A3" s="105" t="s">
        <v>183</v>
      </c>
      <c r="B3" s="105" t="s">
        <v>291</v>
      </c>
      <c r="C3" s="162" t="s">
        <v>350</v>
      </c>
      <c r="D3" s="105" t="s">
        <v>128</v>
      </c>
      <c r="E3" s="104" t="str">
        <f>B3&amp;C3&amp;D3</f>
        <v>fork_awake_units_swimmer02.tmp</v>
      </c>
      <c r="F3" s="105" t="s">
        <v>292</v>
      </c>
      <c r="G3" s="59" t="s">
        <v>17</v>
      </c>
      <c r="H3" s="60" t="s">
        <v>293</v>
      </c>
      <c r="I3" s="60" t="s">
        <v>294</v>
      </c>
      <c r="J3" s="60" t="s">
        <v>295</v>
      </c>
      <c r="K3" s="108"/>
      <c r="L3" s="108"/>
      <c r="M3" s="108"/>
      <c r="N3" s="108"/>
      <c r="O3" s="108"/>
      <c r="P3" s="108"/>
      <c r="Q3" s="108"/>
      <c r="R3" s="108"/>
      <c r="S3" s="108"/>
      <c r="T3" s="108"/>
      <c r="U3" s="108"/>
      <c r="V3" s="108"/>
      <c r="W3" s="108"/>
    </row>
    <row r="4" spans="1:29" x14ac:dyDescent="0.15">
      <c r="A4" s="105" t="s">
        <v>183</v>
      </c>
      <c r="B4" s="105" t="s">
        <v>130</v>
      </c>
      <c r="C4" s="162" t="s">
        <v>349</v>
      </c>
      <c r="D4" s="105" t="s">
        <v>128</v>
      </c>
      <c r="E4" s="104" t="str">
        <f>B4&amp;C4&amp;D4</f>
        <v>awake_materials_swimmer02.tmp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183</v>
      </c>
      <c r="B5" s="105" t="s">
        <v>290</v>
      </c>
      <c r="C5" s="162" t="s">
        <v>349</v>
      </c>
      <c r="D5" s="105" t="s">
        <v>128</v>
      </c>
      <c r="E5" s="104" t="str">
        <f>B5&amp;C5&amp;D5</f>
        <v>fork_awake_materials_swimmer02.tmp</v>
      </c>
      <c r="F5" s="105" t="s">
        <v>123</v>
      </c>
      <c r="G5" s="181" t="s">
        <v>296</v>
      </c>
      <c r="H5" s="181" t="s">
        <v>297</v>
      </c>
      <c r="I5" s="181" t="s">
        <v>36</v>
      </c>
      <c r="J5" s="181" t="s">
        <v>37</v>
      </c>
      <c r="K5" s="181" t="s">
        <v>298</v>
      </c>
      <c r="L5" s="181" t="s">
        <v>299</v>
      </c>
      <c r="M5" s="108"/>
      <c r="N5" s="108"/>
      <c r="O5" s="108"/>
      <c r="P5" s="108"/>
      <c r="Q5" s="108"/>
      <c r="R5" s="108"/>
      <c r="S5" s="108"/>
      <c r="T5" s="108"/>
      <c r="U5" s="108"/>
      <c r="V5" s="108"/>
      <c r="W5" s="108"/>
    </row>
    <row r="6" spans="1:29" x14ac:dyDescent="0.15">
      <c r="A6" s="105" t="s">
        <v>344</v>
      </c>
      <c r="B6" s="105" t="s">
        <v>131</v>
      </c>
      <c r="C6" s="162" t="s">
        <v>349</v>
      </c>
      <c r="D6" s="105" t="s">
        <v>132</v>
      </c>
      <c r="E6" s="104" t="str">
        <f t="shared" ref="E6" si="0">B6&amp;C6&amp;D6</f>
        <v>unit_levels_calc_swimmer02.tmp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344</v>
      </c>
      <c r="B7" s="105" t="s">
        <v>143</v>
      </c>
      <c r="C7" s="162" t="s">
        <v>349</v>
      </c>
      <c r="D7" s="105" t="s">
        <v>144</v>
      </c>
      <c r="E7" s="104" t="str">
        <f>B7&amp;C7&amp;D7</f>
        <v>unit_skills_data_swimmer02.tmp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344</v>
      </c>
      <c r="B8" s="105" t="s">
        <v>149</v>
      </c>
      <c r="C8" s="162" t="s">
        <v>349</v>
      </c>
      <c r="D8" s="105" t="s">
        <v>128</v>
      </c>
      <c r="E8" s="104" t="str">
        <f>B8&amp;C8&amp;D8</f>
        <v>unit_skills_i18n_swimmer02.tmp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344</v>
      </c>
      <c r="B9" s="105" t="s">
        <v>153</v>
      </c>
      <c r="C9" s="162" t="s">
        <v>349</v>
      </c>
      <c r="D9" s="105" t="s">
        <v>154</v>
      </c>
      <c r="E9" s="104" t="str">
        <f>B9&amp;C9&amp;D9</f>
        <v>crash_skills_data_swimmer02.tmp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344</v>
      </c>
      <c r="B10" s="105" t="s">
        <v>157</v>
      </c>
      <c r="C10" s="162" t="s">
        <v>349</v>
      </c>
      <c r="D10" s="105" t="s">
        <v>158</v>
      </c>
      <c r="E10" s="104" t="str">
        <f t="shared" ref="E10" si="1">B10&amp;C10&amp;D10</f>
        <v>crash_skills_i18n_swimmer02.tmp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344</v>
      </c>
      <c r="B11" s="108" t="s">
        <v>135</v>
      </c>
      <c r="C11" s="162" t="s">
        <v>349</v>
      </c>
      <c r="D11" s="105" t="s">
        <v>158</v>
      </c>
      <c r="E11" s="104" t="str">
        <f t="shared" ref="E11:E12" si="2">B11&amp;C11&amp;D11</f>
        <v>unit_serifs_data_swimmer02.tmp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344</v>
      </c>
      <c r="B12" s="108" t="s">
        <v>136</v>
      </c>
      <c r="C12" s="162" t="s">
        <v>349</v>
      </c>
      <c r="D12" s="105" t="s">
        <v>158</v>
      </c>
      <c r="E12" s="104" t="str">
        <f t="shared" si="2"/>
        <v>unit_serifs_i18n_swimmer02.tmp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183</v>
      </c>
      <c r="B13" s="105" t="s">
        <v>321</v>
      </c>
      <c r="C13" s="162" t="s">
        <v>349</v>
      </c>
      <c r="D13" s="105" t="s">
        <v>251</v>
      </c>
      <c r="E13" s="104" t="str">
        <f>B13&amp;C13&amp;D13</f>
        <v>abilities_tmp_swimmer02.tmp</v>
      </c>
      <c r="F13" s="105" t="s">
        <v>252</v>
      </c>
      <c r="G13" s="163" t="s">
        <v>253</v>
      </c>
      <c r="H13" s="163" t="s">
        <v>254</v>
      </c>
      <c r="I13" s="163" t="s">
        <v>255</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183</v>
      </c>
      <c r="B14" s="105" t="s">
        <v>256</v>
      </c>
      <c r="C14" s="162" t="s">
        <v>349</v>
      </c>
      <c r="D14" s="105" t="s">
        <v>128</v>
      </c>
      <c r="E14" s="104" t="str">
        <f>B14&amp;C14&amp;D14</f>
        <v>abilities_i18n_swimmer02.tmp</v>
      </c>
      <c r="F14" s="105" t="s">
        <v>257</v>
      </c>
      <c r="G14" s="163" t="s">
        <v>253</v>
      </c>
      <c r="H14" s="163" t="s">
        <v>141</v>
      </c>
      <c r="I14" s="163" t="s">
        <v>258</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344</v>
      </c>
      <c r="B15" s="105" t="s">
        <v>259</v>
      </c>
      <c r="C15" s="162" t="s">
        <v>349</v>
      </c>
      <c r="D15" s="105" t="s">
        <v>128</v>
      </c>
      <c r="E15" s="104" t="str">
        <f>B15&amp;C15&amp;D15</f>
        <v>unit_abilities_swimmer02.tmp</v>
      </c>
      <c r="F15" s="105" t="s">
        <v>260</v>
      </c>
      <c r="G15" s="163" t="s">
        <v>138</v>
      </c>
      <c r="H15" s="165" t="s">
        <v>261</v>
      </c>
      <c r="I15" s="165" t="s">
        <v>262</v>
      </c>
      <c r="J15" s="166" t="s">
        <v>263</v>
      </c>
      <c r="K15" s="163" t="s">
        <v>264</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2"/>
  <sheetViews>
    <sheetView showGridLines="0" workbookViewId="0">
      <pane xSplit="9" ySplit="1" topLeftCell="AR2" activePane="bottomRight" state="frozen"/>
      <selection pane="topRight" activeCell="J1" sqref="J1"/>
      <selection pane="bottomLeft" activeCell="A3" sqref="A3"/>
      <selection pane="bottomRight" activeCell="G13" sqref="G1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323</v>
      </c>
    </row>
    <row r="2" spans="1:70" ht="26" customHeight="1" x14ac:dyDescent="0.15">
      <c r="A2" s="186">
        <v>1424</v>
      </c>
      <c r="B2" s="53" t="str">
        <f ca="1">VLOOKUP($A2,OFFSET([1]characters!$A$1,0,0,COUNTA([1]characters!$A:$A),MATCH(B$1,[1]characters!$1:$1,0)-MATCH($A$1,[1]characters!$1:$1,0)+1),MATCH(B$1,[1]characters!$1:$1,0)-MATCH($A$1,[1]characters!$1:$1,0)+1,FALSE)</f>
        <v>波打際の宴麗 フロイト</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6</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blue</v>
      </c>
      <c r="J2" s="10">
        <f ca="1">VLOOKUP(I2,[1]属性!$A:$E,2,FALSE)</f>
        <v>1</v>
      </c>
      <c r="K2" s="10">
        <f ca="1">VLOOKUP(I2,[1]属性!$A:$E,3,FALSE)</f>
        <v>0.98</v>
      </c>
      <c r="L2" s="10">
        <f ca="1">VLOOKUP(I2,[1]属性!$A:$E,4,FALSE)</f>
        <v>1</v>
      </c>
      <c r="M2" s="10">
        <f ca="1">VLOOKUP(I2,[1]属性!$A:$E,5,FALSE)</f>
        <v>1.02</v>
      </c>
      <c r="N2" s="10">
        <f ca="1">INDEX(コスト!$A$1:$I$21,MATCH(H2,コスト!$A$1:$A$21,FALSE),MATCH(G2,コスト!$A$1:$I$1,FALSE))</f>
        <v>55</v>
      </c>
      <c r="O2" s="10">
        <f ca="1">INDEX(レベル!$A$1:$I$22,MATCH(H2,レベル!$A$1:$A$22,FALSE),MATCH(G2,レベル!$A$1:$I$1,FALSE))</f>
        <v>99</v>
      </c>
      <c r="P2" s="44">
        <f t="shared" ref="P2" ca="1" si="0">IF(G2 &gt;= 6, 99,G2*15)</f>
        <v>99</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academia</v>
      </c>
      <c r="X2" s="5" t="str">
        <f ca="1">VLOOKUP(W2,[1]character_tribe_i18n!$A:$H,3,FALSE)</f>
        <v>アカデミア</v>
      </c>
      <c r="Y2" s="53" t="str">
        <f ca="1">VLOOKUP($A2,OFFSET([1]characters!$A$1,0,0,COUNTA([1]characters!$A:$A),MATCH(Y$1,[1]characters!$1:$1,0)-MATCH($A$1,[1]characters!$1:$1,0)+1),MATCH(Y$1,[1]characters!$1:$1,0)-MATCH($A$1,[1]characters!$1:$1,0)+1,FALSE)</f>
        <v>machine</v>
      </c>
      <c r="Z2" s="5" t="str">
        <f ca="1">VLOOKUP(Y2,[1]character_tribe_i18n!$A:$H,3,FALSE)</f>
        <v>マシン</v>
      </c>
      <c r="AA2" s="10">
        <f ca="1">VLOOKUP(W2,[1]character_tribe_i18n!$A:$H,4,FALSE)</f>
        <v>1</v>
      </c>
      <c r="AB2" s="10">
        <f ca="1">VLOOKUP(W2,[1]character_tribe_i18n!$A:$H,5,FALSE)</f>
        <v>1</v>
      </c>
      <c r="AC2" s="10">
        <f ca="1">VLOOKUP(W2,[1]character_tribe_i18n!$A:$H,6,FALSE)</f>
        <v>1</v>
      </c>
      <c r="AD2" s="10">
        <f ca="1">VLOOKUP(W2,[1]character_tribe_i18n!$A:$H,7,FALSE)</f>
        <v>1</v>
      </c>
      <c r="AE2" s="187" t="s">
        <v>345</v>
      </c>
      <c r="AF2" s="58" t="str">
        <f ca="1">IF(AE2="NULL","",VLOOKUP($AE2,OFFSET([1]characters!$A$1,0,0,COUNTA([1]characters!$A:$A),MATCH(AF$1,[1]characters!$1:$1,0)-MATCH($A$1,[1]characters!$1:$1,0)+1),MATCH(AF$1,[1]characters!$1:$1,0)-MATCH($A$1,[1]characters!$1:$1,0)+1,FALSE))</f>
        <v/>
      </c>
      <c r="AG2" s="187">
        <v>1424</v>
      </c>
      <c r="AH2" s="58" t="str">
        <f ca="1">VLOOKUP($AG2,OFFSET([1]characters!$A$1,0,0,COUNTA([1]characters!$A:$A),MATCH(AH$1,[1]characters!$1:$1,0)-MATCH($A$1,[1]characters!$1:$1,0)+1),MATCH(AH$1,[1]characters!$1:$1,0)-MATCH($A$1,[1]characters!$1:$1,0)+1,FALSE)</f>
        <v>波打際の宴麗 フロイト</v>
      </c>
      <c r="AI2" s="10" t="str">
        <f>IF(AE2="NULL","NULL",VLOOKUP(G2,ビット!$A$2:$B$7,2))</f>
        <v>NULL</v>
      </c>
      <c r="AJ2" s="6">
        <v>2</v>
      </c>
      <c r="AK2" s="7" t="str">
        <f t="shared" ref="AK2" si="1">IF(AJ2=1,"早熟",IF(AJ2=2,"普通",IF(AJ2=3,"晩成","")))</f>
        <v>普通</v>
      </c>
      <c r="AL2" s="10" t="str">
        <f ca="1">INDEX(経験値!$A$1:$I$21,MATCH(H2,経験値!$A$1:$A$21,FALSE),MATCH(G2,経験値!$A$1:$I$1,FALSE))</f>
        <v>required_exp_300</v>
      </c>
      <c r="AM2" s="8">
        <f ca="1">VLOOKUP(G2,経験値!$A$28:$B$32,2)</f>
        <v>6400</v>
      </c>
      <c r="AN2" s="16">
        <f ca="1">VLOOKUP(G2,ビット!$G$2:$H$7,2)</f>
        <v>900</v>
      </c>
      <c r="AO2" s="41"/>
      <c r="AP2" s="63">
        <v>1424</v>
      </c>
      <c r="AQ2" s="53" t="str">
        <f ca="1">VLOOKUP($AP2,OFFSET(unit_skills!$A$1,0,0,COUNTA(unit_skills!$A:$A),MATCH(AQ$1,unit_skills!$1:$1,0)-MATCH($AP$1,unit_skills!$1:$1,0)+1),MATCH(AQ$1,unit_skills!$1:$1,0)-MATCH($AP$1,unit_skills!$1:$1,0)+1,FALSE)</f>
        <v>サマードリーム・ビヨンド</v>
      </c>
      <c r="AR2" s="53" t="str">
        <f ca="1">VLOOKUP($AP2,OFFSET(unit_skills!$A$1,0,0,COUNTA(unit_skills!$A:$A),MATCH(AR$1,unit_skills!$1:$1,0)-MATCH($AP$1,unit_skills!$1:$1,0)+1),MATCH(AR$1,unit_skills!$1:$1,0)-MATCH($AP$1,unit_skills!$1:$1,0)+1,FALSE)</f>
        <v>ランダムで最大1個ずつSCP(大)とボム(大)変換+1ターン確率で5色のボム(大)ドロップ+2ターンダメージを33%軽減</v>
      </c>
      <c r="AS2" s="53">
        <f ca="1">VLOOKUP($AP2,OFFSET(unit_skills!$A$1,0,0,COUNTA(unit_skills!$A:$A),MATCH(AS$1,unit_skills!$1:$1,0)-MATCH($AP$1,unit_skills!$1:$1,0)+1),MATCH(AS$1,unit_skills!$1:$1,0)-MATCH($AP$1,unit_skills!$1:$1,0)+1,FALSE)</f>
        <v>0</v>
      </c>
      <c r="AT2" s="63">
        <v>1424</v>
      </c>
      <c r="AU2" s="53" t="str">
        <f ca="1">VLOOKUP($AT2,OFFSET(crash_skills!$A$1,0,0,COUNTA(crash_skills!$A:$A),MATCH(AU$1,crash_skills!$1:$1,0)-MATCH($AT$1,crash_skills!$1:$1,0)+1),MATCH(AU$1,crash_skills!$1:$1,0)-MATCH($AT$1,crash_skills!$1:$1,0)+1,FALSE)</f>
        <v>百花涼乱オーシャントルネード</v>
      </c>
      <c r="AV2" s="53" t="str">
        <f ca="1">VLOOKUP($AT2,OFFSET(crash_skills!$A$1,0,0,COUNTA(crash_skills!$A:$A),MATCH(AV$1,crash_skills!$1:$1,0)-MATCH($AT$1,crash_skills!$1:$1,0)+1),MATCH(AV$1,crash_skills!$1:$1,0)-MATCH($AT$1,crash_skills!$1:$1,0)+1,FALSE)</f>
        <v>1体に特大ダメージ_x000D_種族ゴッドに効果超大</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0.95899999999999996</v>
      </c>
      <c r="AZ2" s="64">
        <v>1.147</v>
      </c>
      <c r="BA2" s="64">
        <v>0</v>
      </c>
      <c r="BB2" s="64">
        <v>0.88</v>
      </c>
      <c r="BC2" s="10">
        <f ca="1">INDEX('RC6SV'!$A$1:$G$21,MATCH(H2,'RC6SV'!$A$1:$A$21,FALSE),MATCH(G2,'RC6SV'!$A$1:$G$1,FALSE))</f>
        <v>14000</v>
      </c>
      <c r="BD2" s="44">
        <f t="shared" ref="BD2" ca="1" si="2">ROUND(BC2*IF(AJ2=1,0.95,IF(AJ2=2,1,IF(AJ2,1.05,0))),0)</f>
        <v>14000</v>
      </c>
      <c r="BE2" s="10">
        <f ca="1">ROUND(IFERROR(INDIRECT(ADDRESS(MATCH($A2,$AE:$AE,0),MATCH($BC$1,$1:$1,0))),0),0)</f>
        <v>0</v>
      </c>
      <c r="BF2" s="10">
        <f ca="1">ROUND(IFERROR(INDIRECT(ADDRESS(MATCH($A2,$AE:$AE,0),10)),INDIRECT(ADDRESS(MATCH($A2,$A:$A,0),10))),0)</f>
        <v>1</v>
      </c>
      <c r="BG2" s="15">
        <f ca="1">IF($BE2&lt;=0,ROUND(BK2*0.5,0), ROUND($BE2*S2*AA2*J2*AY2*0.8*[1]ステータス!$B$2,0))</f>
        <v>3357</v>
      </c>
      <c r="BH2" s="15">
        <f ca="1">IF($BE2&lt;=0,ROUND(BL2*0.5,0), ROUND($BE2*T2*AB2*K2*AZ2*0.8*[1]ステータス!$C$2,0))</f>
        <v>2361</v>
      </c>
      <c r="BI2" s="15">
        <f ca="1">IF($BE2&lt;=0,ROUND(BM2*0.5,0), ROUND($BE2*U2*AC2*L2*BA2*0.8*[1]ステータス!$D$2,0))</f>
        <v>0</v>
      </c>
      <c r="BJ2" s="15">
        <f ca="1">IF($BE2&lt;=0,ROUND(BN2*0.5,0), ROUND($BE2*V2*AD2*M2*BB2*0.8*[1]ステータス!$E$2,0))</f>
        <v>1571</v>
      </c>
      <c r="BK2" s="10">
        <f ca="1">ROUND(BD2*S2*AA2*J2*AY2*[1]ステータス!$B$2,0)</f>
        <v>6713</v>
      </c>
      <c r="BL2" s="10">
        <f ca="1">ROUND(BD2*T2*AB2*K2*AZ2*[1]ステータス!$C$2,0)</f>
        <v>4721</v>
      </c>
      <c r="BM2" s="10">
        <f ca="1">ROUND(BD2*U2*AC2*L2*BA2*[1]ステータス!$D$2,0)</f>
        <v>0</v>
      </c>
      <c r="BN2" s="10">
        <f ca="1">ROUND(BD2*V2*AD2*M2*BB2*[1]ステータス!$E$2,0)</f>
        <v>3142</v>
      </c>
      <c r="BO2" s="9">
        <v>0</v>
      </c>
      <c r="BP2" s="9">
        <v>1</v>
      </c>
      <c r="BQ2" s="36" t="s">
        <v>47</v>
      </c>
      <c r="BR2" s="9">
        <f ca="1">VLOOKUP(H2,[2]ghosts_label!$A$2:$B$19,2,FALSE)</f>
        <v>30000</v>
      </c>
    </row>
  </sheetData>
  <autoFilter ref="A1:BQ1"/>
  <phoneticPr fontId="10"/>
  <conditionalFormatting sqref="BO1">
    <cfRule type="cellIs" dxfId="29" priority="120" stopIfTrue="1" operator="equal">
      <formula>1</formula>
    </cfRule>
  </conditionalFormatting>
  <conditionalFormatting sqref="BQ1">
    <cfRule type="cellIs" dxfId="28"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2"/>
  <sheetViews>
    <sheetView showGridLines="0" zoomScale="115" workbookViewId="0">
      <pane xSplit="4" ySplit="1" topLeftCell="E2" activePane="bottomRight" state="frozen"/>
      <selection pane="topRight" activeCell="D1" sqref="D1"/>
      <selection pane="bottomLeft" activeCell="A2" sqref="A2"/>
      <selection pane="bottomRight" activeCell="D9" sqref="D9"/>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1424</v>
      </c>
      <c r="B2" s="129" t="s">
        <v>185</v>
      </c>
      <c r="C2" s="188" t="s">
        <v>352</v>
      </c>
      <c r="D2" s="198" t="s">
        <v>361</v>
      </c>
      <c r="E2" s="131">
        <f t="shared" ref="E2" si="0">LEN(D2)</f>
        <v>60</v>
      </c>
      <c r="F2" s="63">
        <v>13</v>
      </c>
      <c r="G2" s="113">
        <v>7</v>
      </c>
      <c r="H2" s="132">
        <f>2001</f>
        <v>2001</v>
      </c>
      <c r="I2" s="189" t="s">
        <v>351</v>
      </c>
      <c r="J2" s="53" t="str">
        <f ca="1">VLOOKUP($A2,OFFSET([1]characters!$A$1,0,0,COUNTA([1]characters!$A:$A),MATCH("name",[1]characters!$1:$1,0)-MATCH("character_id",[1]characters!$1:$1,0)+1),MATCH("name",[1]characters!$1:$1,0)-MATCH("character_id",[1]characters!$1:$1,0)+1,FALSE)</f>
        <v>波打際の宴麗 フロイト</v>
      </c>
      <c r="K2" s="133">
        <f>IFERROR(VLOOKUP(A2,[1]characters!$A:$R,18),0)</f>
        <v>3</v>
      </c>
      <c r="L2" s="134"/>
      <c r="M2" s="135"/>
      <c r="N2" s="135"/>
      <c r="O2" s="135"/>
      <c r="P2" s="135"/>
      <c r="Q2" s="135"/>
      <c r="R2" s="130"/>
      <c r="S2" s="136"/>
    </row>
  </sheetData>
  <sheetProtection selectLockedCells="1" selectUnlockedCells="1"/>
  <autoFilter ref="A1:S1">
    <sortState ref="A2:T432">
      <sortCondition ref="A1:A432"/>
    </sortState>
  </autoFilter>
  <phoneticPr fontId="22"/>
  <conditionalFormatting sqref="E1 E3:E1048576">
    <cfRule type="cellIs" dxfId="27" priority="24" operator="greaterThan">
      <formula>41</formula>
    </cfRule>
  </conditionalFormatting>
  <conditionalFormatting sqref="E2">
    <cfRule type="cellIs" dxfId="26" priority="18"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2"/>
  <sheetViews>
    <sheetView showGridLines="0" workbookViewId="0">
      <pane xSplit="4" ySplit="1" topLeftCell="E2" activePane="bottomRight" state="frozen"/>
      <selection pane="topRight" activeCell="D1" sqref="D1"/>
      <selection pane="bottomLeft" activeCell="A3" sqref="A3"/>
      <selection pane="bottomRight" activeCell="C3" sqref="C3"/>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1424</v>
      </c>
      <c r="B2" s="129" t="s">
        <v>186</v>
      </c>
      <c r="C2" s="188" t="s">
        <v>353</v>
      </c>
      <c r="D2" s="188" t="s">
        <v>346</v>
      </c>
      <c r="E2" s="131">
        <f t="shared" ref="E2" si="0">LEN(D2)</f>
        <v>20</v>
      </c>
      <c r="F2" s="190" t="s">
        <v>347</v>
      </c>
      <c r="G2" s="53" t="str">
        <f ca="1">VLOOKUP($A2,OFFSET([1]characters!$A$1,0,0,COUNTA([1]characters!$A:$A),MATCH("name",[1]characters!$1:$1,0)-MATCH("character_id",[1]characters!$1:$1,0)+1),MATCH("name",[1]characters!$1:$1,0)-MATCH("character_id",[1]characters!$1:$1,0)+1,FALSE)</f>
        <v>波打際の宴麗 フロイト</v>
      </c>
      <c r="H2" s="132">
        <f>IFERROR(VLOOKUP(A2,[1]characters!$A:$R,18),0)</f>
        <v>3</v>
      </c>
      <c r="I2" s="132"/>
      <c r="J2" s="137"/>
      <c r="K2" s="133">
        <v>1</v>
      </c>
      <c r="L2" s="134"/>
      <c r="M2" s="135"/>
      <c r="N2" s="135"/>
      <c r="O2" s="135"/>
      <c r="P2" s="135"/>
      <c r="Q2" s="135"/>
      <c r="R2" s="130"/>
      <c r="S2" s="136"/>
    </row>
  </sheetData>
  <sheetProtection selectLockedCells="1" selectUnlockedCells="1"/>
  <autoFilter ref="A1:J1"/>
  <phoneticPr fontId="22"/>
  <conditionalFormatting sqref="E2">
    <cfRule type="cellIs" dxfId="25" priority="18"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
  <sheetViews>
    <sheetView zoomScale="110" workbookViewId="0">
      <selection activeCell="E17" sqref="E17"/>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1424</v>
      </c>
      <c r="B2" s="138" t="str">
        <f>VLOOKUP(A2,[1]characters!$A:$C,3,FALSE)</f>
        <v>波打際の宴麗 フロイト</v>
      </c>
      <c r="C2" s="105" t="s">
        <v>195</v>
      </c>
      <c r="D2" s="138" t="str">
        <f t="shared" ref="D2" si="0">A2&amp;C2</f>
        <v>1424skill</v>
      </c>
      <c r="E2" s="138" t="str">
        <f>A2&amp;+(COUNTIF(A2:A$96,A2)-1)</f>
        <v>14244</v>
      </c>
      <c r="F2" s="105" t="s">
        <v>186</v>
      </c>
      <c r="G2" s="162" t="s">
        <v>354</v>
      </c>
      <c r="H2" s="162" t="s">
        <v>355</v>
      </c>
    </row>
    <row r="3" spans="1:8" x14ac:dyDescent="0.15">
      <c r="A3" s="105">
        <v>1424</v>
      </c>
      <c r="B3" s="138" t="str">
        <f>VLOOKUP(A3,[1]characters!$A:$C,3,FALSE)</f>
        <v>波打際の宴麗 フロイト</v>
      </c>
      <c r="C3" s="105" t="s">
        <v>196</v>
      </c>
      <c r="D3" s="138" t="str">
        <f>A3&amp;C3</f>
        <v>1424cskill</v>
      </c>
      <c r="E3" s="138" t="str">
        <f>A3&amp;+(COUNTIF(A3:A$96,A3)-1)</f>
        <v>14243</v>
      </c>
      <c r="F3" s="105" t="s">
        <v>186</v>
      </c>
      <c r="G3" s="162" t="s">
        <v>354</v>
      </c>
      <c r="H3" s="162" t="s">
        <v>356</v>
      </c>
    </row>
    <row r="4" spans="1:8" x14ac:dyDescent="0.15">
      <c r="A4" s="105">
        <v>1424</v>
      </c>
      <c r="B4" s="138" t="str">
        <f>VLOOKUP(A4,[1]characters!$A:$C,3,FALSE)</f>
        <v>波打際の宴麗 フロイト</v>
      </c>
      <c r="C4" s="105" t="s">
        <v>196</v>
      </c>
      <c r="D4" s="138" t="str">
        <f>A4&amp;C4</f>
        <v>1424cskill</v>
      </c>
      <c r="E4" s="138" t="str">
        <f>A4&amp;+(COUNTIF(A4:A$96,A4)-1)</f>
        <v>14242</v>
      </c>
      <c r="F4" s="105" t="s">
        <v>186</v>
      </c>
      <c r="G4" s="162" t="s">
        <v>357</v>
      </c>
      <c r="H4" s="162" t="s">
        <v>358</v>
      </c>
    </row>
    <row r="5" spans="1:8" x14ac:dyDescent="0.15">
      <c r="A5" s="105">
        <v>1424</v>
      </c>
      <c r="B5" s="138" t="str">
        <f>VLOOKUP(A5,[1]characters!$A:$C,3,FALSE)</f>
        <v>波打際の宴麗 フロイト</v>
      </c>
      <c r="C5" s="105" t="s">
        <v>196</v>
      </c>
      <c r="D5" s="138" t="str">
        <f>A5&amp;C5</f>
        <v>1424cskill</v>
      </c>
      <c r="E5" s="138" t="str">
        <f>A5&amp;+(COUNTIF(A5:A$96,A5)-1)</f>
        <v>14241</v>
      </c>
      <c r="F5" s="105" t="s">
        <v>186</v>
      </c>
      <c r="G5" s="162" t="s">
        <v>354</v>
      </c>
      <c r="H5" s="162" t="s">
        <v>359</v>
      </c>
    </row>
    <row r="6" spans="1:8" x14ac:dyDescent="0.15">
      <c r="A6" s="105">
        <v>1424</v>
      </c>
      <c r="B6" s="138" t="str">
        <f>VLOOKUP(A6,[1]characters!$A:$C,3,FALSE)</f>
        <v>波打際の宴麗 フロイト</v>
      </c>
      <c r="C6" s="105" t="s">
        <v>196</v>
      </c>
      <c r="D6" s="138" t="str">
        <f>A6&amp;C6</f>
        <v>1424cskill</v>
      </c>
      <c r="E6" s="138" t="str">
        <f>A6&amp;+(COUNTIF(A6:A$96,A6)-1)</f>
        <v>14240</v>
      </c>
      <c r="F6" s="105" t="s">
        <v>186</v>
      </c>
      <c r="G6" s="162" t="s">
        <v>357</v>
      </c>
      <c r="H6" s="162" t="s">
        <v>360</v>
      </c>
    </row>
  </sheetData>
  <phoneticPr fontId="22"/>
  <dataValidations count="2">
    <dataValidation type="list" allowBlank="1" showInputMessage="1" showErrorMessage="1" sqref="G2:G6">
      <formula1>"maru,giza,kumo"</formula1>
    </dataValidation>
    <dataValidation type="list" allowBlank="1" showInputMessage="1" showErrorMessage="1" sqref="C2:C6">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Q2" activePane="bottomRight" state="frozen"/>
      <selection pane="topRight" activeCell="J1" sqref="J1"/>
      <selection pane="bottomLeft" activeCell="A3" sqref="A3"/>
      <selection pane="bottomRight" activeCell="Q2" sqref="Q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273</v>
      </c>
      <c r="B1" s="91" t="s">
        <v>274</v>
      </c>
      <c r="C1" s="82" t="s">
        <v>275</v>
      </c>
      <c r="D1" s="82" t="s">
        <v>276</v>
      </c>
      <c r="E1" s="82" t="s">
        <v>277</v>
      </c>
      <c r="F1" s="82" t="s">
        <v>278</v>
      </c>
      <c r="G1" s="82" t="s">
        <v>1</v>
      </c>
      <c r="H1" s="175" t="s">
        <v>19</v>
      </c>
      <c r="I1" s="82" t="s">
        <v>0</v>
      </c>
      <c r="J1" s="81" t="s">
        <v>279</v>
      </c>
      <c r="K1" s="82" t="s">
        <v>274</v>
      </c>
      <c r="L1" s="83" t="s">
        <v>49</v>
      </c>
      <c r="M1" s="83" t="s">
        <v>48</v>
      </c>
      <c r="N1" s="83" t="s">
        <v>280</v>
      </c>
      <c r="O1" s="83" t="s">
        <v>281</v>
      </c>
      <c r="P1" s="88" t="s">
        <v>282</v>
      </c>
      <c r="Q1" s="87" t="s">
        <v>283</v>
      </c>
      <c r="R1" s="76" t="s">
        <v>274</v>
      </c>
      <c r="S1" s="88" t="s">
        <v>284</v>
      </c>
      <c r="T1" s="76" t="s">
        <v>274</v>
      </c>
      <c r="U1" s="88" t="s">
        <v>285</v>
      </c>
    </row>
    <row r="2" spans="1:21" ht="21" customHeight="1" x14ac:dyDescent="0.15">
      <c r="A2" s="191" t="s">
        <v>313</v>
      </c>
      <c r="B2" s="53" t="e">
        <f ca="1">VLOOKUP($A2,OFFSET([1]characters!$A$1,0,0,COUNTA([1]characters!$A:$A),MATCH(B$1,[1]characters!$1:$1,0)-MATCH($A$1,[1]characters!$1:$1,0)+1),MATCH(B$1,[1]characters!$1:$1,0)-MATCH($A$1,[1]characters!$1:$1,0)+1,FALSE)</f>
        <v>#N/A</v>
      </c>
      <c r="C2" s="53" t="e">
        <f ca="1">VLOOKUP($A2,OFFSET([1]characters!$A$1,0,0,COUNTA([1]characters!$A:$A),MATCH(C$1,[1]characters!$1:$1,0)-MATCH($A$1,[1]characters!$1:$1,0)+1),MATCH(C$1,[1]characters!$1:$1,0)-MATCH($A$1,[1]characters!$1:$1,0)+1,FALSE)</f>
        <v>#N/A</v>
      </c>
      <c r="D2" s="53" t="e">
        <f ca="1">VLOOKUP($A2,OFFSET([1]characters!$A$1,0,0,COUNTA([1]characters!$A:$A),MATCH(D$1,[1]characters!$1:$1,0)-MATCH($A$1,[1]characters!$1:$1,0)+1),MATCH(D$1,[1]characters!$1:$1,0)-MATCH($A$1,[1]characters!$1:$1,0)+1,FALSE)</f>
        <v>#N/A</v>
      </c>
      <c r="E2" s="53" t="e">
        <f ca="1">VLOOKUP($A2,OFFSET([1]characters!$A$1,0,0,COUNTA([1]characters!$A:$A),MATCH(E$1,[1]characters!$1:$1,0)-MATCH($A$1,[1]characters!$1:$1,0)+1),MATCH(E$1,[1]characters!$1:$1,0)-MATCH($A$1,[1]characters!$1:$1,0)+1,FALSE)</f>
        <v>#N/A</v>
      </c>
      <c r="F2" s="53" t="e">
        <f ca="1">VLOOKUP($A2,OFFSET([1]characters!$A$1,0,0,COUNTA([1]characters!$A:$A),MATCH(F$1,[1]characters!$1:$1,0)-MATCH($A$1,[1]characters!$1:$1,0)+1),MATCH(F$1,[1]characters!$1:$1,0)-MATCH($A$1,[1]characters!$1:$1,0)+1,FALSE)</f>
        <v>#N/A</v>
      </c>
      <c r="G2" s="53" t="e">
        <f ca="1">VLOOKUP($A2,OFFSET([1]characters!$A$1,0,0,COUNTA([1]characters!$A:$A),MATCH(G$1,[1]characters!$1:$1,0)-MATCH($A$1,[1]characters!$1:$1,0)+1),MATCH(G$1,[1]characters!$1:$1,0)-MATCH($A$1,[1]characters!$1:$1,0)+1,FALSE)</f>
        <v>#N/A</v>
      </c>
      <c r="H2" s="53" t="e">
        <f ca="1">VLOOKUP($A2,OFFSET([1]characters!$A$1,0,0,COUNTA([1]characters!$A:$A),MATCH(H$1,[1]characters!$1:$1,0)-MATCH($A$1,[1]characters!$1:$1,0)+1),MATCH(H$1,[1]characters!$1:$1,0)-MATCH($A$1,[1]characters!$1:$1,0)+1,FALSE)</f>
        <v>#N/A</v>
      </c>
      <c r="I2" s="53" t="e">
        <f ca="1">VLOOKUP($A2,OFFSET([1]characters!$A$1,0,0,COUNTA([1]characters!$A:$A),MATCH(I$1,[1]characters!$1:$1,0)-MATCH($A$1,[1]characters!$1:$1,0)+1),MATCH(I$1,[1]characters!$1:$1,0)-MATCH($A$1,[1]characters!$1:$1,0)+1,FALSE)</f>
        <v>#N/A</v>
      </c>
      <c r="J2" s="53" t="e">
        <f ca="1">VLOOKUP($A2,OFFSET([1]characters!$A$1,0,0,COUNTA([1]characters!$A:$A),MATCH(J$1,[1]characters!$1:$1,0)-MATCH($A$1,[1]characters!$1:$1,0)+1),MATCH(J$1,[1]characters!$1:$1,0)-MATCH($A$1,[1]characters!$1:$1,0)+1,FALSE)</f>
        <v>#N/A</v>
      </c>
      <c r="K2" s="5" t="e">
        <f ca="1">VLOOKUP(J2,[1]character_tribe_i18n!$A:$H,3,FALSE)</f>
        <v>#N/A</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awaketype</v>
      </c>
      <c r="Q2" s="187" t="s">
        <v>314</v>
      </c>
      <c r="R2" s="58" t="e">
        <f ca="1">IF(Q2="NULL","",VLOOKUP($Q2,OFFSET([1]characters!$A$1,0,0,COUNTA([1]characters!$A:$A),MATCH(R$1,[1]characters!$1:$1,0)-MATCH($A$1,[1]characters!$1:$1,0)+1),MATCH(R$1,[1]characters!$1:$1,0)-MATCH($A$1,[1]characters!$1:$1,0)+1,FALSE))</f>
        <v>#N/A</v>
      </c>
      <c r="S2" s="5" t="str">
        <f ca="1">IF(ISNA(MATCH(A2,Q:Q,0)),A2,INDIRECT(ADDRESS(MATCH(A2,Q:Q,0),COLUMN())))</f>
        <v>覚醒があるユニットのみID入れる</v>
      </c>
      <c r="T2" s="58" t="e">
        <f ca="1">VLOOKUP($S2,OFFSET([1]characters!$A$1,0,0,COUNTA([1]characters!$A:$A),MATCH(T$1,[1]characters!$1:$1,0)-MATCH($A$1,[1]characters!$1:$1,0)+1),MATCH(T$1,[1]characters!$1:$1,0)-MATCH($A$1,[1]characters!$1:$1,0)+1,FALSE)</f>
        <v>#N/A</v>
      </c>
      <c r="U2" s="10" t="e">
        <f ca="1">IF(Q2="NULL","NULL",VLOOKUP(G2,[3]ビット!$A$2:$B$7,2))</f>
        <v>#N/A</v>
      </c>
    </row>
  </sheetData>
  <autoFilter ref="A1:U2"/>
  <phoneticPr fontId="22"/>
  <conditionalFormatting sqref="W1:W1048576">
    <cfRule type="cellIs" dxfId="24" priority="6"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topLeftCell="H1" workbookViewId="0">
      <pane ySplit="1" topLeftCell="A2" activePane="bottomLeft" state="frozen"/>
      <selection pane="bottomLeft" activeCell="H17" sqref="H17"/>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286</v>
      </c>
      <c r="D1" s="18" t="s">
        <v>40</v>
      </c>
      <c r="E1" s="18" t="s">
        <v>42</v>
      </c>
      <c r="F1" s="18" t="s">
        <v>43</v>
      </c>
      <c r="G1" s="177" t="s">
        <v>287</v>
      </c>
      <c r="H1" s="18" t="s">
        <v>40</v>
      </c>
      <c r="I1" s="40" t="s">
        <v>36</v>
      </c>
      <c r="J1" s="18" t="s">
        <v>41</v>
      </c>
      <c r="K1" s="17" t="s">
        <v>37</v>
      </c>
      <c r="L1" s="179" t="s">
        <v>127</v>
      </c>
      <c r="M1" s="180" t="s">
        <v>289</v>
      </c>
    </row>
    <row r="2" spans="1:14" ht="21" customHeight="1" x14ac:dyDescent="0.15">
      <c r="A2" s="61" t="str">
        <f>B2&amp;"_"&amp;I2</f>
        <v>覚醒ベースユニットのID_素材のID</v>
      </c>
      <c r="B2" s="195" t="s">
        <v>315</v>
      </c>
      <c r="C2" s="178" t="str">
        <f>B2</f>
        <v>覚醒ベースユニットのID</v>
      </c>
      <c r="D2" s="53" t="e">
        <f ca="1">VLOOKUP($C2,OFFSET([1]characters!$A$1,0,0,COUNTA([1]characters!$A:$A),MATCH(D$1,[1]characters!$1:$1,0)-MATCH($C$1,[1]characters!$1:$1,0)+1),MATCH(D$1,[1]characters!$1:$1,0)-MATCH($C$1,[1]characters!$1:$1,0)+1,FALSE)</f>
        <v>#N/A</v>
      </c>
      <c r="E2" s="53" t="e">
        <f ca="1">VLOOKUP($C2,OFFSET([1]characters!$A$1,0,0,COUNTA([1]characters!$A:$A),MATCH(E$1,[1]characters!$1:$1,0)-MATCH($C$1,[1]characters!$1:$1,0)+1),MATCH(E$1,[1]characters!$1:$1,0)-MATCH($C$1,[1]characters!$1:$1,0)+1,FALSE)</f>
        <v>#N/A</v>
      </c>
      <c r="F2" s="53" t="e">
        <f ca="1">VLOOKUP($C2,OFFSET([1]characters!$A$1,0,0,COUNTA([1]characters!$A:$A),MATCH(F$1,[1]characters!$1:$1,0)-MATCH($C$1,[1]characters!$1:$1,0)+1),MATCH(F$1,[1]characters!$1:$1,0)-MATCH($C$1,[1]characters!$1:$1,0)+1,FALSE)</f>
        <v>#N/A</v>
      </c>
      <c r="G2" s="195" t="s">
        <v>316</v>
      </c>
      <c r="H2" s="53" t="e">
        <f ca="1">VLOOKUP($G2,OFFSET([1]characters!$A$1,0,0,COUNTA([1]characters!$A:$A),MATCH(H$1,[1]characters!$1:$1,0)-MATCH($C$1,[1]characters!$1:$1,0)+1),MATCH(H$1,[1]characters!$1:$1,0)-MATCH($C$1,[1]characters!$1:$1,0)+1,FALSE)</f>
        <v>#N/A</v>
      </c>
      <c r="I2" s="194" t="s">
        <v>317</v>
      </c>
      <c r="J2" s="53" t="e">
        <f ca="1">VLOOKUP($I2,OFFSET([1]characters!$A$1,0,0,COUNTA([1]characters!$A:$A),MATCH(J$1,[1]characters!$1:$1,0)-MATCH($C$1,[1]characters!$1:$1,0)+1),MATCH(J$1,[1]characters!$1:$1,0)-MATCH($C$1,[1]characters!$1:$1,0)+1,FALSE)</f>
        <v>#N/A</v>
      </c>
      <c r="K2" s="192" t="s">
        <v>320</v>
      </c>
      <c r="L2" s="193" t="s">
        <v>319</v>
      </c>
      <c r="M2" s="193" t="s">
        <v>318</v>
      </c>
      <c r="N2" s="2" t="s">
        <v>288</v>
      </c>
    </row>
    <row r="3" spans="1:14" ht="21" customHeight="1" x14ac:dyDescent="0.15">
      <c r="A3" s="61" t="str">
        <f>B3&amp;"_"&amp;I3</f>
        <v>覚醒ベースユニットのID_素材のID</v>
      </c>
      <c r="B3" s="195" t="s">
        <v>315</v>
      </c>
      <c r="C3" s="178" t="str">
        <f>B3</f>
        <v>覚醒ベースユニットのID</v>
      </c>
      <c r="D3" s="53" t="e">
        <f ca="1">VLOOKUP($C3,OFFSET([1]characters!$A$1,0,0,COUNTA([1]characters!$A:$A),MATCH(D$1,[1]characters!$1:$1,0)-MATCH($C$1,[1]characters!$1:$1,0)+1),MATCH(D$1,[1]characters!$1:$1,0)-MATCH($C$1,[1]characters!$1:$1,0)+1,FALSE)</f>
        <v>#N/A</v>
      </c>
      <c r="E3" s="53" t="e">
        <f ca="1">VLOOKUP($C3,OFFSET([1]characters!$A$1,0,0,COUNTA([1]characters!$A:$A),MATCH(E$1,[1]characters!$1:$1,0)-MATCH($C$1,[1]characters!$1:$1,0)+1),MATCH(E$1,[1]characters!$1:$1,0)-MATCH($C$1,[1]characters!$1:$1,0)+1,FALSE)</f>
        <v>#N/A</v>
      </c>
      <c r="F3" s="53" t="e">
        <f ca="1">VLOOKUP($C3,OFFSET([1]characters!$A$1,0,0,COUNTA([1]characters!$A:$A),MATCH(F$1,[1]characters!$1:$1,0)-MATCH($C$1,[1]characters!$1:$1,0)+1),MATCH(F$1,[1]characters!$1:$1,0)-MATCH($C$1,[1]characters!$1:$1,0)+1,FALSE)</f>
        <v>#N/A</v>
      </c>
      <c r="G3" s="195" t="s">
        <v>316</v>
      </c>
      <c r="H3" s="53" t="e">
        <f ca="1">VLOOKUP($G3,OFFSET([1]characters!$A$1,0,0,COUNTA([1]characters!$A:$A),MATCH(H$1,[1]characters!$1:$1,0)-MATCH($C$1,[1]characters!$1:$1,0)+1),MATCH(H$1,[1]characters!$1:$1,0)-MATCH($C$1,[1]characters!$1:$1,0)+1,FALSE)</f>
        <v>#N/A</v>
      </c>
      <c r="I3" s="194" t="s">
        <v>317</v>
      </c>
      <c r="J3" s="53" t="e">
        <f ca="1">VLOOKUP($I3,OFFSET([1]characters!$A$1,0,0,COUNTA([1]characters!$A:$A),MATCH(J$1,[1]characters!$1:$1,0)-MATCH($C$1,[1]characters!$1:$1,0)+1),MATCH(J$1,[1]characters!$1:$1,0)-MATCH($C$1,[1]characters!$1:$1,0)+1,FALSE)</f>
        <v>#N/A</v>
      </c>
      <c r="K3" s="192" t="s">
        <v>320</v>
      </c>
      <c r="L3" s="193" t="s">
        <v>319</v>
      </c>
      <c r="M3" s="193" t="s">
        <v>318</v>
      </c>
      <c r="N3" s="2" t="s">
        <v>288</v>
      </c>
    </row>
    <row r="4" spans="1:14" ht="21" customHeight="1" x14ac:dyDescent="0.15">
      <c r="A4" s="61" t="str">
        <f>B4&amp;"_"&amp;I4</f>
        <v>覚醒ベースユニットのID_素材のID</v>
      </c>
      <c r="B4" s="195" t="s">
        <v>315</v>
      </c>
      <c r="C4" s="178" t="str">
        <f>B4</f>
        <v>覚醒ベースユニットのID</v>
      </c>
      <c r="D4" s="53" t="e">
        <f ca="1">VLOOKUP($C4,OFFSET([1]characters!$A$1,0,0,COUNTA([1]characters!$A:$A),MATCH(D$1,[1]characters!$1:$1,0)-MATCH($C$1,[1]characters!$1:$1,0)+1),MATCH(D$1,[1]characters!$1:$1,0)-MATCH($C$1,[1]characters!$1:$1,0)+1,FALSE)</f>
        <v>#N/A</v>
      </c>
      <c r="E4" s="53" t="e">
        <f ca="1">VLOOKUP($C4,OFFSET([1]characters!$A$1,0,0,COUNTA([1]characters!$A:$A),MATCH(E$1,[1]characters!$1:$1,0)-MATCH($C$1,[1]characters!$1:$1,0)+1),MATCH(E$1,[1]characters!$1:$1,0)-MATCH($C$1,[1]characters!$1:$1,0)+1,FALSE)</f>
        <v>#N/A</v>
      </c>
      <c r="F4" s="53" t="e">
        <f ca="1">VLOOKUP($C4,OFFSET([1]characters!$A$1,0,0,COUNTA([1]characters!$A:$A),MATCH(F$1,[1]characters!$1:$1,0)-MATCH($C$1,[1]characters!$1:$1,0)+1),MATCH(F$1,[1]characters!$1:$1,0)-MATCH($C$1,[1]characters!$1:$1,0)+1,FALSE)</f>
        <v>#N/A</v>
      </c>
      <c r="G4" s="195" t="s">
        <v>316</v>
      </c>
      <c r="H4" s="53" t="e">
        <f ca="1">VLOOKUP($G4,OFFSET([1]characters!$A$1,0,0,COUNTA([1]characters!$A:$A),MATCH(H$1,[1]characters!$1:$1,0)-MATCH($C$1,[1]characters!$1:$1,0)+1),MATCH(H$1,[1]characters!$1:$1,0)-MATCH($C$1,[1]characters!$1:$1,0)+1,FALSE)</f>
        <v>#N/A</v>
      </c>
      <c r="I4" s="194" t="s">
        <v>317</v>
      </c>
      <c r="J4" s="53" t="e">
        <f ca="1">VLOOKUP($I4,OFFSET([1]characters!$A$1,0,0,COUNTA([1]characters!$A:$A),MATCH(J$1,[1]characters!$1:$1,0)-MATCH($C$1,[1]characters!$1:$1,0)+1),MATCH(J$1,[1]characters!$1:$1,0)-MATCH($C$1,[1]characters!$1:$1,0)+1,FALSE)</f>
        <v>#N/A</v>
      </c>
      <c r="K4" s="192" t="s">
        <v>320</v>
      </c>
      <c r="L4" s="193" t="s">
        <v>319</v>
      </c>
      <c r="M4" s="193" t="s">
        <v>318</v>
      </c>
      <c r="N4" s="2" t="s">
        <v>288</v>
      </c>
    </row>
    <row r="5" spans="1:14" ht="21" customHeight="1" x14ac:dyDescent="0.15">
      <c r="A5" s="61" t="str">
        <f>B5&amp;"_"&amp;I5</f>
        <v>覚醒ベースユニットのID_素材のID</v>
      </c>
      <c r="B5" s="195" t="s">
        <v>315</v>
      </c>
      <c r="C5" s="178" t="str">
        <f>B5</f>
        <v>覚醒ベースユニットのID</v>
      </c>
      <c r="D5" s="53" t="e">
        <f ca="1">VLOOKUP($C5,OFFSET([1]characters!$A$1,0,0,COUNTA([1]characters!$A:$A),MATCH(D$1,[1]characters!$1:$1,0)-MATCH($C$1,[1]characters!$1:$1,0)+1),MATCH(D$1,[1]characters!$1:$1,0)-MATCH($C$1,[1]characters!$1:$1,0)+1,FALSE)</f>
        <v>#N/A</v>
      </c>
      <c r="E5" s="53" t="e">
        <f ca="1">VLOOKUP($C5,OFFSET([1]characters!$A$1,0,0,COUNTA([1]characters!$A:$A),MATCH(E$1,[1]characters!$1:$1,0)-MATCH($C$1,[1]characters!$1:$1,0)+1),MATCH(E$1,[1]characters!$1:$1,0)-MATCH($C$1,[1]characters!$1:$1,0)+1,FALSE)</f>
        <v>#N/A</v>
      </c>
      <c r="F5" s="53" t="e">
        <f ca="1">VLOOKUP($C5,OFFSET([1]characters!$A$1,0,0,COUNTA([1]characters!$A:$A),MATCH(F$1,[1]characters!$1:$1,0)-MATCH($C$1,[1]characters!$1:$1,0)+1),MATCH(F$1,[1]characters!$1:$1,0)-MATCH($C$1,[1]characters!$1:$1,0)+1,FALSE)</f>
        <v>#N/A</v>
      </c>
      <c r="G5" s="195" t="s">
        <v>316</v>
      </c>
      <c r="H5" s="53" t="e">
        <f ca="1">VLOOKUP($G5,OFFSET([1]characters!$A$1,0,0,COUNTA([1]characters!$A:$A),MATCH(H$1,[1]characters!$1:$1,0)-MATCH($C$1,[1]characters!$1:$1,0)+1),MATCH(H$1,[1]characters!$1:$1,0)-MATCH($C$1,[1]characters!$1:$1,0)+1,FALSE)</f>
        <v>#N/A</v>
      </c>
      <c r="I5" s="194" t="s">
        <v>317</v>
      </c>
      <c r="J5" s="53" t="e">
        <f ca="1">VLOOKUP($I5,OFFSET([1]characters!$A$1,0,0,COUNTA([1]characters!$A:$A),MATCH(J$1,[1]characters!$1:$1,0)-MATCH($C$1,[1]characters!$1:$1,0)+1),MATCH(J$1,[1]characters!$1:$1,0)-MATCH($C$1,[1]characters!$1:$1,0)+1,FALSE)</f>
        <v>#N/A</v>
      </c>
      <c r="K5" s="192" t="s">
        <v>320</v>
      </c>
      <c r="L5" s="193" t="s">
        <v>319</v>
      </c>
      <c r="M5" s="193" t="s">
        <v>318</v>
      </c>
      <c r="N5" s="2" t="s">
        <v>288</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8" activeCellId="1" sqref="A2:XFD2 D18"/>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300</v>
      </c>
      <c r="B1" s="115" t="s">
        <v>301</v>
      </c>
      <c r="C1" s="116" t="s">
        <v>302</v>
      </c>
      <c r="D1" s="117" t="s">
        <v>303</v>
      </c>
      <c r="E1" s="117" t="s">
        <v>304</v>
      </c>
      <c r="F1" s="117" t="s">
        <v>305</v>
      </c>
      <c r="G1" s="117" t="s">
        <v>306</v>
      </c>
      <c r="H1" s="117" t="s">
        <v>307</v>
      </c>
      <c r="I1" s="173" t="s">
        <v>308</v>
      </c>
      <c r="J1" s="168" t="s">
        <v>309</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
  <sheetViews>
    <sheetView workbookViewId="0">
      <selection activeCell="B4" sqref="B4"/>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265</v>
      </c>
      <c r="C1" s="115" t="s">
        <v>266</v>
      </c>
      <c r="D1" s="115" t="s">
        <v>267</v>
      </c>
      <c r="E1" s="171" t="s">
        <v>268</v>
      </c>
      <c r="F1" s="171" t="s">
        <v>269</v>
      </c>
      <c r="G1" s="118" t="s">
        <v>270</v>
      </c>
      <c r="H1" s="167" t="s">
        <v>271</v>
      </c>
    </row>
    <row r="2" spans="1:8" s="4" customFormat="1" ht="21" customHeight="1" x14ac:dyDescent="0.15">
      <c r="A2" s="169">
        <v>1424</v>
      </c>
      <c r="B2" s="172" t="str">
        <f>VLOOKUP(A2,[1]characters!$A:$C,3)</f>
        <v>波打際の宴麗 フロイト</v>
      </c>
      <c r="C2" s="196">
        <v>1</v>
      </c>
      <c r="D2" s="196">
        <v>103</v>
      </c>
      <c r="E2" s="173" t="str">
        <f>IF(ISERROR(VLOOKUP(D2,[4]abilities!A:D,3,FALSE))=FALSE,VLOOKUP(D2,[4]abilities!A:D,3),IF(ISERROR(VLOOKUP(D2,abilities!A:D,3,FALSE))=FALSE,VLOOKUP(D2,abilities!A:D,3),"なし"))</f>
        <v>お邪魔ブレイク</v>
      </c>
      <c r="F2" s="173" t="str">
        <f>IF(ISERROR(VLOOKUP(D2,[4]abilities!A:D,4,FALSE))=FALSE,VLOOKUP(D2,[4]abilities!A:D,4),IF(ISERROR(VLOOKUP(D2,abilities!A:D,4,FALSE))=FALSE,VLOOKUP(D2,abilities!A:D,4),"なし"))</f>
        <v>自身が先頭の時、お邪魔パネルを破壊できる</v>
      </c>
      <c r="G2" s="174" t="s">
        <v>272</v>
      </c>
      <c r="H2" s="197" t="s">
        <v>348</v>
      </c>
    </row>
    <row r="3" spans="1:8" s="4" customFormat="1" ht="21" customHeight="1" x14ac:dyDescent="0.15">
      <c r="A3" s="169">
        <v>1424</v>
      </c>
      <c r="B3" s="172" t="str">
        <f>VLOOKUP(A3,[1]characters!$A:$C,3)</f>
        <v>波打際の宴麗 フロイト</v>
      </c>
      <c r="C3" s="196">
        <v>2</v>
      </c>
      <c r="D3" s="196">
        <v>2201</v>
      </c>
      <c r="E3" s="173" t="str">
        <f>IF(ISERROR(VLOOKUP(D3,[4]abilities!A:D,3,FALSE))=FALSE,VLOOKUP(D3,[4]abilities!A:D,3),IF(ISERROR(VLOOKUP(D3,abilities!A:D,3,FALSE))=FALSE,VLOOKUP(D3,abilities!A:D,3),"なし"))</f>
        <v>青パネル出現率UP</v>
      </c>
      <c r="F3" s="173" t="str">
        <f>IF(ISERROR(VLOOKUP(D3,[4]abilities!A:D,4,FALSE))=FALSE,VLOOKUP(D3,[4]abilities!A:D,4),IF(ISERROR(VLOOKUP(D3,abilities!A:D,4,FALSE))=FALSE,VLOOKUP(D3,abilities!A:D,4),"なし"))</f>
        <v>自身が先頭の時、青パネルの出現率UP</v>
      </c>
      <c r="G3" s="174" t="s">
        <v>272</v>
      </c>
      <c r="H3" s="197" t="s">
        <v>348</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232</v>
      </c>
      <c r="B1" s="30">
        <v>1</v>
      </c>
      <c r="C1" s="30">
        <v>2</v>
      </c>
      <c r="D1" s="30">
        <v>3</v>
      </c>
      <c r="E1" s="30">
        <v>4</v>
      </c>
      <c r="F1" s="30">
        <v>5</v>
      </c>
      <c r="G1" s="30">
        <v>6</v>
      </c>
      <c r="H1" s="30">
        <v>7</v>
      </c>
      <c r="I1" s="30">
        <v>8</v>
      </c>
    </row>
    <row r="2" spans="1:9" s="4" customFormat="1" ht="21" customHeight="1" x14ac:dyDescent="0.15">
      <c r="A2" s="141" t="s">
        <v>233</v>
      </c>
      <c r="B2" s="142"/>
      <c r="C2" s="143"/>
      <c r="D2" s="144" t="s">
        <v>234</v>
      </c>
      <c r="E2" s="144">
        <v>30</v>
      </c>
      <c r="F2" s="144">
        <v>40</v>
      </c>
      <c r="G2" s="144">
        <f>15+F2</f>
        <v>55</v>
      </c>
      <c r="H2" s="143"/>
      <c r="I2" s="143"/>
    </row>
    <row r="3" spans="1:9" s="4" customFormat="1" ht="21" customHeight="1" x14ac:dyDescent="0.15">
      <c r="A3" s="141" t="s">
        <v>235</v>
      </c>
      <c r="B3" s="145"/>
      <c r="C3" s="146"/>
      <c r="D3" s="147" t="s">
        <v>234</v>
      </c>
      <c r="E3" s="147">
        <v>25</v>
      </c>
      <c r="F3" s="147">
        <v>35</v>
      </c>
      <c r="G3" s="144">
        <f t="shared" ref="G3:G4" si="0">15+F3</f>
        <v>50</v>
      </c>
      <c r="H3" s="146"/>
      <c r="I3" s="146"/>
    </row>
    <row r="4" spans="1:9" s="4" customFormat="1" ht="21" customHeight="1" x14ac:dyDescent="0.15">
      <c r="A4" s="141" t="s">
        <v>236</v>
      </c>
      <c r="B4" s="148"/>
      <c r="C4" s="149"/>
      <c r="D4" s="150">
        <v>10</v>
      </c>
      <c r="E4" s="150">
        <v>20</v>
      </c>
      <c r="F4" s="150">
        <v>30</v>
      </c>
      <c r="G4" s="150">
        <f t="shared" si="0"/>
        <v>45</v>
      </c>
      <c r="H4" s="149"/>
      <c r="I4" s="149"/>
    </row>
    <row r="5" spans="1:9" s="4" customFormat="1" ht="21" customHeight="1" x14ac:dyDescent="0.15">
      <c r="A5" s="160" t="s">
        <v>237</v>
      </c>
      <c r="B5" s="155"/>
      <c r="C5" s="156"/>
      <c r="D5" s="26">
        <v>9</v>
      </c>
      <c r="E5" s="26">
        <v>18</v>
      </c>
      <c r="F5" s="26">
        <v>28</v>
      </c>
      <c r="G5" s="37">
        <v>38</v>
      </c>
      <c r="H5" s="156"/>
      <c r="I5" s="156"/>
    </row>
    <row r="6" spans="1:9" s="4" customFormat="1" ht="21" customHeight="1" x14ac:dyDescent="0.15">
      <c r="A6" s="160" t="s">
        <v>238</v>
      </c>
      <c r="B6" s="155"/>
      <c r="C6" s="156"/>
      <c r="D6" s="26">
        <v>7</v>
      </c>
      <c r="E6" s="26">
        <v>16</v>
      </c>
      <c r="F6" s="65" t="s">
        <v>11</v>
      </c>
      <c r="G6" s="65" t="s">
        <v>11</v>
      </c>
      <c r="H6" s="156"/>
      <c r="I6" s="156"/>
    </row>
    <row r="7" spans="1:9" ht="21" customHeight="1" x14ac:dyDescent="0.15">
      <c r="A7" s="70" t="s">
        <v>239</v>
      </c>
      <c r="B7" s="43" t="s">
        <v>11</v>
      </c>
      <c r="C7" s="43" t="s">
        <v>11</v>
      </c>
      <c r="D7" s="37" t="s">
        <v>234</v>
      </c>
      <c r="E7" s="37" t="s">
        <v>234</v>
      </c>
      <c r="F7" s="37" t="s">
        <v>234</v>
      </c>
      <c r="G7" s="37" t="s">
        <v>234</v>
      </c>
      <c r="H7" s="37" t="s">
        <v>234</v>
      </c>
      <c r="I7" s="37" t="s">
        <v>234</v>
      </c>
    </row>
    <row r="8" spans="1:9" ht="21" customHeight="1" x14ac:dyDescent="0.15">
      <c r="A8" s="71" t="s">
        <v>240</v>
      </c>
      <c r="B8" s="43" t="s">
        <v>11</v>
      </c>
      <c r="C8" s="43" t="s">
        <v>11</v>
      </c>
      <c r="D8" s="37" t="s">
        <v>234</v>
      </c>
      <c r="E8" s="37">
        <v>30</v>
      </c>
      <c r="F8" s="37">
        <v>40</v>
      </c>
      <c r="G8" s="37">
        <f>15+F8</f>
        <v>55</v>
      </c>
      <c r="H8" s="37" t="s">
        <v>234</v>
      </c>
      <c r="I8" s="37" t="s">
        <v>234</v>
      </c>
    </row>
    <row r="9" spans="1:9" s="42" customFormat="1" ht="21" customHeight="1" x14ac:dyDescent="0.15">
      <c r="A9" s="72" t="s">
        <v>310</v>
      </c>
      <c r="B9" s="26" t="s">
        <v>11</v>
      </c>
      <c r="C9" s="26" t="s">
        <v>11</v>
      </c>
      <c r="D9" s="102" t="s">
        <v>109</v>
      </c>
      <c r="E9" s="102" t="s">
        <v>109</v>
      </c>
      <c r="F9" s="102">
        <v>38</v>
      </c>
      <c r="G9" s="37">
        <f>15+F9</f>
        <v>53</v>
      </c>
      <c r="H9" s="102" t="s">
        <v>109</v>
      </c>
      <c r="I9" s="102" t="s">
        <v>109</v>
      </c>
    </row>
    <row r="10" spans="1:9" s="42" customFormat="1" ht="21" customHeight="1" x14ac:dyDescent="0.15">
      <c r="A10" s="72" t="s">
        <v>241</v>
      </c>
      <c r="B10" s="26" t="s">
        <v>11</v>
      </c>
      <c r="C10" s="26" t="s">
        <v>11</v>
      </c>
      <c r="D10" s="102" t="s">
        <v>234</v>
      </c>
      <c r="E10" s="102">
        <v>25</v>
      </c>
      <c r="F10" s="102">
        <v>35</v>
      </c>
      <c r="G10" s="37">
        <f t="shared" ref="G10:G11" si="1">15+F10</f>
        <v>50</v>
      </c>
      <c r="H10" s="102" t="s">
        <v>234</v>
      </c>
      <c r="I10" s="102" t="s">
        <v>234</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242</v>
      </c>
      <c r="B12" s="65" t="s">
        <v>11</v>
      </c>
      <c r="C12" s="65" t="s">
        <v>11</v>
      </c>
      <c r="D12" s="26">
        <v>9</v>
      </c>
      <c r="E12" s="26">
        <v>18</v>
      </c>
      <c r="F12" s="26">
        <v>28</v>
      </c>
      <c r="G12" s="37">
        <v>38</v>
      </c>
      <c r="H12" s="65" t="s">
        <v>11</v>
      </c>
      <c r="I12" s="65" t="s">
        <v>11</v>
      </c>
    </row>
    <row r="13" spans="1:9" ht="21" customHeight="1" x14ac:dyDescent="0.15">
      <c r="A13" s="72" t="s">
        <v>243</v>
      </c>
      <c r="B13" s="65" t="s">
        <v>11</v>
      </c>
      <c r="C13" s="65" t="s">
        <v>11</v>
      </c>
      <c r="D13" s="26">
        <v>7</v>
      </c>
      <c r="E13" s="26">
        <v>16</v>
      </c>
      <c r="F13" s="183">
        <v>26</v>
      </c>
      <c r="G13" s="65" t="s">
        <v>11</v>
      </c>
      <c r="H13" s="65" t="s">
        <v>11</v>
      </c>
      <c r="I13" s="65" t="s">
        <v>11</v>
      </c>
    </row>
    <row r="14" spans="1:9" ht="21" customHeight="1" x14ac:dyDescent="0.15">
      <c r="A14" s="101" t="s">
        <v>244</v>
      </c>
      <c r="B14" s="65" t="s">
        <v>11</v>
      </c>
      <c r="C14" s="65" t="s">
        <v>11</v>
      </c>
      <c r="D14" s="26">
        <v>8</v>
      </c>
      <c r="E14" s="26">
        <v>17</v>
      </c>
      <c r="F14" s="26">
        <v>26</v>
      </c>
      <c r="G14" s="65" t="s">
        <v>11</v>
      </c>
      <c r="H14" s="65" t="s">
        <v>11</v>
      </c>
      <c r="I14" s="65" t="s">
        <v>11</v>
      </c>
    </row>
    <row r="15" spans="1:9" ht="21" customHeight="1" x14ac:dyDescent="0.15">
      <c r="A15" s="72" t="s">
        <v>245</v>
      </c>
      <c r="B15" s="65" t="s">
        <v>11</v>
      </c>
      <c r="C15" s="65" t="s">
        <v>11</v>
      </c>
      <c r="D15" s="26">
        <v>8</v>
      </c>
      <c r="E15" s="26">
        <v>17</v>
      </c>
      <c r="F15" s="26">
        <v>26</v>
      </c>
      <c r="G15" s="65" t="s">
        <v>11</v>
      </c>
      <c r="H15" s="65" t="s">
        <v>11</v>
      </c>
      <c r="I15" s="65" t="s">
        <v>11</v>
      </c>
    </row>
    <row r="16" spans="1:9" ht="21" customHeight="1" x14ac:dyDescent="0.15">
      <c r="A16" s="72" t="s">
        <v>246</v>
      </c>
      <c r="B16" s="65" t="s">
        <v>11</v>
      </c>
      <c r="C16" s="65" t="s">
        <v>11</v>
      </c>
      <c r="D16" s="26">
        <v>6</v>
      </c>
      <c r="E16" s="26">
        <v>14</v>
      </c>
      <c r="F16" s="65" t="s">
        <v>11</v>
      </c>
      <c r="G16" s="65" t="s">
        <v>11</v>
      </c>
      <c r="H16" s="65" t="s">
        <v>11</v>
      </c>
      <c r="I16" s="65" t="s">
        <v>11</v>
      </c>
    </row>
    <row r="17" spans="1:9" ht="21" customHeight="1" x14ac:dyDescent="0.15">
      <c r="A17" s="72" t="s">
        <v>247</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248</v>
      </c>
      <c r="B20" s="24">
        <v>1</v>
      </c>
      <c r="C20" s="24">
        <v>1</v>
      </c>
      <c r="D20" s="66" t="s">
        <v>11</v>
      </c>
      <c r="E20" s="66" t="s">
        <v>11</v>
      </c>
      <c r="F20" s="66" t="s">
        <v>11</v>
      </c>
      <c r="G20" s="66" t="s">
        <v>11</v>
      </c>
      <c r="H20" s="66" t="s">
        <v>11</v>
      </c>
      <c r="I20" s="66" t="s">
        <v>11</v>
      </c>
    </row>
    <row r="21" spans="1:9" ht="21" customHeight="1" x14ac:dyDescent="0.15">
      <c r="A21" s="35" t="s">
        <v>249</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233</v>
      </c>
      <c r="B2" s="157"/>
      <c r="C2" s="143"/>
      <c r="D2" s="151" t="s">
        <v>109</v>
      </c>
      <c r="E2" s="151">
        <v>60</v>
      </c>
      <c r="F2" s="151">
        <v>80</v>
      </c>
      <c r="G2" s="151">
        <v>99</v>
      </c>
      <c r="H2" s="143"/>
      <c r="I2" s="143"/>
    </row>
    <row r="3" spans="1:9" s="4" customFormat="1" ht="21" customHeight="1" x14ac:dyDescent="0.15">
      <c r="A3" s="141" t="s">
        <v>235</v>
      </c>
      <c r="B3" s="158"/>
      <c r="C3" s="146"/>
      <c r="D3" s="151" t="s">
        <v>109</v>
      </c>
      <c r="E3" s="151">
        <v>60</v>
      </c>
      <c r="F3" s="151">
        <v>80</v>
      </c>
      <c r="G3" s="151">
        <v>99</v>
      </c>
      <c r="H3" s="146"/>
      <c r="I3" s="146"/>
    </row>
    <row r="4" spans="1:9" s="4" customFormat="1" ht="21" customHeight="1" x14ac:dyDescent="0.15">
      <c r="A4" s="141" t="s">
        <v>229</v>
      </c>
      <c r="B4" s="159"/>
      <c r="C4" s="149"/>
      <c r="D4" s="151">
        <v>40</v>
      </c>
      <c r="E4" s="151">
        <v>60</v>
      </c>
      <c r="F4" s="151">
        <v>80</v>
      </c>
      <c r="G4" s="151">
        <v>99</v>
      </c>
      <c r="H4" s="149"/>
      <c r="I4" s="149"/>
    </row>
    <row r="5" spans="1:9" s="4" customFormat="1" ht="21" customHeight="1" x14ac:dyDescent="0.15">
      <c r="A5" s="160" t="s">
        <v>237</v>
      </c>
      <c r="B5" s="155"/>
      <c r="C5" s="156"/>
      <c r="D5" s="151">
        <v>40</v>
      </c>
      <c r="E5" s="151">
        <v>60</v>
      </c>
      <c r="F5" s="151">
        <v>80</v>
      </c>
      <c r="G5" s="151">
        <v>99</v>
      </c>
      <c r="H5" s="156"/>
      <c r="I5" s="156"/>
    </row>
    <row r="6" spans="1:9" s="4" customFormat="1" ht="21" customHeight="1" x14ac:dyDescent="0.15">
      <c r="A6" s="160" t="s">
        <v>238</v>
      </c>
      <c r="B6" s="155"/>
      <c r="C6" s="156"/>
      <c r="D6" s="151">
        <v>40</v>
      </c>
      <c r="E6" s="151">
        <v>60</v>
      </c>
      <c r="F6" s="151" t="s">
        <v>109</v>
      </c>
      <c r="G6" s="151" t="s">
        <v>109</v>
      </c>
      <c r="H6" s="156"/>
      <c r="I6" s="156"/>
    </row>
    <row r="7" spans="1:9" ht="21" customHeight="1" x14ac:dyDescent="0.15">
      <c r="A7" s="70" t="s">
        <v>205</v>
      </c>
      <c r="B7" s="38" t="s">
        <v>109</v>
      </c>
      <c r="C7" s="38" t="s">
        <v>109</v>
      </c>
      <c r="D7" s="38" t="s">
        <v>109</v>
      </c>
      <c r="E7" s="38" t="s">
        <v>109</v>
      </c>
      <c r="F7" s="38" t="s">
        <v>109</v>
      </c>
      <c r="G7" s="38" t="s">
        <v>109</v>
      </c>
      <c r="H7" s="38" t="s">
        <v>109</v>
      </c>
      <c r="I7" s="38" t="s">
        <v>109</v>
      </c>
    </row>
    <row r="8" spans="1:9" ht="21" customHeight="1" x14ac:dyDescent="0.15">
      <c r="A8" s="71" t="s">
        <v>240</v>
      </c>
      <c r="B8" s="38" t="s">
        <v>109</v>
      </c>
      <c r="C8" s="38" t="s">
        <v>109</v>
      </c>
      <c r="D8" s="38" t="s">
        <v>109</v>
      </c>
      <c r="E8" s="38">
        <v>60</v>
      </c>
      <c r="F8" s="38">
        <v>80</v>
      </c>
      <c r="G8" s="38">
        <v>99</v>
      </c>
      <c r="H8" s="38" t="s">
        <v>109</v>
      </c>
      <c r="I8" s="38" t="s">
        <v>109</v>
      </c>
    </row>
    <row r="9" spans="1:9" s="42" customFormat="1" ht="21" customHeight="1" x14ac:dyDescent="0.15">
      <c r="A9" s="72" t="s">
        <v>311</v>
      </c>
      <c r="B9" s="62" t="s">
        <v>109</v>
      </c>
      <c r="C9" s="62" t="s">
        <v>109</v>
      </c>
      <c r="D9" s="62" t="s">
        <v>109</v>
      </c>
      <c r="E9" s="62" t="s">
        <v>109</v>
      </c>
      <c r="F9" s="62">
        <v>80</v>
      </c>
      <c r="G9" s="62">
        <v>99</v>
      </c>
      <c r="H9" s="62" t="s">
        <v>109</v>
      </c>
      <c r="I9" s="62" t="s">
        <v>109</v>
      </c>
    </row>
    <row r="10" spans="1:9" s="42" customFormat="1" ht="21" customHeight="1" x14ac:dyDescent="0.15">
      <c r="A10" s="72" t="s">
        <v>241</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208</v>
      </c>
      <c r="B12" s="67" t="s">
        <v>109</v>
      </c>
      <c r="C12" s="67" t="s">
        <v>109</v>
      </c>
      <c r="D12" s="34">
        <v>40</v>
      </c>
      <c r="E12" s="34">
        <v>60</v>
      </c>
      <c r="F12" s="34">
        <v>80</v>
      </c>
      <c r="G12" s="62">
        <v>99</v>
      </c>
      <c r="H12" s="67" t="s">
        <v>109</v>
      </c>
      <c r="I12" s="67" t="s">
        <v>109</v>
      </c>
    </row>
    <row r="13" spans="1:9" ht="21" customHeight="1" x14ac:dyDescent="0.15">
      <c r="A13" s="72" t="s">
        <v>204</v>
      </c>
      <c r="B13" s="67" t="s">
        <v>109</v>
      </c>
      <c r="C13" s="67" t="s">
        <v>109</v>
      </c>
      <c r="D13" s="34">
        <v>40</v>
      </c>
      <c r="E13" s="34">
        <v>60</v>
      </c>
      <c r="F13" s="184">
        <v>80</v>
      </c>
      <c r="G13" s="67" t="s">
        <v>109</v>
      </c>
      <c r="H13" s="67" t="s">
        <v>109</v>
      </c>
      <c r="I13" s="67" t="s">
        <v>109</v>
      </c>
    </row>
    <row r="14" spans="1:9" ht="21" customHeight="1" x14ac:dyDescent="0.15">
      <c r="A14" s="101" t="s">
        <v>244</v>
      </c>
      <c r="B14" s="67" t="s">
        <v>109</v>
      </c>
      <c r="C14" s="67" t="s">
        <v>109</v>
      </c>
      <c r="D14" s="34">
        <v>40</v>
      </c>
      <c r="E14" s="34">
        <v>60</v>
      </c>
      <c r="F14" s="34">
        <v>80</v>
      </c>
      <c r="G14" s="67" t="s">
        <v>109</v>
      </c>
      <c r="H14" s="67" t="s">
        <v>109</v>
      </c>
      <c r="I14" s="67" t="s">
        <v>109</v>
      </c>
    </row>
    <row r="15" spans="1:9" ht="21" customHeight="1" x14ac:dyDescent="0.15">
      <c r="A15" s="72" t="s">
        <v>245</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247</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214</v>
      </c>
      <c r="F19" s="67" t="s">
        <v>214</v>
      </c>
      <c r="G19" s="67" t="s">
        <v>214</v>
      </c>
      <c r="H19" s="67" t="s">
        <v>214</v>
      </c>
      <c r="I19" s="67" t="s">
        <v>214</v>
      </c>
    </row>
    <row r="20" spans="1:9" ht="21" customHeight="1" x14ac:dyDescent="0.15">
      <c r="A20" s="74" t="s">
        <v>248</v>
      </c>
      <c r="B20" s="34">
        <v>10</v>
      </c>
      <c r="C20" s="34">
        <v>20</v>
      </c>
      <c r="D20" s="67" t="s">
        <v>214</v>
      </c>
      <c r="E20" s="67" t="s">
        <v>214</v>
      </c>
      <c r="F20" s="67" t="s">
        <v>214</v>
      </c>
      <c r="G20" s="67" t="s">
        <v>214</v>
      </c>
      <c r="H20" s="67" t="s">
        <v>214</v>
      </c>
      <c r="I20" s="67" t="s">
        <v>214</v>
      </c>
    </row>
    <row r="21" spans="1:9" ht="21" customHeight="1" x14ac:dyDescent="0.15">
      <c r="A21" s="35" t="s">
        <v>249</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233</v>
      </c>
      <c r="B2" s="142"/>
      <c r="C2" s="143"/>
      <c r="D2" s="151" t="s">
        <v>109</v>
      </c>
      <c r="E2" s="152" t="s">
        <v>59</v>
      </c>
      <c r="F2" s="152" t="s">
        <v>59</v>
      </c>
      <c r="G2" s="152" t="s">
        <v>250</v>
      </c>
      <c r="H2" s="143"/>
      <c r="I2" s="143"/>
    </row>
    <row r="3" spans="1:11" s="4" customFormat="1" ht="21" customHeight="1" x14ac:dyDescent="0.15">
      <c r="A3" s="141" t="s">
        <v>235</v>
      </c>
      <c r="B3" s="145"/>
      <c r="C3" s="146"/>
      <c r="D3" s="152" t="s">
        <v>59</v>
      </c>
      <c r="E3" s="152" t="s">
        <v>59</v>
      </c>
      <c r="F3" s="152" t="s">
        <v>59</v>
      </c>
      <c r="G3" s="152" t="s">
        <v>228</v>
      </c>
      <c r="H3" s="146"/>
      <c r="I3" s="146"/>
    </row>
    <row r="4" spans="1:11" s="4" customFormat="1" ht="21" customHeight="1" x14ac:dyDescent="0.15">
      <c r="A4" s="141" t="s">
        <v>229</v>
      </c>
      <c r="B4" s="148"/>
      <c r="C4" s="149"/>
      <c r="D4" s="153" t="s">
        <v>59</v>
      </c>
      <c r="E4" s="153" t="s">
        <v>59</v>
      </c>
      <c r="F4" s="153" t="s">
        <v>59</v>
      </c>
      <c r="G4" s="152" t="s">
        <v>228</v>
      </c>
      <c r="H4" s="149"/>
      <c r="I4" s="149"/>
    </row>
    <row r="5" spans="1:11" s="4" customFormat="1" ht="21" customHeight="1" x14ac:dyDescent="0.15">
      <c r="A5" s="160" t="s">
        <v>237</v>
      </c>
      <c r="B5" s="155"/>
      <c r="C5" s="156"/>
      <c r="D5" s="153" t="s">
        <v>59</v>
      </c>
      <c r="E5" s="153" t="s">
        <v>59</v>
      </c>
      <c r="F5" s="153" t="s">
        <v>59</v>
      </c>
      <c r="G5" s="152" t="s">
        <v>218</v>
      </c>
      <c r="H5" s="156"/>
      <c r="I5" s="156"/>
    </row>
    <row r="6" spans="1:11" s="4" customFormat="1" ht="21" customHeight="1" x14ac:dyDescent="0.15">
      <c r="A6" s="160" t="s">
        <v>238</v>
      </c>
      <c r="B6" s="155"/>
      <c r="C6" s="156"/>
      <c r="D6" s="161" t="s">
        <v>60</v>
      </c>
      <c r="E6" s="161" t="s">
        <v>60</v>
      </c>
      <c r="F6" s="151" t="s">
        <v>109</v>
      </c>
      <c r="G6" s="151" t="s">
        <v>109</v>
      </c>
      <c r="H6" s="156"/>
      <c r="I6" s="156"/>
    </row>
    <row r="7" spans="1:11" ht="21" customHeight="1" x14ac:dyDescent="0.15">
      <c r="A7" s="70" t="s">
        <v>205</v>
      </c>
      <c r="B7" s="38" t="s">
        <v>109</v>
      </c>
      <c r="C7" s="38" t="s">
        <v>109</v>
      </c>
      <c r="D7" s="38" t="s">
        <v>109</v>
      </c>
      <c r="E7" s="38" t="s">
        <v>109</v>
      </c>
      <c r="F7" s="38" t="s">
        <v>109</v>
      </c>
      <c r="G7" s="38" t="s">
        <v>109</v>
      </c>
      <c r="H7" s="38" t="s">
        <v>109</v>
      </c>
      <c r="I7" s="38" t="s">
        <v>109</v>
      </c>
    </row>
    <row r="8" spans="1:11" ht="21" customHeight="1" x14ac:dyDescent="0.15">
      <c r="A8" s="71" t="s">
        <v>240</v>
      </c>
      <c r="B8" s="38" t="s">
        <v>109</v>
      </c>
      <c r="C8" s="38" t="s">
        <v>109</v>
      </c>
      <c r="D8" s="38" t="s">
        <v>215</v>
      </c>
      <c r="E8" s="48" t="s">
        <v>115</v>
      </c>
      <c r="F8" s="48" t="s">
        <v>115</v>
      </c>
      <c r="G8" s="48" t="s">
        <v>216</v>
      </c>
      <c r="H8" s="38" t="s">
        <v>215</v>
      </c>
      <c r="I8" s="38" t="s">
        <v>109</v>
      </c>
    </row>
    <row r="9" spans="1:11" s="42" customFormat="1" ht="21" customHeight="1" x14ac:dyDescent="0.15">
      <c r="A9" s="72" t="s">
        <v>310</v>
      </c>
      <c r="B9" s="62" t="s">
        <v>109</v>
      </c>
      <c r="C9" s="62" t="s">
        <v>109</v>
      </c>
      <c r="D9" s="62" t="s">
        <v>109</v>
      </c>
      <c r="E9" s="62" t="s">
        <v>109</v>
      </c>
      <c r="F9" s="48" t="s">
        <v>59</v>
      </c>
      <c r="G9" s="48" t="s">
        <v>115</v>
      </c>
      <c r="H9" s="62" t="s">
        <v>109</v>
      </c>
      <c r="I9" s="62" t="s">
        <v>109</v>
      </c>
    </row>
    <row r="10" spans="1:11" s="42" customFormat="1" ht="21" customHeight="1" x14ac:dyDescent="0.15">
      <c r="A10" s="72" t="s">
        <v>241</v>
      </c>
      <c r="B10" s="62" t="s">
        <v>109</v>
      </c>
      <c r="C10" s="62" t="s">
        <v>109</v>
      </c>
      <c r="D10" s="62" t="s">
        <v>109</v>
      </c>
      <c r="E10" s="48" t="s">
        <v>59</v>
      </c>
      <c r="F10" s="48" t="s">
        <v>59</v>
      </c>
      <c r="G10" s="48" t="s">
        <v>115</v>
      </c>
      <c r="H10" s="62" t="s">
        <v>217</v>
      </c>
      <c r="I10" s="62" t="s">
        <v>217</v>
      </c>
    </row>
    <row r="11" spans="1:11" ht="21" customHeight="1" x14ac:dyDescent="0.15">
      <c r="A11" s="72" t="s">
        <v>9</v>
      </c>
      <c r="B11" s="67" t="s">
        <v>109</v>
      </c>
      <c r="C11" s="67" t="s">
        <v>109</v>
      </c>
      <c r="D11" s="48" t="s">
        <v>59</v>
      </c>
      <c r="E11" s="48" t="s">
        <v>59</v>
      </c>
      <c r="F11" s="48" t="s">
        <v>59</v>
      </c>
      <c r="G11" s="48" t="s">
        <v>218</v>
      </c>
      <c r="H11" s="67" t="s">
        <v>217</v>
      </c>
      <c r="I11" s="67" t="s">
        <v>217</v>
      </c>
      <c r="K11" s="25" t="s">
        <v>12</v>
      </c>
    </row>
    <row r="12" spans="1:11" ht="21" customHeight="1" x14ac:dyDescent="0.15">
      <c r="A12" s="72" t="s">
        <v>208</v>
      </c>
      <c r="B12" s="67" t="s">
        <v>109</v>
      </c>
      <c r="C12" s="67" t="s">
        <v>109</v>
      </c>
      <c r="D12" s="49" t="s">
        <v>59</v>
      </c>
      <c r="E12" s="49" t="s">
        <v>59</v>
      </c>
      <c r="F12" s="49" t="s">
        <v>59</v>
      </c>
      <c r="G12" s="48" t="s">
        <v>218</v>
      </c>
      <c r="H12" s="67" t="s">
        <v>217</v>
      </c>
      <c r="I12" s="67" t="s">
        <v>217</v>
      </c>
      <c r="K12" s="27" t="s">
        <v>13</v>
      </c>
    </row>
    <row r="13" spans="1:11" ht="21" customHeight="1" x14ac:dyDescent="0.15">
      <c r="A13" s="72" t="s">
        <v>204</v>
      </c>
      <c r="B13" s="67" t="s">
        <v>109</v>
      </c>
      <c r="C13" s="67" t="s">
        <v>109</v>
      </c>
      <c r="D13" s="50" t="s">
        <v>60</v>
      </c>
      <c r="E13" s="50" t="s">
        <v>60</v>
      </c>
      <c r="F13" s="185" t="s">
        <v>59</v>
      </c>
      <c r="G13" s="67" t="s">
        <v>109</v>
      </c>
      <c r="H13" s="67" t="s">
        <v>109</v>
      </c>
      <c r="I13" s="67" t="s">
        <v>109</v>
      </c>
      <c r="K13" s="68" t="s">
        <v>35</v>
      </c>
    </row>
    <row r="14" spans="1:11" ht="21" customHeight="1" x14ac:dyDescent="0.15">
      <c r="A14" s="101" t="s">
        <v>244</v>
      </c>
      <c r="B14" s="67" t="s">
        <v>109</v>
      </c>
      <c r="C14" s="67" t="s">
        <v>109</v>
      </c>
      <c r="D14" s="51" t="s">
        <v>59</v>
      </c>
      <c r="E14" s="51" t="s">
        <v>59</v>
      </c>
      <c r="F14" s="51" t="s">
        <v>59</v>
      </c>
      <c r="G14" s="67" t="s">
        <v>109</v>
      </c>
      <c r="H14" s="67" t="s">
        <v>109</v>
      </c>
      <c r="I14" s="67" t="s">
        <v>109</v>
      </c>
      <c r="K14" s="69"/>
    </row>
    <row r="15" spans="1:11" ht="21" customHeight="1" x14ac:dyDescent="0.15">
      <c r="A15" s="72" t="s">
        <v>245</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247</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248</v>
      </c>
      <c r="B20" s="49" t="s">
        <v>63</v>
      </c>
      <c r="C20" s="49" t="s">
        <v>63</v>
      </c>
      <c r="D20" s="67" t="s">
        <v>109</v>
      </c>
      <c r="E20" s="67" t="s">
        <v>109</v>
      </c>
      <c r="F20" s="67" t="s">
        <v>109</v>
      </c>
      <c r="G20" s="67" t="s">
        <v>109</v>
      </c>
      <c r="H20" s="67" t="s">
        <v>109</v>
      </c>
      <c r="I20" s="67" t="s">
        <v>109</v>
      </c>
    </row>
    <row r="21" spans="1:9" ht="21" customHeight="1" x14ac:dyDescent="0.15">
      <c r="A21" s="35" t="s">
        <v>249</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226</v>
      </c>
      <c r="B2" s="142"/>
      <c r="C2" s="143"/>
      <c r="D2" s="154" t="s">
        <v>11</v>
      </c>
      <c r="E2" s="154">
        <v>8000</v>
      </c>
      <c r="F2" s="154">
        <v>10000</v>
      </c>
      <c r="G2" s="154">
        <v>14000</v>
      </c>
      <c r="H2" s="143"/>
      <c r="I2" s="143"/>
    </row>
    <row r="3" spans="1:9" s="4" customFormat="1" ht="21" customHeight="1" x14ac:dyDescent="0.15">
      <c r="A3" s="141" t="s">
        <v>227</v>
      </c>
      <c r="B3" s="145"/>
      <c r="C3" s="146"/>
      <c r="D3" s="154" t="s">
        <v>11</v>
      </c>
      <c r="E3" s="154">
        <v>7500</v>
      </c>
      <c r="F3" s="154">
        <v>9500</v>
      </c>
      <c r="G3" s="154">
        <v>13000</v>
      </c>
      <c r="H3" s="146"/>
      <c r="I3" s="146"/>
    </row>
    <row r="4" spans="1:9" s="4" customFormat="1" ht="21" customHeight="1" x14ac:dyDescent="0.15">
      <c r="A4" s="141" t="s">
        <v>229</v>
      </c>
      <c r="B4" s="148"/>
      <c r="C4" s="149"/>
      <c r="D4" s="154">
        <v>5000</v>
      </c>
      <c r="E4" s="154">
        <v>7000</v>
      </c>
      <c r="F4" s="154">
        <v>9000</v>
      </c>
      <c r="G4" s="154">
        <v>12000</v>
      </c>
      <c r="H4" s="149"/>
      <c r="I4" s="149"/>
    </row>
    <row r="5" spans="1:9" s="4" customFormat="1" ht="21" customHeight="1" x14ac:dyDescent="0.15">
      <c r="A5" s="160" t="s">
        <v>230</v>
      </c>
      <c r="B5" s="155"/>
      <c r="C5" s="156"/>
      <c r="D5" s="154">
        <v>4900</v>
      </c>
      <c r="E5" s="154">
        <v>6700</v>
      </c>
      <c r="F5" s="154">
        <v>8500</v>
      </c>
      <c r="G5" s="154">
        <v>11000</v>
      </c>
      <c r="H5" s="156"/>
      <c r="I5" s="156"/>
    </row>
    <row r="6" spans="1:9" s="4" customFormat="1" ht="21" customHeight="1" x14ac:dyDescent="0.15">
      <c r="A6" s="160" t="s">
        <v>231</v>
      </c>
      <c r="B6" s="155"/>
      <c r="C6" s="156"/>
      <c r="D6" s="154">
        <v>4800</v>
      </c>
      <c r="E6" s="154">
        <v>6600</v>
      </c>
      <c r="F6" s="154" t="s">
        <v>11</v>
      </c>
      <c r="G6" s="154" t="s">
        <v>11</v>
      </c>
      <c r="H6" s="156"/>
      <c r="I6" s="156"/>
    </row>
    <row r="7" spans="1:9" ht="21" customHeight="1" x14ac:dyDescent="0.15">
      <c r="A7" s="70" t="s">
        <v>205</v>
      </c>
      <c r="B7" s="43" t="s">
        <v>11</v>
      </c>
      <c r="C7" s="43" t="s">
        <v>11</v>
      </c>
      <c r="D7" s="43" t="s">
        <v>11</v>
      </c>
      <c r="E7" s="43" t="s">
        <v>11</v>
      </c>
      <c r="F7" s="43" t="s">
        <v>11</v>
      </c>
      <c r="G7" s="43" t="s">
        <v>11</v>
      </c>
      <c r="H7" s="43" t="s">
        <v>11</v>
      </c>
      <c r="I7" s="43" t="s">
        <v>11</v>
      </c>
    </row>
    <row r="8" spans="1:9" ht="21" customHeight="1" x14ac:dyDescent="0.15">
      <c r="A8" s="71" t="s">
        <v>206</v>
      </c>
      <c r="B8" s="43" t="s">
        <v>11</v>
      </c>
      <c r="C8" s="43" t="s">
        <v>11</v>
      </c>
      <c r="D8" s="43" t="s">
        <v>11</v>
      </c>
      <c r="E8" s="43">
        <v>8000</v>
      </c>
      <c r="F8" s="26">
        <v>10000</v>
      </c>
      <c r="G8" s="43">
        <v>14000</v>
      </c>
      <c r="H8" s="43" t="s">
        <v>11</v>
      </c>
      <c r="I8" s="43" t="s">
        <v>11</v>
      </c>
    </row>
    <row r="9" spans="1:9" s="42" customFormat="1" ht="21" customHeight="1" x14ac:dyDescent="0.15">
      <c r="A9" s="182" t="s">
        <v>312</v>
      </c>
      <c r="B9" s="26" t="s">
        <v>11</v>
      </c>
      <c r="C9" s="26" t="s">
        <v>11</v>
      </c>
      <c r="D9" s="26" t="s">
        <v>11</v>
      </c>
      <c r="E9" s="26" t="s">
        <v>11</v>
      </c>
      <c r="F9" s="26">
        <v>10000</v>
      </c>
      <c r="G9" s="43">
        <v>14000</v>
      </c>
      <c r="H9" s="26" t="s">
        <v>11</v>
      </c>
      <c r="I9" s="26" t="s">
        <v>11</v>
      </c>
    </row>
    <row r="10" spans="1:9" s="42" customFormat="1" ht="21" customHeight="1" x14ac:dyDescent="0.15">
      <c r="A10" s="72" t="s">
        <v>207</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208</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209</v>
      </c>
      <c r="B14" s="65" t="s">
        <v>11</v>
      </c>
      <c r="C14" s="65" t="s">
        <v>11</v>
      </c>
      <c r="D14" s="65" t="s">
        <v>11</v>
      </c>
      <c r="E14" s="26">
        <v>6300</v>
      </c>
      <c r="F14" s="65" t="s">
        <v>11</v>
      </c>
      <c r="G14" s="65" t="s">
        <v>11</v>
      </c>
      <c r="H14" s="65" t="s">
        <v>11</v>
      </c>
      <c r="I14" s="65" t="s">
        <v>11</v>
      </c>
    </row>
    <row r="15" spans="1:9" ht="21" customHeight="1" x14ac:dyDescent="0.15">
      <c r="A15" s="72" t="s">
        <v>210</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211</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212</v>
      </c>
      <c r="B20" s="26">
        <v>1500</v>
      </c>
      <c r="C20" s="26">
        <v>2300</v>
      </c>
      <c r="D20" s="65" t="s">
        <v>11</v>
      </c>
      <c r="E20" s="65" t="s">
        <v>11</v>
      </c>
      <c r="F20" s="65" t="s">
        <v>11</v>
      </c>
      <c r="G20" s="65" t="s">
        <v>11</v>
      </c>
      <c r="H20" s="65" t="s">
        <v>11</v>
      </c>
      <c r="I20" s="65" t="s">
        <v>11</v>
      </c>
    </row>
    <row r="21" spans="1:9" ht="21" customHeight="1" x14ac:dyDescent="0.15">
      <c r="A21" s="35" t="s">
        <v>213</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324</v>
      </c>
      <c r="B1" t="s">
        <v>325</v>
      </c>
    </row>
    <row r="2" spans="1:2" x14ac:dyDescent="0.15">
      <c r="A2" t="s">
        <v>326</v>
      </c>
      <c r="B2">
        <v>1</v>
      </c>
    </row>
    <row r="3" spans="1:2" x14ac:dyDescent="0.15">
      <c r="A3" t="s">
        <v>327</v>
      </c>
      <c r="B3">
        <v>1</v>
      </c>
    </row>
    <row r="4" spans="1:2" x14ac:dyDescent="0.15">
      <c r="A4" t="s">
        <v>328</v>
      </c>
      <c r="B4">
        <v>1</v>
      </c>
    </row>
    <row r="5" spans="1:2" x14ac:dyDescent="0.15">
      <c r="A5" t="s">
        <v>329</v>
      </c>
      <c r="B5">
        <v>1</v>
      </c>
    </row>
    <row r="6" spans="1:2" x14ac:dyDescent="0.15">
      <c r="A6" t="s">
        <v>330</v>
      </c>
      <c r="B6">
        <v>1</v>
      </c>
    </row>
    <row r="7" spans="1:2" x14ac:dyDescent="0.15">
      <c r="A7" t="s">
        <v>331</v>
      </c>
      <c r="B7">
        <v>1</v>
      </c>
    </row>
    <row r="8" spans="1:2" x14ac:dyDescent="0.15">
      <c r="A8" t="s">
        <v>332</v>
      </c>
      <c r="B8">
        <v>1</v>
      </c>
    </row>
    <row r="9" spans="1:2" x14ac:dyDescent="0.15">
      <c r="A9" t="s">
        <v>333</v>
      </c>
      <c r="B9">
        <v>1</v>
      </c>
    </row>
    <row r="10" spans="1:2" x14ac:dyDescent="0.15">
      <c r="A10" t="s">
        <v>334</v>
      </c>
      <c r="B10">
        <v>1</v>
      </c>
    </row>
    <row r="11" spans="1:2" x14ac:dyDescent="0.15">
      <c r="A11" t="s">
        <v>335</v>
      </c>
      <c r="B11">
        <v>1</v>
      </c>
    </row>
    <row r="12" spans="1:2" x14ac:dyDescent="0.15">
      <c r="A12" t="s">
        <v>336</v>
      </c>
      <c r="B12">
        <v>1</v>
      </c>
    </row>
    <row r="13" spans="1:2" x14ac:dyDescent="0.15">
      <c r="A13" t="s">
        <v>337</v>
      </c>
      <c r="B13">
        <v>0</v>
      </c>
    </row>
    <row r="14" spans="1:2" x14ac:dyDescent="0.15">
      <c r="A14" t="s">
        <v>338</v>
      </c>
      <c r="B14">
        <v>500</v>
      </c>
    </row>
    <row r="15" spans="1:2" x14ac:dyDescent="0.15">
      <c r="A15" t="s">
        <v>339</v>
      </c>
      <c r="B15">
        <v>600</v>
      </c>
    </row>
    <row r="16" spans="1:2" x14ac:dyDescent="0.15">
      <c r="A16" t="s">
        <v>340</v>
      </c>
      <c r="B16">
        <v>700</v>
      </c>
    </row>
    <row r="17" spans="1:2" x14ac:dyDescent="0.15">
      <c r="A17" t="s">
        <v>341</v>
      </c>
      <c r="B17">
        <v>5500</v>
      </c>
    </row>
    <row r="18" spans="1:2" x14ac:dyDescent="0.15">
      <c r="A18" t="s">
        <v>342</v>
      </c>
      <c r="B18">
        <v>6000</v>
      </c>
    </row>
    <row r="19" spans="1:2" x14ac:dyDescent="0.15">
      <c r="A19" t="s">
        <v>343</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197</v>
      </c>
      <c r="B2" s="11">
        <v>591</v>
      </c>
    </row>
    <row r="3" spans="1:4" x14ac:dyDescent="0.15">
      <c r="A3" t="s">
        <v>198</v>
      </c>
      <c r="B3" s="128">
        <v>592</v>
      </c>
    </row>
    <row r="4" spans="1:4" x14ac:dyDescent="0.15">
      <c r="A4" t="s">
        <v>199</v>
      </c>
      <c r="B4" s="128">
        <v>593</v>
      </c>
    </row>
    <row r="7" spans="1:4" x14ac:dyDescent="0.15">
      <c r="A7" t="s">
        <v>200</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219</v>
      </c>
    </row>
    <row r="13" spans="1:4" x14ac:dyDescent="0.15">
      <c r="B13" t="s">
        <v>223</v>
      </c>
      <c r="C13" t="s">
        <v>224</v>
      </c>
      <c r="D13" t="s">
        <v>225</v>
      </c>
    </row>
    <row r="14" spans="1:4" x14ac:dyDescent="0.15">
      <c r="A14" t="s">
        <v>221</v>
      </c>
      <c r="B14" t="e">
        <f>VLOOKUP($B2,units!$A:$BN,63)</f>
        <v>#N/A</v>
      </c>
      <c r="C14" t="e">
        <f>VLOOKUP($B2,units!$A:$BN,64)</f>
        <v>#N/A</v>
      </c>
      <c r="D14" t="e">
        <f>VLOOKUP($B2,units!$A:$BN,66)</f>
        <v>#N/A</v>
      </c>
    </row>
    <row r="15" spans="1:4" x14ac:dyDescent="0.15">
      <c r="A15" t="s">
        <v>222</v>
      </c>
      <c r="B15" t="e">
        <f>VLOOKUP($B3,units!$A:$BN,63)</f>
        <v>#N/A</v>
      </c>
      <c r="C15" t="e">
        <f>VLOOKUP($B3,units!$A:$BN,64)</f>
        <v>#N/A</v>
      </c>
      <c r="D15" t="e">
        <f>VLOOKUP($B3,units!$A:$BN,66)</f>
        <v>#N/A</v>
      </c>
    </row>
    <row r="16" spans="1:4" x14ac:dyDescent="0.15">
      <c r="A16" t="s">
        <v>220</v>
      </c>
      <c r="B16" t="e">
        <f>VLOOKUP($B4,units!$A:$BN,63)</f>
        <v>#N/A</v>
      </c>
      <c r="C16" t="e">
        <f>VLOOKUP($B4,units!$A:$BN,64)</f>
        <v>#N/A</v>
      </c>
      <c r="D16" t="e">
        <f>VLOOKUP($B4,units!$A:$BN,66)</f>
        <v>#N/A</v>
      </c>
    </row>
    <row r="19" spans="1:1" ht="19" customHeight="1" x14ac:dyDescent="0.15">
      <c r="A19" t="s">
        <v>201</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202</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203</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2017-06-06T09:59:23Z</dcterms:modified>
</cp:coreProperties>
</file>