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28800" windowHeight="1432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stage_hints_complete" sheetId="19" r:id="rId8"/>
    <sheet name="stage_hints_failure" sheetId="21" r:id="rId9"/>
    <sheet name="bugbonuses" sheetId="18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stage_bonuses!#REF!</definedName>
    <definedName name="_xlnm._FilterDatabase" localSheetId="7" hidden="1">stage_hints_complete!$B$1:$L$2</definedName>
    <definedName name="_xlnm._FilterDatabase" localSheetId="8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21" l="1"/>
  <c r="O3" i="21"/>
  <c r="O2" i="21"/>
  <c r="A13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B10" i="21"/>
  <c r="I10" i="21"/>
  <c r="J10" i="21"/>
  <c r="G10" i="21"/>
  <c r="F10" i="21"/>
  <c r="E10" i="21"/>
  <c r="D10" i="21"/>
  <c r="B9" i="21"/>
  <c r="I9" i="21"/>
  <c r="J9" i="21"/>
  <c r="G9" i="21"/>
  <c r="F9" i="21"/>
  <c r="E9" i="21"/>
  <c r="D9" i="21"/>
  <c r="B8" i="21"/>
  <c r="I8" i="21"/>
  <c r="J8" i="21"/>
  <c r="G8" i="21"/>
  <c r="F8" i="21"/>
  <c r="E8" i="21"/>
  <c r="D8" i="21"/>
  <c r="B7" i="21"/>
  <c r="I7" i="21"/>
  <c r="J7" i="21"/>
  <c r="G7" i="21"/>
  <c r="F7" i="21"/>
  <c r="E7" i="21"/>
  <c r="D7" i="21"/>
  <c r="B6" i="21"/>
  <c r="I6" i="21"/>
  <c r="J6" i="21"/>
  <c r="G6" i="21"/>
  <c r="F6" i="21"/>
  <c r="E6" i="21"/>
  <c r="D6" i="21"/>
  <c r="B5" i="21"/>
  <c r="I5" i="21"/>
  <c r="J5" i="21"/>
  <c r="G5" i="21"/>
  <c r="F5" i="21"/>
  <c r="E5" i="21"/>
  <c r="D5" i="21"/>
  <c r="B2" i="21"/>
  <c r="D2" i="21"/>
  <c r="B3" i="21"/>
  <c r="D3" i="21"/>
  <c r="B4" i="21"/>
  <c r="D4" i="21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A5" i="18"/>
  <c r="H3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C5" i="18"/>
  <c r="D5" i="18"/>
  <c r="A4" i="18"/>
  <c r="C4" i="18"/>
  <c r="D4" i="18"/>
  <c r="A3" i="18"/>
  <c r="C3" i="18"/>
  <c r="D3" i="18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AC15" i="1"/>
  <c r="AC12" i="1"/>
  <c r="AC10" i="1"/>
  <c r="AC7" i="1"/>
  <c r="H13" i="2"/>
  <c r="E13" i="2"/>
  <c r="D13" i="2"/>
  <c r="H13" i="1"/>
  <c r="H2" i="1"/>
  <c r="H3" i="1"/>
  <c r="H4" i="1"/>
  <c r="H5" i="1"/>
  <c r="H6" i="1"/>
  <c r="H7" i="1"/>
  <c r="H8" i="1"/>
  <c r="H9" i="1"/>
  <c r="H10" i="1"/>
  <c r="H11" i="1"/>
  <c r="H12" i="1"/>
  <c r="H14" i="1"/>
  <c r="H15" i="1"/>
  <c r="H16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E2" i="9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I4" i="21"/>
  <c r="J4" i="21"/>
  <c r="G4" i="21"/>
  <c r="F4" i="21"/>
  <c r="E4" i="21"/>
  <c r="I3" i="21"/>
  <c r="J3" i="21"/>
  <c r="G3" i="21"/>
  <c r="F3" i="21"/>
  <c r="E3" i="21"/>
  <c r="T4" i="1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4" i="11"/>
  <c r="J3" i="11"/>
  <c r="O4" i="9"/>
  <c r="N4" i="9"/>
  <c r="M4" i="9"/>
  <c r="L4" i="9"/>
  <c r="K4" i="9"/>
  <c r="J4" i="9"/>
  <c r="I4" i="9"/>
  <c r="H4" i="9"/>
  <c r="G4" i="9"/>
  <c r="E4" i="9"/>
  <c r="D4" i="9"/>
  <c r="A4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O3" i="9"/>
  <c r="N3" i="9"/>
  <c r="M3" i="9"/>
  <c r="L3" i="9"/>
  <c r="K3" i="9"/>
  <c r="J3" i="9"/>
  <c r="I3" i="9"/>
  <c r="G3" i="9"/>
  <c r="E3" i="9"/>
  <c r="D3" i="9"/>
  <c r="A3" i="9"/>
  <c r="J2" i="11"/>
  <c r="O2" i="9"/>
  <c r="N2" i="9"/>
  <c r="M2" i="9"/>
  <c r="L2" i="9"/>
  <c r="K2" i="9"/>
  <c r="J2" i="9"/>
  <c r="I2" i="9"/>
  <c r="H2" i="9"/>
  <c r="G2" i="9"/>
  <c r="D2" i="9"/>
  <c r="A2" i="9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Q4" i="1"/>
  <c r="P4" i="1"/>
  <c r="O4" i="1"/>
  <c r="N4" i="1"/>
  <c r="M4" i="1"/>
  <c r="J4" i="1"/>
  <c r="I4" i="1"/>
  <c r="D4" i="1"/>
  <c r="F4" i="1"/>
  <c r="E4" i="1"/>
  <c r="A4" i="1"/>
  <c r="A3" i="1"/>
  <c r="D3" i="1"/>
  <c r="E3" i="1"/>
  <c r="F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H5" i="2"/>
  <c r="E5" i="2"/>
  <c r="D5" i="2"/>
  <c r="B5" i="2"/>
  <c r="H4" i="2"/>
  <c r="E4" i="2"/>
  <c r="D4" i="2"/>
  <c r="B4" i="2"/>
  <c r="H3" i="2"/>
  <c r="E3" i="2"/>
  <c r="D3" i="2"/>
  <c r="B3" i="2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C4" i="16"/>
  <c r="C5" i="16"/>
  <c r="C6" i="16"/>
  <c r="C7" i="16"/>
  <c r="C8" i="16"/>
  <c r="C9" i="16"/>
  <c r="C10" i="16"/>
  <c r="C11" i="16"/>
  <c r="C12" i="16"/>
  <c r="C13" i="16"/>
  <c r="V2" i="1"/>
  <c r="T2" i="1"/>
  <c r="E13" i="16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J2" i="21"/>
  <c r="G2" i="21"/>
  <c r="F2" i="21"/>
  <c r="E2" i="21"/>
  <c r="E12" i="16"/>
  <c r="E11" i="16"/>
  <c r="B2" i="19"/>
  <c r="G2" i="19"/>
  <c r="F2" i="19"/>
  <c r="D2" i="19"/>
  <c r="C2" i="19"/>
  <c r="E10" i="16"/>
  <c r="A2" i="18"/>
  <c r="C2" i="18"/>
  <c r="D2" i="18"/>
  <c r="C3" i="16"/>
  <c r="E9" i="16"/>
  <c r="R2" i="7"/>
  <c r="Q2" i="7"/>
  <c r="P2" i="7"/>
  <c r="O2" i="7"/>
  <c r="N2" i="7"/>
  <c r="AD2" i="1"/>
  <c r="AG2" i="1"/>
  <c r="AF2" i="1"/>
  <c r="AE2" i="1"/>
  <c r="AC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I2" i="1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<sst xmlns="http://schemas.openxmlformats.org/spreadsheetml/2006/main" count="861" uniqueCount="273">
  <si>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</si>
  <si>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</si>
  <si>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</si>
  <si>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</si>
  <si>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</si>
  <si>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</si>
  <si>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</si>
  <si>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</si>
  <si>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</si>
  <si>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</si>
  <si>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</si>
  <si>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</si>
  <si>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</si>
  <si>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</si>
  <si>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</si>
  <si>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</si>
  <si>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</si>
  <si>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</si>
  <si>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</si>
  <si>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</si>
  <si>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</si>
  <si>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</si>
  <si>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</si>
  <si>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</si>
  <si>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</si>
  <si>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</si>
  <si>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</si>
  <si>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</si>
  <si>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</si>
  <si>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</si>
  <si>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</si>
  <si>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</si>
  <si>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</si>
  <si>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</si>
  <si>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</si>
  <si>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</si>
  <si>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</si>
  <si>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</si>
  <si>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</si>
  <si>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</si>
  <si>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</si>
  <si>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</si>
  <si>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</si>
  <si>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</si>
  <si>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</si>
  <si>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</si>
  <si>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</si>
  <si>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</si>
  <si>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</si>
  <si>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</si>
  <si>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</si>
  <si>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</si>
  <si>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</si>
  <si>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</si>
  <si>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</si>
  <si>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</si>
  <si>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</si>
  <si>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</si>
  <si>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</si>
  <si>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</si>
  <si>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</si>
  <si>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</si>
  <si>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</si>
  <si>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</si>
  <si>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</si>
  <si>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</si>
  <si>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</si>
  <si>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</si>
  <si>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</si>
  <si>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</si>
  <si>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</si>
  <si>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</si>
  <si>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</si>
  <si>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</si>
  <si>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</si>
  <si>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</si>
  <si>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</si>
  <si>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</si>
  <si>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</si>
  <si>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</si>
  <si>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</si>
  <si>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</si>
  <si>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</si>
  <si>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</si>
  <si>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</si>
  <si>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</si>
  <si>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</si>
  <si>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</si>
  <si>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</si>
  <si>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</si>
  <si>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</si>
  <si>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</si>
  <si>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</si>
  <si>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</si>
  <si>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</si>
  <si>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</si>
  <si>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</si>
  <si>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</si>
  <si>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</si>
  <si>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</si>
  <si>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</si>
  <si>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</si>
  <si>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</si>
  <si>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</si>
  <si>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</si>
  <si>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</si>
  <si>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</si>
  <si>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</si>
  <si>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</si>
  <si>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</si>
  <si>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</si>
  <si>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</si>
  <si>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</si>
  <si>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</si>
  <si>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</si>
  <si>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</si>
  <si>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</si>
  <si>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</si>
  <si>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</si>
  <si>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</si>
  <si>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</si>
  <si>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</si>
  <si>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</si>
  <si>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</si>
  <si>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</si>
  <si>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</si>
  <si>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</si>
  <si>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</si>
  <si>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</si>
  <si>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</si>
  <si>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</si>
  <si>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</si>
  <si>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</si>
  <si>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</si>
  <si>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</si>
  <si>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</si>
  <si>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</si>
  <si>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</si>
  <si>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</si>
  <si>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</si>
  <si>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</si>
  <si>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</si>
  <si>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</si>
  <si>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</si>
  <si>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</si>
  <si>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</si>
  <si>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</si>
  <si>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</si>
  <si>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</si>
  <si>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</si>
  <si>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</si>
  <si>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</si>
  <si>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</si>
  <si>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</si>
  <si>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</si>
  <si>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</si>
  <si>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</si>
  <si>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</si>
  <si>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</si>
  <si>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</si>
  <si>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</si>
  <si>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</si>
  <si>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</si>
  <si>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</si>
  <si>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</si>
  <si>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</si>
  <si>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</si>
  <si>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</si>
  <si>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</si>
  <si>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</si>
  <si>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</si>
  <si>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</si>
  <si>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</si>
  <si>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</si>
  <si>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</si>
  <si>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</si>
  <si>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</si>
  <si>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</si>
  <si>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</si>
  <si>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</si>
  <si>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</si>
  <si>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</si>
  <si>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</si>
  <si>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</si>
  <si>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</si>
  <si>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</si>
  <si>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</si>
  <si>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</si>
  <si>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</si>
  <si>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</si>
  <si>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</si>
  <si>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</si>
  <si>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</si>
  <si>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</si>
  <si>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</si>
  <si>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</si>
  <si>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</si>
  <si>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</si>
  <si>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</si>
  <si>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</si>
  <si>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</si>
  <si>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</si>
  <si>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</si>
  <si>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</si>
  <si>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</si>
  <si>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</si>
  <si>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</si>
  <si>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</si>
  <si>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</si>
  <si>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</si>
  <si>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</si>
  <si>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</si>
  <si>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</si>
  <si>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</si>
  <si>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</si>
  <si>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</si>
  <si>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</si>
  <si>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</si>
  <si>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</si>
  <si>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</si>
  <si>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</si>
  <si>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</si>
  <si>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</si>
  <si>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</si>
  <si>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</si>
  <si>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</si>
  <si>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</si>
  <si>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</si>
  <si>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</si>
  <si>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</si>
  <si>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</si>
  <si>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</si>
  <si>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</si>
  <si>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</si>
  <si>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</si>
  <si>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</si>
  <si>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</si>
  <si>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</si>
  <si>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</si>
  <si>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</si>
  <si>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null</t>
    <phoneticPr fontId="5"/>
  </si>
  <si>
    <t>[effect:nothing]</t>
    <phoneticPr fontId="5"/>
  </si>
  <si>
    <t>[effect:force_change_block, new_block:block_red, target:block_heart, count:5, val:0, animation:change_block],[effect:spread, val:0.30]</t>
    <phoneticPr fontId="5"/>
  </si>
  <si>
    <t>[effect:force_change_block, new_block:block_green, target:block_heart, count:3, val:0, animation:change_block],[effect:spread, val:0.30]</t>
    <phoneticPr fontId="5"/>
  </si>
  <si>
    <t>[effect:critical, val:3.0]</t>
    <phoneticPr fontId="5"/>
  </si>
  <si>
    <t>真正面からぶつかってやろう</t>
    <phoneticPr fontId="5"/>
  </si>
  <si>
    <t>ワシが休ませると思うかね？</t>
    <phoneticPr fontId="5"/>
  </si>
  <si>
    <t>ワシのとっておきを見せてやろう</t>
    <phoneticPr fontId="5"/>
  </si>
  <si>
    <t>弾を変えてみようかね</t>
    <phoneticPr fontId="5"/>
  </si>
  <si>
    <t>義手が取れようと砲弾は止まぬよ</t>
    <phoneticPr fontId="5"/>
  </si>
  <si>
    <t>次のターン強力な攻撃</t>
    <phoneticPr fontId="5"/>
  </si>
  <si>
    <t>クリティカル！</t>
    <phoneticPr fontId="5"/>
  </si>
  <si>
    <t>ゆくぞ！閃光翠波！！</t>
    <phoneticPr fontId="5"/>
  </si>
  <si>
    <t>必殺急所蹴り</t>
    <phoneticPr fontId="5"/>
  </si>
  <si>
    <t xml:space="preserve">[effect:drop_block, block_type:time_bomb, color:block_red, val:0.09, rate:0.80, turn:-1, min_time_count:2, animation:time_bomb_influence04]
</t>
    <phoneticPr fontId="5"/>
  </si>
  <si>
    <t xml:space="preserve">[effect:drop_block, block_type:time_bomb, color:block_red, val:0.09, rate:0.65, turn:-1, min_time_count:2, animation:time_bomb_influence04],[effect:enemy_message, val1:2.5]
</t>
    <phoneticPr fontId="5"/>
  </si>
  <si>
    <t>ハートパネルを赤パネルに変換+全体攻撃</t>
    <phoneticPr fontId="5"/>
  </si>
  <si>
    <t>確率で緑の時限式ダメージパネルがドロップ</t>
    <phoneticPr fontId="5"/>
  </si>
  <si>
    <t>確率で赤の時限式ダメージパネルがドロップ</t>
    <phoneticPr fontId="5"/>
  </si>
  <si>
    <t>強力な全体攻撃</t>
    <phoneticPr fontId="5"/>
  </si>
  <si>
    <t>さあ攻めてこい！</t>
    <phoneticPr fontId="5"/>
  </si>
  <si>
    <t>link</t>
  </si>
  <si>
    <t>unit</t>
  </si>
  <si>
    <t>[effect:remove_enhancement, target:unit_all, target_effect:drop_block, target_type:all, status:time_bomb],[effect:drop_block, block_type:time_bomb, color:block_green, val:0.09, rate:0.60, turn:-1, min_time_count:3, animation:time_bomb_influence04]</t>
    <phoneticPr fontId="5"/>
  </si>
  <si>
    <t>ハートパネルを緑パネルに変換+全体攻撃</t>
    <phoneticPr fontId="5"/>
  </si>
  <si>
    <t>小僧…お前の野望、再び打ち砕いてやろう</t>
    <phoneticPr fontId="5"/>
  </si>
  <si>
    <t>skip</t>
  </si>
  <si>
    <t>ランランはクリティカル攻撃を使用します
通常の攻撃よりも威力が高いため
注意しましょう</t>
    <phoneticPr fontId="5"/>
  </si>
  <si>
    <t>2ゲージ目のHPが半分を切ると
ネルソンは強力な攻撃を行います
HPに余裕を持って攻略しましょう</t>
    <phoneticPr fontId="5"/>
  </si>
  <si>
    <t>確率で赤の時限式ダメージパネルがドロップ</t>
    <phoneticPr fontId="5"/>
  </si>
  <si>
    <t>確率で赤の時限式ダメージパネルがドロップ</t>
    <phoneticPr fontId="5"/>
  </si>
  <si>
    <t>時限式ダメージパネルは
スペシャルクラッシュパネル（SCP）の
爆風でも壊す事が可能です
SCPは12チェイン以上で生成します</t>
    <phoneticPr fontId="5"/>
  </si>
  <si>
    <t>[effect:spread, val:0.46]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</si>
</sst>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6" fillId="32" borderId="7" xfId="0" applyFont="1" applyFill="1" applyBorder="1" applyAlignment="1">
      <alignment vertical="center"/>
    </xf>
    <xf numFmtId="0" fontId="6" fillId="33" borderId="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6" fillId="33" borderId="11" xfId="0" applyFont="1" applyFill="1" applyBorder="1" applyAlignment="1">
      <alignment vertical="center"/>
    </xf>
    <xf numFmtId="0" fontId="6" fillId="33" borderId="9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0" fillId="34" borderId="7" xfId="0" applyFill="1" applyBorder="1"/>
    <xf numFmtId="0" fontId="6" fillId="35" borderId="1" xfId="0" applyFont="1" applyFill="1" applyBorder="1" applyAlignment="1">
      <alignment vertical="center"/>
    </xf>
    <xf numFmtId="0" fontId="0" fillId="34" borderId="0" xfId="0" applyFill="1"/>
    <xf numFmtId="0" fontId="0" fillId="36" borderId="7" xfId="0" applyFill="1" applyBorder="1"/>
    <xf numFmtId="0" fontId="6" fillId="37" borderId="1" xfId="0" applyFont="1" applyFill="1" applyBorder="1" applyAlignment="1">
      <alignment vertical="center"/>
    </xf>
    <xf numFmtId="0" fontId="0" fillId="36" borderId="0" xfId="0" applyFill="1"/>
    <xf numFmtId="38" fontId="16" fillId="0" borderId="7" xfId="628" applyFont="1" applyFill="1" applyBorder="1" applyAlignment="1">
      <alignment wrapText="1"/>
    </xf>
    <xf numFmtId="0" fontId="0" fillId="32" borderId="7" xfId="0" applyFill="1" applyBorder="1"/>
    <xf numFmtId="0" fontId="6" fillId="33" borderId="1" xfId="0" applyFont="1" applyFill="1" applyBorder="1" applyAlignment="1">
      <alignment vertical="center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238</v>
      </c>
      <c r="B2" s="57" t="s">
        <v>107</v>
      </c>
      <c r="C2" s="63">
        <v>20017</v>
      </c>
      <c r="D2" s="57" t="s">
        <v>108</v>
      </c>
      <c r="E2" s="56" t="str">
        <f>B2&amp;C2&amp;D2</f>
        <v>floors_20017.tmp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238</v>
      </c>
      <c r="B3" s="57" t="s">
        <v>110</v>
      </c>
      <c r="C3" s="63">
        <f>C$2</f>
        <v>20017</v>
      </c>
      <c r="D3" s="57" t="s">
        <v>108</v>
      </c>
      <c r="E3" s="56" t="str">
        <f>B3&amp;C3&amp;D3</f>
        <v>enemy_habitats_20017.tmp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238</v>
      </c>
      <c r="B4" s="57" t="s">
        <v>112</v>
      </c>
      <c r="C4" s="63">
        <f t="shared" ref="C4:C13" si="0">C$2</f>
        <v>20017</v>
      </c>
      <c r="D4" s="57" t="s">
        <v>108</v>
      </c>
      <c r="E4" s="56" t="str">
        <f>B4&amp;C4&amp;D4</f>
        <v>enemy_habitat_S_20017.tmp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238</v>
      </c>
      <c r="B5" s="57" t="s">
        <v>114</v>
      </c>
      <c r="C5" s="63">
        <f t="shared" si="0"/>
        <v>20017</v>
      </c>
      <c r="D5" s="57" t="s">
        <v>108</v>
      </c>
      <c r="E5" s="56" t="str">
        <f>B5&amp;C5&amp;D5</f>
        <v>enemy_skill_sets_20017.tmp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238</v>
      </c>
      <c r="B6" s="57" t="s">
        <v>116</v>
      </c>
      <c r="C6" s="63">
        <f t="shared" si="0"/>
        <v>20017</v>
      </c>
      <c r="D6" s="57" t="s">
        <v>117</v>
      </c>
      <c r="E6" s="56" t="str">
        <f t="shared" ref="E6:E10" si="1">B6&amp;C6&amp;D6</f>
        <v>enemy_skills_tmp_20017.tmp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238</v>
      </c>
      <c r="B7" s="57" t="s">
        <v>118</v>
      </c>
      <c r="C7" s="63">
        <f t="shared" si="0"/>
        <v>20017</v>
      </c>
      <c r="D7" s="57" t="s">
        <v>108</v>
      </c>
      <c r="E7" s="56" t="str">
        <f>B7&amp;C7&amp;D7</f>
        <v>enemy_skills_i18n_20017.tmp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238</v>
      </c>
      <c r="B8" s="57" t="s">
        <v>120</v>
      </c>
      <c r="C8" s="63">
        <f t="shared" si="0"/>
        <v>20017</v>
      </c>
      <c r="D8" s="57" t="s">
        <v>121</v>
      </c>
      <c r="E8" s="56" t="str">
        <f t="shared" si="1"/>
        <v>enemy_skill_triggers_20017.tmp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238</v>
      </c>
      <c r="B9" s="68" t="s">
        <v>179</v>
      </c>
      <c r="C9" s="63">
        <f t="shared" si="0"/>
        <v>20017</v>
      </c>
      <c r="D9" s="68" t="s">
        <v>173</v>
      </c>
      <c r="E9" s="69" t="str">
        <f t="shared" si="1"/>
        <v>stage_bug_bonuses_20017.tmp</v>
      </c>
      <c r="F9" s="68" t="s">
        <v>174</v>
      </c>
      <c r="G9" s="65" t="s">
        <v>151</v>
      </c>
      <c r="H9" s="65" t="s">
        <v>175</v>
      </c>
      <c r="I9" s="65" t="s">
        <v>176</v>
      </c>
      <c r="J9" s="67" t="s">
        <v>177</v>
      </c>
      <c r="K9" s="65" t="s">
        <v>178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238</v>
      </c>
      <c r="B10" s="68" t="s">
        <v>203</v>
      </c>
      <c r="C10" s="63">
        <f t="shared" si="0"/>
        <v>20017</v>
      </c>
      <c r="D10" s="68" t="s">
        <v>182</v>
      </c>
      <c r="E10" s="69" t="str">
        <f t="shared" si="1"/>
        <v>stage_hints_data_c_20017.tmp</v>
      </c>
      <c r="F10" s="68" t="s">
        <v>211</v>
      </c>
      <c r="G10" s="72" t="s">
        <v>183</v>
      </c>
      <c r="H10" s="72" t="s">
        <v>175</v>
      </c>
      <c r="I10" s="73" t="s">
        <v>184</v>
      </c>
      <c r="J10" s="67" t="s">
        <v>185</v>
      </c>
      <c r="K10" s="67" t="s">
        <v>186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4" customFormat="1" x14ac:dyDescent="0.15">
      <c r="A11" s="61" t="s">
        <v>238</v>
      </c>
      <c r="B11" s="68" t="s">
        <v>204</v>
      </c>
      <c r="C11" s="63">
        <f t="shared" si="0"/>
        <v>20017</v>
      </c>
      <c r="D11" s="68" t="s">
        <v>173</v>
      </c>
      <c r="E11" s="69" t="str">
        <f t="shared" ref="E11:E13" si="2">B11&amp;C11&amp;D11</f>
        <v>stage_hints_data_f_20017.tmp</v>
      </c>
      <c r="F11" s="68" t="s">
        <v>213</v>
      </c>
      <c r="G11" s="72" t="s">
        <v>183</v>
      </c>
      <c r="H11" s="72" t="s">
        <v>175</v>
      </c>
      <c r="I11" s="73" t="s">
        <v>184</v>
      </c>
      <c r="J11" s="67" t="s">
        <v>185</v>
      </c>
      <c r="K11" s="67" t="s">
        <v>186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4" customFormat="1" x14ac:dyDescent="0.15">
      <c r="A12" s="61" t="s">
        <v>238</v>
      </c>
      <c r="B12" s="68" t="s">
        <v>205</v>
      </c>
      <c r="C12" s="63">
        <f t="shared" si="0"/>
        <v>20017</v>
      </c>
      <c r="D12" s="68" t="s">
        <v>173</v>
      </c>
      <c r="E12" s="69" t="str">
        <f t="shared" si="2"/>
        <v>stage_hints_i18n_20017.tmp</v>
      </c>
      <c r="F12" s="68" t="s">
        <v>214</v>
      </c>
      <c r="G12" s="73" t="s">
        <v>206</v>
      </c>
      <c r="H12" s="94" t="s">
        <v>207</v>
      </c>
      <c r="I12" s="72" t="s">
        <v>208</v>
      </c>
      <c r="J12" s="97" t="s">
        <v>209</v>
      </c>
      <c r="K12" s="67" t="s">
        <v>210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4" customFormat="1" x14ac:dyDescent="0.15">
      <c r="A13" s="61" t="s">
        <v>266</v>
      </c>
      <c r="B13" s="68" t="s">
        <v>235</v>
      </c>
      <c r="C13" s="63">
        <f t="shared" si="0"/>
        <v>20017</v>
      </c>
      <c r="D13" s="68" t="s">
        <v>216</v>
      </c>
      <c r="E13" s="69" t="str">
        <f t="shared" si="2"/>
        <v>stage_bonuses_20017.tmp</v>
      </c>
      <c r="F13" s="68" t="s">
        <v>215</v>
      </c>
      <c r="G13" s="72" t="s">
        <v>217</v>
      </c>
      <c r="H13" s="72" t="s">
        <v>218</v>
      </c>
      <c r="I13" s="72" t="s">
        <v>219</v>
      </c>
      <c r="J13" s="72" t="s">
        <v>220</v>
      </c>
      <c r="K13" s="72" t="s">
        <v>221</v>
      </c>
      <c r="L13" s="72" t="s">
        <v>222</v>
      </c>
      <c r="M13" s="72" t="s">
        <v>223</v>
      </c>
      <c r="N13" s="72" t="s">
        <v>224</v>
      </c>
      <c r="O13" s="72" t="s">
        <v>225</v>
      </c>
      <c r="P13" s="72" t="s">
        <v>226</v>
      </c>
      <c r="Q13" s="72" t="s">
        <v>227</v>
      </c>
      <c r="R13" s="72" t="s">
        <v>228</v>
      </c>
      <c r="S13" s="72" t="s">
        <v>229</v>
      </c>
      <c r="T13" s="72" t="s">
        <v>230</v>
      </c>
      <c r="U13" s="72" t="s">
        <v>231</v>
      </c>
      <c r="V13" s="72" t="s">
        <v>232</v>
      </c>
      <c r="W13" s="72" t="s">
        <v>233</v>
      </c>
      <c r="X13" s="72" t="s">
        <v>234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14" sqref="C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20017_3-1</v>
      </c>
      <c r="B2" s="16" t="str">
        <f>IF(COUNTIF(enemy_habitats!$H:$H,A2),"OK","NG")</f>
        <v>OK</v>
      </c>
      <c r="C2" s="7">
        <v>20017</v>
      </c>
      <c r="D2" s="11" t="str">
        <f ca="1">VLOOKUP($C2,OFFSET([2]quests!$A$1,0,0,COUNTA([2]quests!$A:$A),MATCH(D$1,[2]quests!$1:$1,0)-MATCH($C$1,[2]quests!$1:$1,0)+1),MATCH(D$1,[2]quests!$1:$1,0)-MATCH($C$1,[2]quests!$1:$1,0)+1,FALSE)</f>
        <v>隻腕の提督</v>
      </c>
      <c r="E2" s="18" t="str">
        <f ca="1">VLOOKUP($C2,OFFSET([2]quests!$A$1,0,0,COUNTA([2]quests!$A:$A),MATCH(E$1,[2]quests!$1:$1,0)-MATCH($C$1,[2]quests!$1:$1,0)+1),MATCH(E$1,[2]quests!$1:$1,0)-MATCH($C$1,[2]quests!$1:$1,0)+1,FALSE)</f>
        <v>フランス革命01</v>
      </c>
      <c r="F2" s="21">
        <v>3</v>
      </c>
      <c r="G2" s="23" t="str">
        <f t="shared" ref="G2:G13" si="1">C2&amp;"_"&amp;F2</f>
        <v>20017_3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【上級】隻腕の提督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20017_3-2</v>
      </c>
      <c r="B3" s="16" t="str">
        <f>IF(COUNTIF(enemy_habitats!$H:$H,A3),"OK","NG")</f>
        <v>OK</v>
      </c>
      <c r="C3" s="7">
        <v>20017</v>
      </c>
      <c r="D3" s="11" t="str">
        <f ca="1">VLOOKUP($C3,OFFSET([2]quests!$A$1,0,0,COUNTA([2]quests!$A:$A),MATCH(D$1,[2]quests!$1:$1,0)-MATCH($C$1,[2]quests!$1:$1,0)+1),MATCH(D$1,[2]quests!$1:$1,0)-MATCH($C$1,[2]quests!$1:$1,0)+1,FALSE)</f>
        <v>隻腕の提督</v>
      </c>
      <c r="E3" s="18" t="str">
        <f ca="1">VLOOKUP($C3,OFFSET([2]quests!$A$1,0,0,COUNTA([2]quests!$A:$A),MATCH(E$1,[2]quests!$1:$1,0)-MATCH($C$1,[2]quests!$1:$1,0)+1),MATCH(E$1,[2]quests!$1:$1,0)-MATCH($C$1,[2]quests!$1:$1,0)+1,FALSE)</f>
        <v>フランス革命01</v>
      </c>
      <c r="F3" s="21">
        <v>3</v>
      </c>
      <c r="G3" s="23" t="str">
        <f t="shared" si="1"/>
        <v>20017_3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【上級】隻腕の提督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20017_3-3</v>
      </c>
      <c r="B4" s="16" t="str">
        <f>IF(COUNTIF(enemy_habitats!$H:$H,A4),"OK","NG")</f>
        <v>OK</v>
      </c>
      <c r="C4" s="7">
        <v>20017</v>
      </c>
      <c r="D4" s="11" t="str">
        <f ca="1">VLOOKUP($C4,OFFSET([2]quests!$A$1,0,0,COUNTA([2]quests!$A:$A),MATCH(D$1,[2]quests!$1:$1,0)-MATCH($C$1,[2]quests!$1:$1,0)+1),MATCH(D$1,[2]quests!$1:$1,0)-MATCH($C$1,[2]quests!$1:$1,0)+1,FALSE)</f>
        <v>隻腕の提督</v>
      </c>
      <c r="E4" s="18" t="str">
        <f ca="1">VLOOKUP($C4,OFFSET([2]quests!$A$1,0,0,COUNTA([2]quests!$A:$A),MATCH(E$1,[2]quests!$1:$1,0)-MATCH($C$1,[2]quests!$1:$1,0)+1),MATCH(E$1,[2]quests!$1:$1,0)-MATCH($C$1,[2]quests!$1:$1,0)+1,FALSE)</f>
        <v>フランス革命01</v>
      </c>
      <c r="F4" s="21">
        <v>3</v>
      </c>
      <c r="G4" s="23" t="str">
        <f t="shared" si="1"/>
        <v>20017_3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【上級】隻腕の提督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20017_3-4</v>
      </c>
      <c r="B5" s="16" t="str">
        <f>IF(COUNTIF(enemy_habitats!$H:$H,A5),"OK","NG")</f>
        <v>OK</v>
      </c>
      <c r="C5" s="7">
        <v>20017</v>
      </c>
      <c r="D5" s="11" t="str">
        <f ca="1">VLOOKUP($C5,OFFSET([2]quests!$A$1,0,0,COUNTA([2]quests!$A:$A),MATCH(D$1,[2]quests!$1:$1,0)-MATCH($C$1,[2]quests!$1:$1,0)+1),MATCH(D$1,[2]quests!$1:$1,0)-MATCH($C$1,[2]quests!$1:$1,0)+1,FALSE)</f>
        <v>隻腕の提督</v>
      </c>
      <c r="E5" s="18" t="str">
        <f ca="1">VLOOKUP($C5,OFFSET([2]quests!$A$1,0,0,COUNTA([2]quests!$A:$A),MATCH(E$1,[2]quests!$1:$1,0)-MATCH($C$1,[2]quests!$1:$1,0)+1),MATCH(E$1,[2]quests!$1:$1,0)-MATCH($C$1,[2]quests!$1:$1,0)+1,FALSE)</f>
        <v>フランス革命01</v>
      </c>
      <c r="F5" s="21">
        <v>3</v>
      </c>
      <c r="G5" s="23" t="str">
        <f t="shared" si="1"/>
        <v>20017_3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【上級】隻腕の提督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20017_2-1</v>
      </c>
      <c r="B6" s="16" t="str">
        <f>IF(COUNTIF(enemy_habitats!$H:$H,A6),"OK","NG")</f>
        <v>OK</v>
      </c>
      <c r="C6" s="7">
        <v>20017</v>
      </c>
      <c r="D6" s="11" t="str">
        <f ca="1">VLOOKUP($C6,OFFSET([2]quests!$A$1,0,0,COUNTA([2]quests!$A:$A),MATCH(D$1,[2]quests!$1:$1,0)-MATCH($C$1,[2]quests!$1:$1,0)+1),MATCH(D$1,[2]quests!$1:$1,0)-MATCH($C$1,[2]quests!$1:$1,0)+1,FALSE)</f>
        <v>隻腕の提督</v>
      </c>
      <c r="E6" s="18" t="str">
        <f ca="1">VLOOKUP($C6,OFFSET([2]quests!$A$1,0,0,COUNTA([2]quests!$A:$A),MATCH(E$1,[2]quests!$1:$1,0)-MATCH($C$1,[2]quests!$1:$1,0)+1),MATCH(E$1,[2]quests!$1:$1,0)-MATCH($C$1,[2]quests!$1:$1,0)+1,FALSE)</f>
        <v>フランス革命01</v>
      </c>
      <c r="F6" s="21">
        <v>2</v>
      </c>
      <c r="G6" s="23" t="str">
        <f t="shared" si="1"/>
        <v>20017_2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【中級】隻腕の提督</v>
      </c>
      <c r="I6" s="21">
        <v>1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20017_2-2</v>
      </c>
      <c r="B7" s="16" t="str">
        <f>IF(COUNTIF(enemy_habitats!$H:$H,A7),"OK","NG")</f>
        <v>OK</v>
      </c>
      <c r="C7" s="7">
        <v>20017</v>
      </c>
      <c r="D7" s="11" t="str">
        <f ca="1">VLOOKUP($C7,OFFSET([2]quests!$A$1,0,0,COUNTA([2]quests!$A:$A),MATCH(D$1,[2]quests!$1:$1,0)-MATCH($C$1,[2]quests!$1:$1,0)+1),MATCH(D$1,[2]quests!$1:$1,0)-MATCH($C$1,[2]quests!$1:$1,0)+1,FALSE)</f>
        <v>隻腕の提督</v>
      </c>
      <c r="E7" s="18" t="str">
        <f ca="1">VLOOKUP($C7,OFFSET([2]quests!$A$1,0,0,COUNTA([2]quests!$A:$A),MATCH(E$1,[2]quests!$1:$1,0)-MATCH($C$1,[2]quests!$1:$1,0)+1),MATCH(E$1,[2]quests!$1:$1,0)-MATCH($C$1,[2]quests!$1:$1,0)+1,FALSE)</f>
        <v>フランス革命01</v>
      </c>
      <c r="F7" s="21">
        <v>2</v>
      </c>
      <c r="G7" s="23" t="str">
        <f t="shared" si="1"/>
        <v>20017_2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【中級】隻腕の提督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20017_2-3</v>
      </c>
      <c r="B8" s="16" t="str">
        <f>IF(COUNTIF(enemy_habitats!$H:$H,A8),"OK","NG")</f>
        <v>OK</v>
      </c>
      <c r="C8" s="7">
        <v>20017</v>
      </c>
      <c r="D8" s="11" t="str">
        <f ca="1">VLOOKUP($C8,OFFSET([2]quests!$A$1,0,0,COUNTA([2]quests!$A:$A),MATCH(D$1,[2]quests!$1:$1,0)-MATCH($C$1,[2]quests!$1:$1,0)+1),MATCH(D$1,[2]quests!$1:$1,0)-MATCH($C$1,[2]quests!$1:$1,0)+1,FALSE)</f>
        <v>隻腕の提督</v>
      </c>
      <c r="E8" s="18" t="str">
        <f ca="1">VLOOKUP($C8,OFFSET([2]quests!$A$1,0,0,COUNTA([2]quests!$A:$A),MATCH(E$1,[2]quests!$1:$1,0)-MATCH($C$1,[2]quests!$1:$1,0)+1),MATCH(E$1,[2]quests!$1:$1,0)-MATCH($C$1,[2]quests!$1:$1,0)+1,FALSE)</f>
        <v>フランス革命01</v>
      </c>
      <c r="F8" s="21">
        <v>2</v>
      </c>
      <c r="G8" s="23" t="str">
        <f t="shared" si="1"/>
        <v>20017_2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【中級】隻腕の提督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20017_2-4</v>
      </c>
      <c r="B9" s="16" t="str">
        <f>IF(COUNTIF(enemy_habitats!$H:$H,A9),"OK","NG")</f>
        <v>OK</v>
      </c>
      <c r="C9" s="7">
        <v>20017</v>
      </c>
      <c r="D9" s="11" t="str">
        <f ca="1">VLOOKUP($C9,OFFSET([2]quests!$A$1,0,0,COUNTA([2]quests!$A:$A),MATCH(D$1,[2]quests!$1:$1,0)-MATCH($C$1,[2]quests!$1:$1,0)+1),MATCH(D$1,[2]quests!$1:$1,0)-MATCH($C$1,[2]quests!$1:$1,0)+1,FALSE)</f>
        <v>隻腕の提督</v>
      </c>
      <c r="E9" s="18" t="str">
        <f ca="1">VLOOKUP($C9,OFFSET([2]quests!$A$1,0,0,COUNTA([2]quests!$A:$A),MATCH(E$1,[2]quests!$1:$1,0)-MATCH($C$1,[2]quests!$1:$1,0)+1),MATCH(E$1,[2]quests!$1:$1,0)-MATCH($C$1,[2]quests!$1:$1,0)+1,FALSE)</f>
        <v>フランス革命01</v>
      </c>
      <c r="F9" s="21">
        <v>2</v>
      </c>
      <c r="G9" s="23" t="str">
        <f t="shared" si="1"/>
        <v>20017_2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【中級】隻腕の提督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20017_1-1</v>
      </c>
      <c r="B10" s="16" t="str">
        <f>IF(COUNTIF(enemy_habitats!$H:$H,A10),"OK","NG")</f>
        <v>OK</v>
      </c>
      <c r="C10" s="7">
        <v>20017</v>
      </c>
      <c r="D10" s="11" t="str">
        <f ca="1">VLOOKUP($C10,OFFSET([2]quests!$A$1,0,0,COUNTA([2]quests!$A:$A),MATCH(D$1,[2]quests!$1:$1,0)-MATCH($C$1,[2]quests!$1:$1,0)+1),MATCH(D$1,[2]quests!$1:$1,0)-MATCH($C$1,[2]quests!$1:$1,0)+1,FALSE)</f>
        <v>隻腕の提督</v>
      </c>
      <c r="E10" s="18" t="str">
        <f ca="1">VLOOKUP($C10,OFFSET([2]quests!$A$1,0,0,COUNTA([2]quests!$A:$A),MATCH(E$1,[2]quests!$1:$1,0)-MATCH($C$1,[2]quests!$1:$1,0)+1),MATCH(E$1,[2]quests!$1:$1,0)-MATCH($C$1,[2]quests!$1:$1,0)+1,FALSE)</f>
        <v>フランス革命01</v>
      </c>
      <c r="F10" s="21">
        <v>1</v>
      </c>
      <c r="G10" s="23" t="str">
        <f t="shared" si="1"/>
        <v>20017_1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【初級】隻腕の提督</v>
      </c>
      <c r="I10" s="21">
        <v>1</v>
      </c>
      <c r="J10" s="12">
        <v>30</v>
      </c>
      <c r="K10" s="12">
        <v>30</v>
      </c>
    </row>
    <row r="11" spans="1:11" ht="21" customHeight="1" x14ac:dyDescent="0.15">
      <c r="A11" s="16" t="str">
        <f t="shared" si="0"/>
        <v>20017_1-2</v>
      </c>
      <c r="B11" s="16" t="str">
        <f>IF(COUNTIF(enemy_habitats!$H:$H,A11),"OK","NG")</f>
        <v>OK</v>
      </c>
      <c r="C11" s="7">
        <v>20017</v>
      </c>
      <c r="D11" s="11" t="str">
        <f ca="1">VLOOKUP($C11,OFFSET([2]quests!$A$1,0,0,COUNTA([2]quests!$A:$A),MATCH(D$1,[2]quests!$1:$1,0)-MATCH($C$1,[2]quests!$1:$1,0)+1),MATCH(D$1,[2]quests!$1:$1,0)-MATCH($C$1,[2]quests!$1:$1,0)+1,FALSE)</f>
        <v>隻腕の提督</v>
      </c>
      <c r="E11" s="18" t="str">
        <f ca="1">VLOOKUP($C11,OFFSET([2]quests!$A$1,0,0,COUNTA([2]quests!$A:$A),MATCH(E$1,[2]quests!$1:$1,0)-MATCH($C$1,[2]quests!$1:$1,0)+1),MATCH(E$1,[2]quests!$1:$1,0)-MATCH($C$1,[2]quests!$1:$1,0)+1,FALSE)</f>
        <v>フランス革命01</v>
      </c>
      <c r="F11" s="21">
        <v>1</v>
      </c>
      <c r="G11" s="23" t="str">
        <f t="shared" si="1"/>
        <v>20017_1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【初級】隻腕の提督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20017_1-3</v>
      </c>
      <c r="B12" s="16" t="str">
        <f>IF(COUNTIF(enemy_habitats!$H:$H,A12),"OK","NG")</f>
        <v>OK</v>
      </c>
      <c r="C12" s="7">
        <v>20017</v>
      </c>
      <c r="D12" s="11" t="str">
        <f ca="1">VLOOKUP($C12,OFFSET([2]quests!$A$1,0,0,COUNTA([2]quests!$A:$A),MATCH(D$1,[2]quests!$1:$1,0)-MATCH($C$1,[2]quests!$1:$1,0)+1),MATCH(D$1,[2]quests!$1:$1,0)-MATCH($C$1,[2]quests!$1:$1,0)+1,FALSE)</f>
        <v>隻腕の提督</v>
      </c>
      <c r="E12" s="18" t="str">
        <f ca="1">VLOOKUP($C12,OFFSET([2]quests!$A$1,0,0,COUNTA([2]quests!$A:$A),MATCH(E$1,[2]quests!$1:$1,0)-MATCH($C$1,[2]quests!$1:$1,0)+1),MATCH(E$1,[2]quests!$1:$1,0)-MATCH($C$1,[2]quests!$1:$1,0)+1,FALSE)</f>
        <v>フランス革命01</v>
      </c>
      <c r="F12" s="21">
        <v>1</v>
      </c>
      <c r="G12" s="23" t="str">
        <f t="shared" si="1"/>
        <v>20017_1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【初級】隻腕の提督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20017_1-4</v>
      </c>
      <c r="B13" s="16" t="str">
        <f>IF(COUNTIF(enemy_habitats!$H:$H,A13),"OK","NG")</f>
        <v>OK</v>
      </c>
      <c r="C13" s="7">
        <v>20017</v>
      </c>
      <c r="D13" s="11" t="str">
        <f ca="1">VLOOKUP($C13,OFFSET([2]quests!$A$1,0,0,COUNTA([2]quests!$A:$A),MATCH(D$1,[2]quests!$1:$1,0)-MATCH($C$1,[2]quests!$1:$1,0)+1),MATCH(D$1,[2]quests!$1:$1,0)-MATCH($C$1,[2]quests!$1:$1,0)+1,FALSE)</f>
        <v>隻腕の提督</v>
      </c>
      <c r="E13" s="18" t="str">
        <f ca="1">VLOOKUP($C13,OFFSET([2]quests!$A$1,0,0,COUNTA([2]quests!$A:$A),MATCH(E$1,[2]quests!$1:$1,0)-MATCH($C$1,[2]quests!$1:$1,0)+1),MATCH(E$1,[2]quests!$1:$1,0)-MATCH($C$1,[2]quests!$1:$1,0)+1,FALSE)</f>
        <v>フランス革命01</v>
      </c>
      <c r="F13" s="21">
        <v>1</v>
      </c>
      <c r="G13" s="23" t="str">
        <f t="shared" si="1"/>
        <v>20017_1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【初級】隻腕の提督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zoomScale="90" zoomScaleNormal="90" zoomScalePageLayoutView="90" workbookViewId="0">
      <pane xSplit="17" ySplit="1" topLeftCell="AI2" activePane="bottomRight" state="frozen"/>
      <selection pane="topRight" activeCell="N1" sqref="N1"/>
      <selection pane="bottomLeft" activeCell="A2" sqref="A2"/>
      <selection pane="bottomRight" activeCell="P20" sqref="P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4.83203125" style="9" customWidth="1"/>
    <col min="13" max="13" width="18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9.5" style="13" customWidth="1" outlineLevel="1"/>
    <col min="32" max="32" width="8" style="14" bestFit="1" customWidth="1" outlineLevel="1"/>
    <col min="33" max="33" width="8.83203125" style="14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236</v>
      </c>
      <c r="U1" s="26" t="s">
        <v>50</v>
      </c>
      <c r="V1" s="98" t="s">
        <v>237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16" ca="1" si="0">B2&amp;"_"&amp;C2&amp;"-"&amp;G2&amp;"/"&amp;L2&amp;"&lt;lv"&amp;R2&amp;"&gt;s"&amp;AC2</f>
        <v>20017_3-1/53&lt;lv40&gt;s2</v>
      </c>
      <c r="B2" s="22">
        <v>20017</v>
      </c>
      <c r="C2" s="21">
        <v>3</v>
      </c>
      <c r="D2" s="2" t="str">
        <f t="shared" ref="D2:D16" si="1">B2&amp;"_"&amp;C2</f>
        <v>20017_3</v>
      </c>
      <c r="E2" s="4" t="str">
        <f ca="1">VLOOKUP($B2,OFFSET([2]quests!$A$1,0,0,COUNTA([2]quests!$A:$A),MATCH(E$1,[2]quests!$1:$1,0)-MATCH($B$1,[2]quests!$1:$1,0)+1),MATCH(E$1,[2]quests!$1:$1,0)-MATCH($B$1,[2]quests!$1:$1,0)+1,FALSE)</f>
        <v>隻腕の提督</v>
      </c>
      <c r="F2" s="103" t="str">
        <f ca="1">VLOOKUP($D2,OFFSET([2]stages!$A$1,0,0,COUNTA([2]stages!$A:$A),MATCH(F$1,[2]stages!$2:$2,0)-MATCH($D$1,[2]stages!$2:$2,0)+1),MATCH(F$1,[2]stages!$2:$2,0)-MATCH($D$1,[2]stages!$2:$2,0)+1,FALSE)</f>
        <v>【上級】隻腕の提督</v>
      </c>
      <c r="G2" s="21">
        <v>1</v>
      </c>
      <c r="H2" s="15" t="str">
        <f t="shared" ref="H2:H16" si="2">B2&amp;"_"&amp;C2&amp;"-"&amp;G2</f>
        <v>20017_3-1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53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ケンジ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25">
        <v>1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7802</v>
      </c>
      <c r="U2" s="25">
        <v>1.1000000000000001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2657.6000000000004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62">
        <v>0</v>
      </c>
      <c r="Z2" s="6">
        <v>0</v>
      </c>
      <c r="AA2" s="6">
        <v>100</v>
      </c>
      <c r="AB2" s="6">
        <v>0</v>
      </c>
      <c r="AC2" s="106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 t="shared" ref="AD2:AD16" si="3">L2</f>
        <v>53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16" ca="1" si="4">AF2</f>
        <v>2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20017_3-2/362&lt;lv40&gt;s1</v>
      </c>
      <c r="B3" s="22">
        <v>20017</v>
      </c>
      <c r="C3" s="21">
        <v>3</v>
      </c>
      <c r="D3" s="2" t="str">
        <f t="shared" si="1"/>
        <v>20017_3</v>
      </c>
      <c r="E3" s="4" t="str">
        <f ca="1">VLOOKUP($B3,OFFSET([2]quests!$A$1,0,0,COUNTA([2]quests!$A:$A),MATCH(E$1,[2]quests!$1:$1,0)-MATCH($B$1,[2]quests!$1:$1,0)+1),MATCH(E$1,[2]quests!$1:$1,0)-MATCH($B$1,[2]quests!$1:$1,0)+1,FALSE)</f>
        <v>隻腕の提督</v>
      </c>
      <c r="F3" s="103" t="str">
        <f ca="1">VLOOKUP($D3,OFFSET([2]stages!$A$1,0,0,COUNTA([2]stages!$A:$A),MATCH(F$1,[2]stages!$2:$2,0)-MATCH($D$1,[2]stages!$2:$2,0)+1),MATCH(F$1,[2]stages!$2:$2,0)-MATCH($D$1,[2]stages!$2:$2,0)+1,FALSE)</f>
        <v>【上級】隻腕の提督</v>
      </c>
      <c r="G3" s="21">
        <v>2</v>
      </c>
      <c r="H3" s="15" t="str">
        <f t="shared" si="2"/>
        <v>20017_3-2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362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ゆらら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5">
        <v>1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7619</v>
      </c>
      <c r="U3" s="25">
        <v>1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2416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2">
        <v>0</v>
      </c>
      <c r="Z3" s="6">
        <v>2</v>
      </c>
      <c r="AA3" s="6">
        <v>100</v>
      </c>
      <c r="AB3" s="6">
        <v>0</v>
      </c>
      <c r="AC3" s="106">
        <v>1</v>
      </c>
      <c r="AD3" s="24">
        <f t="shared" si="3"/>
        <v>362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ref="A4" si="5">B4&amp;"_"&amp;C4&amp;"-"&amp;G4&amp;"/"&amp;L4&amp;"&lt;lv"&amp;R4&amp;"&gt;s"&amp;AC4</f>
        <v>20017_3-2/153&lt;lv40&gt;s1</v>
      </c>
      <c r="B4" s="22">
        <v>20017</v>
      </c>
      <c r="C4" s="21">
        <v>3</v>
      </c>
      <c r="D4" s="2" t="str">
        <f t="shared" ref="D4" si="6">B4&amp;"_"&amp;C4</f>
        <v>20017_3</v>
      </c>
      <c r="E4" s="4" t="str">
        <f ca="1">VLOOKUP($B4,OFFSET([2]quests!$A$1,0,0,COUNTA([2]quests!$A:$A),MATCH(E$1,[2]quests!$1:$1,0)-MATCH($B$1,[2]quests!$1:$1,0)+1),MATCH(E$1,[2]quests!$1:$1,0)-MATCH($B$1,[2]quests!$1:$1,0)+1,FALSE)</f>
        <v>隻腕の提督</v>
      </c>
      <c r="F4" s="103" t="str">
        <f ca="1">VLOOKUP($D4,OFFSET([2]stages!$A$1,0,0,COUNTA([2]stages!$A:$A),MATCH(F$1,[2]stages!$2:$2,0)-MATCH($D$1,[2]stages!$2:$2,0)+1),MATCH(F$1,[2]stages!$2:$2,0)-MATCH($D$1,[2]stages!$2:$2,0)+1,FALSE)</f>
        <v>【上級】隻腕の提督</v>
      </c>
      <c r="G4" s="21">
        <v>2</v>
      </c>
      <c r="H4" s="15" t="str">
        <f t="shared" ref="H4" si="7">B4&amp;"_"&amp;C4&amp;"-"&amp;G4</f>
        <v>20017_3-2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153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拳聖ランラン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40</v>
      </c>
      <c r="S4" s="25">
        <v>2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82764</v>
      </c>
      <c r="U4" s="25">
        <v>1.1000000000000001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3503.5000000000005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62">
        <v>20017003</v>
      </c>
      <c r="Z4" s="6">
        <v>0</v>
      </c>
      <c r="AA4" s="6">
        <v>100</v>
      </c>
      <c r="AB4" s="6">
        <v>1</v>
      </c>
      <c r="AC4" s="106">
        <v>1</v>
      </c>
      <c r="AD4" s="24">
        <f t="shared" ref="AD4" si="8">L4</f>
        <v>153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4">
        <f t="shared" ref="AI4" ca="1" si="9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ref="A5" ca="1" si="10">B5&amp;"_"&amp;C5&amp;"-"&amp;G5&amp;"/"&amp;L5&amp;"&lt;lv"&amp;R5&amp;"&gt;s"&amp;AC5</f>
        <v>20017_3-3/3&lt;lv40&gt;s2</v>
      </c>
      <c r="B5" s="22">
        <v>20017</v>
      </c>
      <c r="C5" s="21">
        <v>3</v>
      </c>
      <c r="D5" s="2" t="str">
        <f t="shared" ref="D5" si="11">B5&amp;"_"&amp;C5</f>
        <v>20017_3</v>
      </c>
      <c r="E5" s="4" t="str">
        <f ca="1">VLOOKUP($B5,OFFSET([2]quests!$A$1,0,0,COUNTA([2]quests!$A:$A),MATCH(E$1,[2]quests!$1:$1,0)-MATCH($B$1,[2]quests!$1:$1,0)+1),MATCH(E$1,[2]quests!$1:$1,0)-MATCH($B$1,[2]quests!$1:$1,0)+1,FALSE)</f>
        <v>隻腕の提督</v>
      </c>
      <c r="F5" s="103" t="str">
        <f ca="1">VLOOKUP($D5,OFFSET([2]stages!$A$1,0,0,COUNTA([2]stages!$A:$A),MATCH(F$1,[2]stages!$2:$2,0)-MATCH($D$1,[2]stages!$2:$2,0)+1),MATCH(F$1,[2]stages!$2:$2,0)-MATCH($D$1,[2]stages!$2:$2,0)+1,FALSE)</f>
        <v>【上級】隻腕の提督</v>
      </c>
      <c r="G5" s="21">
        <v>3</v>
      </c>
      <c r="H5" s="15" t="str">
        <f t="shared" ref="H5" si="12">B5&amp;"_"&amp;C5&amp;"-"&amp;G5</f>
        <v>20017_3-3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エージェント ジョー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25">
        <v>1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8466</v>
      </c>
      <c r="U5" s="25">
        <v>1.2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2928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62">
        <v>0</v>
      </c>
      <c r="Z5" s="6">
        <v>0</v>
      </c>
      <c r="AA5" s="6">
        <v>100</v>
      </c>
      <c r="AB5" s="6">
        <v>0</v>
      </c>
      <c r="AC5" s="106">
        <f ca="1">VLOOKUP($L5,OFFSET([3]enemies!$A$1,0,0,COUNTA([3]enemies!$A:$A),MATCH(AC$1,[3]enemies!$1:$1,0)-MATCH($L$1,[3]enemies!$1:$1,0)+1),MATCH(AC$1,[3]enemies!$1:$1,0)-MATCH($L$1,[3]enemies!$1:$1,0)+1,FALSE)</f>
        <v>2</v>
      </c>
      <c r="AD5" s="24">
        <f t="shared" ref="AD5" si="13">L5</f>
        <v>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ref="AI5" ca="1" si="14">AF5</f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ref="A6" si="15">B6&amp;"_"&amp;C6&amp;"-"&amp;G6&amp;"/"&amp;L6&amp;"&lt;lv"&amp;R6&amp;"&gt;s"&amp;AC6</f>
        <v>20017_3-4/931&lt;lv40&gt;s2</v>
      </c>
      <c r="B6" s="22">
        <v>20017</v>
      </c>
      <c r="C6" s="21">
        <v>3</v>
      </c>
      <c r="D6" s="2" t="str">
        <f t="shared" ref="D6" si="16">B6&amp;"_"&amp;C6</f>
        <v>20017_3</v>
      </c>
      <c r="E6" s="4" t="str">
        <f ca="1">VLOOKUP($B6,OFFSET([2]quests!$A$1,0,0,COUNTA([2]quests!$A:$A),MATCH(E$1,[2]quests!$1:$1,0)-MATCH($B$1,[2]quests!$1:$1,0)+1),MATCH(E$1,[2]quests!$1:$1,0)-MATCH($B$1,[2]quests!$1:$1,0)+1,FALSE)</f>
        <v>隻腕の提督</v>
      </c>
      <c r="F6" s="103" t="str">
        <f ca="1">VLOOKUP($D6,OFFSET([2]stages!$A$1,0,0,COUNTA([2]stages!$A:$A),MATCH(F$1,[2]stages!$2:$2,0)-MATCH($D$1,[2]stages!$2:$2,0)+1),MATCH(F$1,[2]stages!$2:$2,0)-MATCH($D$1,[2]stages!$2:$2,0)+1,FALSE)</f>
        <v>【上級】隻腕の提督</v>
      </c>
      <c r="G6" s="21">
        <v>4</v>
      </c>
      <c r="H6" s="15" t="str">
        <f t="shared" ref="H6" si="17">B6&amp;"_"&amp;C6&amp;"-"&amp;G6</f>
        <v>20017_3-4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931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ネルソン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5">
        <v>3.5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162942.5</v>
      </c>
      <c r="U6" s="25">
        <v>1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3674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確率で赤の時限式ダメージパネルがドロップ</v>
      </c>
      <c r="Y6" s="62">
        <v>20017005</v>
      </c>
      <c r="Z6" s="6">
        <v>0</v>
      </c>
      <c r="AA6" s="6">
        <v>100</v>
      </c>
      <c r="AB6" s="6">
        <v>1</v>
      </c>
      <c r="AC6" s="106">
        <v>2</v>
      </c>
      <c r="AD6" s="24">
        <f t="shared" ref="AD6" si="18">L6</f>
        <v>931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ネルソン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4">
        <f t="shared" ref="AI6" ca="1" si="19">AF6</f>
        <v>4</v>
      </c>
      <c r="AJ6" s="8">
        <v>100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ca="1" si="0"/>
        <v>20017_2-1/53&lt;lv35&gt;s2</v>
      </c>
      <c r="B7" s="22">
        <v>20017</v>
      </c>
      <c r="C7" s="21">
        <v>2</v>
      </c>
      <c r="D7" s="2" t="str">
        <f t="shared" si="1"/>
        <v>20017_2</v>
      </c>
      <c r="E7" s="4" t="str">
        <f ca="1">VLOOKUP($B7,OFFSET([2]quests!$A$1,0,0,COUNTA([2]quests!$A:$A),MATCH(E$1,[2]quests!$1:$1,0)-MATCH($B$1,[2]quests!$1:$1,0)+1),MATCH(E$1,[2]quests!$1:$1,0)-MATCH($B$1,[2]quests!$1:$1,0)+1,FALSE)</f>
        <v>隻腕の提督</v>
      </c>
      <c r="F7" s="103" t="str">
        <f ca="1">VLOOKUP($D7,OFFSET([2]stages!$A$1,0,0,COUNTA([2]stages!$A:$A),MATCH(F$1,[2]stages!$2:$2,0)-MATCH($D$1,[2]stages!$2:$2,0)+1),MATCH(F$1,[2]stages!$2:$2,0)-MATCH($D$1,[2]stages!$2:$2,0)+1,FALSE)</f>
        <v>【中級】隻腕の提督</v>
      </c>
      <c r="G7" s="21">
        <v>1</v>
      </c>
      <c r="H7" s="15" t="str">
        <f t="shared" si="2"/>
        <v>20017_2-1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53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ケンジ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35</v>
      </c>
      <c r="S7" s="25">
        <v>1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6862</v>
      </c>
      <c r="U7" s="25">
        <v>1.1000000000000001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2337.5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62">
        <v>0</v>
      </c>
      <c r="Z7" s="6">
        <v>0</v>
      </c>
      <c r="AA7" s="6">
        <v>100</v>
      </c>
      <c r="AB7" s="6">
        <v>0</v>
      </c>
      <c r="AC7" s="106">
        <f ca="1">VLOOKUP($L7,OFFSET([3]enemies!$A$1,0,0,COUNTA([3]enemies!$A:$A),MATCH(AC$1,[3]enemies!$1:$1,0)-MATCH($L$1,[3]enemies!$1:$1,0)+1),MATCH(AC$1,[3]enemies!$1:$1,0)-MATCH($L$1,[3]enemies!$1:$1,0)+1,FALSE)</f>
        <v>2</v>
      </c>
      <c r="AD7" s="24">
        <f t="shared" si="3"/>
        <v>53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7">
        <v>1</v>
      </c>
      <c r="AI7" s="24">
        <f t="shared" ca="1" si="4"/>
        <v>2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20017_2-2/362&lt;lv35&gt;s1</v>
      </c>
      <c r="B8" s="22">
        <v>20017</v>
      </c>
      <c r="C8" s="21">
        <v>2</v>
      </c>
      <c r="D8" s="2" t="str">
        <f t="shared" si="1"/>
        <v>20017_2</v>
      </c>
      <c r="E8" s="4" t="str">
        <f ca="1">VLOOKUP($B8,OFFSET([2]quests!$A$1,0,0,COUNTA([2]quests!$A:$A),MATCH(E$1,[2]quests!$1:$1,0)-MATCH($B$1,[2]quests!$1:$1,0)+1),MATCH(E$1,[2]quests!$1:$1,0)-MATCH($B$1,[2]quests!$1:$1,0)+1,FALSE)</f>
        <v>隻腕の提督</v>
      </c>
      <c r="F8" s="103" t="str">
        <f ca="1">VLOOKUP($D8,OFFSET([2]stages!$A$1,0,0,COUNTA([2]stages!$A:$A),MATCH(F$1,[2]stages!$2:$2,0)-MATCH($D$1,[2]stages!$2:$2,0)+1),MATCH(F$1,[2]stages!$2:$2,0)-MATCH($D$1,[2]stages!$2:$2,0)+1,FALSE)</f>
        <v>【中級】隻腕の提督</v>
      </c>
      <c r="G8" s="21">
        <v>2</v>
      </c>
      <c r="H8" s="15" t="str">
        <f t="shared" si="2"/>
        <v>20017_2-2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362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ゆらら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35</v>
      </c>
      <c r="S8" s="25">
        <v>1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6701</v>
      </c>
      <c r="U8" s="25">
        <v>1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2125</v>
      </c>
      <c r="W8" s="5">
        <v>0</v>
      </c>
      <c r="X8" s="4" t="e">
        <f ca="1">VLOOKUP($Y8,OFFSET(enemy_skill_sets!$B$1,0,0,COUNTA(enemy_skill_sets!$B:$B),MATCH(M$1,enemy_skill_sets!$1:$1,0)-MATCH($Y$1,enemy_skill_sets!$1:$1,0)+2),MATCH(M$1,enemy_skill_sets!$1:$1,0)-MATCH($Y$1,enemy_skill_sets!$1:$1,0)+2,FALSE)</f>
        <v>#N/A</v>
      </c>
      <c r="Y8" s="62">
        <v>0</v>
      </c>
      <c r="Z8" s="6">
        <v>0</v>
      </c>
      <c r="AA8" s="6">
        <v>100</v>
      </c>
      <c r="AB8" s="6">
        <v>0</v>
      </c>
      <c r="AC8" s="106">
        <v>1</v>
      </c>
      <c r="AD8" s="24">
        <f t="shared" si="3"/>
        <v>362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ref="A9" si="20">B9&amp;"_"&amp;C9&amp;"-"&amp;G9&amp;"/"&amp;L9&amp;"&lt;lv"&amp;R9&amp;"&gt;s"&amp;AC9</f>
        <v>20017_2-2/153&lt;lv35&gt;s1</v>
      </c>
      <c r="B9" s="22">
        <v>20017</v>
      </c>
      <c r="C9" s="21">
        <v>2</v>
      </c>
      <c r="D9" s="2" t="str">
        <f t="shared" ref="D9" si="21">B9&amp;"_"&amp;C9</f>
        <v>20017_2</v>
      </c>
      <c r="E9" s="4" t="str">
        <f ca="1">VLOOKUP($B9,OFFSET([2]quests!$A$1,0,0,COUNTA([2]quests!$A:$A),MATCH(E$1,[2]quests!$1:$1,0)-MATCH($B$1,[2]quests!$1:$1,0)+1),MATCH(E$1,[2]quests!$1:$1,0)-MATCH($B$1,[2]quests!$1:$1,0)+1,FALSE)</f>
        <v>隻腕の提督</v>
      </c>
      <c r="F9" s="103" t="str">
        <f ca="1">VLOOKUP($D9,OFFSET([2]stages!$A$1,0,0,COUNTA([2]stages!$A:$A),MATCH(F$1,[2]stages!$2:$2,0)-MATCH($D$1,[2]stages!$2:$2,0)+1),MATCH(F$1,[2]stages!$2:$2,0)-MATCH($D$1,[2]stages!$2:$2,0)+1,FALSE)</f>
        <v>【中級】隻腕の提督</v>
      </c>
      <c r="G9" s="21">
        <v>2</v>
      </c>
      <c r="H9" s="15" t="str">
        <f t="shared" ref="H9" si="22">B9&amp;"_"&amp;C9&amp;"-"&amp;G9</f>
        <v>20017_2-2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153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拳聖ランラン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35</v>
      </c>
      <c r="S9" s="25">
        <v>2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72792</v>
      </c>
      <c r="U9" s="25">
        <v>1.1000000000000001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3081.1000000000004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62">
        <v>20017003</v>
      </c>
      <c r="Z9" s="6">
        <v>0</v>
      </c>
      <c r="AA9" s="6">
        <v>100</v>
      </c>
      <c r="AB9" s="6">
        <v>1</v>
      </c>
      <c r="AC9" s="106">
        <v>1</v>
      </c>
      <c r="AD9" s="24">
        <f t="shared" ref="AD9" si="23">L9</f>
        <v>153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9" s="7">
        <v>1</v>
      </c>
      <c r="AI9" s="24">
        <f t="shared" ref="AI9" ca="1" si="24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ca="1" si="0"/>
        <v>20017_2-3/3&lt;lv35&gt;s2</v>
      </c>
      <c r="B10" s="22">
        <v>20017</v>
      </c>
      <c r="C10" s="21">
        <v>2</v>
      </c>
      <c r="D10" s="2" t="str">
        <f t="shared" si="1"/>
        <v>20017_2</v>
      </c>
      <c r="E10" s="4" t="str">
        <f ca="1">VLOOKUP($B10,OFFSET([2]quests!$A$1,0,0,COUNTA([2]quests!$A:$A),MATCH(E$1,[2]quests!$1:$1,0)-MATCH($B$1,[2]quests!$1:$1,0)+1),MATCH(E$1,[2]quests!$1:$1,0)-MATCH($B$1,[2]quests!$1:$1,0)+1,FALSE)</f>
        <v>隻腕の提督</v>
      </c>
      <c r="F10" s="103" t="str">
        <f ca="1">VLOOKUP($D10,OFFSET([2]stages!$A$1,0,0,COUNTA([2]stages!$A:$A),MATCH(F$1,[2]stages!$2:$2,0)-MATCH($D$1,[2]stages!$2:$2,0)+1),MATCH(F$1,[2]stages!$2:$2,0)-MATCH($D$1,[2]stages!$2:$2,0)+1,FALSE)</f>
        <v>【中級】隻腕の提督</v>
      </c>
      <c r="G10" s="21">
        <v>3</v>
      </c>
      <c r="H10" s="15" t="str">
        <f t="shared" si="2"/>
        <v>20017_2-3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エージェント ジョー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35</v>
      </c>
      <c r="S10" s="25">
        <v>1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7446</v>
      </c>
      <c r="U10" s="25">
        <v>1.2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2575.1999999999998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62">
        <v>0</v>
      </c>
      <c r="Z10" s="6">
        <v>0</v>
      </c>
      <c r="AA10" s="6">
        <v>100</v>
      </c>
      <c r="AB10" s="6">
        <v>0</v>
      </c>
      <c r="AC10" s="106">
        <f ca="1">VLOOKUP($L10,OFFSET([3]enemies!$A$1,0,0,COUNTA([3]enemies!$A:$A),MATCH(AC$1,[3]enemies!$1:$1,0)-MATCH($L$1,[3]enemies!$1:$1,0)+1),MATCH(AC$1,[3]enemies!$1:$1,0)-MATCH($L$1,[3]enemies!$1:$1,0)+1,FALSE)</f>
        <v>2</v>
      </c>
      <c r="AD10" s="24">
        <f t="shared" si="3"/>
        <v>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" s="7">
        <v>1</v>
      </c>
      <c r="AI10" s="24">
        <f t="shared" ca="1" si="4"/>
        <v>1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20017_2-4/931&lt;lv30&gt;s2</v>
      </c>
      <c r="B11" s="22">
        <v>20017</v>
      </c>
      <c r="C11" s="21">
        <v>2</v>
      </c>
      <c r="D11" s="2" t="str">
        <f t="shared" si="1"/>
        <v>20017_2</v>
      </c>
      <c r="E11" s="4" t="str">
        <f ca="1">VLOOKUP($B11,OFFSET([2]quests!$A$1,0,0,COUNTA([2]quests!$A:$A),MATCH(E$1,[2]quests!$1:$1,0)-MATCH($B$1,[2]quests!$1:$1,0)+1),MATCH(E$1,[2]quests!$1:$1,0)-MATCH($B$1,[2]quests!$1:$1,0)+1,FALSE)</f>
        <v>隻腕の提督</v>
      </c>
      <c r="F11" s="103" t="str">
        <f ca="1">VLOOKUP($D11,OFFSET([2]stages!$A$1,0,0,COUNTA([2]stages!$A:$A),MATCH(F$1,[2]stages!$2:$2,0)-MATCH($D$1,[2]stages!$2:$2,0)+1),MATCH(F$1,[2]stages!$2:$2,0)-MATCH($D$1,[2]stages!$2:$2,0)+1,FALSE)</f>
        <v>【中級】隻腕の提督</v>
      </c>
      <c r="G11" s="21">
        <v>4</v>
      </c>
      <c r="H11" s="15" t="str">
        <f t="shared" si="2"/>
        <v>20017_2-4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931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ネルソン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30</v>
      </c>
      <c r="S11" s="25">
        <v>3.5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123679.5</v>
      </c>
      <c r="U11" s="25">
        <v>1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2789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確率で赤の時限式ダメージパネルがドロップ</v>
      </c>
      <c r="Y11" s="62">
        <v>20017005</v>
      </c>
      <c r="Z11" s="6">
        <v>0</v>
      </c>
      <c r="AA11" s="6">
        <v>100</v>
      </c>
      <c r="AB11" s="6">
        <v>1</v>
      </c>
      <c r="AC11" s="106">
        <v>2</v>
      </c>
      <c r="AD11" s="24">
        <f t="shared" si="3"/>
        <v>931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ネルソン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4</v>
      </c>
      <c r="AJ11" s="8">
        <v>50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ca="1" si="0"/>
        <v>20017_1-1/53&lt;lv10&gt;s2</v>
      </c>
      <c r="B12" s="22">
        <v>20017</v>
      </c>
      <c r="C12" s="21">
        <v>1</v>
      </c>
      <c r="D12" s="2" t="str">
        <f t="shared" si="1"/>
        <v>20017_1</v>
      </c>
      <c r="E12" s="4" t="str">
        <f ca="1">VLOOKUP($B12,OFFSET([2]quests!$A$1,0,0,COUNTA([2]quests!$A:$A),MATCH(E$1,[2]quests!$1:$1,0)-MATCH($B$1,[2]quests!$1:$1,0)+1),MATCH(E$1,[2]quests!$1:$1,0)-MATCH($B$1,[2]quests!$1:$1,0)+1,FALSE)</f>
        <v>隻腕の提督</v>
      </c>
      <c r="F12" s="103" t="str">
        <f ca="1">VLOOKUP($D12,OFFSET([2]stages!$A$1,0,0,COUNTA([2]stages!$A:$A),MATCH(F$1,[2]stages!$2:$2,0)-MATCH($D$1,[2]stages!$2:$2,0)+1),MATCH(F$1,[2]stages!$2:$2,0)-MATCH($D$1,[2]stages!$2:$2,0)+1,FALSE)</f>
        <v>【初級】隻腕の提督</v>
      </c>
      <c r="G12" s="21">
        <v>1</v>
      </c>
      <c r="H12" s="15" t="str">
        <f t="shared" si="2"/>
        <v>20017_1-1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53</v>
      </c>
      <c r="L12" s="20">
        <v>53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ケンジ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10</v>
      </c>
      <c r="S12" s="25">
        <v>1</v>
      </c>
      <c r="T12" s="99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2162</v>
      </c>
      <c r="U12" s="25">
        <v>1.1000000000000001</v>
      </c>
      <c r="V12" s="99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735.90000000000009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62">
        <v>0</v>
      </c>
      <c r="Z12" s="6">
        <v>0</v>
      </c>
      <c r="AA12" s="6">
        <v>100</v>
      </c>
      <c r="AB12" s="6">
        <v>0</v>
      </c>
      <c r="AC12" s="106">
        <f ca="1">VLOOKUP($L12,OFFSET([3]enemies!$A$1,0,0,COUNTA([3]enemies!$A:$A),MATCH(AC$1,[3]enemies!$1:$1,0)-MATCH($L$1,[3]enemies!$1:$1,0)+1),MATCH(AC$1,[3]enemies!$1:$1,0)-MATCH($L$1,[3]enemies!$1:$1,0)+1,FALSE)</f>
        <v>2</v>
      </c>
      <c r="AD12" s="24">
        <f t="shared" si="3"/>
        <v>53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4">
        <f t="shared" ca="1" si="4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ref="A13" si="25">B13&amp;"_"&amp;C13&amp;"-"&amp;G13&amp;"/"&amp;L13&amp;"&lt;lv"&amp;R13&amp;"&gt;s"&amp;AC13</f>
        <v>20017_1-2/362&lt;lv10&gt;s1</v>
      </c>
      <c r="B13" s="22">
        <v>20017</v>
      </c>
      <c r="C13" s="21">
        <v>1</v>
      </c>
      <c r="D13" s="2" t="str">
        <f t="shared" ref="D13" si="26">B13&amp;"_"&amp;C13</f>
        <v>20017_1</v>
      </c>
      <c r="E13" s="4" t="str">
        <f ca="1">VLOOKUP($B13,OFFSET([2]quests!$A$1,0,0,COUNTA([2]quests!$A:$A),MATCH(E$1,[2]quests!$1:$1,0)-MATCH($B$1,[2]quests!$1:$1,0)+1),MATCH(E$1,[2]quests!$1:$1,0)-MATCH($B$1,[2]quests!$1:$1,0)+1,FALSE)</f>
        <v>隻腕の提督</v>
      </c>
      <c r="F13" s="103" t="str">
        <f ca="1">VLOOKUP($D13,OFFSET([2]stages!$A$1,0,0,COUNTA([2]stages!$A:$A),MATCH(F$1,[2]stages!$2:$2,0)-MATCH($D$1,[2]stages!$2:$2,0)+1),MATCH(F$1,[2]stages!$2:$2,0)-MATCH($D$1,[2]stages!$2:$2,0)+1,FALSE)</f>
        <v>【初級】隻腕の提督</v>
      </c>
      <c r="G13" s="21">
        <v>2</v>
      </c>
      <c r="H13" s="15" t="str">
        <f t="shared" ref="H13" si="27">B13&amp;"_"&amp;C13&amp;"-"&amp;G13</f>
        <v>20017_1-2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362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ゆらら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10</v>
      </c>
      <c r="S13" s="25">
        <v>1</v>
      </c>
      <c r="T13" s="9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2111</v>
      </c>
      <c r="U13" s="25">
        <v>1</v>
      </c>
      <c r="V13" s="9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669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62">
        <v>0</v>
      </c>
      <c r="Z13" s="6">
        <v>0</v>
      </c>
      <c r="AA13" s="6">
        <v>100</v>
      </c>
      <c r="AB13" s="6">
        <v>0</v>
      </c>
      <c r="AC13" s="106">
        <v>1</v>
      </c>
      <c r="AD13" s="24">
        <f t="shared" ref="AD13" si="28">L13</f>
        <v>362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7">
        <v>1</v>
      </c>
      <c r="AI13" s="24">
        <f t="shared" ref="AI13" ca="1" si="29">AF13</f>
        <v>2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0"/>
        <v>20017_1-2/153&lt;lv15&gt;s1</v>
      </c>
      <c r="B14" s="22">
        <v>20017</v>
      </c>
      <c r="C14" s="21">
        <v>1</v>
      </c>
      <c r="D14" s="2" t="str">
        <f t="shared" si="1"/>
        <v>20017_1</v>
      </c>
      <c r="E14" s="4" t="str">
        <f ca="1">VLOOKUP($B14,OFFSET([2]quests!$A$1,0,0,COUNTA([2]quests!$A:$A),MATCH(E$1,[2]quests!$1:$1,0)-MATCH($B$1,[2]quests!$1:$1,0)+1),MATCH(E$1,[2]quests!$1:$1,0)-MATCH($B$1,[2]quests!$1:$1,0)+1,FALSE)</f>
        <v>隻腕の提督</v>
      </c>
      <c r="F14" s="103" t="str">
        <f ca="1">VLOOKUP($D14,OFFSET([2]stages!$A$1,0,0,COUNTA([2]stages!$A:$A),MATCH(F$1,[2]stages!$2:$2,0)-MATCH($D$1,[2]stages!$2:$2,0)+1),MATCH(F$1,[2]stages!$2:$2,0)-MATCH($D$1,[2]stages!$2:$2,0)+1,FALSE)</f>
        <v>【初級】隻腕の提督</v>
      </c>
      <c r="G14" s="21">
        <v>2</v>
      </c>
      <c r="H14" s="15" t="str">
        <f t="shared" si="2"/>
        <v>20017_1-2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153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拳聖ランラン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15</v>
      </c>
      <c r="S14" s="25">
        <v>2</v>
      </c>
      <c r="T14" s="9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32906</v>
      </c>
      <c r="U14" s="25">
        <v>1.1000000000000001</v>
      </c>
      <c r="V14" s="9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1392.6000000000001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4" s="62">
        <v>20017003</v>
      </c>
      <c r="Z14" s="6">
        <v>0</v>
      </c>
      <c r="AA14" s="6">
        <v>100</v>
      </c>
      <c r="AB14" s="6">
        <v>1</v>
      </c>
      <c r="AC14" s="106">
        <v>1</v>
      </c>
      <c r="AD14" s="24">
        <f t="shared" si="3"/>
        <v>153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7">
        <v>1</v>
      </c>
      <c r="AI14" s="24">
        <f t="shared" ca="1" si="4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ca="1" si="0"/>
        <v>20017_1-3/3&lt;lv10&gt;s2</v>
      </c>
      <c r="B15" s="22">
        <v>20017</v>
      </c>
      <c r="C15" s="21">
        <v>1</v>
      </c>
      <c r="D15" s="2" t="str">
        <f t="shared" si="1"/>
        <v>20017_1</v>
      </c>
      <c r="E15" s="4" t="str">
        <f ca="1">VLOOKUP($B15,OFFSET([2]quests!$A$1,0,0,COUNTA([2]quests!$A:$A),MATCH(E$1,[2]quests!$1:$1,0)-MATCH($B$1,[2]quests!$1:$1,0)+1),MATCH(E$1,[2]quests!$1:$1,0)-MATCH($B$1,[2]quests!$1:$1,0)+1,FALSE)</f>
        <v>隻腕の提督</v>
      </c>
      <c r="F15" s="103" t="str">
        <f ca="1">VLOOKUP($D15,OFFSET([2]stages!$A$1,0,0,COUNTA([2]stages!$A:$A),MATCH(F$1,[2]stages!$2:$2,0)-MATCH($D$1,[2]stages!$2:$2,0)+1),MATCH(F$1,[2]stages!$2:$2,0)-MATCH($D$1,[2]stages!$2:$2,0)+1,FALSE)</f>
        <v>【初級】隻腕の提督</v>
      </c>
      <c r="G15" s="21">
        <v>3</v>
      </c>
      <c r="H15" s="15" t="str">
        <f t="shared" si="2"/>
        <v>20017_1-3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エージェント ジョー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10</v>
      </c>
      <c r="S15" s="25">
        <v>1</v>
      </c>
      <c r="T15" s="99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2346</v>
      </c>
      <c r="U15" s="25">
        <v>1.2</v>
      </c>
      <c r="V15" s="99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811.19999999999993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62">
        <v>0</v>
      </c>
      <c r="Z15" s="6">
        <v>0</v>
      </c>
      <c r="AA15" s="6">
        <v>100</v>
      </c>
      <c r="AB15" s="6">
        <v>0</v>
      </c>
      <c r="AC15" s="106">
        <f ca="1">VLOOKUP($L15,OFFSET([3]enemies!$A$1,0,0,COUNTA([3]enemies!$A:$A),MATCH(AC$1,[3]enemies!$1:$1,0)-MATCH($L$1,[3]enemies!$1:$1,0)+1),MATCH(AC$1,[3]enemies!$1:$1,0)-MATCH($L$1,[3]enemies!$1:$1,0)+1,FALSE)</f>
        <v>2</v>
      </c>
      <c r="AD15" s="24">
        <f t="shared" si="3"/>
        <v>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f t="shared" ca="1" si="4"/>
        <v>1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0"/>
        <v>20017_1-4/931&lt;lv10&gt;s2</v>
      </c>
      <c r="B16" s="22">
        <v>20017</v>
      </c>
      <c r="C16" s="21">
        <v>1</v>
      </c>
      <c r="D16" s="2" t="str">
        <f t="shared" si="1"/>
        <v>20017_1</v>
      </c>
      <c r="E16" s="4" t="str">
        <f ca="1">VLOOKUP($B16,OFFSET([2]quests!$A$1,0,0,COUNTA([2]quests!$A:$A),MATCH(E$1,[2]quests!$1:$1,0)-MATCH($B$1,[2]quests!$1:$1,0)+1),MATCH(E$1,[2]quests!$1:$1,0)-MATCH($B$1,[2]quests!$1:$1,0)+1,FALSE)</f>
        <v>隻腕の提督</v>
      </c>
      <c r="F16" s="103" t="str">
        <f ca="1">VLOOKUP($D16,OFFSET([2]stages!$A$1,0,0,COUNTA([2]stages!$A:$A),MATCH(F$1,[2]stages!$2:$2,0)-MATCH($D$1,[2]stages!$2:$2,0)+1),MATCH(F$1,[2]stages!$2:$2,0)-MATCH($D$1,[2]stages!$2:$2,0)+1,FALSE)</f>
        <v>【初級】隻腕の提督</v>
      </c>
      <c r="G16" s="21">
        <v>4</v>
      </c>
      <c r="H16" s="15" t="str">
        <f t="shared" si="2"/>
        <v>20017_1-4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20">
        <v>931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ネルソン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10</v>
      </c>
      <c r="S16" s="25">
        <v>4.5</v>
      </c>
      <c r="T16" s="99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58054.5</v>
      </c>
      <c r="U16" s="25">
        <v>1</v>
      </c>
      <c r="V16" s="99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1018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確率で赤の時限式ダメージパネルがドロップ</v>
      </c>
      <c r="Y16" s="62">
        <v>20017005</v>
      </c>
      <c r="Z16" s="6">
        <v>0</v>
      </c>
      <c r="AA16" s="6">
        <v>100</v>
      </c>
      <c r="AB16" s="6">
        <v>1</v>
      </c>
      <c r="AC16" s="106">
        <v>2</v>
      </c>
      <c r="AD16" s="24">
        <f t="shared" si="3"/>
        <v>931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ネルソン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4"/>
        <v>4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20017_3-4/932&lt;lv40&gt;sq1st2</v>
      </c>
      <c r="B2" s="22">
        <v>20017</v>
      </c>
      <c r="C2" s="21">
        <v>3</v>
      </c>
      <c r="D2" s="2" t="str">
        <f>B2&amp;"_"&amp;C2</f>
        <v>20017_3</v>
      </c>
      <c r="E2" s="4" t="str">
        <f ca="1">VLOOKUP($B2,OFFSET([2]quests!$A$1,0,0,COUNTA([2]quests!$A:$A),MATCH(E$1,[2]quests!$1:$1,0)-MATCH($B$1,[2]quests!$1:$1,0)+1),MATCH(E$1,[2]quests!$1:$1,0)-MATCH($B$1,[2]quests!$1:$1,0)+1,FALSE)</f>
        <v>隻腕の提督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【上級】隻腕の提督</v>
      </c>
      <c r="G2" s="21">
        <v>4</v>
      </c>
      <c r="H2" s="15" t="str">
        <f>B2&amp;"_"&amp;C2&amp;"-"&amp;G2</f>
        <v>20017_3-4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隻眼の英堤 ネルソン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4.0999999999999996</v>
      </c>
      <c r="U2" s="25">
        <v>1</v>
      </c>
      <c r="V2" s="5">
        <v>0</v>
      </c>
      <c r="W2" s="103"/>
      <c r="X2" s="103">
        <v>20017006</v>
      </c>
      <c r="Y2" s="105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20017_2-4/932&lt;lv30&gt;sq1st2</v>
      </c>
      <c r="B3" s="22">
        <v>20017</v>
      </c>
      <c r="C3" s="21">
        <v>2</v>
      </c>
      <c r="D3" s="2" t="str">
        <f>B3&amp;"_"&amp;C3</f>
        <v>20017_2</v>
      </c>
      <c r="E3" s="4" t="str">
        <f ca="1">VLOOKUP($B3,OFFSET([2]quests!$A$1,0,0,COUNTA([2]quests!$A:$A),MATCH(E$1,[2]quests!$1:$1,0)-MATCH($B$1,[2]quests!$1:$1,0)+1),MATCH(E$1,[2]quests!$1:$1,0)-MATCH($B$1,[2]quests!$1:$1,0)+1,FALSE)</f>
        <v>隻腕の提督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【中級】隻腕の提督</v>
      </c>
      <c r="G3" s="21">
        <v>4</v>
      </c>
      <c r="H3" s="15" t="str">
        <f>B3&amp;"_"&amp;C3&amp;"-"&amp;G3</f>
        <v>20017_2-4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932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隻眼の英堤 ネルソン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30</v>
      </c>
      <c r="T3" s="25">
        <v>4.0999999999999996</v>
      </c>
      <c r="U3" s="25">
        <v>1</v>
      </c>
      <c r="V3" s="5">
        <v>0</v>
      </c>
      <c r="W3" s="103"/>
      <c r="X3" s="103">
        <v>20017006</v>
      </c>
      <c r="Y3" s="105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20017_1-4/932&lt;lv10&gt;sq1st2</v>
      </c>
      <c r="B4" s="22">
        <v>20017</v>
      </c>
      <c r="C4" s="21">
        <v>1</v>
      </c>
      <c r="D4" s="2" t="str">
        <f>B4&amp;"_"&amp;C4</f>
        <v>20017_1</v>
      </c>
      <c r="E4" s="4" t="str">
        <f ca="1">VLOOKUP($B4,OFFSET([2]quests!$A$1,0,0,COUNTA([2]quests!$A:$A),MATCH(E$1,[2]quests!$1:$1,0)-MATCH($B$1,[2]quests!$1:$1,0)+1),MATCH(E$1,[2]quests!$1:$1,0)-MATCH($B$1,[2]quests!$1:$1,0)+1,FALSE)</f>
        <v>隻腕の提督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【初級】隻腕の提督</v>
      </c>
      <c r="G4" s="21">
        <v>4</v>
      </c>
      <c r="H4" s="15" t="str">
        <f>B4&amp;"_"&amp;C4&amp;"-"&amp;G4</f>
        <v>20017_1-4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932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隻眼の英堤 ネルソン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10</v>
      </c>
      <c r="T4" s="25">
        <v>5.0999999999999996</v>
      </c>
      <c r="U4" s="25">
        <v>1</v>
      </c>
      <c r="V4" s="5">
        <v>0</v>
      </c>
      <c r="W4" s="103"/>
      <c r="X4" s="103">
        <v>20017006</v>
      </c>
      <c r="Y4" s="105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1"/>
  <sheetViews>
    <sheetView showGridLines="0" workbookViewId="0">
      <pane ySplit="1" topLeftCell="A2" activePane="bottomLeft" state="frozenSplit"/>
      <selection pane="bottomLeft" activeCell="B20" sqref="B2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20017003</v>
      </c>
      <c r="B2" s="101" t="s">
        <v>244</v>
      </c>
      <c r="C2" s="50">
        <v>3</v>
      </c>
      <c r="D2" s="50" t="s">
        <v>128</v>
      </c>
      <c r="E2" s="51" t="s">
        <v>253</v>
      </c>
      <c r="F2" s="51" t="s">
        <v>251</v>
      </c>
      <c r="G2" s="64" t="str">
        <f t="shared" ref="G2:G4" si="0">IFERROR(LEFT(B2,FIND("],",B2)),B2)</f>
        <v>[effect:critical, val:3.0]</v>
      </c>
      <c r="H2" s="64">
        <f t="shared" ref="H2:H4" si="1">FIND("effect:",G2)+7</f>
        <v>9</v>
      </c>
      <c r="I2" s="64">
        <f t="shared" ref="I2:I4" si="2">IFERROR(FIND(",",G2),LEN(G2))</f>
        <v>17</v>
      </c>
      <c r="J2" s="64" t="e">
        <f t="shared" ref="J2:J4" si="3">FIND("target:",G2)+7</f>
        <v>#VALUE!</v>
      </c>
      <c r="K2" s="64" t="e">
        <f t="shared" ref="K2:K4" si="4">FIND(",",G2,I2+1)</f>
        <v>#VALUE!</v>
      </c>
      <c r="L2" s="64" t="str">
        <f>IFERROR(VLOOKUP(MID(G2,J2,K2-J2),[5]skilldef!$C:$D,2,FALSE),"-") &amp; " / " &amp; IFERROR(VLOOKUP(MID(G2,H2,I2-H2),[5]skilldef!$A:$B,2,FALSE),"-")</f>
        <v>- / 大攻撃</v>
      </c>
      <c r="M2" s="64" t="str">
        <f t="shared" ref="M2:M4" si="5">IFERROR(RIGHT(B2,LEN(B2)-FIND("],",B2)-1),"none")</f>
        <v>none</v>
      </c>
      <c r="N2" s="48" t="str">
        <f>IFERROR(LEFT(M2,FIND("],",M2)+S11),M2)</f>
        <v>none</v>
      </c>
      <c r="O2" s="64" t="e">
        <f t="shared" ref="O2:O4" si="6">FIND("effect:",N2)+7</f>
        <v>#VALUE!</v>
      </c>
      <c r="P2" s="64">
        <f t="shared" ref="P2:P4" si="7">IFERROR(FIND(",",N2),LEN(N2))</f>
        <v>4</v>
      </c>
      <c r="Q2" s="64" t="e">
        <f t="shared" ref="Q2:Q4" si="8">FIND("target:",N2)+7</f>
        <v>#VALUE!</v>
      </c>
      <c r="R2" s="64" t="e">
        <f t="shared" ref="R2:R4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4" si="10">IFERROR(RIGHT(M2,LEN(M2)-FIND("],",M2)-1),"none")</f>
        <v>none</v>
      </c>
      <c r="U2" s="64" t="e">
        <f t="shared" ref="U2:U4" si="11">FIND("effect:",T2)+7</f>
        <v>#VALUE!</v>
      </c>
      <c r="V2" s="64">
        <f t="shared" ref="V2:V4" si="12">IFERROR(FIND(",",T2),LEN(T2))</f>
        <v>4</v>
      </c>
      <c r="W2" s="64" t="e">
        <f t="shared" ref="W2:W4" si="13">FIND("target:",T2)+7</f>
        <v>#VALUE!</v>
      </c>
      <c r="X2" s="64" t="e">
        <f t="shared" ref="X2:X4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20017005</v>
      </c>
      <c r="B3" s="101" t="s">
        <v>254</v>
      </c>
      <c r="C3" s="50">
        <v>3</v>
      </c>
      <c r="D3" s="50" t="s">
        <v>128</v>
      </c>
      <c r="E3" s="51" t="s">
        <v>245</v>
      </c>
      <c r="F3" s="51" t="s">
        <v>269</v>
      </c>
      <c r="G3" s="64" t="str">
        <f t="shared" si="0"/>
        <v>[effect:drop_block, block_type:time_bomb, color:block_red, val:0.09, rate:0.80, turn:-1, min_time_count:2, animation:time_bomb_influence04]_x000D_</v>
      </c>
      <c r="H3" s="64">
        <f t="shared" si="1"/>
        <v>9</v>
      </c>
      <c r="I3" s="64">
        <f t="shared" si="2"/>
        <v>19</v>
      </c>
      <c r="J3" s="64" t="e">
        <f t="shared" si="3"/>
        <v>#VALUE!</v>
      </c>
      <c r="K3" s="64">
        <f t="shared" si="4"/>
        <v>41</v>
      </c>
      <c r="L3" s="64" t="str">
        <f>IFERROR(VLOOKUP(MID(G3,J3,K3-J3),[5]skilldef!$C:$D,2,FALSE),"-") &amp; " / " &amp; IFERROR(VLOOKUP(MID(G3,H3,I3-H3),[5]skilldef!$A:$B,2,FALSE),"-")</f>
        <v>- / 特定ブロックの割合ドロップ</v>
      </c>
      <c r="M3" s="64" t="str">
        <f t="shared" si="5"/>
        <v>none</v>
      </c>
      <c r="N3" s="48" t="str">
        <f t="shared" ref="N3:N4" si="15">IFERROR(LEFT(M3,FIND("],",M3)+S13),M3)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20017006</v>
      </c>
      <c r="B4" s="101" t="s">
        <v>242</v>
      </c>
      <c r="C4" s="50">
        <v>3</v>
      </c>
      <c r="D4" s="50" t="s">
        <v>128</v>
      </c>
      <c r="E4" s="107" t="s">
        <v>260</v>
      </c>
      <c r="F4" s="51" t="s">
        <v>256</v>
      </c>
      <c r="G4" s="64" t="str">
        <f t="shared" si="0"/>
        <v>[effect:force_change_block, new_block:block_red, target:block_heart, count:5, val:0, animation:change_block]</v>
      </c>
      <c r="H4" s="64">
        <f t="shared" si="1"/>
        <v>9</v>
      </c>
      <c r="I4" s="64">
        <f t="shared" si="2"/>
        <v>27</v>
      </c>
      <c r="J4" s="64">
        <f t="shared" si="3"/>
        <v>57</v>
      </c>
      <c r="K4" s="64">
        <f t="shared" si="4"/>
        <v>48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[effect:spread, val:0.30]</v>
      </c>
      <c r="N4" s="48" t="str">
        <f t="shared" si="15"/>
        <v>[effect:spread, val:0.30]</v>
      </c>
      <c r="O4" s="64">
        <f t="shared" si="6"/>
        <v>9</v>
      </c>
      <c r="P4" s="64">
        <f t="shared" si="7"/>
        <v>15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全体攻撃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20017007</v>
      </c>
      <c r="B5" s="101" t="s">
        <v>263</v>
      </c>
      <c r="C5" s="50">
        <v>3</v>
      </c>
      <c r="D5" s="50" t="s">
        <v>128</v>
      </c>
      <c r="E5" s="51" t="s">
        <v>248</v>
      </c>
      <c r="F5" s="51" t="s">
        <v>257</v>
      </c>
      <c r="G5" s="64" t="str">
        <f t="shared" ref="G5" si="16">IFERROR(LEFT(B5,FIND("],",B5)),B5)</f>
        <v>[effect:remove_enhancement, target:unit_all, target_effect:drop_block, target_type:all, status:time_bomb]</v>
      </c>
      <c r="H5" s="64">
        <f t="shared" ref="H5" si="17">FIND("effect:",G5)+7</f>
        <v>9</v>
      </c>
      <c r="I5" s="64">
        <f t="shared" ref="I5" si="18">IFERROR(FIND(",",G5),LEN(G5))</f>
        <v>27</v>
      </c>
      <c r="J5" s="64">
        <f t="shared" ref="J5" si="19">FIND("target:",G5)+7</f>
        <v>36</v>
      </c>
      <c r="K5" s="64">
        <f t="shared" ref="K5" si="20">FIND(",",G5,I5+1)</f>
        <v>44</v>
      </c>
      <c r="L5" s="64" t="str">
        <f>IFERROR(VLOOKUP(MID(G5,J5,K5-J5),[5]skilldef!$C:$D,2,FALSE),"-") &amp; " / " &amp; IFERROR(VLOOKUP(MID(G5,H5,I5-H5),[5]skilldef!$A:$B,2,FALSE),"-")</f>
        <v>味方全体に / -</v>
      </c>
      <c r="M5" s="64" t="str">
        <f t="shared" ref="M5" si="21">IFERROR(RIGHT(B5,LEN(B5)-FIND("],",B5)-1),"none")</f>
        <v>[effect:drop_block, block_type:time_bomb, color:block_green, val:0.09, rate:0.60, turn:-1, min_time_count:3, animation:time_bomb_influence04]</v>
      </c>
      <c r="N5" s="48" t="str">
        <f t="shared" ref="N5" si="22">IFERROR(LEFT(M5,FIND("],",M5)+S15),M5)</f>
        <v>[effect:drop_block, block_type:time_bomb, color:block_green, val:0.09, rate:0.60, turn:-1, min_time_count:3, animation:time_bomb_influence04]</v>
      </c>
      <c r="O5" s="64">
        <f t="shared" ref="O5" si="23">FIND("effect:",N5)+7</f>
        <v>9</v>
      </c>
      <c r="P5" s="64">
        <f t="shared" ref="P5" si="24">IFERROR(FIND(",",N5),LEN(N5))</f>
        <v>19</v>
      </c>
      <c r="Q5" s="64" t="e">
        <f t="shared" ref="Q5" si="25">FIND("target:",N5)+7</f>
        <v>#VALUE!</v>
      </c>
      <c r="R5" s="64">
        <f t="shared" ref="R5" si="26">FIND(",",N5,P5+1)</f>
        <v>41</v>
      </c>
      <c r="S5" s="64" t="str">
        <f>IFERROR(VLOOKUP(MID(N5,Q5,R5-Q5),[5]skilldef!$C:$D,2,FALSE),"-") &amp; " / " &amp; IFERROR(VLOOKUP(MID(N5,O5,P5-O5),[5]skilldef!$A:$B,2,FALSE),"-")</f>
        <v>- / 特定ブロックの割合ドロップ</v>
      </c>
      <c r="T5" s="48" t="str">
        <f t="shared" ref="T5" si="27">IFERROR(RIGHT(M5,LEN(M5)-FIND("],",M5)-1),"none")</f>
        <v>none</v>
      </c>
      <c r="U5" s="64" t="e">
        <f t="shared" ref="U5" si="28">FIND("effect:",T5)+7</f>
        <v>#VALUE!</v>
      </c>
      <c r="V5" s="64">
        <f t="shared" ref="V5" si="29">IFERROR(FIND(",",T5),LEN(T5))</f>
        <v>4</v>
      </c>
      <c r="W5" s="64" t="e">
        <f t="shared" ref="W5" si="30">FIND("target:",T5)+7</f>
        <v>#VALUE!</v>
      </c>
      <c r="X5" s="64" t="e">
        <f t="shared" ref="X5" si="31">FIND(",",T5,V5+1)</f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20017008</v>
      </c>
      <c r="B6" s="101" t="s">
        <v>243</v>
      </c>
      <c r="C6" s="50">
        <v>3</v>
      </c>
      <c r="D6" s="50" t="s">
        <v>128</v>
      </c>
      <c r="E6" s="51" t="s">
        <v>246</v>
      </c>
      <c r="F6" s="51" t="s">
        <v>264</v>
      </c>
      <c r="G6" s="64" t="str">
        <f t="shared" ref="G6" si="32">IFERROR(LEFT(B6,FIND("],",B6)),B6)</f>
        <v>[effect:force_change_block, new_block:block_green, target:block_heart, count:3, val:0, animation:change_block]</v>
      </c>
      <c r="H6" s="64">
        <f t="shared" ref="H6" si="33">FIND("effect:",G6)+7</f>
        <v>9</v>
      </c>
      <c r="I6" s="64">
        <f t="shared" ref="I6" si="34">IFERROR(FIND(",",G6),LEN(G6))</f>
        <v>27</v>
      </c>
      <c r="J6" s="64">
        <f t="shared" ref="J6" si="35">FIND("target:",G6)+7</f>
        <v>59</v>
      </c>
      <c r="K6" s="64">
        <f t="shared" ref="K6" si="36">FIND(",",G6,I6+1)</f>
        <v>50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ref="M6" si="37">IFERROR(RIGHT(B6,LEN(B6)-FIND("],",B6)-1),"none")</f>
        <v>[effect:spread, val:0.30]</v>
      </c>
      <c r="N6" s="48" t="str">
        <f t="shared" ref="N6" si="38">IFERROR(LEFT(M6,FIND("],",M6)+S16),M6)</f>
        <v>[effect:spread, val:0.30]</v>
      </c>
      <c r="O6" s="64">
        <f t="shared" ref="O6" si="39">FIND("effect:",N6)+7</f>
        <v>9</v>
      </c>
      <c r="P6" s="64">
        <f t="shared" ref="P6" si="40">IFERROR(FIND(",",N6),LEN(N6))</f>
        <v>15</v>
      </c>
      <c r="Q6" s="64" t="e">
        <f t="shared" ref="Q6" si="41">FIND("target:",N6)+7</f>
        <v>#VALUE!</v>
      </c>
      <c r="R6" s="64" t="e">
        <f t="shared" ref="R6" si="42">FIND(",",N6,P6+1)</f>
        <v>#VALUE!</v>
      </c>
      <c r="S6" s="64" t="str">
        <f>IFERROR(VLOOKUP(MID(N6,Q6,R6-Q6),[5]skilldef!$C:$D,2,FALSE),"-") &amp; " / " &amp; IFERROR(VLOOKUP(MID(N6,O6,P6-O6),[5]skilldef!$A:$B,2,FALSE),"-")</f>
        <v>- / 全体攻撃</v>
      </c>
      <c r="T6" s="48" t="str">
        <f t="shared" ref="T6" si="43">IFERROR(RIGHT(M6,LEN(M6)-FIND("],",M6)-1),"none")</f>
        <v>none</v>
      </c>
      <c r="U6" s="64" t="e">
        <f t="shared" ref="U6" si="44">FIND("effect:",T6)+7</f>
        <v>#VALUE!</v>
      </c>
      <c r="V6" s="64">
        <f t="shared" ref="V6" si="45">IFERROR(FIND(",",T6),LEN(T6))</f>
        <v>4</v>
      </c>
      <c r="W6" s="64" t="e">
        <f t="shared" ref="W6" si="46">FIND("target:",T6)+7</f>
        <v>#VALUE!</v>
      </c>
      <c r="X6" s="64" t="e">
        <f t="shared" ref="X6" si="47">FIND(",",T6,V6+1)</f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20017009</v>
      </c>
      <c r="B7" s="101" t="s">
        <v>255</v>
      </c>
      <c r="C7" s="50">
        <v>3</v>
      </c>
      <c r="D7" s="50" t="s">
        <v>128</v>
      </c>
      <c r="E7" s="107" t="s">
        <v>249</v>
      </c>
      <c r="F7" s="51" t="s">
        <v>258</v>
      </c>
      <c r="G7" s="64" t="str">
        <f t="shared" ref="G7:G8" si="48">IFERROR(LEFT(B7,FIND("],",B7)),B7)</f>
        <v>[effect:drop_block, block_type:time_bomb, color:block_red, val:0.09, rate:0.65, turn:-1, min_time_count:2, animation:time_bomb_influence04]</v>
      </c>
      <c r="H7" s="64">
        <f t="shared" ref="H7:H8" si="49">FIND("effect:",G7)+7</f>
        <v>9</v>
      </c>
      <c r="I7" s="64">
        <f t="shared" ref="I7:I8" si="50">IFERROR(FIND(",",G7),LEN(G7))</f>
        <v>19</v>
      </c>
      <c r="J7" s="64" t="e">
        <f t="shared" ref="J7:J8" si="51">FIND("target:",G7)+7</f>
        <v>#VALUE!</v>
      </c>
      <c r="K7" s="64">
        <f t="shared" ref="K7:K8" si="52">FIND(",",G7,I7+1)</f>
        <v>41</v>
      </c>
      <c r="L7" s="64" t="str">
        <f>IFERROR(VLOOKUP(MID(G7,J7,K7-J7),[5]skilldef!$C:$D,2,FALSE),"-") &amp; " / " &amp; IFERROR(VLOOKUP(MID(G7,H7,I7-H7),[5]skilldef!$A:$B,2,FALSE),"-")</f>
        <v>- / 特定ブロックの割合ドロップ</v>
      </c>
      <c r="M7" s="64" t="str">
        <f t="shared" ref="M7:M8" si="53">IFERROR(RIGHT(B7,LEN(B7)-FIND("],",B7)-1),"none")</f>
        <v>[effect:enemy_message, val1:2.5]_x000D_</v>
      </c>
      <c r="N7" s="48" t="str">
        <f t="shared" ref="N7:N8" si="54">IFERROR(LEFT(M7,FIND("],",M7)+S17),M7)</f>
        <v>[effect:enemy_message, val1:2.5]_x000D_</v>
      </c>
      <c r="O7" s="64">
        <f t="shared" ref="O7:O8" si="55">FIND("effect:",N7)+7</f>
        <v>9</v>
      </c>
      <c r="P7" s="64">
        <f t="shared" ref="P7:P8" si="56">IFERROR(FIND(",",N7),LEN(N7))</f>
        <v>22</v>
      </c>
      <c r="Q7" s="64" t="e">
        <f t="shared" ref="Q7:Q8" si="57">FIND("target:",N7)+7</f>
        <v>#VALUE!</v>
      </c>
      <c r="R7" s="64" t="e">
        <f t="shared" ref="R7:R8" si="58">FIND(",",N7,P7+1)</f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ref="T7:T8" si="59">IFERROR(RIGHT(M7,LEN(M7)-FIND("],",M7)-1),"none")</f>
        <v>none</v>
      </c>
      <c r="U7" s="64" t="e">
        <f t="shared" ref="U7:U8" si="60">FIND("effect:",T7)+7</f>
        <v>#VALUE!</v>
      </c>
      <c r="V7" s="64">
        <f t="shared" ref="V7:V8" si="61">IFERROR(FIND(",",T7),LEN(T7))</f>
        <v>4</v>
      </c>
      <c r="W7" s="64" t="e">
        <f t="shared" ref="W7:W8" si="62">FIND("target:",T7)+7</f>
        <v>#VALUE!</v>
      </c>
      <c r="X7" s="64" t="e">
        <f t="shared" ref="X7:X8" si="63">FIND(",",T7,V7+1)</f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20017010</v>
      </c>
      <c r="B8" s="101" t="s">
        <v>241</v>
      </c>
      <c r="C8" s="50">
        <v>3</v>
      </c>
      <c r="D8" s="50" t="s">
        <v>128</v>
      </c>
      <c r="E8" s="51" t="s">
        <v>247</v>
      </c>
      <c r="F8" s="51" t="s">
        <v>250</v>
      </c>
      <c r="G8" s="64" t="str">
        <f t="shared" si="48"/>
        <v>[effect:nothing]</v>
      </c>
      <c r="H8" s="64">
        <f t="shared" si="49"/>
        <v>9</v>
      </c>
      <c r="I8" s="64">
        <f t="shared" si="50"/>
        <v>16</v>
      </c>
      <c r="J8" s="64" t="e">
        <f t="shared" si="51"/>
        <v>#VALUE!</v>
      </c>
      <c r="K8" s="64" t="e">
        <f t="shared" si="52"/>
        <v>#VALUE!</v>
      </c>
      <c r="L8" s="64" t="str">
        <f>IFERROR(VLOOKUP(MID(G8,J8,K8-J8),[5]skilldef!$C:$D,2,FALSE),"-") &amp; " / " &amp; IFERROR(VLOOKUP(MID(G8,H8,I8-H8),[5]skilldef!$A:$B,2,FALSE),"-")</f>
        <v>- / 何もしない</v>
      </c>
      <c r="M8" s="64" t="str">
        <f t="shared" si="53"/>
        <v>none</v>
      </c>
      <c r="N8" s="48" t="str">
        <f t="shared" si="54"/>
        <v>none</v>
      </c>
      <c r="O8" s="64" t="e">
        <f t="shared" si="55"/>
        <v>#VALUE!</v>
      </c>
      <c r="P8" s="64">
        <f t="shared" si="56"/>
        <v>4</v>
      </c>
      <c r="Q8" s="64" t="e">
        <f t="shared" si="57"/>
        <v>#VALUE!</v>
      </c>
      <c r="R8" s="64" t="e">
        <f t="shared" si="58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59"/>
        <v>none</v>
      </c>
      <c r="U8" s="64" t="e">
        <f t="shared" si="60"/>
        <v>#VALUE!</v>
      </c>
      <c r="V8" s="64">
        <f t="shared" si="61"/>
        <v>4</v>
      </c>
      <c r="W8" s="64" t="e">
        <f t="shared" si="62"/>
        <v>#VALUE!</v>
      </c>
      <c r="X8" s="64" t="e">
        <f t="shared" si="63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20017011</v>
      </c>
      <c r="B9" s="101" t="s">
        <v>272</v>
      </c>
      <c r="C9" s="50">
        <v>3</v>
      </c>
      <c r="D9" s="50" t="s">
        <v>128</v>
      </c>
      <c r="E9" s="51" t="s">
        <v>252</v>
      </c>
      <c r="F9" s="107" t="s">
        <v>259</v>
      </c>
      <c r="G9" s="64" t="str">
        <f t="shared" ref="G9" si="64">IFERROR(LEFT(B9,FIND("],",B9)),B9)</f>
        <v>[effect:spread, val:0.46]</v>
      </c>
      <c r="H9" s="64">
        <f t="shared" ref="H9" si="65">FIND("effect:",G9)+7</f>
        <v>9</v>
      </c>
      <c r="I9" s="64">
        <f t="shared" ref="I9" si="66">IFERROR(FIND(",",G9),LEN(G9))</f>
        <v>15</v>
      </c>
      <c r="J9" s="64" t="e">
        <f t="shared" ref="J9" si="67">FIND("target:",G9)+7</f>
        <v>#VALUE!</v>
      </c>
      <c r="K9" s="64" t="e">
        <f t="shared" ref="K9" si="68">FIND(",",G9,I9+1)</f>
        <v>#VALUE!</v>
      </c>
      <c r="L9" s="64" t="str">
        <f>IFERROR(VLOOKUP(MID(G9,J9,K9-J9),[5]skilldef!$C:$D,2,FALSE),"-") &amp; " / " &amp; IFERROR(VLOOKUP(MID(G9,H9,I9-H9),[5]skilldef!$A:$B,2,FALSE),"-")</f>
        <v>- / 全体攻撃</v>
      </c>
      <c r="M9" s="64" t="str">
        <f t="shared" ref="M9" si="69">IFERROR(RIGHT(B9,LEN(B9)-FIND("],",B9)-1),"none")</f>
        <v>none</v>
      </c>
      <c r="N9" s="48" t="str">
        <f t="shared" ref="N9" si="70">IFERROR(LEFT(M9,FIND("],",M9)+S19),M9)</f>
        <v>none</v>
      </c>
      <c r="O9" s="64" t="e">
        <f t="shared" ref="O9" si="71">FIND("effect:",N9)+7</f>
        <v>#VALUE!</v>
      </c>
      <c r="P9" s="64">
        <f t="shared" ref="P9" si="72">IFERROR(FIND(",",N9),LEN(N9))</f>
        <v>4</v>
      </c>
      <c r="Q9" s="64" t="e">
        <f t="shared" ref="Q9" si="73">FIND("target:",N9)+7</f>
        <v>#VALUE!</v>
      </c>
      <c r="R9" s="64" t="e">
        <f t="shared" ref="R9" si="74">FIND(",",N9,P9+1)</f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ref="T9" si="75">IFERROR(RIGHT(M9,LEN(M9)-FIND("],",M9)-1),"none")</f>
        <v>none</v>
      </c>
      <c r="U9" s="64" t="e">
        <f t="shared" ref="U9" si="76">FIND("effect:",T9)+7</f>
        <v>#VALUE!</v>
      </c>
      <c r="V9" s="64">
        <f t="shared" ref="V9" si="77">IFERROR(FIND(",",T9),LEN(T9))</f>
        <v>4</v>
      </c>
      <c r="W9" s="64" t="e">
        <f t="shared" ref="W9" si="78">FIND("target:",T9)+7</f>
        <v>#VALUE!</v>
      </c>
      <c r="X9" s="64" t="e">
        <f t="shared" ref="X9" si="79">FIND(",",T9,V9+1)</f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20017012</v>
      </c>
      <c r="B10" s="101" t="s">
        <v>254</v>
      </c>
      <c r="C10" s="50">
        <v>3</v>
      </c>
      <c r="D10" s="50" t="s">
        <v>128</v>
      </c>
      <c r="E10" s="51" t="s">
        <v>265</v>
      </c>
      <c r="F10" s="51" t="s">
        <v>269</v>
      </c>
      <c r="G10" s="64" t="str">
        <f t="shared" ref="G10" si="80">IFERROR(LEFT(B10,FIND("],",B10)),B10)</f>
        <v>[effect:drop_block, block_type:time_bomb, color:block_red, val:0.09, rate:0.80, turn:-1, min_time_count:2, animation:time_bomb_influence04]_x000D_</v>
      </c>
      <c r="H10" s="64">
        <f t="shared" ref="H10" si="81">FIND("effect:",G10)+7</f>
        <v>9</v>
      </c>
      <c r="I10" s="64">
        <f t="shared" ref="I10" si="82">IFERROR(FIND(",",G10),LEN(G10))</f>
        <v>19</v>
      </c>
      <c r="J10" s="64" t="e">
        <f t="shared" ref="J10" si="83">FIND("target:",G10)+7</f>
        <v>#VALUE!</v>
      </c>
      <c r="K10" s="64">
        <f t="shared" ref="K10" si="84">FIND(",",G10,I10+1)</f>
        <v>41</v>
      </c>
      <c r="L10" s="64" t="str">
        <f>IFERROR(VLOOKUP(MID(G10,J10,K10-J10),[5]skilldef!$C:$D,2,FALSE),"-") &amp; " / " &amp; IFERROR(VLOOKUP(MID(G10,H10,I10-H10),[5]skilldef!$A:$B,2,FALSE),"-")</f>
        <v>- / 特定ブロックの割合ドロップ</v>
      </c>
      <c r="M10" s="64" t="str">
        <f t="shared" ref="M10" si="85">IFERROR(RIGHT(B10,LEN(B10)-FIND("],",B10)-1),"none")</f>
        <v>none</v>
      </c>
      <c r="N10" s="48" t="str">
        <f t="shared" ref="N10" si="86">IFERROR(LEFT(M10,FIND("],",M10)+S20),M10)</f>
        <v>none</v>
      </c>
      <c r="O10" s="64" t="e">
        <f t="shared" ref="O10" si="87">FIND("effect:",N10)+7</f>
        <v>#VALUE!</v>
      </c>
      <c r="P10" s="64">
        <f t="shared" ref="P10" si="88">IFERROR(FIND(",",N10),LEN(N10))</f>
        <v>4</v>
      </c>
      <c r="Q10" s="64" t="e">
        <f t="shared" ref="Q10" si="89">FIND("target:",N10)+7</f>
        <v>#VALUE!</v>
      </c>
      <c r="R10" s="64" t="e">
        <f t="shared" ref="R10" si="90">FIND(",",N10,P10+1)</f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ref="T10" si="91">IFERROR(RIGHT(M10,LEN(M10)-FIND("],",M10)-1),"none")</f>
        <v>none</v>
      </c>
      <c r="U10" s="64" t="e">
        <f t="shared" ref="U10" si="92">FIND("effect:",T10)+7</f>
        <v>#VALUE!</v>
      </c>
      <c r="V10" s="64">
        <f t="shared" ref="V10" si="93">IFERROR(FIND(",",T10),LEN(T10))</f>
        <v>4</v>
      </c>
      <c r="W10" s="64" t="e">
        <f t="shared" ref="W10" si="94">FIND("target:",T10)+7</f>
        <v>#VALUE!</v>
      </c>
      <c r="X10" s="64" t="e">
        <f t="shared" ref="X10" si="95">FIND(",",T10,V10+1)</f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20017013</v>
      </c>
      <c r="B11" s="101" t="s">
        <v>254</v>
      </c>
      <c r="C11" s="50">
        <v>3</v>
      </c>
      <c r="D11" s="50" t="s">
        <v>128</v>
      </c>
      <c r="E11" s="51" t="s">
        <v>265</v>
      </c>
      <c r="F11" s="51" t="s">
        <v>270</v>
      </c>
      <c r="G11" s="64" t="str">
        <f t="shared" ref="G11" si="96">IFERROR(LEFT(B11,FIND("],",B11)),B11)</f>
        <v>[effect:drop_block, block_type:time_bomb, color:block_red, val:0.09, rate:0.80, turn:-1, min_time_count:2, animation:time_bomb_influence04]_x000D_</v>
      </c>
      <c r="H11" s="64">
        <f t="shared" ref="H11" si="97">FIND("effect:",G11)+7</f>
        <v>9</v>
      </c>
      <c r="I11" s="64">
        <f t="shared" ref="I11" si="98">IFERROR(FIND(",",G11),LEN(G11))</f>
        <v>19</v>
      </c>
      <c r="J11" s="64" t="e">
        <f t="shared" ref="J11" si="99">FIND("target:",G11)+7</f>
        <v>#VALUE!</v>
      </c>
      <c r="K11" s="64">
        <f t="shared" ref="K11" si="100">FIND(",",G11,I11+1)</f>
        <v>41</v>
      </c>
      <c r="L11" s="64" t="str">
        <f>IFERROR(VLOOKUP(MID(G11,J11,K11-J11),[5]skilldef!$C:$D,2,FALSE),"-") &amp; " / " &amp; IFERROR(VLOOKUP(MID(G11,H11,I11-H11),[5]skilldef!$A:$B,2,FALSE),"-")</f>
        <v>- / 特定ブロックの割合ドロップ</v>
      </c>
      <c r="M11" s="64" t="str">
        <f t="shared" ref="M11" si="101">IFERROR(RIGHT(B11,LEN(B11)-FIND("],",B11)-1),"none")</f>
        <v>none</v>
      </c>
      <c r="N11" s="48" t="str">
        <f t="shared" ref="N11" si="102">IFERROR(LEFT(M11,FIND("],",M11)+S21),M11)</f>
        <v>none</v>
      </c>
      <c r="O11" s="64" t="e">
        <f t="shared" ref="O11" si="103">FIND("effect:",N11)+7</f>
        <v>#VALUE!</v>
      </c>
      <c r="P11" s="64">
        <f t="shared" ref="P11" si="104">IFERROR(FIND(",",N11),LEN(N11))</f>
        <v>4</v>
      </c>
      <c r="Q11" s="64" t="e">
        <f t="shared" ref="Q11" si="105">FIND("target:",N11)+7</f>
        <v>#VALUE!</v>
      </c>
      <c r="R11" s="64" t="e">
        <f t="shared" ref="R11" si="106">FIND(",",N11,P11+1)</f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ref="T11" si="107">IFERROR(RIGHT(M11,LEN(M11)-FIND("],",M11)-1),"none")</f>
        <v>none</v>
      </c>
      <c r="U11" s="64" t="e">
        <f t="shared" ref="U11" si="108">FIND("effect:",T11)+7</f>
        <v>#VALUE!</v>
      </c>
      <c r="V11" s="64">
        <f t="shared" ref="V11" si="109">IFERROR(FIND(",",T11),LEN(T11))</f>
        <v>4</v>
      </c>
      <c r="W11" s="64" t="e">
        <f t="shared" ref="W11" si="110">FIND("target:",T11)+7</f>
        <v>#VALUE!</v>
      </c>
      <c r="X11" s="64" t="e">
        <f t="shared" ref="X11" si="111">FIND(",",T11,V11+1)</f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"/>
  <sheetViews>
    <sheetView showGridLines="0" workbookViewId="0">
      <pane ySplit="1" topLeftCell="A2" activePane="bottomLeft" state="frozenSplit"/>
      <selection pane="bottomLeft" activeCell="A9" sqref="A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20017003</v>
      </c>
      <c r="B2" s="47">
        <v>0</v>
      </c>
      <c r="C2" s="47" t="s">
        <v>89</v>
      </c>
      <c r="D2" s="47">
        <v>50</v>
      </c>
      <c r="E2" s="47" t="s">
        <v>90</v>
      </c>
      <c r="F2" s="47" t="s">
        <v>90</v>
      </c>
      <c r="G2" s="47" t="s">
        <v>239</v>
      </c>
      <c r="H2" s="47" t="s">
        <v>90</v>
      </c>
      <c r="I2" s="47" t="s">
        <v>90</v>
      </c>
      <c r="J2" s="48">
        <f t="shared" ref="J2:J3" si="0">D2</f>
        <v>50</v>
      </c>
    </row>
    <row r="3" spans="1:11" ht="21" customHeight="1" x14ac:dyDescent="0.15">
      <c r="A3" s="47">
        <v>20017005</v>
      </c>
      <c r="B3" s="47">
        <v>1</v>
      </c>
      <c r="C3" s="47" t="s">
        <v>89</v>
      </c>
      <c r="D3" s="47">
        <v>100</v>
      </c>
      <c r="E3" s="47" t="s">
        <v>90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si="0"/>
        <v>100</v>
      </c>
    </row>
    <row r="4" spans="1:11" ht="21" customHeight="1" x14ac:dyDescent="0.15">
      <c r="A4" s="47">
        <v>20017006</v>
      </c>
      <c r="B4" s="47">
        <v>0</v>
      </c>
      <c r="C4" s="47" t="s">
        <v>89</v>
      </c>
      <c r="D4" s="47">
        <v>35</v>
      </c>
      <c r="E4" s="47" t="s">
        <v>90</v>
      </c>
      <c r="F4" s="47" t="s">
        <v>90</v>
      </c>
      <c r="G4" s="47" t="s">
        <v>240</v>
      </c>
      <c r="H4" s="47" t="s">
        <v>90</v>
      </c>
      <c r="I4" s="47" t="s">
        <v>90</v>
      </c>
      <c r="J4" s="48">
        <f t="shared" ref="J4" si="1">D4</f>
        <v>35</v>
      </c>
    </row>
    <row r="5" spans="1:11" ht="21" customHeight="1" x14ac:dyDescent="0.15">
      <c r="A5" s="47">
        <v>20017007</v>
      </c>
      <c r="B5" s="47">
        <v>1</v>
      </c>
      <c r="C5" s="47" t="s">
        <v>89</v>
      </c>
      <c r="D5" s="47">
        <v>100</v>
      </c>
      <c r="E5" s="47" t="s">
        <v>90</v>
      </c>
      <c r="F5" s="47" t="s">
        <v>90</v>
      </c>
      <c r="G5" s="47">
        <v>1</v>
      </c>
      <c r="H5" s="47" t="s">
        <v>90</v>
      </c>
      <c r="I5" s="47" t="s">
        <v>90</v>
      </c>
      <c r="J5" s="48">
        <f t="shared" ref="J5" si="2">D5</f>
        <v>100</v>
      </c>
    </row>
    <row r="6" spans="1:11" ht="21" customHeight="1" x14ac:dyDescent="0.15">
      <c r="A6" s="47">
        <v>20017008</v>
      </c>
      <c r="B6" s="47">
        <v>0</v>
      </c>
      <c r="C6" s="47" t="s">
        <v>53</v>
      </c>
      <c r="D6" s="47">
        <v>35</v>
      </c>
      <c r="E6" s="47" t="s">
        <v>90</v>
      </c>
      <c r="F6" s="47" t="s">
        <v>90</v>
      </c>
      <c r="G6" s="47" t="s">
        <v>53</v>
      </c>
      <c r="H6" s="47" t="s">
        <v>90</v>
      </c>
      <c r="I6" s="47" t="s">
        <v>90</v>
      </c>
      <c r="J6" s="48">
        <f t="shared" ref="J6:J8" si="3">D6</f>
        <v>35</v>
      </c>
    </row>
    <row r="7" spans="1:11" ht="21" customHeight="1" x14ac:dyDescent="0.15">
      <c r="A7" s="47">
        <v>20017009</v>
      </c>
      <c r="B7" s="47">
        <v>0</v>
      </c>
      <c r="C7" s="47">
        <v>90</v>
      </c>
      <c r="D7" s="47">
        <v>100</v>
      </c>
      <c r="E7" s="47">
        <v>70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3"/>
        <v>100</v>
      </c>
    </row>
    <row r="8" spans="1:11" ht="21" customHeight="1" x14ac:dyDescent="0.15">
      <c r="A8" s="47">
        <v>20017010</v>
      </c>
      <c r="B8" s="47">
        <v>0</v>
      </c>
      <c r="C8" s="47">
        <v>80</v>
      </c>
      <c r="D8" s="47">
        <v>100</v>
      </c>
      <c r="E8" s="47">
        <v>50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3"/>
        <v>100</v>
      </c>
    </row>
    <row r="9" spans="1:11" ht="21" customHeight="1" x14ac:dyDescent="0.15">
      <c r="A9" s="47">
        <v>20017011</v>
      </c>
      <c r="B9" s="47">
        <v>0</v>
      </c>
      <c r="C9" s="47">
        <v>70</v>
      </c>
      <c r="D9" s="47">
        <v>100</v>
      </c>
      <c r="E9" s="47">
        <v>50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ref="J9" si="4">D9</f>
        <v>100</v>
      </c>
    </row>
    <row r="10" spans="1:11" ht="21" customHeight="1" x14ac:dyDescent="0.15">
      <c r="A10" s="47">
        <v>20017012</v>
      </c>
      <c r="B10" s="47">
        <v>1</v>
      </c>
      <c r="C10" s="47">
        <v>1</v>
      </c>
      <c r="D10" s="47">
        <v>100</v>
      </c>
      <c r="E10" s="47" t="s">
        <v>90</v>
      </c>
      <c r="F10" s="47" t="s">
        <v>90</v>
      </c>
      <c r="G10" s="47">
        <v>1</v>
      </c>
      <c r="H10" s="47" t="s">
        <v>90</v>
      </c>
      <c r="I10" s="47">
        <v>937</v>
      </c>
      <c r="J10" s="48">
        <f t="shared" ref="J10" si="5">D10</f>
        <v>100</v>
      </c>
    </row>
    <row r="11" spans="1:11" ht="21" customHeight="1" x14ac:dyDescent="0.15">
      <c r="A11" s="47">
        <v>20017013</v>
      </c>
      <c r="B11" s="47">
        <v>1</v>
      </c>
      <c r="C11" s="47">
        <v>2</v>
      </c>
      <c r="D11" s="47">
        <v>100</v>
      </c>
      <c r="E11" s="47" t="s">
        <v>90</v>
      </c>
      <c r="F11" s="47" t="s">
        <v>90</v>
      </c>
      <c r="G11" s="47">
        <v>1</v>
      </c>
      <c r="H11" s="47" t="s">
        <v>90</v>
      </c>
      <c r="I11" s="47">
        <v>938</v>
      </c>
      <c r="J11" s="48">
        <f t="shared" ref="J11" si="6">D11</f>
        <v>100</v>
      </c>
    </row>
  </sheetData>
  <autoFilter ref="A1:G1"/>
  <phoneticPr fontId="5"/>
  <conditionalFormatting sqref="K12:K1048576 K1">
    <cfRule type="duplicateValues" dxfId="10" priority="14"/>
  </conditionalFormatting>
  <conditionalFormatting sqref="K2">
    <cfRule type="duplicateValues" dxfId="9" priority="11"/>
  </conditionalFormatting>
  <conditionalFormatting sqref="K3">
    <cfRule type="duplicateValues" dxfId="8" priority="9"/>
  </conditionalFormatting>
  <conditionalFormatting sqref="K4">
    <cfRule type="duplicateValues" dxfId="7" priority="8"/>
  </conditionalFormatting>
  <conditionalFormatting sqref="K5">
    <cfRule type="duplicateValues" dxfId="6" priority="7"/>
  </conditionalFormatting>
  <conditionalFormatting sqref="K6">
    <cfRule type="duplicateValues" dxfId="5" priority="6"/>
  </conditionalFormatting>
  <conditionalFormatting sqref="K7">
    <cfRule type="duplicateValues" dxfId="4" priority="5"/>
  </conditionalFormatting>
  <conditionalFormatting sqref="K8">
    <cfRule type="duplicateValues" dxfId="3" priority="4"/>
  </conditionalFormatting>
  <conditionalFormatting sqref="K9">
    <cfRule type="duplicateValues" dxfId="2" priority="3"/>
  </conditionalFormatting>
  <conditionalFormatting sqref="K10">
    <cfRule type="duplicateValues" dxfId="1" priority="2"/>
  </conditionalFormatting>
  <conditionalFormatting sqref="K1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12" sqref="B1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" si="0">B2&amp;"_"&amp;C2</f>
        <v>20017003_20017003</v>
      </c>
      <c r="B2" s="104">
        <v>20017003</v>
      </c>
      <c r="C2" s="47">
        <v>20017003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必殺急所蹴り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7">
        <v>20017003</v>
      </c>
      <c r="G2" s="10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0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0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10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0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0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0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0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0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si="0"/>
        <v>20017005_20017005</v>
      </c>
      <c r="B3" s="104">
        <v>20017005</v>
      </c>
      <c r="C3" s="47">
        <v>20017005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真正面からぶつかってやろう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3" s="47">
        <v>20017005</v>
      </c>
      <c r="G3" s="102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102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102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102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02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02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102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02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02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1">B4&amp;"_"&amp;C4</f>
        <v>20017005_20017006</v>
      </c>
      <c r="B4" s="104">
        <v>20017005</v>
      </c>
      <c r="C4" s="47">
        <v>20017006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さあ攻めてこい！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ハートパネルを赤パネルに変換+全体攻撃</v>
      </c>
      <c r="F4" s="47">
        <v>20017006</v>
      </c>
      <c r="G4" s="10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02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0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" s="10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0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02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0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0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0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" s="47"/>
      <c r="Q4" s="47"/>
      <c r="R4" s="47"/>
    </row>
    <row r="5" spans="1:18" ht="21" customHeight="1" x14ac:dyDescent="0.15">
      <c r="A5" s="39" t="str">
        <f t="shared" ref="A5" si="2">B5&amp;"_"&amp;C5</f>
        <v>20017006_20017007</v>
      </c>
      <c r="B5" s="104">
        <v>20017006</v>
      </c>
      <c r="C5" s="47">
        <v>20017007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弾を変えてみようかね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確率で緑の時限式ダメージパネルがドロップ</v>
      </c>
      <c r="F5" s="47">
        <v>20017007</v>
      </c>
      <c r="G5" s="10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02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0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0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0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02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0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0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0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20017006_20017008</v>
      </c>
      <c r="B6" s="104">
        <v>20017006</v>
      </c>
      <c r="C6" s="47">
        <v>20017008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ワシが休ませると思うかね？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ハートパネルを緑パネルに変換+全体攻撃</v>
      </c>
      <c r="F6" s="47">
        <v>20017008</v>
      </c>
      <c r="G6" s="10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0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0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" s="10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0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02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0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02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0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" s="47"/>
      <c r="Q6" s="47"/>
      <c r="R6" s="47"/>
    </row>
    <row r="7" spans="1:18" ht="21" customHeight="1" x14ac:dyDescent="0.15">
      <c r="A7" s="39" t="str">
        <f t="shared" ref="A7:A9" si="4">B7&amp;"_"&amp;C7</f>
        <v>20017006_20017009</v>
      </c>
      <c r="B7" s="104">
        <v>20017006</v>
      </c>
      <c r="C7" s="47">
        <v>20017009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義手が取れようと砲弾は止まぬよ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7" s="47">
        <v>20017009</v>
      </c>
      <c r="G7" s="10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02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10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02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" s="10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0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02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0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0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4"/>
        <v>20017006_20017010</v>
      </c>
      <c r="B8" s="104">
        <v>20017006</v>
      </c>
      <c r="C8" s="47">
        <v>20017010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ワシのとっておきを見せてやろう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8" s="47">
        <v>20017010</v>
      </c>
      <c r="G8" s="102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02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102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02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102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02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02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102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02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4"/>
        <v>20017006_20017011</v>
      </c>
      <c r="B9" s="104">
        <v>20017006</v>
      </c>
      <c r="C9" s="47">
        <v>20017011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ゆくぞ！閃光翠波！！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9" s="47">
        <v>20017011</v>
      </c>
      <c r="G9" s="10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02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" s="10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02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10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02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02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02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0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1" si="5">B10&amp;"_"&amp;C10</f>
        <v>20017005_20017012</v>
      </c>
      <c r="B10" s="104">
        <v>20017005</v>
      </c>
      <c r="C10" s="47">
        <v>20017012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小僧…お前の野望、再び打ち砕いてやろう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10" s="47">
        <v>20017012</v>
      </c>
      <c r="G10" s="10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102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10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0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0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02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02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02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937</v>
      </c>
      <c r="O10" s="10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5"/>
        <v>20017005_20017013</v>
      </c>
      <c r="B11" s="104">
        <v>20017005</v>
      </c>
      <c r="C11" s="47">
        <v>20017013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小僧…お前の野望、再び打ち砕いてやろう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11" s="47">
        <v>20017013</v>
      </c>
      <c r="G11" s="10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02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10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2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0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2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938</v>
      </c>
      <c r="O11" s="10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127</v>
      </c>
      <c r="K1" s="77" t="s">
        <v>188</v>
      </c>
      <c r="L1" s="91" t="s">
        <v>187</v>
      </c>
      <c r="M1" s="79" t="s">
        <v>197</v>
      </c>
    </row>
    <row r="2" spans="1:13" x14ac:dyDescent="0.15">
      <c r="A2" s="80" t="s">
        <v>202</v>
      </c>
      <c r="B2" s="81">
        <f>floors!$C$2</f>
        <v>20017</v>
      </c>
      <c r="C2" s="82" t="str">
        <f ca="1">VLOOKUP($B2,OFFSET([2]quests!$A$1,0,0,COUNTA([2]quests!$A:$A),MATCH(C$1,[2]quests!$1:$1,0)-MATCH($B$1,[2]quests!$1:$1,0)+1),MATCH(C$1,[2]quests!$1:$1,0)-MATCH($B$1,[2]quests!$1:$1,0)+1,FALSE)</f>
        <v>隻腕の提督</v>
      </c>
      <c r="D2" s="82" t="str">
        <f ca="1">VLOOKUP($B2,OFFSET([2]quests!$A$1,0,0,COUNTA([2]quests!$A:$A),MATCH(D$1,[2]quests!$1:$1,0)-MATCH($B$1,[2]quests!$1:$1,0)+1),MATCH(D$1,[2]quests!$1:$1,0)-MATCH($B$1,[2]quests!$1:$1,0)+1,FALSE)</f>
        <v>フランス革命01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【初級】隻腕の提督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フランス革命01</v>
      </c>
      <c r="H2" s="84">
        <v>0</v>
      </c>
      <c r="I2">
        <v>1</v>
      </c>
      <c r="J2" s="83" t="s">
        <v>199</v>
      </c>
      <c r="K2" s="92" t="str">
        <f>VLOOKUP(I2,[6]stage_hints!$A:$C,3,FALSE)</f>
        <v>長くつなげて大ダメージ</v>
      </c>
      <c r="L2" s="93" t="str">
        <f>VLOOKUP(I2,[6]stage_hints!$A:$D,4,FALSE)</f>
        <v>パネルを長くつなげるほど_x000D_大ダメージを与えることができます</v>
      </c>
      <c r="M2" s="57" t="s">
        <v>212</v>
      </c>
    </row>
    <row r="3" spans="1:13" x14ac:dyDescent="0.15">
      <c r="A3" s="80" t="s">
        <v>202</v>
      </c>
      <c r="B3" s="81">
        <f>floors!$C$2</f>
        <v>20017</v>
      </c>
      <c r="C3" s="82" t="str">
        <f ca="1">VLOOKUP($B3,OFFSET([2]quests!$A$1,0,0,COUNTA([2]quests!$A:$A),MATCH(C$1,[2]quests!$1:$1,0)-MATCH($B$1,[2]quests!$1:$1,0)+1),MATCH(C$1,[2]quests!$1:$1,0)-MATCH($B$1,[2]quests!$1:$1,0)+1,FALSE)</f>
        <v>隻腕の提督</v>
      </c>
      <c r="D3" s="82" t="str">
        <f ca="1">VLOOKUP($B3,OFFSET([2]quests!$A$1,0,0,COUNTA([2]quests!$A:$A),MATCH(D$1,[2]quests!$1:$1,0)-MATCH($B$1,[2]quests!$1:$1,0)+1),MATCH(D$1,[2]quests!$1:$1,0)-MATCH($B$1,[2]quests!$1:$1,0)+1,FALSE)</f>
        <v>フランス革命01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【初級】隻腕の提督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フランス革命01</v>
      </c>
      <c r="H3" s="84">
        <v>0</v>
      </c>
      <c r="I3">
        <v>2</v>
      </c>
      <c r="J3" s="83" t="s">
        <v>199</v>
      </c>
      <c r="K3" s="92" t="str">
        <f>VLOOKUP(I3,[6]stage_hints!$A:$C,3,FALSE)</f>
        <v>属性の相性</v>
      </c>
      <c r="L3" s="93" t="str">
        <f>VLOOKUP(I3,[6]stage_hints!$A:$D,4,FALSE)</f>
        <v>赤＞青　青＞黄　黄＞緑　緑＞赤_x000D_敵属性に最適なパーティがオススメです</v>
      </c>
      <c r="M3" s="57" t="s">
        <v>212</v>
      </c>
    </row>
    <row r="4" spans="1:13" x14ac:dyDescent="0.15">
      <c r="A4" s="80" t="s">
        <v>202</v>
      </c>
      <c r="B4" s="81">
        <f>floors!$C$2</f>
        <v>20017</v>
      </c>
      <c r="C4" s="82" t="str">
        <f ca="1">VLOOKUP($B4,OFFSET([2]quests!$A$1,0,0,COUNTA([2]quests!$A:$A),MATCH(C$1,[2]quests!$1:$1,0)-MATCH($B$1,[2]quests!$1:$1,0)+1),MATCH(C$1,[2]quests!$1:$1,0)-MATCH($B$1,[2]quests!$1:$1,0)+1,FALSE)</f>
        <v>隻腕の提督</v>
      </c>
      <c r="D4" s="82" t="str">
        <f ca="1">VLOOKUP($B4,OFFSET([2]quests!$A$1,0,0,COUNTA([2]quests!$A:$A),MATCH(D$1,[2]quests!$1:$1,0)-MATCH($B$1,[2]quests!$1:$1,0)+1),MATCH(D$1,[2]quests!$1:$1,0)-MATCH($B$1,[2]quests!$1:$1,0)+1,FALSE)</f>
        <v>フランス革命01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【初級】隻腕の提督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フランス革命01</v>
      </c>
      <c r="H4" s="84">
        <v>0</v>
      </c>
      <c r="I4">
        <v>3</v>
      </c>
      <c r="J4" s="83" t="s">
        <v>199</v>
      </c>
      <c r="K4" s="92" t="str">
        <f>VLOOKUP(I4,[6]stage_hints!$A:$C,3,FALSE)</f>
        <v>ターゲット</v>
      </c>
      <c r="L4" s="93" t="str">
        <f>VLOOKUP(I4,[6]stage_hints!$A:$D,4,FALSE)</f>
        <v>敵ユニットをタップすると_x000D_その敵を狙い撃ちできます</v>
      </c>
      <c r="M4" s="57" t="s">
        <v>212</v>
      </c>
    </row>
    <row r="5" spans="1:13" x14ac:dyDescent="0.15">
      <c r="A5" s="80" t="s">
        <v>202</v>
      </c>
      <c r="B5" s="81">
        <f>floors!$C$2</f>
        <v>20017</v>
      </c>
      <c r="C5" s="82" t="str">
        <f ca="1">VLOOKUP($B5,OFFSET([2]quests!$A$1,0,0,COUNTA([2]quests!$A:$A),MATCH(C$1,[2]quests!$1:$1,0)-MATCH($B$1,[2]quests!$1:$1,0)+1),MATCH(C$1,[2]quests!$1:$1,0)-MATCH($B$1,[2]quests!$1:$1,0)+1,FALSE)</f>
        <v>隻腕の提督</v>
      </c>
      <c r="D5" s="82" t="str">
        <f ca="1">VLOOKUP($B5,OFFSET([2]quests!$A$1,0,0,COUNTA([2]quests!$A:$A),MATCH(D$1,[2]quests!$1:$1,0)-MATCH($B$1,[2]quests!$1:$1,0)+1),MATCH(D$1,[2]quests!$1:$1,0)-MATCH($B$1,[2]quests!$1:$1,0)+1,FALSE)</f>
        <v>フランス革命01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【初級】隻腕の提督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フランス革命01</v>
      </c>
      <c r="H5" s="84">
        <v>0</v>
      </c>
      <c r="I5">
        <v>5</v>
      </c>
      <c r="J5" s="83" t="s">
        <v>199</v>
      </c>
      <c r="K5" s="92" t="str">
        <f>VLOOKUP(I5,[6]stage_hints!$A:$C,3,FALSE)</f>
        <v>ユニット強化でレベルアップ</v>
      </c>
      <c r="L5" s="93" t="str">
        <f>VLOOKUP(I5,[6]stage_hints!$A:$D,4,FALSE)</f>
        <v>「ユニット強化」でレベルアップすると_x000D_勝てない敵にも勝てるようになります</v>
      </c>
      <c r="M5" s="57" t="s">
        <v>212</v>
      </c>
    </row>
    <row r="6" spans="1:13" x14ac:dyDescent="0.15">
      <c r="A6" s="80" t="s">
        <v>202</v>
      </c>
      <c r="B6" s="81">
        <f>floors!$C$2</f>
        <v>20017</v>
      </c>
      <c r="C6" s="82" t="str">
        <f ca="1">VLOOKUP($B6,OFFSET([2]quests!$A$1,0,0,COUNTA([2]quests!$A:$A),MATCH(C$1,[2]quests!$1:$1,0)-MATCH($B$1,[2]quests!$1:$1,0)+1),MATCH(C$1,[2]quests!$1:$1,0)-MATCH($B$1,[2]quests!$1:$1,0)+1,FALSE)</f>
        <v>隻腕の提督</v>
      </c>
      <c r="D6" s="82" t="str">
        <f ca="1">VLOOKUP($B6,OFFSET([2]quests!$A$1,0,0,COUNTA([2]quests!$A:$A),MATCH(D$1,[2]quests!$1:$1,0)-MATCH($B$1,[2]quests!$1:$1,0)+1),MATCH(D$1,[2]quests!$1:$1,0)-MATCH($B$1,[2]quests!$1:$1,0)+1,FALSE)</f>
        <v>フランス革命01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【初級】隻腕の提督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フランス革命01</v>
      </c>
      <c r="H6" s="84">
        <v>0</v>
      </c>
      <c r="I6">
        <v>6</v>
      </c>
      <c r="J6" s="83" t="s">
        <v>199</v>
      </c>
      <c r="K6" s="92" t="str">
        <f>VLOOKUP(I6,[6]stage_hints!$A:$C,3,FALSE)</f>
        <v>ユニット強化の属性ボーナス</v>
      </c>
      <c r="L6" s="93" t="str">
        <f>VLOOKUP(I6,[6]stage_hints!$A:$D,4,FALSE)</f>
        <v>同属性ユニットを強化素材にすると_x000D_経験値が多くもらえます</v>
      </c>
      <c r="M6" s="57" t="s">
        <v>212</v>
      </c>
    </row>
    <row r="7" spans="1:13" x14ac:dyDescent="0.15">
      <c r="A7" s="80" t="s">
        <v>202</v>
      </c>
      <c r="B7" s="81">
        <f>floors!$C$2</f>
        <v>20017</v>
      </c>
      <c r="C7" s="82" t="str">
        <f ca="1">VLOOKUP($B7,OFFSET([2]quests!$A$1,0,0,COUNTA([2]quests!$A:$A),MATCH(C$1,[2]quests!$1:$1,0)-MATCH($B$1,[2]quests!$1:$1,0)+1),MATCH(C$1,[2]quests!$1:$1,0)-MATCH($B$1,[2]quests!$1:$1,0)+1,FALSE)</f>
        <v>隻腕の提督</v>
      </c>
      <c r="D7" s="82" t="str">
        <f ca="1">VLOOKUP($B7,OFFSET([2]quests!$A$1,0,0,COUNTA([2]quests!$A:$A),MATCH(D$1,[2]quests!$1:$1,0)-MATCH($B$1,[2]quests!$1:$1,0)+1),MATCH(D$1,[2]quests!$1:$1,0)-MATCH($B$1,[2]quests!$1:$1,0)+1,FALSE)</f>
        <v>フランス革命01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【初級】隻腕の提督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フランス革命01</v>
      </c>
      <c r="H7" s="84">
        <v>0</v>
      </c>
      <c r="I7">
        <v>7</v>
      </c>
      <c r="J7" s="83" t="s">
        <v>199</v>
      </c>
      <c r="K7" s="92" t="str">
        <f>VLOOKUP(I7,[6]stage_hints!$A:$C,3,FALSE)</f>
        <v>メタルダックで経験値を獲得</v>
      </c>
      <c r="L7" s="93" t="str">
        <f>VLOOKUP(I7,[6]stage_hints!$A:$D,4,FALSE)</f>
        <v>「メタルなアヒル」を強化素材にすると_x000D_大量の経験値がもらえます</v>
      </c>
      <c r="M7" s="57" t="s">
        <v>212</v>
      </c>
    </row>
    <row r="8" spans="1:13" x14ac:dyDescent="0.15">
      <c r="A8" s="80" t="s">
        <v>202</v>
      </c>
      <c r="B8" s="81">
        <f>floors!$C$2</f>
        <v>20017</v>
      </c>
      <c r="C8" s="82" t="str">
        <f ca="1">VLOOKUP($B8,OFFSET([2]quests!$A$1,0,0,COUNTA([2]quests!$A:$A),MATCH(C$1,[2]quests!$1:$1,0)-MATCH($B$1,[2]quests!$1:$1,0)+1),MATCH(C$1,[2]quests!$1:$1,0)-MATCH($B$1,[2]quests!$1:$1,0)+1,FALSE)</f>
        <v>隻腕の提督</v>
      </c>
      <c r="D8" s="82" t="str">
        <f ca="1">VLOOKUP($B8,OFFSET([2]quests!$A$1,0,0,COUNTA([2]quests!$A:$A),MATCH(D$1,[2]quests!$1:$1,0)-MATCH($B$1,[2]quests!$1:$1,0)+1),MATCH(D$1,[2]quests!$1:$1,0)-MATCH($B$1,[2]quests!$1:$1,0)+1,FALSE)</f>
        <v>フランス革命01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【初級】隻腕の提督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フランス革命01</v>
      </c>
      <c r="H8" s="84">
        <v>0</v>
      </c>
      <c r="I8">
        <v>8</v>
      </c>
      <c r="J8" s="83" t="s">
        <v>199</v>
      </c>
      <c r="K8" s="92" t="str">
        <f>VLOOKUP(I8,[6]stage_hints!$A:$C,3,FALSE)</f>
        <v>ゲリラクエストは要チェック</v>
      </c>
      <c r="L8" s="93" t="str">
        <f>VLOOKUP(I8,[6]stage_hints!$A:$D,4,FALSE)</f>
        <v>時間限定の「アヒル捕獲作戦」では_x000D_経験値素材ユニットが多く手に入ります</v>
      </c>
      <c r="M8" s="57" t="s">
        <v>212</v>
      </c>
    </row>
    <row r="9" spans="1:13" x14ac:dyDescent="0.15">
      <c r="A9" s="80" t="s">
        <v>202</v>
      </c>
      <c r="B9" s="81">
        <f>floors!$C$2</f>
        <v>20017</v>
      </c>
      <c r="C9" s="82" t="str">
        <f ca="1">VLOOKUP($B9,OFFSET([2]quests!$A$1,0,0,COUNTA([2]quests!$A:$A),MATCH(C$1,[2]quests!$1:$1,0)-MATCH($B$1,[2]quests!$1:$1,0)+1),MATCH(C$1,[2]quests!$1:$1,0)-MATCH($B$1,[2]quests!$1:$1,0)+1,FALSE)</f>
        <v>隻腕の提督</v>
      </c>
      <c r="D9" s="82" t="str">
        <f ca="1">VLOOKUP($B9,OFFSET([2]quests!$A$1,0,0,COUNTA([2]quests!$A:$A),MATCH(D$1,[2]quests!$1:$1,0)-MATCH($B$1,[2]quests!$1:$1,0)+1),MATCH(D$1,[2]quests!$1:$1,0)-MATCH($B$1,[2]quests!$1:$1,0)+1,FALSE)</f>
        <v>フランス革命01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【初級】隻腕の提督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フランス革命01</v>
      </c>
      <c r="H9" s="84">
        <v>0</v>
      </c>
      <c r="I9">
        <v>9</v>
      </c>
      <c r="J9" s="83" t="s">
        <v>199</v>
      </c>
      <c r="K9" s="92" t="str">
        <f>VLOOKUP(I9,[6]stage_hints!$A:$C,3,FALSE)</f>
        <v>ゴールドダックでビットを獲得</v>
      </c>
      <c r="L9" s="93" t="str">
        <f>VLOOKUP(I9,[6]stage_hints!$A:$D,4,FALSE)</f>
        <v>「ゴールドなアヒル」を売却すると_x000D_大量のビットがもらえます</v>
      </c>
      <c r="M9" s="57" t="s">
        <v>212</v>
      </c>
    </row>
    <row r="10" spans="1:13" x14ac:dyDescent="0.15">
      <c r="A10" s="80" t="s">
        <v>202</v>
      </c>
      <c r="B10" s="81">
        <f>floors!$C$2</f>
        <v>20017</v>
      </c>
      <c r="C10" s="82" t="str">
        <f ca="1">VLOOKUP($B10,OFFSET([2]quests!$A$1,0,0,COUNTA([2]quests!$A:$A),MATCH(C$1,[2]quests!$1:$1,0)-MATCH($B$1,[2]quests!$1:$1,0)+1),MATCH(C$1,[2]quests!$1:$1,0)-MATCH($B$1,[2]quests!$1:$1,0)+1,FALSE)</f>
        <v>隻腕の提督</v>
      </c>
      <c r="D10" s="82" t="str">
        <f ca="1">VLOOKUP($B10,OFFSET([2]quests!$A$1,0,0,COUNTA([2]quests!$A:$A),MATCH(D$1,[2]quests!$1:$1,0)-MATCH($B$1,[2]quests!$1:$1,0)+1),MATCH(D$1,[2]quests!$1:$1,0)-MATCH($B$1,[2]quests!$1:$1,0)+1,FALSE)</f>
        <v>フランス革命01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【初級】隻腕の提督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フランス革命01</v>
      </c>
      <c r="H10" s="84">
        <v>0</v>
      </c>
      <c r="I10">
        <v>10</v>
      </c>
      <c r="J10" s="83" t="s">
        <v>199</v>
      </c>
      <c r="K10" s="92" t="str">
        <f>VLOOKUP(I10,[6]stage_hints!$A:$C,3,FALSE)</f>
        <v>土日に大量のビットを獲得</v>
      </c>
      <c r="L10" s="93" t="str">
        <f>VLOOKUP(I10,[6]stage_hints!$A:$D,4,FALSE)</f>
        <v>土日限定の「ゴールドカジノ」では_x000D_売却素材ユニットが多く手に入ります</v>
      </c>
      <c r="M10" s="57" t="s">
        <v>212</v>
      </c>
    </row>
    <row r="11" spans="1:13" x14ac:dyDescent="0.15">
      <c r="A11" s="80" t="s">
        <v>202</v>
      </c>
      <c r="B11" s="81">
        <f>floors!$C$2</f>
        <v>20017</v>
      </c>
      <c r="C11" s="82" t="str">
        <f ca="1">VLOOKUP($B11,OFFSET([2]quests!$A$1,0,0,COUNTA([2]quests!$A:$A),MATCH(C$1,[2]quests!$1:$1,0)-MATCH($B$1,[2]quests!$1:$1,0)+1),MATCH(C$1,[2]quests!$1:$1,0)-MATCH($B$1,[2]quests!$1:$1,0)+1,FALSE)</f>
        <v>隻腕の提督</v>
      </c>
      <c r="D11" s="82" t="str">
        <f ca="1">VLOOKUP($B11,OFFSET([2]quests!$A$1,0,0,COUNTA([2]quests!$A:$A),MATCH(D$1,[2]quests!$1:$1,0)-MATCH($B$1,[2]quests!$1:$1,0)+1),MATCH(D$1,[2]quests!$1:$1,0)-MATCH($B$1,[2]quests!$1:$1,0)+1,FALSE)</f>
        <v>フランス革命01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【初級】隻腕の提督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フランス革命01</v>
      </c>
      <c r="H11" s="84">
        <v>0</v>
      </c>
      <c r="I11">
        <v>11</v>
      </c>
      <c r="J11" s="83" t="s">
        <v>199</v>
      </c>
      <c r="K11" s="92" t="str">
        <f>VLOOKUP(I11,[6]stage_hints!$A:$C,3,FALSE)</f>
        <v>ランク解放クエスト</v>
      </c>
      <c r="L11" s="93" t="str">
        <f>VLOOKUP(I11,[6]stage_hints!$A:$D,4,FALSE)</f>
        <v>一定ランクに到達すると_x000D_報酬付きのランク開放クエストが現れます</v>
      </c>
      <c r="M11" s="57" t="s">
        <v>212</v>
      </c>
    </row>
    <row r="12" spans="1:13" x14ac:dyDescent="0.15">
      <c r="A12" s="80" t="s">
        <v>202</v>
      </c>
      <c r="B12" s="81">
        <f>floors!$C$2</f>
        <v>20017</v>
      </c>
      <c r="C12" s="82" t="str">
        <f ca="1">VLOOKUP($B12,OFFSET([2]quests!$A$1,0,0,COUNTA([2]quests!$A:$A),MATCH(C$1,[2]quests!$1:$1,0)-MATCH($B$1,[2]quests!$1:$1,0)+1),MATCH(C$1,[2]quests!$1:$1,0)-MATCH($B$1,[2]quests!$1:$1,0)+1,FALSE)</f>
        <v>隻腕の提督</v>
      </c>
      <c r="D12" s="82" t="str">
        <f ca="1">VLOOKUP($B12,OFFSET([2]quests!$A$1,0,0,COUNTA([2]quests!$A:$A),MATCH(D$1,[2]quests!$1:$1,0)-MATCH($B$1,[2]quests!$1:$1,0)+1),MATCH(D$1,[2]quests!$1:$1,0)-MATCH($B$1,[2]quests!$1:$1,0)+1,FALSE)</f>
        <v>フランス革命01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【初級】隻腕の提督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フランス革命01</v>
      </c>
      <c r="H12" s="84">
        <v>0</v>
      </c>
      <c r="I12">
        <v>12</v>
      </c>
      <c r="J12" s="83" t="s">
        <v>199</v>
      </c>
      <c r="K12" s="92" t="str">
        <f>VLOOKUP(I12,[6]stage_hints!$A:$C,3,FALSE)</f>
        <v>ユニットのお気に入り登録</v>
      </c>
      <c r="L12" s="93" t="str">
        <f>VLOOKUP(I12,[6]stage_hints!$A:$D,4,FALSE)</f>
        <v>大事なユニットを誤って消さないように_x000D_フォルダから「お気に入り登録」しましょう</v>
      </c>
      <c r="M12" s="57" t="s">
        <v>212</v>
      </c>
    </row>
    <row r="13" spans="1:13" x14ac:dyDescent="0.15">
      <c r="A13" s="80" t="s">
        <v>202</v>
      </c>
      <c r="B13" s="81">
        <f>floors!$C$2</f>
        <v>20017</v>
      </c>
      <c r="C13" s="82" t="str">
        <f ca="1">VLOOKUP($B13,OFFSET([2]quests!$A$1,0,0,COUNTA([2]quests!$A:$A),MATCH(C$1,[2]quests!$1:$1,0)-MATCH($B$1,[2]quests!$1:$1,0)+1),MATCH(C$1,[2]quests!$1:$1,0)-MATCH($B$1,[2]quests!$1:$1,0)+1,FALSE)</f>
        <v>隻腕の提督</v>
      </c>
      <c r="D13" s="82" t="str">
        <f ca="1">VLOOKUP($B13,OFFSET([2]quests!$A$1,0,0,COUNTA([2]quests!$A:$A),MATCH(D$1,[2]quests!$1:$1,0)-MATCH($B$1,[2]quests!$1:$1,0)+1),MATCH(D$1,[2]quests!$1:$1,0)-MATCH($B$1,[2]quests!$1:$1,0)+1,FALSE)</f>
        <v>フランス革命01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【初級】隻腕の提督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フランス革命01</v>
      </c>
      <c r="H13" s="84">
        <v>0</v>
      </c>
      <c r="I13">
        <v>13</v>
      </c>
      <c r="J13" s="83" t="s">
        <v>199</v>
      </c>
      <c r="K13" s="92" t="str">
        <f>VLOOKUP(I13,[6]stage_hints!$A:$C,3,FALSE)</f>
        <v>ユニットの覚醒</v>
      </c>
      <c r="L13" s="93" t="str">
        <f>VLOOKUP(I13,[6]stage_hints!$A:$D,4,FALSE)</f>
        <v>ユニットを覚醒させると_x000D_比べものにならない強さが手に入ります</v>
      </c>
      <c r="M13" s="57" t="s">
        <v>212</v>
      </c>
    </row>
    <row r="14" spans="1:13" x14ac:dyDescent="0.15">
      <c r="A14" s="80" t="s">
        <v>202</v>
      </c>
      <c r="B14" s="81">
        <f>floors!$C$2</f>
        <v>20017</v>
      </c>
      <c r="C14" s="82" t="str">
        <f ca="1">VLOOKUP($B14,OFFSET([2]quests!$A$1,0,0,COUNTA([2]quests!$A:$A),MATCH(C$1,[2]quests!$1:$1,0)-MATCH($B$1,[2]quests!$1:$1,0)+1),MATCH(C$1,[2]quests!$1:$1,0)-MATCH($B$1,[2]quests!$1:$1,0)+1,FALSE)</f>
        <v>隻腕の提督</v>
      </c>
      <c r="D14" s="82" t="str">
        <f ca="1">VLOOKUP($B14,OFFSET([2]quests!$A$1,0,0,COUNTA([2]quests!$A:$A),MATCH(D$1,[2]quests!$1:$1,0)-MATCH($B$1,[2]quests!$1:$1,0)+1),MATCH(D$1,[2]quests!$1:$1,0)-MATCH($B$1,[2]quests!$1:$1,0)+1,FALSE)</f>
        <v>フランス革命01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【初級】隻腕の提督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フランス革命01</v>
      </c>
      <c r="H14" s="84">
        <v>0</v>
      </c>
      <c r="I14">
        <v>14</v>
      </c>
      <c r="J14" s="83" t="s">
        <v>199</v>
      </c>
      <c r="K14" s="92" t="str">
        <f>VLOOKUP(I14,[6]stage_hints!$A:$C,3,FALSE)</f>
        <v>覚醒するにはレベルを最大に</v>
      </c>
      <c r="L14" s="93" t="str">
        <f>VLOOKUP(I14,[6]stage_hints!$A:$D,4,FALSE)</f>
        <v>覚醒するにはユニットのレベルを_x000D_最大まで上げる必要があります</v>
      </c>
      <c r="M14" s="57" t="s">
        <v>212</v>
      </c>
    </row>
    <row r="15" spans="1:13" x14ac:dyDescent="0.15">
      <c r="A15" s="80" t="s">
        <v>202</v>
      </c>
      <c r="B15" s="81">
        <f>floors!$C$2</f>
        <v>20017</v>
      </c>
      <c r="C15" s="82" t="str">
        <f ca="1">VLOOKUP($B15,OFFSET([2]quests!$A$1,0,0,COUNTA([2]quests!$A:$A),MATCH(C$1,[2]quests!$1:$1,0)-MATCH($B$1,[2]quests!$1:$1,0)+1),MATCH(C$1,[2]quests!$1:$1,0)-MATCH($B$1,[2]quests!$1:$1,0)+1,FALSE)</f>
        <v>隻腕の提督</v>
      </c>
      <c r="D15" s="82" t="str">
        <f ca="1">VLOOKUP($B15,OFFSET([2]quests!$A$1,0,0,COUNTA([2]quests!$A:$A),MATCH(D$1,[2]quests!$1:$1,0)-MATCH($B$1,[2]quests!$1:$1,0)+1),MATCH(D$1,[2]quests!$1:$1,0)-MATCH($B$1,[2]quests!$1:$1,0)+1,FALSE)</f>
        <v>フランス革命01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【初級】隻腕の提督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フランス革命01</v>
      </c>
      <c r="H15" s="84">
        <v>0</v>
      </c>
      <c r="I15">
        <v>15</v>
      </c>
      <c r="J15" s="83" t="s">
        <v>199</v>
      </c>
      <c r="K15" s="92" t="str">
        <f>VLOOKUP(I15,[6]stage_hints!$A:$C,3,FALSE)</f>
        <v>覚醒素材を獲得</v>
      </c>
      <c r="L15" s="93" t="str">
        <f>VLOOKUP(I15,[6]stage_hints!$A:$D,4,FALSE)</f>
        <v>「曜日クエスト」では_x000D_ユニットの覚醒に必要な素材が手に入ります</v>
      </c>
      <c r="M15" s="57" t="s">
        <v>212</v>
      </c>
    </row>
    <row r="16" spans="1:13" x14ac:dyDescent="0.15">
      <c r="A16" s="80" t="s">
        <v>202</v>
      </c>
      <c r="B16" s="81">
        <f>floors!$C$2</f>
        <v>20017</v>
      </c>
      <c r="C16" s="82" t="str">
        <f ca="1">VLOOKUP($B16,OFFSET([2]quests!$A$1,0,0,COUNTA([2]quests!$A:$A),MATCH(C$1,[2]quests!$1:$1,0)-MATCH($B$1,[2]quests!$1:$1,0)+1),MATCH(C$1,[2]quests!$1:$1,0)-MATCH($B$1,[2]quests!$1:$1,0)+1,FALSE)</f>
        <v>隻腕の提督</v>
      </c>
      <c r="D16" s="82" t="str">
        <f ca="1">VLOOKUP($B16,OFFSET([2]quests!$A$1,0,0,COUNTA([2]quests!$A:$A),MATCH(D$1,[2]quests!$1:$1,0)-MATCH($B$1,[2]quests!$1:$1,0)+1),MATCH(D$1,[2]quests!$1:$1,0)-MATCH($B$1,[2]quests!$1:$1,0)+1,FALSE)</f>
        <v>フランス革命01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【初級】隻腕の提督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フランス革命01</v>
      </c>
      <c r="H16" s="84">
        <v>0</v>
      </c>
      <c r="I16">
        <v>16</v>
      </c>
      <c r="J16" s="83" t="s">
        <v>199</v>
      </c>
      <c r="K16" s="92" t="str">
        <f>VLOOKUP(I16,[6]stage_hints!$A:$C,3,FALSE)</f>
        <v>マルチプレイのメリット（その1）</v>
      </c>
      <c r="L16" s="93" t="str">
        <f>VLOOKUP(I16,[6]stage_hints!$A:$D,4,FALSE)</f>
        <v>他のプレイヤーとマルチプレイで遊ぶと_x000D_ポリゴンがもらえます（100人まで）</v>
      </c>
      <c r="M16" s="57" t="s">
        <v>212</v>
      </c>
    </row>
    <row r="17" spans="1:13" x14ac:dyDescent="0.15">
      <c r="A17" s="80" t="s">
        <v>202</v>
      </c>
      <c r="B17" s="81">
        <f>floors!$C$2</f>
        <v>20017</v>
      </c>
      <c r="C17" s="82" t="str">
        <f ca="1">VLOOKUP($B17,OFFSET([2]quests!$A$1,0,0,COUNTA([2]quests!$A:$A),MATCH(C$1,[2]quests!$1:$1,0)-MATCH($B$1,[2]quests!$1:$1,0)+1),MATCH(C$1,[2]quests!$1:$1,0)-MATCH($B$1,[2]quests!$1:$1,0)+1,FALSE)</f>
        <v>隻腕の提督</v>
      </c>
      <c r="D17" s="82" t="str">
        <f ca="1">VLOOKUP($B17,OFFSET([2]quests!$A$1,0,0,COUNTA([2]quests!$A:$A),MATCH(D$1,[2]quests!$1:$1,0)-MATCH($B$1,[2]quests!$1:$1,0)+1),MATCH(D$1,[2]quests!$1:$1,0)-MATCH($B$1,[2]quests!$1:$1,0)+1,FALSE)</f>
        <v>フランス革命01</v>
      </c>
      <c r="E17" s="86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【初級】隻腕の提督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フランス革命01</v>
      </c>
      <c r="H17" s="84">
        <v>0</v>
      </c>
      <c r="I17">
        <v>17</v>
      </c>
      <c r="J17" s="83" t="s">
        <v>199</v>
      </c>
      <c r="K17" s="92" t="str">
        <f>VLOOKUP(I17,[6]stage_hints!$A:$C,3,FALSE)</f>
        <v>リンクガチャ</v>
      </c>
      <c r="L17" s="93" t="str">
        <f>VLOOKUP(I17,[6]stage_hints!$A:$D,4,FALSE)</f>
        <v>無料のリンクガチャを回して_x000D_経験値素材や売却素材を獲得しましょう</v>
      </c>
      <c r="M17" s="57" t="s">
        <v>212</v>
      </c>
    </row>
    <row r="18" spans="1:13" x14ac:dyDescent="0.15">
      <c r="A18" s="80" t="s">
        <v>202</v>
      </c>
      <c r="B18" s="81">
        <f>floors!$C$2</f>
        <v>20017</v>
      </c>
      <c r="C18" s="82" t="str">
        <f ca="1">VLOOKUP($B18,OFFSET([2]quests!$A$1,0,0,COUNTA([2]quests!$A:$A),MATCH(C$1,[2]quests!$1:$1,0)-MATCH($B$1,[2]quests!$1:$1,0)+1),MATCH(C$1,[2]quests!$1:$1,0)-MATCH($B$1,[2]quests!$1:$1,0)+1,FALSE)</f>
        <v>隻腕の提督</v>
      </c>
      <c r="D18" s="82" t="str">
        <f ca="1">VLOOKUP($B18,OFFSET([2]quests!$A$1,0,0,COUNTA([2]quests!$A:$A),MATCH(D$1,[2]quests!$1:$1,0)-MATCH($B$1,[2]quests!$1:$1,0)+1),MATCH(D$1,[2]quests!$1:$1,0)-MATCH($B$1,[2]quests!$1:$1,0)+1,FALSE)</f>
        <v>フランス革命01</v>
      </c>
      <c r="E18" s="86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【初級】隻腕の提督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フランス革命01</v>
      </c>
      <c r="H18" s="84">
        <v>0</v>
      </c>
      <c r="I18">
        <v>18</v>
      </c>
      <c r="J18" s="83" t="s">
        <v>199</v>
      </c>
      <c r="K18" s="92" t="str">
        <f>VLOOKUP(I18,[6]stage_hints!$A:$C,3,FALSE)</f>
        <v>マルチプレイのメリット（その2）</v>
      </c>
      <c r="L18" s="93" t="str">
        <f>VLOOKUP(I18,[6]stage_hints!$A:$D,4,FALSE)</f>
        <v>マルチプレイならリンクが2倍もらえます_x000D_リンクガチャをたくさん回しましょう</v>
      </c>
      <c r="M18" s="57" t="s">
        <v>212</v>
      </c>
    </row>
    <row r="19" spans="1:13" x14ac:dyDescent="0.15">
      <c r="A19" s="80" t="s">
        <v>202</v>
      </c>
      <c r="B19" s="81">
        <f>floors!$C$2</f>
        <v>20017</v>
      </c>
      <c r="C19" s="82" t="str">
        <f ca="1">VLOOKUP($B19,OFFSET([2]quests!$A$1,0,0,COUNTA([2]quests!$A:$A),MATCH(C$1,[2]quests!$1:$1,0)-MATCH($B$1,[2]quests!$1:$1,0)+1),MATCH(C$1,[2]quests!$1:$1,0)-MATCH($B$1,[2]quests!$1:$1,0)+1,FALSE)</f>
        <v>隻腕の提督</v>
      </c>
      <c r="D19" s="82" t="str">
        <f ca="1">VLOOKUP($B19,OFFSET([2]quests!$A$1,0,0,COUNTA([2]quests!$A:$A),MATCH(D$1,[2]quests!$1:$1,0)-MATCH($B$1,[2]quests!$1:$1,0)+1),MATCH(D$1,[2]quests!$1:$1,0)-MATCH($B$1,[2]quests!$1:$1,0)+1,FALSE)</f>
        <v>フランス革命01</v>
      </c>
      <c r="E19" s="86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【初級】隻腕の提督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フランス革命01</v>
      </c>
      <c r="H19" s="84">
        <v>0</v>
      </c>
      <c r="I19">
        <v>19</v>
      </c>
      <c r="J19" s="83" t="s">
        <v>199</v>
      </c>
      <c r="K19" s="92" t="str">
        <f>VLOOKUP(I19,[6]stage_hints!$A:$C,3,FALSE)</f>
        <v>ソロ専用タワーオブザクイーン</v>
      </c>
      <c r="L19" s="93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212</v>
      </c>
    </row>
    <row r="20" spans="1:13" x14ac:dyDescent="0.15">
      <c r="A20" s="80" t="s">
        <v>202</v>
      </c>
      <c r="B20" s="81">
        <f>floors!$C$2</f>
        <v>20017</v>
      </c>
      <c r="C20" s="82" t="str">
        <f ca="1">VLOOKUP($B20,OFFSET([2]quests!$A$1,0,0,COUNTA([2]quests!$A:$A),MATCH(C$1,[2]quests!$1:$1,0)-MATCH($B$1,[2]quests!$1:$1,0)+1),MATCH(C$1,[2]quests!$1:$1,0)-MATCH($B$1,[2]quests!$1:$1,0)+1,FALSE)</f>
        <v>隻腕の提督</v>
      </c>
      <c r="D20" s="82" t="str">
        <f ca="1">VLOOKUP($B20,OFFSET([2]quests!$A$1,0,0,COUNTA([2]quests!$A:$A),MATCH(D$1,[2]quests!$1:$1,0)-MATCH($B$1,[2]quests!$1:$1,0)+1),MATCH(D$1,[2]quests!$1:$1,0)-MATCH($B$1,[2]quests!$1:$1,0)+1,FALSE)</f>
        <v>フランス革命01</v>
      </c>
      <c r="E20" s="86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【初級】隻腕の提督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フランス革命01</v>
      </c>
      <c r="H20" s="84">
        <v>0</v>
      </c>
      <c r="I20">
        <v>20</v>
      </c>
      <c r="J20" s="83" t="s">
        <v>199</v>
      </c>
      <c r="K20" s="92" t="str">
        <f>VLOOKUP(I20,[6]stage_hints!$A:$C,3,FALSE)</f>
        <v>マルチプレイのメリット（その3）</v>
      </c>
      <c r="L20" s="93" t="str">
        <f>VLOOKUP(I20,[6]stage_hints!$A:$D,4,FALSE)</f>
        <v>マルチプレイへの参加はエナジー消費ゼロ_x000D_いつでも好きなだけ遊ぶことができます</v>
      </c>
      <c r="M20" s="57" t="s">
        <v>212</v>
      </c>
    </row>
    <row r="21" spans="1:13" x14ac:dyDescent="0.15">
      <c r="A21" s="80" t="s">
        <v>202</v>
      </c>
      <c r="B21" s="81">
        <f>floors!$C$2</f>
        <v>20017</v>
      </c>
      <c r="C21" s="82" t="str">
        <f ca="1">VLOOKUP($B21,OFFSET([2]quests!$A$1,0,0,COUNTA([2]quests!$A:$A),MATCH(C$1,[2]quests!$1:$1,0)-MATCH($B$1,[2]quests!$1:$1,0)+1),MATCH(C$1,[2]quests!$1:$1,0)-MATCH($B$1,[2]quests!$1:$1,0)+1,FALSE)</f>
        <v>隻腕の提督</v>
      </c>
      <c r="D21" s="82" t="str">
        <f ca="1">VLOOKUP($B21,OFFSET([2]quests!$A$1,0,0,COUNTA([2]quests!$A:$A),MATCH(D$1,[2]quests!$1:$1,0)-MATCH($B$1,[2]quests!$1:$1,0)+1),MATCH(D$1,[2]quests!$1:$1,0)-MATCH($B$1,[2]quests!$1:$1,0)+1,FALSE)</f>
        <v>フランス革命01</v>
      </c>
      <c r="E21" s="86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【初級】隻腕の提督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フランス革命01</v>
      </c>
      <c r="H21" s="84">
        <v>0</v>
      </c>
      <c r="I21">
        <v>21</v>
      </c>
      <c r="J21" s="83" t="s">
        <v>199</v>
      </c>
      <c r="K21" s="92" t="str">
        <f>VLOOKUP(I21,[6]stage_hints!$A:$C,3,FALSE)</f>
        <v>スキルを有効に</v>
      </c>
      <c r="L21" s="93" t="str">
        <f>VLOOKUP(I21,[6]stage_hints!$A:$D,4,FALSE)</f>
        <v>ターン経過でユニットのスキルが使えます_x000D_強力スキルでバトルを有利に進めましょう</v>
      </c>
      <c r="M21" s="57" t="s">
        <v>212</v>
      </c>
    </row>
    <row r="22" spans="1:13" x14ac:dyDescent="0.15">
      <c r="A22" s="80" t="s">
        <v>202</v>
      </c>
      <c r="B22" s="81">
        <f>floors!$C$2</f>
        <v>20017</v>
      </c>
      <c r="C22" s="82" t="str">
        <f ca="1">VLOOKUP($B22,OFFSET([2]quests!$A$1,0,0,COUNTA([2]quests!$A:$A),MATCH(C$1,[2]quests!$1:$1,0)-MATCH($B$1,[2]quests!$1:$1,0)+1),MATCH(C$1,[2]quests!$1:$1,0)-MATCH($B$1,[2]quests!$1:$1,0)+1,FALSE)</f>
        <v>隻腕の提督</v>
      </c>
      <c r="D22" s="82" t="str">
        <f ca="1">VLOOKUP($B22,OFFSET([2]quests!$A$1,0,0,COUNTA([2]quests!$A:$A),MATCH(D$1,[2]quests!$1:$1,0)-MATCH($B$1,[2]quests!$1:$1,0)+1),MATCH(D$1,[2]quests!$1:$1,0)-MATCH($B$1,[2]quests!$1:$1,0)+1,FALSE)</f>
        <v>フランス革命01</v>
      </c>
      <c r="E22" s="86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【初級】隻腕の提督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フランス革命01</v>
      </c>
      <c r="H22" s="84">
        <v>0</v>
      </c>
      <c r="I22">
        <v>22</v>
      </c>
      <c r="J22" s="83" t="s">
        <v>199</v>
      </c>
      <c r="K22" s="92" t="str">
        <f>VLOOKUP(I22,[6]stage_hints!$A:$C,3,FALSE)</f>
        <v>フィーバーで一発逆転（その1）</v>
      </c>
      <c r="L22" s="93" t="str">
        <f>VLOOKUP(I22,[6]stage_hints!$A:$D,4,FALSE)</f>
        <v>フィーバーは攻撃と回復を兼ね備えます_x000D_ピンチからの一発逆転を狙いましょう</v>
      </c>
      <c r="M22" s="57" t="s">
        <v>212</v>
      </c>
    </row>
    <row r="23" spans="1:13" x14ac:dyDescent="0.15">
      <c r="A23" s="80" t="s">
        <v>202</v>
      </c>
      <c r="B23" s="81">
        <f>floors!$C$2</f>
        <v>20017</v>
      </c>
      <c r="C23" s="82" t="str">
        <f ca="1">VLOOKUP($B23,OFFSET([2]quests!$A$1,0,0,COUNTA([2]quests!$A:$A),MATCH(C$1,[2]quests!$1:$1,0)-MATCH($B$1,[2]quests!$1:$1,0)+1),MATCH(C$1,[2]quests!$1:$1,0)-MATCH($B$1,[2]quests!$1:$1,0)+1,FALSE)</f>
        <v>隻腕の提督</v>
      </c>
      <c r="D23" s="82" t="str">
        <f ca="1">VLOOKUP($B23,OFFSET([2]quests!$A$1,0,0,COUNTA([2]quests!$A:$A),MATCH(D$1,[2]quests!$1:$1,0)-MATCH($B$1,[2]quests!$1:$1,0)+1),MATCH(D$1,[2]quests!$1:$1,0)-MATCH($B$1,[2]quests!$1:$1,0)+1,FALSE)</f>
        <v>フランス革命01</v>
      </c>
      <c r="E23" s="86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【初級】隻腕の提督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フランス革命01</v>
      </c>
      <c r="H23" s="84">
        <v>0</v>
      </c>
      <c r="I23">
        <v>23</v>
      </c>
      <c r="J23" s="83" t="s">
        <v>199</v>
      </c>
      <c r="K23" s="92" t="str">
        <f>VLOOKUP(I23,[6]stage_hints!$A:$C,3,FALSE)</f>
        <v>フィーバーで一発逆転（その2）</v>
      </c>
      <c r="L23" s="93" t="str">
        <f>VLOOKUP(I23,[6]stage_hints!$A:$D,4,FALSE)</f>
        <v>フィーバー中は虹色のボムパネルを狙って_x000D_画面上のパネルを一気に破壊しましょう</v>
      </c>
      <c r="M23" s="57" t="s">
        <v>212</v>
      </c>
    </row>
    <row r="24" spans="1:13" x14ac:dyDescent="0.15">
      <c r="A24" s="80" t="s">
        <v>202</v>
      </c>
      <c r="B24" s="81">
        <f>floors!$C$2</f>
        <v>20017</v>
      </c>
      <c r="C24" s="82" t="str">
        <f ca="1">VLOOKUP($B24,OFFSET([2]quests!$A$1,0,0,COUNTA([2]quests!$A:$A),MATCH(C$1,[2]quests!$1:$1,0)-MATCH($B$1,[2]quests!$1:$1,0)+1),MATCH(C$1,[2]quests!$1:$1,0)-MATCH($B$1,[2]quests!$1:$1,0)+1,FALSE)</f>
        <v>隻腕の提督</v>
      </c>
      <c r="D24" s="82" t="str">
        <f ca="1">VLOOKUP($B24,OFFSET([2]quests!$A$1,0,0,COUNTA([2]quests!$A:$A),MATCH(D$1,[2]quests!$1:$1,0)-MATCH($B$1,[2]quests!$1:$1,0)+1),MATCH(D$1,[2]quests!$1:$1,0)-MATCH($B$1,[2]quests!$1:$1,0)+1,FALSE)</f>
        <v>フランス革命01</v>
      </c>
      <c r="E24" s="86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【初級】隻腕の提督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フランス革命01</v>
      </c>
      <c r="H24" s="84">
        <v>0</v>
      </c>
      <c r="I24">
        <v>24</v>
      </c>
      <c r="J24" s="83" t="s">
        <v>199</v>
      </c>
      <c r="K24" s="92" t="str">
        <f>VLOOKUP(I24,[6]stage_hints!$A:$C,3,FALSE)</f>
        <v>果実を使って限界突破</v>
      </c>
      <c r="L24" s="93" t="str">
        <f>VLOOKUP(I24,[6]stage_hints!$A:$D,4,FALSE)</f>
        <v>攻めの果実 癒しの果実_x000D_生命の果実をユニット強化に使うと_x000D_ステータスが限界突破します（計99個迄）</v>
      </c>
      <c r="M24" s="57" t="s">
        <v>212</v>
      </c>
    </row>
    <row r="25" spans="1:13" x14ac:dyDescent="0.15">
      <c r="A25" s="80" t="s">
        <v>202</v>
      </c>
      <c r="B25" s="81">
        <f>floors!$C$2</f>
        <v>20017</v>
      </c>
      <c r="C25" s="82" t="str">
        <f ca="1">VLOOKUP($B25,OFFSET([2]quests!$A$1,0,0,COUNTA([2]quests!$A:$A),MATCH(C$1,[2]quests!$1:$1,0)-MATCH($B$1,[2]quests!$1:$1,0)+1),MATCH(C$1,[2]quests!$1:$1,0)-MATCH($B$1,[2]quests!$1:$1,0)+1,FALSE)</f>
        <v>隻腕の提督</v>
      </c>
      <c r="D25" s="82" t="str">
        <f ca="1">VLOOKUP($B25,OFFSET([2]quests!$A$1,0,0,COUNTA([2]quests!$A:$A),MATCH(D$1,[2]quests!$1:$1,0)-MATCH($B$1,[2]quests!$1:$1,0)+1),MATCH(D$1,[2]quests!$1:$1,0)-MATCH($B$1,[2]quests!$1:$1,0)+1,FALSE)</f>
        <v>フランス革命01</v>
      </c>
      <c r="E25" s="86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【初級】隻腕の提督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フランス革命01</v>
      </c>
      <c r="H25" s="84">
        <v>0</v>
      </c>
      <c r="I25">
        <v>25</v>
      </c>
      <c r="J25" s="83" t="s">
        <v>199</v>
      </c>
      <c r="K25" s="92" t="str">
        <f>VLOOKUP(I25,[6]stage_hints!$A:$C,3,FALSE)</f>
        <v>スキルレベルアップ</v>
      </c>
      <c r="L25" s="93" t="str">
        <f>VLOOKUP(I25,[6]stage_hints!$A:$D,4,FALSE)</f>
        <v>「秘術の果実」を強化に使うと_x000D_スキルレベルを上げることができます</v>
      </c>
      <c r="M25" s="57" t="s">
        <v>212</v>
      </c>
    </row>
    <row r="26" spans="1:13" x14ac:dyDescent="0.15">
      <c r="A26" s="80" t="s">
        <v>202</v>
      </c>
      <c r="B26" s="81">
        <f>floors!$C$2</f>
        <v>20017</v>
      </c>
      <c r="C26" s="82" t="str">
        <f ca="1">VLOOKUP($B26,OFFSET([2]quests!$A$1,0,0,COUNTA([2]quests!$A:$A),MATCH(C$1,[2]quests!$1:$1,0)-MATCH($B$1,[2]quests!$1:$1,0)+1),MATCH(C$1,[2]quests!$1:$1,0)-MATCH($B$1,[2]quests!$1:$1,0)+1,FALSE)</f>
        <v>隻腕の提督</v>
      </c>
      <c r="D26" s="82" t="str">
        <f ca="1">VLOOKUP($B26,OFFSET([2]quests!$A$1,0,0,COUNTA([2]quests!$A:$A),MATCH(D$1,[2]quests!$1:$1,0)-MATCH($B$1,[2]quests!$1:$1,0)+1),MATCH(D$1,[2]quests!$1:$1,0)-MATCH($B$1,[2]quests!$1:$1,0)+1,FALSE)</f>
        <v>フランス革命01</v>
      </c>
      <c r="E26" s="86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【初級】隻腕の提督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フランス革命01</v>
      </c>
      <c r="H26" s="84">
        <v>0</v>
      </c>
      <c r="I26">
        <v>26</v>
      </c>
      <c r="J26" s="83" t="s">
        <v>199</v>
      </c>
      <c r="K26" s="92" t="str">
        <f>VLOOKUP(I26,[6]stage_hints!$A:$C,3,FALSE)</f>
        <v>スキルレベルの効果</v>
      </c>
      <c r="L26" s="93" t="str">
        <f>VLOOKUP(I26,[6]stage_hints!$A:$D,4,FALSE)</f>
        <v>スキルレベルが上がると_x000D_短いターンでスキルを使うことができます</v>
      </c>
      <c r="M26" s="57" t="s">
        <v>212</v>
      </c>
    </row>
    <row r="27" spans="1:13" x14ac:dyDescent="0.15">
      <c r="A27" s="80" t="s">
        <v>202</v>
      </c>
      <c r="B27" s="81">
        <f>floors!$C$2</f>
        <v>20017</v>
      </c>
      <c r="C27" s="82" t="str">
        <f ca="1">VLOOKUP($B27,OFFSET([2]quests!$A$1,0,0,COUNTA([2]quests!$A:$A),MATCH(C$1,[2]quests!$1:$1,0)-MATCH($B$1,[2]quests!$1:$1,0)+1),MATCH(C$1,[2]quests!$1:$1,0)-MATCH($B$1,[2]quests!$1:$1,0)+1,FALSE)</f>
        <v>隻腕の提督</v>
      </c>
      <c r="D27" s="82" t="str">
        <f ca="1">VLOOKUP($B27,OFFSET([2]quests!$A$1,0,0,COUNTA([2]quests!$A:$A),MATCH(D$1,[2]quests!$1:$1,0)-MATCH($B$1,[2]quests!$1:$1,0)+1),MATCH(D$1,[2]quests!$1:$1,0)-MATCH($B$1,[2]quests!$1:$1,0)+1,FALSE)</f>
        <v>フランス革命01</v>
      </c>
      <c r="E27" s="86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【初級】隻腕の提督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フランス革命01</v>
      </c>
      <c r="H27" s="84">
        <v>0</v>
      </c>
      <c r="I27">
        <v>39</v>
      </c>
      <c r="J27" s="83" t="s">
        <v>199</v>
      </c>
      <c r="K27" s="92" t="str">
        <f>VLOOKUP(I27,[6]stage_hints!$A:$C,3,FALSE)</f>
        <v>システム適合者を確認</v>
      </c>
      <c r="L27" s="93" t="str">
        <f>VLOOKUP(I27,[6]stage_hints!$A:$D,4,FALSE)</f>
        <v>ALICEが 「アナタ」を呼んでいます</v>
      </c>
      <c r="M27" s="57" t="s">
        <v>212</v>
      </c>
    </row>
    <row r="28" spans="1:13" x14ac:dyDescent="0.15">
      <c r="A28" s="80" t="s">
        <v>202</v>
      </c>
      <c r="B28" s="81">
        <f>floors!$C$2</f>
        <v>20017</v>
      </c>
      <c r="C28" s="82" t="str">
        <f ca="1">VLOOKUP($B28,OFFSET([2]quests!$A$1,0,0,COUNTA([2]quests!$A:$A),MATCH(C$1,[2]quests!$1:$1,0)-MATCH($B$1,[2]quests!$1:$1,0)+1),MATCH(C$1,[2]quests!$1:$1,0)-MATCH($B$1,[2]quests!$1:$1,0)+1,FALSE)</f>
        <v>隻腕の提督</v>
      </c>
      <c r="D28" s="82" t="str">
        <f ca="1">VLOOKUP($B28,OFFSET([2]quests!$A$1,0,0,COUNTA([2]quests!$A:$A),MATCH(D$1,[2]quests!$1:$1,0)-MATCH($B$1,[2]quests!$1:$1,0)+1),MATCH(D$1,[2]quests!$1:$1,0)-MATCH($B$1,[2]quests!$1:$1,0)+1,FALSE)</f>
        <v>フランス革命01</v>
      </c>
      <c r="E28" s="86">
        <v>2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【中級】隻腕の提督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フランス革命01</v>
      </c>
      <c r="H28" s="84">
        <v>0</v>
      </c>
      <c r="I28">
        <v>3</v>
      </c>
      <c r="J28" s="83" t="s">
        <v>199</v>
      </c>
      <c r="K28" s="92" t="str">
        <f>VLOOKUP(I28,[6]stage_hints!$A:$C,3,FALSE)</f>
        <v>ターゲット</v>
      </c>
      <c r="L28" s="93" t="str">
        <f>VLOOKUP(I28,[6]stage_hints!$A:$D,4,FALSE)</f>
        <v>敵ユニットをタップすると_x000D_その敵を狙い撃ちできます</v>
      </c>
      <c r="M28" s="57" t="s">
        <v>212</v>
      </c>
    </row>
    <row r="29" spans="1:13" x14ac:dyDescent="0.15">
      <c r="A29" s="80" t="s">
        <v>202</v>
      </c>
      <c r="B29" s="81">
        <f>floors!$C$2</f>
        <v>20017</v>
      </c>
      <c r="C29" s="82" t="str">
        <f ca="1">VLOOKUP($B29,OFFSET([2]quests!$A$1,0,0,COUNTA([2]quests!$A:$A),MATCH(C$1,[2]quests!$1:$1,0)-MATCH($B$1,[2]quests!$1:$1,0)+1),MATCH(C$1,[2]quests!$1:$1,0)-MATCH($B$1,[2]quests!$1:$1,0)+1,FALSE)</f>
        <v>隻腕の提督</v>
      </c>
      <c r="D29" s="82" t="str">
        <f ca="1">VLOOKUP($B29,OFFSET([2]quests!$A$1,0,0,COUNTA([2]quests!$A:$A),MATCH(D$1,[2]quests!$1:$1,0)-MATCH($B$1,[2]quests!$1:$1,0)+1),MATCH(D$1,[2]quests!$1:$1,0)-MATCH($B$1,[2]quests!$1:$1,0)+1,FALSE)</f>
        <v>フランス革命01</v>
      </c>
      <c r="E29" s="86">
        <v>2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【中級】隻腕の提督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フランス革命01</v>
      </c>
      <c r="H29" s="84">
        <v>0</v>
      </c>
      <c r="I29">
        <v>6</v>
      </c>
      <c r="J29" s="83" t="s">
        <v>199</v>
      </c>
      <c r="K29" s="92" t="str">
        <f>VLOOKUP(I29,[6]stage_hints!$A:$C,3,FALSE)</f>
        <v>ユニット強化の属性ボーナス</v>
      </c>
      <c r="L29" s="93" t="str">
        <f>VLOOKUP(I29,[6]stage_hints!$A:$D,4,FALSE)</f>
        <v>同属性ユニットを強化素材にすると_x000D_経験値が多くもらえます</v>
      </c>
      <c r="M29" s="57" t="s">
        <v>212</v>
      </c>
    </row>
    <row r="30" spans="1:13" x14ac:dyDescent="0.15">
      <c r="A30" s="80" t="s">
        <v>202</v>
      </c>
      <c r="B30" s="81">
        <f>floors!$C$2</f>
        <v>20017</v>
      </c>
      <c r="C30" s="82" t="str">
        <f ca="1">VLOOKUP($B30,OFFSET([2]quests!$A$1,0,0,COUNTA([2]quests!$A:$A),MATCH(C$1,[2]quests!$1:$1,0)-MATCH($B$1,[2]quests!$1:$1,0)+1),MATCH(C$1,[2]quests!$1:$1,0)-MATCH($B$1,[2]quests!$1:$1,0)+1,FALSE)</f>
        <v>隻腕の提督</v>
      </c>
      <c r="D30" s="82" t="str">
        <f ca="1">VLOOKUP($B30,OFFSET([2]quests!$A$1,0,0,COUNTA([2]quests!$A:$A),MATCH(D$1,[2]quests!$1:$1,0)-MATCH($B$1,[2]quests!$1:$1,0)+1),MATCH(D$1,[2]quests!$1:$1,0)-MATCH($B$1,[2]quests!$1:$1,0)+1,FALSE)</f>
        <v>フランス革命01</v>
      </c>
      <c r="E30" s="86">
        <v>2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【中級】隻腕の提督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フランス革命01</v>
      </c>
      <c r="H30" s="84">
        <v>0</v>
      </c>
      <c r="I30">
        <v>7</v>
      </c>
      <c r="J30" s="83" t="s">
        <v>199</v>
      </c>
      <c r="K30" s="92" t="str">
        <f>VLOOKUP(I30,[6]stage_hints!$A:$C,3,FALSE)</f>
        <v>メタルダックで経験値を獲得</v>
      </c>
      <c r="L30" s="93" t="str">
        <f>VLOOKUP(I30,[6]stage_hints!$A:$D,4,FALSE)</f>
        <v>「メタルなアヒル」を強化素材にすると_x000D_大量の経験値がもらえます</v>
      </c>
      <c r="M30" s="57" t="s">
        <v>212</v>
      </c>
    </row>
    <row r="31" spans="1:13" x14ac:dyDescent="0.15">
      <c r="A31" s="80" t="s">
        <v>202</v>
      </c>
      <c r="B31" s="81">
        <f>floors!$C$2</f>
        <v>20017</v>
      </c>
      <c r="C31" s="82" t="str">
        <f ca="1">VLOOKUP($B31,OFFSET([2]quests!$A$1,0,0,COUNTA([2]quests!$A:$A),MATCH(C$1,[2]quests!$1:$1,0)-MATCH($B$1,[2]quests!$1:$1,0)+1),MATCH(C$1,[2]quests!$1:$1,0)-MATCH($B$1,[2]quests!$1:$1,0)+1,FALSE)</f>
        <v>隻腕の提督</v>
      </c>
      <c r="D31" s="82" t="str">
        <f ca="1">VLOOKUP($B31,OFFSET([2]quests!$A$1,0,0,COUNTA([2]quests!$A:$A),MATCH(D$1,[2]quests!$1:$1,0)-MATCH($B$1,[2]quests!$1:$1,0)+1),MATCH(D$1,[2]quests!$1:$1,0)-MATCH($B$1,[2]quests!$1:$1,0)+1,FALSE)</f>
        <v>フランス革命01</v>
      </c>
      <c r="E31" s="86">
        <v>2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【中級】隻腕の提督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フランス革命01</v>
      </c>
      <c r="H31" s="84">
        <v>0</v>
      </c>
      <c r="I31">
        <v>8</v>
      </c>
      <c r="J31" s="83" t="s">
        <v>199</v>
      </c>
      <c r="K31" s="92" t="str">
        <f>VLOOKUP(I31,[6]stage_hints!$A:$C,3,FALSE)</f>
        <v>ゲリラクエストは要チェック</v>
      </c>
      <c r="L31" s="93" t="str">
        <f>VLOOKUP(I31,[6]stage_hints!$A:$D,4,FALSE)</f>
        <v>時間限定の「アヒル捕獲作戦」では_x000D_経験値素材ユニットが多く手に入ります</v>
      </c>
      <c r="M31" s="57" t="s">
        <v>212</v>
      </c>
    </row>
    <row r="32" spans="1:13" x14ac:dyDescent="0.15">
      <c r="A32" s="80" t="s">
        <v>202</v>
      </c>
      <c r="B32" s="81">
        <f>floors!$C$2</f>
        <v>20017</v>
      </c>
      <c r="C32" s="82" t="str">
        <f ca="1">VLOOKUP($B32,OFFSET([2]quests!$A$1,0,0,COUNTA([2]quests!$A:$A),MATCH(C$1,[2]quests!$1:$1,0)-MATCH($B$1,[2]quests!$1:$1,0)+1),MATCH(C$1,[2]quests!$1:$1,0)-MATCH($B$1,[2]quests!$1:$1,0)+1,FALSE)</f>
        <v>隻腕の提督</v>
      </c>
      <c r="D32" s="82" t="str">
        <f ca="1">VLOOKUP($B32,OFFSET([2]quests!$A$1,0,0,COUNTA([2]quests!$A:$A),MATCH(D$1,[2]quests!$1:$1,0)-MATCH($B$1,[2]quests!$1:$1,0)+1),MATCH(D$1,[2]quests!$1:$1,0)-MATCH($B$1,[2]quests!$1:$1,0)+1,FALSE)</f>
        <v>フランス革命01</v>
      </c>
      <c r="E32" s="86">
        <v>2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【中級】隻腕の提督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フランス革命01</v>
      </c>
      <c r="H32" s="84">
        <v>0</v>
      </c>
      <c r="I32">
        <v>9</v>
      </c>
      <c r="J32" s="83" t="s">
        <v>199</v>
      </c>
      <c r="K32" s="92" t="str">
        <f>VLOOKUP(I32,[6]stage_hints!$A:$C,3,FALSE)</f>
        <v>ゴールドダックでビットを獲得</v>
      </c>
      <c r="L32" s="93" t="str">
        <f>VLOOKUP(I32,[6]stage_hints!$A:$D,4,FALSE)</f>
        <v>「ゴールドなアヒル」を売却すると_x000D_大量のビットがもらえます</v>
      </c>
      <c r="M32" s="57" t="s">
        <v>212</v>
      </c>
    </row>
    <row r="33" spans="1:13" x14ac:dyDescent="0.15">
      <c r="A33" s="80" t="s">
        <v>202</v>
      </c>
      <c r="B33" s="81">
        <f>floors!$C$2</f>
        <v>20017</v>
      </c>
      <c r="C33" s="82" t="str">
        <f ca="1">VLOOKUP($B33,OFFSET([2]quests!$A$1,0,0,COUNTA([2]quests!$A:$A),MATCH(C$1,[2]quests!$1:$1,0)-MATCH($B$1,[2]quests!$1:$1,0)+1),MATCH(C$1,[2]quests!$1:$1,0)-MATCH($B$1,[2]quests!$1:$1,0)+1,FALSE)</f>
        <v>隻腕の提督</v>
      </c>
      <c r="D33" s="82" t="str">
        <f ca="1">VLOOKUP($B33,OFFSET([2]quests!$A$1,0,0,COUNTA([2]quests!$A:$A),MATCH(D$1,[2]quests!$1:$1,0)-MATCH($B$1,[2]quests!$1:$1,0)+1),MATCH(D$1,[2]quests!$1:$1,0)-MATCH($B$1,[2]quests!$1:$1,0)+1,FALSE)</f>
        <v>フランス革命01</v>
      </c>
      <c r="E33" s="86">
        <v>2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【中級】隻腕の提督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フランス革命01</v>
      </c>
      <c r="H33" s="84">
        <v>0</v>
      </c>
      <c r="I33">
        <v>10</v>
      </c>
      <c r="J33" s="83" t="s">
        <v>199</v>
      </c>
      <c r="K33" s="92" t="str">
        <f>VLOOKUP(I33,[6]stage_hints!$A:$C,3,FALSE)</f>
        <v>土日に大量のビットを獲得</v>
      </c>
      <c r="L33" s="93" t="str">
        <f>VLOOKUP(I33,[6]stage_hints!$A:$D,4,FALSE)</f>
        <v>土日限定の「ゴールドカジノ」では_x000D_売却素材ユニットが多く手に入ります</v>
      </c>
      <c r="M33" s="57" t="s">
        <v>212</v>
      </c>
    </row>
    <row r="34" spans="1:13" x14ac:dyDescent="0.15">
      <c r="A34" s="80" t="s">
        <v>202</v>
      </c>
      <c r="B34" s="81">
        <f>floors!$C$2</f>
        <v>20017</v>
      </c>
      <c r="C34" s="82" t="str">
        <f ca="1">VLOOKUP($B34,OFFSET([2]quests!$A$1,0,0,COUNTA([2]quests!$A:$A),MATCH(C$1,[2]quests!$1:$1,0)-MATCH($B$1,[2]quests!$1:$1,0)+1),MATCH(C$1,[2]quests!$1:$1,0)-MATCH($B$1,[2]quests!$1:$1,0)+1,FALSE)</f>
        <v>隻腕の提督</v>
      </c>
      <c r="D34" s="82" t="str">
        <f ca="1">VLOOKUP($B34,OFFSET([2]quests!$A$1,0,0,COUNTA([2]quests!$A:$A),MATCH(D$1,[2]quests!$1:$1,0)-MATCH($B$1,[2]quests!$1:$1,0)+1),MATCH(D$1,[2]quests!$1:$1,0)-MATCH($B$1,[2]quests!$1:$1,0)+1,FALSE)</f>
        <v>フランス革命01</v>
      </c>
      <c r="E34" s="86">
        <v>2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【中級】隻腕の提督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フランス革命01</v>
      </c>
      <c r="H34" s="84">
        <v>0</v>
      </c>
      <c r="I34">
        <v>11</v>
      </c>
      <c r="J34" s="83" t="s">
        <v>199</v>
      </c>
      <c r="K34" s="92" t="str">
        <f>VLOOKUP(I34,[6]stage_hints!$A:$C,3,FALSE)</f>
        <v>ランク解放クエスト</v>
      </c>
      <c r="L34" s="93" t="str">
        <f>VLOOKUP(I34,[6]stage_hints!$A:$D,4,FALSE)</f>
        <v>一定ランクに到達すると_x000D_報酬付きのランク開放クエストが現れます</v>
      </c>
      <c r="M34" s="57" t="s">
        <v>212</v>
      </c>
    </row>
    <row r="35" spans="1:13" x14ac:dyDescent="0.15">
      <c r="A35" s="80" t="s">
        <v>202</v>
      </c>
      <c r="B35" s="81">
        <f>floors!$C$2</f>
        <v>20017</v>
      </c>
      <c r="C35" s="82" t="str">
        <f ca="1">VLOOKUP($B35,OFFSET([2]quests!$A$1,0,0,COUNTA([2]quests!$A:$A),MATCH(C$1,[2]quests!$1:$1,0)-MATCH($B$1,[2]quests!$1:$1,0)+1),MATCH(C$1,[2]quests!$1:$1,0)-MATCH($B$1,[2]quests!$1:$1,0)+1,FALSE)</f>
        <v>隻腕の提督</v>
      </c>
      <c r="D35" s="82" t="str">
        <f ca="1">VLOOKUP($B35,OFFSET([2]quests!$A$1,0,0,COUNTA([2]quests!$A:$A),MATCH(D$1,[2]quests!$1:$1,0)-MATCH($B$1,[2]quests!$1:$1,0)+1),MATCH(D$1,[2]quests!$1:$1,0)-MATCH($B$1,[2]quests!$1:$1,0)+1,FALSE)</f>
        <v>フランス革命01</v>
      </c>
      <c r="E35" s="86">
        <v>2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【中級】隻腕の提督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フランス革命01</v>
      </c>
      <c r="H35" s="84">
        <v>0</v>
      </c>
      <c r="I35">
        <v>12</v>
      </c>
      <c r="J35" s="83" t="s">
        <v>199</v>
      </c>
      <c r="K35" s="92" t="str">
        <f>VLOOKUP(I35,[6]stage_hints!$A:$C,3,FALSE)</f>
        <v>ユニットのお気に入り登録</v>
      </c>
      <c r="L35" s="93" t="str">
        <f>VLOOKUP(I35,[6]stage_hints!$A:$D,4,FALSE)</f>
        <v>大事なユニットを誤って消さないように_x000D_フォルダから「お気に入り登録」しましょう</v>
      </c>
      <c r="M35" s="57" t="s">
        <v>212</v>
      </c>
    </row>
    <row r="36" spans="1:13" x14ac:dyDescent="0.15">
      <c r="A36" s="80" t="s">
        <v>202</v>
      </c>
      <c r="B36" s="81">
        <f>floors!$C$2</f>
        <v>20017</v>
      </c>
      <c r="C36" s="82" t="str">
        <f ca="1">VLOOKUP($B36,OFFSET([2]quests!$A$1,0,0,COUNTA([2]quests!$A:$A),MATCH(C$1,[2]quests!$1:$1,0)-MATCH($B$1,[2]quests!$1:$1,0)+1),MATCH(C$1,[2]quests!$1:$1,0)-MATCH($B$1,[2]quests!$1:$1,0)+1,FALSE)</f>
        <v>隻腕の提督</v>
      </c>
      <c r="D36" s="82" t="str">
        <f ca="1">VLOOKUP($B36,OFFSET([2]quests!$A$1,0,0,COUNTA([2]quests!$A:$A),MATCH(D$1,[2]quests!$1:$1,0)-MATCH($B$1,[2]quests!$1:$1,0)+1),MATCH(D$1,[2]quests!$1:$1,0)-MATCH($B$1,[2]quests!$1:$1,0)+1,FALSE)</f>
        <v>フランス革命01</v>
      </c>
      <c r="E36" s="86">
        <v>2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【中級】隻腕の提督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フランス革命01</v>
      </c>
      <c r="H36" s="84">
        <v>0</v>
      </c>
      <c r="I36">
        <v>13</v>
      </c>
      <c r="J36" s="83" t="s">
        <v>199</v>
      </c>
      <c r="K36" s="92" t="str">
        <f>VLOOKUP(I36,[6]stage_hints!$A:$C,3,FALSE)</f>
        <v>ユニットの覚醒</v>
      </c>
      <c r="L36" s="93" t="str">
        <f>VLOOKUP(I36,[6]stage_hints!$A:$D,4,FALSE)</f>
        <v>ユニットを覚醒させると_x000D_比べものにならない強さが手に入ります</v>
      </c>
      <c r="M36" s="57" t="s">
        <v>212</v>
      </c>
    </row>
    <row r="37" spans="1:13" x14ac:dyDescent="0.15">
      <c r="A37" s="80" t="s">
        <v>202</v>
      </c>
      <c r="B37" s="81">
        <f>floors!$C$2</f>
        <v>20017</v>
      </c>
      <c r="C37" s="82" t="str">
        <f ca="1">VLOOKUP($B37,OFFSET([2]quests!$A$1,0,0,COUNTA([2]quests!$A:$A),MATCH(C$1,[2]quests!$1:$1,0)-MATCH($B$1,[2]quests!$1:$1,0)+1),MATCH(C$1,[2]quests!$1:$1,0)-MATCH($B$1,[2]quests!$1:$1,0)+1,FALSE)</f>
        <v>隻腕の提督</v>
      </c>
      <c r="D37" s="82" t="str">
        <f ca="1">VLOOKUP($B37,OFFSET([2]quests!$A$1,0,0,COUNTA([2]quests!$A:$A),MATCH(D$1,[2]quests!$1:$1,0)-MATCH($B$1,[2]quests!$1:$1,0)+1),MATCH(D$1,[2]quests!$1:$1,0)-MATCH($B$1,[2]quests!$1:$1,0)+1,FALSE)</f>
        <v>フランス革命01</v>
      </c>
      <c r="E37" s="86">
        <v>2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【中級】隻腕の提督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フランス革命01</v>
      </c>
      <c r="H37" s="84">
        <v>0</v>
      </c>
      <c r="I37">
        <v>14</v>
      </c>
      <c r="J37" s="83" t="s">
        <v>199</v>
      </c>
      <c r="K37" s="92" t="str">
        <f>VLOOKUP(I37,[6]stage_hints!$A:$C,3,FALSE)</f>
        <v>覚醒するにはレベルを最大に</v>
      </c>
      <c r="L37" s="93" t="str">
        <f>VLOOKUP(I37,[6]stage_hints!$A:$D,4,FALSE)</f>
        <v>覚醒するにはユニットのレベルを_x000D_最大まで上げる必要があります</v>
      </c>
      <c r="M37" s="57" t="s">
        <v>212</v>
      </c>
    </row>
    <row r="38" spans="1:13" x14ac:dyDescent="0.15">
      <c r="A38" s="80" t="s">
        <v>202</v>
      </c>
      <c r="B38" s="81">
        <f>floors!$C$2</f>
        <v>20017</v>
      </c>
      <c r="C38" s="82" t="str">
        <f ca="1">VLOOKUP($B38,OFFSET([2]quests!$A$1,0,0,COUNTA([2]quests!$A:$A),MATCH(C$1,[2]quests!$1:$1,0)-MATCH($B$1,[2]quests!$1:$1,0)+1),MATCH(C$1,[2]quests!$1:$1,0)-MATCH($B$1,[2]quests!$1:$1,0)+1,FALSE)</f>
        <v>隻腕の提督</v>
      </c>
      <c r="D38" s="82" t="str">
        <f ca="1">VLOOKUP($B38,OFFSET([2]quests!$A$1,0,0,COUNTA([2]quests!$A:$A),MATCH(D$1,[2]quests!$1:$1,0)-MATCH($B$1,[2]quests!$1:$1,0)+1),MATCH(D$1,[2]quests!$1:$1,0)-MATCH($B$1,[2]quests!$1:$1,0)+1,FALSE)</f>
        <v>フランス革命01</v>
      </c>
      <c r="E38" s="86">
        <v>2</v>
      </c>
      <c r="F38" s="82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【中級】隻腕の提督</v>
      </c>
      <c r="G38" s="82" t="str">
        <f ca="1">VLOOKUP($B38&amp;"_"&amp;$E38,OFFSET([2]stages!$A$1,0,0,COUNTA([2]stages!$A:$A),MATCH(G$1,[2]stages!$2:$2,0)-MATCH("temp_stage",[2]stages!$2:$2,0)+1),MATCH(G$1,[2]stages!$2:$2,0)-MATCH("temp_stage",[2]stages!$2:$2,0)+1,FALSE)</f>
        <v>フランス革命01</v>
      </c>
      <c r="H38" s="84">
        <v>0</v>
      </c>
      <c r="I38">
        <v>15</v>
      </c>
      <c r="J38" s="83" t="s">
        <v>199</v>
      </c>
      <c r="K38" s="92" t="str">
        <f>VLOOKUP(I38,[6]stage_hints!$A:$C,3,FALSE)</f>
        <v>覚醒素材を獲得</v>
      </c>
      <c r="L38" s="93" t="str">
        <f>VLOOKUP(I38,[6]stage_hints!$A:$D,4,FALSE)</f>
        <v>「曜日クエスト」では_x000D_ユニットの覚醒に必要な素材が手に入ります</v>
      </c>
      <c r="M38" s="57" t="s">
        <v>212</v>
      </c>
    </row>
    <row r="39" spans="1:13" x14ac:dyDescent="0.15">
      <c r="A39" s="80" t="s">
        <v>202</v>
      </c>
      <c r="B39" s="81">
        <f>floors!$C$2</f>
        <v>20017</v>
      </c>
      <c r="C39" s="82" t="str">
        <f ca="1">VLOOKUP($B39,OFFSET([2]quests!$A$1,0,0,COUNTA([2]quests!$A:$A),MATCH(C$1,[2]quests!$1:$1,0)-MATCH($B$1,[2]quests!$1:$1,0)+1),MATCH(C$1,[2]quests!$1:$1,0)-MATCH($B$1,[2]quests!$1:$1,0)+1,FALSE)</f>
        <v>隻腕の提督</v>
      </c>
      <c r="D39" s="82" t="str">
        <f ca="1">VLOOKUP($B39,OFFSET([2]quests!$A$1,0,0,COUNTA([2]quests!$A:$A),MATCH(D$1,[2]quests!$1:$1,0)-MATCH($B$1,[2]quests!$1:$1,0)+1),MATCH(D$1,[2]quests!$1:$1,0)-MATCH($B$1,[2]quests!$1:$1,0)+1,FALSE)</f>
        <v>フランス革命01</v>
      </c>
      <c r="E39" s="86">
        <v>2</v>
      </c>
      <c r="F39" s="82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【中級】隻腕の提督</v>
      </c>
      <c r="G39" s="82" t="str">
        <f ca="1">VLOOKUP($B39&amp;"_"&amp;$E39,OFFSET([2]stages!$A$1,0,0,COUNTA([2]stages!$A:$A),MATCH(G$1,[2]stages!$2:$2,0)-MATCH("temp_stage",[2]stages!$2:$2,0)+1),MATCH(G$1,[2]stages!$2:$2,0)-MATCH("temp_stage",[2]stages!$2:$2,0)+1,FALSE)</f>
        <v>フランス革命01</v>
      </c>
      <c r="H39" s="84">
        <v>0</v>
      </c>
      <c r="I39">
        <v>16</v>
      </c>
      <c r="J39" s="83" t="s">
        <v>199</v>
      </c>
      <c r="K39" s="92" t="str">
        <f>VLOOKUP(I39,[6]stage_hints!$A:$C,3,FALSE)</f>
        <v>マルチプレイのメリット（その1）</v>
      </c>
      <c r="L39" s="93" t="str">
        <f>VLOOKUP(I39,[6]stage_hints!$A:$D,4,FALSE)</f>
        <v>他のプレイヤーとマルチプレイで遊ぶと_x000D_ポリゴンがもらえます（100人まで）</v>
      </c>
      <c r="M39" s="57" t="s">
        <v>212</v>
      </c>
    </row>
    <row r="40" spans="1:13" x14ac:dyDescent="0.15">
      <c r="A40" s="80" t="s">
        <v>202</v>
      </c>
      <c r="B40" s="81">
        <f>floors!$C$2</f>
        <v>20017</v>
      </c>
      <c r="C40" s="82" t="str">
        <f ca="1">VLOOKUP($B40,OFFSET([2]quests!$A$1,0,0,COUNTA([2]quests!$A:$A),MATCH(C$1,[2]quests!$1:$1,0)-MATCH($B$1,[2]quests!$1:$1,0)+1),MATCH(C$1,[2]quests!$1:$1,0)-MATCH($B$1,[2]quests!$1:$1,0)+1,FALSE)</f>
        <v>隻腕の提督</v>
      </c>
      <c r="D40" s="82" t="str">
        <f ca="1">VLOOKUP($B40,OFFSET([2]quests!$A$1,0,0,COUNTA([2]quests!$A:$A),MATCH(D$1,[2]quests!$1:$1,0)-MATCH($B$1,[2]quests!$1:$1,0)+1),MATCH(D$1,[2]quests!$1:$1,0)-MATCH($B$1,[2]quests!$1:$1,0)+1,FALSE)</f>
        <v>フランス革命01</v>
      </c>
      <c r="E40" s="86">
        <v>2</v>
      </c>
      <c r="F40" s="82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【中級】隻腕の提督</v>
      </c>
      <c r="G40" s="82" t="str">
        <f ca="1">VLOOKUP($B40&amp;"_"&amp;$E40,OFFSET([2]stages!$A$1,0,0,COUNTA([2]stages!$A:$A),MATCH(G$1,[2]stages!$2:$2,0)-MATCH("temp_stage",[2]stages!$2:$2,0)+1),MATCH(G$1,[2]stages!$2:$2,0)-MATCH("temp_stage",[2]stages!$2:$2,0)+1,FALSE)</f>
        <v>フランス革命01</v>
      </c>
      <c r="H40" s="84">
        <v>0</v>
      </c>
      <c r="I40">
        <v>17</v>
      </c>
      <c r="J40" s="83" t="s">
        <v>199</v>
      </c>
      <c r="K40" s="92" t="str">
        <f>VLOOKUP(I40,[6]stage_hints!$A:$C,3,FALSE)</f>
        <v>リンクガチャ</v>
      </c>
      <c r="L40" s="93" t="str">
        <f>VLOOKUP(I40,[6]stage_hints!$A:$D,4,FALSE)</f>
        <v>無料のリンクガチャを回して_x000D_経験値素材や売却素材を獲得しましょう</v>
      </c>
      <c r="M40" s="57" t="s">
        <v>212</v>
      </c>
    </row>
    <row r="41" spans="1:13" x14ac:dyDescent="0.15">
      <c r="A41" s="80" t="s">
        <v>202</v>
      </c>
      <c r="B41" s="81">
        <f>floors!$C$2</f>
        <v>20017</v>
      </c>
      <c r="C41" s="82" t="str">
        <f ca="1">VLOOKUP($B41,OFFSET([2]quests!$A$1,0,0,COUNTA([2]quests!$A:$A),MATCH(C$1,[2]quests!$1:$1,0)-MATCH($B$1,[2]quests!$1:$1,0)+1),MATCH(C$1,[2]quests!$1:$1,0)-MATCH($B$1,[2]quests!$1:$1,0)+1,FALSE)</f>
        <v>隻腕の提督</v>
      </c>
      <c r="D41" s="82" t="str">
        <f ca="1">VLOOKUP($B41,OFFSET([2]quests!$A$1,0,0,COUNTA([2]quests!$A:$A),MATCH(D$1,[2]quests!$1:$1,0)-MATCH($B$1,[2]quests!$1:$1,0)+1),MATCH(D$1,[2]quests!$1:$1,0)-MATCH($B$1,[2]quests!$1:$1,0)+1,FALSE)</f>
        <v>フランス革命01</v>
      </c>
      <c r="E41" s="86">
        <v>2</v>
      </c>
      <c r="F41" s="82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【中級】隻腕の提督</v>
      </c>
      <c r="G41" s="82" t="str">
        <f ca="1">VLOOKUP($B41&amp;"_"&amp;$E41,OFFSET([2]stages!$A$1,0,0,COUNTA([2]stages!$A:$A),MATCH(G$1,[2]stages!$2:$2,0)-MATCH("temp_stage",[2]stages!$2:$2,0)+1),MATCH(G$1,[2]stages!$2:$2,0)-MATCH("temp_stage",[2]stages!$2:$2,0)+1,FALSE)</f>
        <v>フランス革命01</v>
      </c>
      <c r="H41" s="84">
        <v>0</v>
      </c>
      <c r="I41">
        <v>18</v>
      </c>
      <c r="J41" s="83" t="s">
        <v>199</v>
      </c>
      <c r="K41" s="92" t="str">
        <f>VLOOKUP(I41,[6]stage_hints!$A:$C,3,FALSE)</f>
        <v>マルチプレイのメリット（その2）</v>
      </c>
      <c r="L41" s="93" t="str">
        <f>VLOOKUP(I41,[6]stage_hints!$A:$D,4,FALSE)</f>
        <v>マルチプレイならリンクが2倍もらえます_x000D_リンクガチャをたくさん回しましょう</v>
      </c>
      <c r="M41" s="57" t="s">
        <v>212</v>
      </c>
    </row>
    <row r="42" spans="1:13" x14ac:dyDescent="0.15">
      <c r="A42" s="80" t="s">
        <v>202</v>
      </c>
      <c r="B42" s="81">
        <f>floors!$C$2</f>
        <v>20017</v>
      </c>
      <c r="C42" s="82" t="str">
        <f ca="1">VLOOKUP($B42,OFFSET([2]quests!$A$1,0,0,COUNTA([2]quests!$A:$A),MATCH(C$1,[2]quests!$1:$1,0)-MATCH($B$1,[2]quests!$1:$1,0)+1),MATCH(C$1,[2]quests!$1:$1,0)-MATCH($B$1,[2]quests!$1:$1,0)+1,FALSE)</f>
        <v>隻腕の提督</v>
      </c>
      <c r="D42" s="82" t="str">
        <f ca="1">VLOOKUP($B42,OFFSET([2]quests!$A$1,0,0,COUNTA([2]quests!$A:$A),MATCH(D$1,[2]quests!$1:$1,0)-MATCH($B$1,[2]quests!$1:$1,0)+1),MATCH(D$1,[2]quests!$1:$1,0)-MATCH($B$1,[2]quests!$1:$1,0)+1,FALSE)</f>
        <v>フランス革命01</v>
      </c>
      <c r="E42" s="86">
        <v>2</v>
      </c>
      <c r="F42" s="82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【中級】隻腕の提督</v>
      </c>
      <c r="G42" s="82" t="str">
        <f ca="1">VLOOKUP($B42&amp;"_"&amp;$E42,OFFSET([2]stages!$A$1,0,0,COUNTA([2]stages!$A:$A),MATCH(G$1,[2]stages!$2:$2,0)-MATCH("temp_stage",[2]stages!$2:$2,0)+1),MATCH(G$1,[2]stages!$2:$2,0)-MATCH("temp_stage",[2]stages!$2:$2,0)+1,FALSE)</f>
        <v>フランス革命01</v>
      </c>
      <c r="H42" s="84">
        <v>0</v>
      </c>
      <c r="I42">
        <v>19</v>
      </c>
      <c r="J42" s="83" t="s">
        <v>199</v>
      </c>
      <c r="K42" s="92" t="str">
        <f>VLOOKUP(I42,[6]stage_hints!$A:$C,3,FALSE)</f>
        <v>ソロ専用タワーオブザクイーン</v>
      </c>
      <c r="L42" s="93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212</v>
      </c>
    </row>
    <row r="43" spans="1:13" x14ac:dyDescent="0.15">
      <c r="A43" s="80" t="s">
        <v>202</v>
      </c>
      <c r="B43" s="81">
        <f>floors!$C$2</f>
        <v>20017</v>
      </c>
      <c r="C43" s="82" t="str">
        <f ca="1">VLOOKUP($B43,OFFSET([2]quests!$A$1,0,0,COUNTA([2]quests!$A:$A),MATCH(C$1,[2]quests!$1:$1,0)-MATCH($B$1,[2]quests!$1:$1,0)+1),MATCH(C$1,[2]quests!$1:$1,0)-MATCH($B$1,[2]quests!$1:$1,0)+1,FALSE)</f>
        <v>隻腕の提督</v>
      </c>
      <c r="D43" s="82" t="str">
        <f ca="1">VLOOKUP($B43,OFFSET([2]quests!$A$1,0,0,COUNTA([2]quests!$A:$A),MATCH(D$1,[2]quests!$1:$1,0)-MATCH($B$1,[2]quests!$1:$1,0)+1),MATCH(D$1,[2]quests!$1:$1,0)-MATCH($B$1,[2]quests!$1:$1,0)+1,FALSE)</f>
        <v>フランス革命01</v>
      </c>
      <c r="E43" s="86">
        <v>2</v>
      </c>
      <c r="F43" s="82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【中級】隻腕の提督</v>
      </c>
      <c r="G43" s="82" t="str">
        <f ca="1">VLOOKUP($B43&amp;"_"&amp;$E43,OFFSET([2]stages!$A$1,0,0,COUNTA([2]stages!$A:$A),MATCH(G$1,[2]stages!$2:$2,0)-MATCH("temp_stage",[2]stages!$2:$2,0)+1),MATCH(G$1,[2]stages!$2:$2,0)-MATCH("temp_stage",[2]stages!$2:$2,0)+1,FALSE)</f>
        <v>フランス革命01</v>
      </c>
      <c r="H43" s="84">
        <v>0</v>
      </c>
      <c r="I43">
        <v>20</v>
      </c>
      <c r="J43" s="83" t="s">
        <v>199</v>
      </c>
      <c r="K43" s="92" t="str">
        <f>VLOOKUP(I43,[6]stage_hints!$A:$C,3,FALSE)</f>
        <v>マルチプレイのメリット（その3）</v>
      </c>
      <c r="L43" s="93" t="str">
        <f>VLOOKUP(I43,[6]stage_hints!$A:$D,4,FALSE)</f>
        <v>マルチプレイへの参加はエナジー消費ゼロ_x000D_いつでも好きなだけ遊ぶことができます</v>
      </c>
      <c r="M43" s="57" t="s">
        <v>212</v>
      </c>
    </row>
    <row r="44" spans="1:13" x14ac:dyDescent="0.15">
      <c r="A44" s="80" t="s">
        <v>202</v>
      </c>
      <c r="B44" s="81">
        <f>floors!$C$2</f>
        <v>20017</v>
      </c>
      <c r="C44" s="82" t="str">
        <f ca="1">VLOOKUP($B44,OFFSET([2]quests!$A$1,0,0,COUNTA([2]quests!$A:$A),MATCH(C$1,[2]quests!$1:$1,0)-MATCH($B$1,[2]quests!$1:$1,0)+1),MATCH(C$1,[2]quests!$1:$1,0)-MATCH($B$1,[2]quests!$1:$1,0)+1,FALSE)</f>
        <v>隻腕の提督</v>
      </c>
      <c r="D44" s="82" t="str">
        <f ca="1">VLOOKUP($B44,OFFSET([2]quests!$A$1,0,0,COUNTA([2]quests!$A:$A),MATCH(D$1,[2]quests!$1:$1,0)-MATCH($B$1,[2]quests!$1:$1,0)+1),MATCH(D$1,[2]quests!$1:$1,0)-MATCH($B$1,[2]quests!$1:$1,0)+1,FALSE)</f>
        <v>フランス革命01</v>
      </c>
      <c r="E44" s="86">
        <v>2</v>
      </c>
      <c r="F44" s="82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【中級】隻腕の提督</v>
      </c>
      <c r="G44" s="82" t="str">
        <f ca="1">VLOOKUP($B44&amp;"_"&amp;$E44,OFFSET([2]stages!$A$1,0,0,COUNTA([2]stages!$A:$A),MATCH(G$1,[2]stages!$2:$2,0)-MATCH("temp_stage",[2]stages!$2:$2,0)+1),MATCH(G$1,[2]stages!$2:$2,0)-MATCH("temp_stage",[2]stages!$2:$2,0)+1,FALSE)</f>
        <v>フランス革命01</v>
      </c>
      <c r="H44" s="84">
        <v>0</v>
      </c>
      <c r="I44">
        <v>21</v>
      </c>
      <c r="J44" s="83" t="s">
        <v>199</v>
      </c>
      <c r="K44" s="92" t="str">
        <f>VLOOKUP(I44,[6]stage_hints!$A:$C,3,FALSE)</f>
        <v>スキルを有効に</v>
      </c>
      <c r="L44" s="93" t="str">
        <f>VLOOKUP(I44,[6]stage_hints!$A:$D,4,FALSE)</f>
        <v>ターン経過でユニットのスキルが使えます_x000D_強力スキルでバトルを有利に進めましょう</v>
      </c>
      <c r="M44" s="57" t="s">
        <v>212</v>
      </c>
    </row>
    <row r="45" spans="1:13" x14ac:dyDescent="0.15">
      <c r="A45" s="80" t="s">
        <v>202</v>
      </c>
      <c r="B45" s="81">
        <f>floors!$C$2</f>
        <v>20017</v>
      </c>
      <c r="C45" s="82" t="str">
        <f ca="1">VLOOKUP($B45,OFFSET([2]quests!$A$1,0,0,COUNTA([2]quests!$A:$A),MATCH(C$1,[2]quests!$1:$1,0)-MATCH($B$1,[2]quests!$1:$1,0)+1),MATCH(C$1,[2]quests!$1:$1,0)-MATCH($B$1,[2]quests!$1:$1,0)+1,FALSE)</f>
        <v>隻腕の提督</v>
      </c>
      <c r="D45" s="82" t="str">
        <f ca="1">VLOOKUP($B45,OFFSET([2]quests!$A$1,0,0,COUNTA([2]quests!$A:$A),MATCH(D$1,[2]quests!$1:$1,0)-MATCH($B$1,[2]quests!$1:$1,0)+1),MATCH(D$1,[2]quests!$1:$1,0)-MATCH($B$1,[2]quests!$1:$1,0)+1,FALSE)</f>
        <v>フランス革命01</v>
      </c>
      <c r="E45" s="86">
        <v>2</v>
      </c>
      <c r="F45" s="82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【中級】隻腕の提督</v>
      </c>
      <c r="G45" s="82" t="str">
        <f ca="1">VLOOKUP($B45&amp;"_"&amp;$E45,OFFSET([2]stages!$A$1,0,0,COUNTA([2]stages!$A:$A),MATCH(G$1,[2]stages!$2:$2,0)-MATCH("temp_stage",[2]stages!$2:$2,0)+1),MATCH(G$1,[2]stages!$2:$2,0)-MATCH("temp_stage",[2]stages!$2:$2,0)+1,FALSE)</f>
        <v>フランス革命01</v>
      </c>
      <c r="H45" s="84">
        <v>0</v>
      </c>
      <c r="I45">
        <v>22</v>
      </c>
      <c r="J45" s="83" t="s">
        <v>199</v>
      </c>
      <c r="K45" s="92" t="str">
        <f>VLOOKUP(I45,[6]stage_hints!$A:$C,3,FALSE)</f>
        <v>フィーバーで一発逆転（その1）</v>
      </c>
      <c r="L45" s="93" t="str">
        <f>VLOOKUP(I45,[6]stage_hints!$A:$D,4,FALSE)</f>
        <v>フィーバーは攻撃と回復を兼ね備えます_x000D_ピンチからの一発逆転を狙いましょう</v>
      </c>
      <c r="M45" s="57" t="s">
        <v>212</v>
      </c>
    </row>
    <row r="46" spans="1:13" x14ac:dyDescent="0.15">
      <c r="A46" s="80" t="s">
        <v>202</v>
      </c>
      <c r="B46" s="81">
        <f>floors!$C$2</f>
        <v>20017</v>
      </c>
      <c r="C46" s="82" t="str">
        <f ca="1">VLOOKUP($B46,OFFSET([2]quests!$A$1,0,0,COUNTA([2]quests!$A:$A),MATCH(C$1,[2]quests!$1:$1,0)-MATCH($B$1,[2]quests!$1:$1,0)+1),MATCH(C$1,[2]quests!$1:$1,0)-MATCH($B$1,[2]quests!$1:$1,0)+1,FALSE)</f>
        <v>隻腕の提督</v>
      </c>
      <c r="D46" s="82" t="str">
        <f ca="1">VLOOKUP($B46,OFFSET([2]quests!$A$1,0,0,COUNTA([2]quests!$A:$A),MATCH(D$1,[2]quests!$1:$1,0)-MATCH($B$1,[2]quests!$1:$1,0)+1),MATCH(D$1,[2]quests!$1:$1,0)-MATCH($B$1,[2]quests!$1:$1,0)+1,FALSE)</f>
        <v>フランス革命01</v>
      </c>
      <c r="E46" s="86">
        <v>2</v>
      </c>
      <c r="F46" s="82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【中級】隻腕の提督</v>
      </c>
      <c r="G46" s="82" t="str">
        <f ca="1">VLOOKUP($B46&amp;"_"&amp;$E46,OFFSET([2]stages!$A$1,0,0,COUNTA([2]stages!$A:$A),MATCH(G$1,[2]stages!$2:$2,0)-MATCH("temp_stage",[2]stages!$2:$2,0)+1),MATCH(G$1,[2]stages!$2:$2,0)-MATCH("temp_stage",[2]stages!$2:$2,0)+1,FALSE)</f>
        <v>フランス革命01</v>
      </c>
      <c r="H46" s="84">
        <v>0</v>
      </c>
      <c r="I46">
        <v>23</v>
      </c>
      <c r="J46" s="83" t="s">
        <v>199</v>
      </c>
      <c r="K46" s="92" t="str">
        <f>VLOOKUP(I46,[6]stage_hints!$A:$C,3,FALSE)</f>
        <v>フィーバーで一発逆転（その2）</v>
      </c>
      <c r="L46" s="93" t="str">
        <f>VLOOKUP(I46,[6]stage_hints!$A:$D,4,FALSE)</f>
        <v>フィーバー中は虹色のボムパネルを狙って_x000D_画面上のパネルを一気に破壊しましょう</v>
      </c>
      <c r="M46" s="57" t="s">
        <v>212</v>
      </c>
    </row>
    <row r="47" spans="1:13" x14ac:dyDescent="0.15">
      <c r="A47" s="80" t="s">
        <v>202</v>
      </c>
      <c r="B47" s="81">
        <f>floors!$C$2</f>
        <v>20017</v>
      </c>
      <c r="C47" s="82" t="str">
        <f ca="1">VLOOKUP($B47,OFFSET([2]quests!$A$1,0,0,COUNTA([2]quests!$A:$A),MATCH(C$1,[2]quests!$1:$1,0)-MATCH($B$1,[2]quests!$1:$1,0)+1),MATCH(C$1,[2]quests!$1:$1,0)-MATCH($B$1,[2]quests!$1:$1,0)+1,FALSE)</f>
        <v>隻腕の提督</v>
      </c>
      <c r="D47" s="82" t="str">
        <f ca="1">VLOOKUP($B47,OFFSET([2]quests!$A$1,0,0,COUNTA([2]quests!$A:$A),MATCH(D$1,[2]quests!$1:$1,0)-MATCH($B$1,[2]quests!$1:$1,0)+1),MATCH(D$1,[2]quests!$1:$1,0)-MATCH($B$1,[2]quests!$1:$1,0)+1,FALSE)</f>
        <v>フランス革命01</v>
      </c>
      <c r="E47" s="86">
        <v>2</v>
      </c>
      <c r="F47" s="82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【中級】隻腕の提督</v>
      </c>
      <c r="G47" s="82" t="str">
        <f ca="1">VLOOKUP($B47&amp;"_"&amp;$E47,OFFSET([2]stages!$A$1,0,0,COUNTA([2]stages!$A:$A),MATCH(G$1,[2]stages!$2:$2,0)-MATCH("temp_stage",[2]stages!$2:$2,0)+1),MATCH(G$1,[2]stages!$2:$2,0)-MATCH("temp_stage",[2]stages!$2:$2,0)+1,FALSE)</f>
        <v>フランス革命01</v>
      </c>
      <c r="H47" s="84">
        <v>0</v>
      </c>
      <c r="I47">
        <v>24</v>
      </c>
      <c r="J47" s="83" t="s">
        <v>199</v>
      </c>
      <c r="K47" s="92" t="str">
        <f>VLOOKUP(I47,[6]stage_hints!$A:$C,3,FALSE)</f>
        <v>果実を使って限界突破</v>
      </c>
      <c r="L47" s="93" t="str">
        <f>VLOOKUP(I47,[6]stage_hints!$A:$D,4,FALSE)</f>
        <v>攻めの果実 癒しの果実_x000D_生命の果実をユニット強化に使うと_x000D_ステータスが限界突破します（計99個迄）</v>
      </c>
      <c r="M47" s="57" t="s">
        <v>212</v>
      </c>
    </row>
    <row r="48" spans="1:13" x14ac:dyDescent="0.15">
      <c r="A48" s="80" t="s">
        <v>202</v>
      </c>
      <c r="B48" s="81">
        <f>floors!$C$2</f>
        <v>20017</v>
      </c>
      <c r="C48" s="82" t="str">
        <f ca="1">VLOOKUP($B48,OFFSET([2]quests!$A$1,0,0,COUNTA([2]quests!$A:$A),MATCH(C$1,[2]quests!$1:$1,0)-MATCH($B$1,[2]quests!$1:$1,0)+1),MATCH(C$1,[2]quests!$1:$1,0)-MATCH($B$1,[2]quests!$1:$1,0)+1,FALSE)</f>
        <v>隻腕の提督</v>
      </c>
      <c r="D48" s="82" t="str">
        <f ca="1">VLOOKUP($B48,OFFSET([2]quests!$A$1,0,0,COUNTA([2]quests!$A:$A),MATCH(D$1,[2]quests!$1:$1,0)-MATCH($B$1,[2]quests!$1:$1,0)+1),MATCH(D$1,[2]quests!$1:$1,0)-MATCH($B$1,[2]quests!$1:$1,0)+1,FALSE)</f>
        <v>フランス革命01</v>
      </c>
      <c r="E48" s="86">
        <v>2</v>
      </c>
      <c r="F48" s="82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【中級】隻腕の提督</v>
      </c>
      <c r="G48" s="82" t="str">
        <f ca="1">VLOOKUP($B48&amp;"_"&amp;$E48,OFFSET([2]stages!$A$1,0,0,COUNTA([2]stages!$A:$A),MATCH(G$1,[2]stages!$2:$2,0)-MATCH("temp_stage",[2]stages!$2:$2,0)+1),MATCH(G$1,[2]stages!$2:$2,0)-MATCH("temp_stage",[2]stages!$2:$2,0)+1,FALSE)</f>
        <v>フランス革命01</v>
      </c>
      <c r="H48" s="84">
        <v>0</v>
      </c>
      <c r="I48">
        <v>25</v>
      </c>
      <c r="J48" s="83" t="s">
        <v>199</v>
      </c>
      <c r="K48" s="92" t="str">
        <f>VLOOKUP(I48,[6]stage_hints!$A:$C,3,FALSE)</f>
        <v>スキルレベルアップ</v>
      </c>
      <c r="L48" s="93" t="str">
        <f>VLOOKUP(I48,[6]stage_hints!$A:$D,4,FALSE)</f>
        <v>「秘術の果実」を強化に使うと_x000D_スキルレベルを上げることができます</v>
      </c>
      <c r="M48" s="57" t="s">
        <v>212</v>
      </c>
    </row>
    <row r="49" spans="1:13" x14ac:dyDescent="0.15">
      <c r="A49" s="80" t="s">
        <v>202</v>
      </c>
      <c r="B49" s="81">
        <f>floors!$C$2</f>
        <v>20017</v>
      </c>
      <c r="C49" s="82" t="str">
        <f ca="1">VLOOKUP($B49,OFFSET([2]quests!$A$1,0,0,COUNTA([2]quests!$A:$A),MATCH(C$1,[2]quests!$1:$1,0)-MATCH($B$1,[2]quests!$1:$1,0)+1),MATCH(C$1,[2]quests!$1:$1,0)-MATCH($B$1,[2]quests!$1:$1,0)+1,FALSE)</f>
        <v>隻腕の提督</v>
      </c>
      <c r="D49" s="82" t="str">
        <f ca="1">VLOOKUP($B49,OFFSET([2]quests!$A$1,0,0,COUNTA([2]quests!$A:$A),MATCH(D$1,[2]quests!$1:$1,0)-MATCH($B$1,[2]quests!$1:$1,0)+1),MATCH(D$1,[2]quests!$1:$1,0)-MATCH($B$1,[2]quests!$1:$1,0)+1,FALSE)</f>
        <v>フランス革命01</v>
      </c>
      <c r="E49" s="86">
        <v>2</v>
      </c>
      <c r="F49" s="82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【中級】隻腕の提督</v>
      </c>
      <c r="G49" s="82" t="str">
        <f ca="1">VLOOKUP($B49&amp;"_"&amp;$E49,OFFSET([2]stages!$A$1,0,0,COUNTA([2]stages!$A:$A),MATCH(G$1,[2]stages!$2:$2,0)-MATCH("temp_stage",[2]stages!$2:$2,0)+1),MATCH(G$1,[2]stages!$2:$2,0)-MATCH("temp_stage",[2]stages!$2:$2,0)+1,FALSE)</f>
        <v>フランス革命01</v>
      </c>
      <c r="H49" s="84">
        <v>0</v>
      </c>
      <c r="I49">
        <v>26</v>
      </c>
      <c r="J49" s="83" t="s">
        <v>199</v>
      </c>
      <c r="K49" s="92" t="str">
        <f>VLOOKUP(I49,[6]stage_hints!$A:$C,3,FALSE)</f>
        <v>スキルレベルの効果</v>
      </c>
      <c r="L49" s="93" t="str">
        <f>VLOOKUP(I49,[6]stage_hints!$A:$D,4,FALSE)</f>
        <v>スキルレベルが上がると_x000D_短いターンでスキルを使うことができます</v>
      </c>
      <c r="M49" s="57" t="s">
        <v>212</v>
      </c>
    </row>
    <row r="50" spans="1:13" x14ac:dyDescent="0.15">
      <c r="A50" s="80" t="s">
        <v>202</v>
      </c>
      <c r="B50" s="81">
        <f>floors!$C$2</f>
        <v>20017</v>
      </c>
      <c r="C50" s="82" t="str">
        <f ca="1">VLOOKUP($B50,OFFSET([2]quests!$A$1,0,0,COUNTA([2]quests!$A:$A),MATCH(C$1,[2]quests!$1:$1,0)-MATCH($B$1,[2]quests!$1:$1,0)+1),MATCH(C$1,[2]quests!$1:$1,0)-MATCH($B$1,[2]quests!$1:$1,0)+1,FALSE)</f>
        <v>隻腕の提督</v>
      </c>
      <c r="D50" s="82" t="str">
        <f ca="1">VLOOKUP($B50,OFFSET([2]quests!$A$1,0,0,COUNTA([2]quests!$A:$A),MATCH(D$1,[2]quests!$1:$1,0)-MATCH($B$1,[2]quests!$1:$1,0)+1),MATCH(D$1,[2]quests!$1:$1,0)-MATCH($B$1,[2]quests!$1:$1,0)+1,FALSE)</f>
        <v>フランス革命01</v>
      </c>
      <c r="E50" s="86">
        <v>2</v>
      </c>
      <c r="F50" s="82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【中級】隻腕の提督</v>
      </c>
      <c r="G50" s="82" t="str">
        <f ca="1">VLOOKUP($B50&amp;"_"&amp;$E50,OFFSET([2]stages!$A$1,0,0,COUNTA([2]stages!$A:$A),MATCH(G$1,[2]stages!$2:$2,0)-MATCH("temp_stage",[2]stages!$2:$2,0)+1),MATCH(G$1,[2]stages!$2:$2,0)-MATCH("temp_stage",[2]stages!$2:$2,0)+1,FALSE)</f>
        <v>フランス革命01</v>
      </c>
      <c r="H50" s="84">
        <v>0</v>
      </c>
      <c r="I50">
        <v>27</v>
      </c>
      <c r="J50" s="83" t="s">
        <v>199</v>
      </c>
      <c r="K50" s="92" t="str">
        <f>VLOOKUP(I50,[6]stage_hints!$A:$C,3,FALSE)</f>
        <v>ホーム画面からデッキを編成</v>
      </c>
      <c r="L50" s="93" t="str">
        <f>VLOOKUP(I50,[6]stage_hints!$A:$D,4,FALSE)</f>
        <v>ホーム画面でユニットを長押しすると_x000D_すぐにパーティ編成に移動できます</v>
      </c>
      <c r="M50" s="57" t="s">
        <v>212</v>
      </c>
    </row>
    <row r="51" spans="1:13" x14ac:dyDescent="0.15">
      <c r="A51" s="80" t="s">
        <v>202</v>
      </c>
      <c r="B51" s="81">
        <f>floors!$C$2</f>
        <v>20017</v>
      </c>
      <c r="C51" s="82" t="str">
        <f ca="1">VLOOKUP($B51,OFFSET([2]quests!$A$1,0,0,COUNTA([2]quests!$A:$A),MATCH(C$1,[2]quests!$1:$1,0)-MATCH($B$1,[2]quests!$1:$1,0)+1),MATCH(C$1,[2]quests!$1:$1,0)-MATCH($B$1,[2]quests!$1:$1,0)+1,FALSE)</f>
        <v>隻腕の提督</v>
      </c>
      <c r="D51" s="82" t="str">
        <f ca="1">VLOOKUP($B51,OFFSET([2]quests!$A$1,0,0,COUNTA([2]quests!$A:$A),MATCH(D$1,[2]quests!$1:$1,0)-MATCH($B$1,[2]quests!$1:$1,0)+1),MATCH(D$1,[2]quests!$1:$1,0)-MATCH($B$1,[2]quests!$1:$1,0)+1,FALSE)</f>
        <v>フランス革命01</v>
      </c>
      <c r="E51" s="86">
        <v>2</v>
      </c>
      <c r="F51" s="82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【中級】隻腕の提督</v>
      </c>
      <c r="G51" s="82" t="str">
        <f ca="1">VLOOKUP($B51&amp;"_"&amp;$E51,OFFSET([2]stages!$A$1,0,0,COUNTA([2]stages!$A:$A),MATCH(G$1,[2]stages!$2:$2,0)-MATCH("temp_stage",[2]stages!$2:$2,0)+1),MATCH(G$1,[2]stages!$2:$2,0)-MATCH("temp_stage",[2]stages!$2:$2,0)+1,FALSE)</f>
        <v>フランス革命01</v>
      </c>
      <c r="H51" s="84">
        <v>0</v>
      </c>
      <c r="I51">
        <v>28</v>
      </c>
      <c r="J51" s="83" t="s">
        <v>199</v>
      </c>
      <c r="K51" s="92" t="str">
        <f>VLOOKUP(I51,[6]stage_hints!$A:$C,3,FALSE)</f>
        <v>ステータス情報は長押しで</v>
      </c>
      <c r="L51" s="93" t="str">
        <f>VLOOKUP(I51,[6]stage_hints!$A:$D,4,FALSE)</f>
        <v>ユニットのアイコンを長押しすると_x000D_ステータス情報を確認することができます</v>
      </c>
      <c r="M51" s="57" t="s">
        <v>212</v>
      </c>
    </row>
    <row r="52" spans="1:13" x14ac:dyDescent="0.15">
      <c r="A52" s="80" t="s">
        <v>202</v>
      </c>
      <c r="B52" s="81">
        <f>floors!$C$2</f>
        <v>20017</v>
      </c>
      <c r="C52" s="82" t="str">
        <f ca="1">VLOOKUP($B52,OFFSET([2]quests!$A$1,0,0,COUNTA([2]quests!$A:$A),MATCH(C$1,[2]quests!$1:$1,0)-MATCH($B$1,[2]quests!$1:$1,0)+1),MATCH(C$1,[2]quests!$1:$1,0)-MATCH($B$1,[2]quests!$1:$1,0)+1,FALSE)</f>
        <v>隻腕の提督</v>
      </c>
      <c r="D52" s="82" t="str">
        <f ca="1">VLOOKUP($B52,OFFSET([2]quests!$A$1,0,0,COUNTA([2]quests!$A:$A),MATCH(D$1,[2]quests!$1:$1,0)-MATCH($B$1,[2]quests!$1:$1,0)+1),MATCH(D$1,[2]quests!$1:$1,0)-MATCH($B$1,[2]quests!$1:$1,0)+1,FALSE)</f>
        <v>フランス革命01</v>
      </c>
      <c r="E52" s="86">
        <v>2</v>
      </c>
      <c r="F52" s="82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【中級】隻腕の提督</v>
      </c>
      <c r="G52" s="82" t="str">
        <f ca="1">VLOOKUP($B52&amp;"_"&amp;$E52,OFFSET([2]stages!$A$1,0,0,COUNTA([2]stages!$A:$A),MATCH(G$1,[2]stages!$2:$2,0)-MATCH("temp_stage",[2]stages!$2:$2,0)+1),MATCH(G$1,[2]stages!$2:$2,0)-MATCH("temp_stage",[2]stages!$2:$2,0)+1,FALSE)</f>
        <v>フランス革命01</v>
      </c>
      <c r="H52" s="84">
        <v>0</v>
      </c>
      <c r="I52">
        <v>29</v>
      </c>
      <c r="J52" s="83" t="s">
        <v>199</v>
      </c>
      <c r="K52" s="92" t="str">
        <f>VLOOKUP(I52,[6]stage_hints!$A:$C,3,FALSE)</f>
        <v>「バグ」のメリット</v>
      </c>
      <c r="L52" s="93" t="str">
        <f>VLOOKUP(I52,[6]stage_hints!$A:$D,4,FALSE)</f>
        <v>ユニットの「バグ」を増やすと_x000D_報酬をもらえる確率がアップします</v>
      </c>
      <c r="M52" s="57" t="s">
        <v>212</v>
      </c>
    </row>
    <row r="53" spans="1:13" x14ac:dyDescent="0.15">
      <c r="A53" s="80" t="s">
        <v>202</v>
      </c>
      <c r="B53" s="81">
        <f>floors!$C$2</f>
        <v>20017</v>
      </c>
      <c r="C53" s="82" t="str">
        <f ca="1">VLOOKUP($B53,OFFSET([2]quests!$A$1,0,0,COUNTA([2]quests!$A:$A),MATCH(C$1,[2]quests!$1:$1,0)-MATCH($B$1,[2]quests!$1:$1,0)+1),MATCH(C$1,[2]quests!$1:$1,0)-MATCH($B$1,[2]quests!$1:$1,0)+1,FALSE)</f>
        <v>隻腕の提督</v>
      </c>
      <c r="D53" s="82" t="str">
        <f ca="1">VLOOKUP($B53,OFFSET([2]quests!$A$1,0,0,COUNTA([2]quests!$A:$A),MATCH(D$1,[2]quests!$1:$1,0)-MATCH($B$1,[2]quests!$1:$1,0)+1),MATCH(D$1,[2]quests!$1:$1,0)-MATCH($B$1,[2]quests!$1:$1,0)+1,FALSE)</f>
        <v>フランス革命01</v>
      </c>
      <c r="E53" s="86">
        <v>2</v>
      </c>
      <c r="F53" s="82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【中級】隻腕の提督</v>
      </c>
      <c r="G53" s="82" t="str">
        <f ca="1">VLOOKUP($B53&amp;"_"&amp;$E53,OFFSET([2]stages!$A$1,0,0,COUNTA([2]stages!$A:$A),MATCH(G$1,[2]stages!$2:$2,0)-MATCH("temp_stage",[2]stages!$2:$2,0)+1),MATCH(G$1,[2]stages!$2:$2,0)-MATCH("temp_stage",[2]stages!$2:$2,0)+1,FALSE)</f>
        <v>フランス革命01</v>
      </c>
      <c r="H53" s="84">
        <v>0</v>
      </c>
      <c r="I53">
        <v>30</v>
      </c>
      <c r="J53" s="83" t="s">
        <v>199</v>
      </c>
      <c r="K53" s="92" t="str">
        <f>VLOOKUP(I53,[6]stage_hints!$A:$C,3,FALSE)</f>
        <v>「バグ」の増やし方</v>
      </c>
      <c r="L53" s="93" t="str">
        <f>VLOOKUP(I53,[6]stage_hints!$A:$D,4,FALSE)</f>
        <v>同じユニット同士を強化で合成すると_x000D_「バグ」を増やすことができます</v>
      </c>
      <c r="M53" s="57" t="s">
        <v>212</v>
      </c>
    </row>
    <row r="54" spans="1:13" x14ac:dyDescent="0.15">
      <c r="A54" s="80" t="s">
        <v>202</v>
      </c>
      <c r="B54" s="81">
        <f>floors!$C$2</f>
        <v>20017</v>
      </c>
      <c r="C54" s="82" t="str">
        <f ca="1">VLOOKUP($B54,OFFSET([2]quests!$A$1,0,0,COUNTA([2]quests!$A:$A),MATCH(C$1,[2]quests!$1:$1,0)-MATCH($B$1,[2]quests!$1:$1,0)+1),MATCH(C$1,[2]quests!$1:$1,0)-MATCH($B$1,[2]quests!$1:$1,0)+1,FALSE)</f>
        <v>隻腕の提督</v>
      </c>
      <c r="D54" s="82" t="str">
        <f ca="1">VLOOKUP($B54,OFFSET([2]quests!$A$1,0,0,COUNTA([2]quests!$A:$A),MATCH(D$1,[2]quests!$1:$1,0)-MATCH($B$1,[2]quests!$1:$1,0)+1),MATCH(D$1,[2]quests!$1:$1,0)-MATCH($B$1,[2]quests!$1:$1,0)+1,FALSE)</f>
        <v>フランス革命01</v>
      </c>
      <c r="E54" s="86">
        <v>2</v>
      </c>
      <c r="F54" s="82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【中級】隻腕の提督</v>
      </c>
      <c r="G54" s="82" t="str">
        <f ca="1">VLOOKUP($B54&amp;"_"&amp;$E54,OFFSET([2]stages!$A$1,0,0,COUNTA([2]stages!$A:$A),MATCH(G$1,[2]stages!$2:$2,0)-MATCH("temp_stage",[2]stages!$2:$2,0)+1),MATCH(G$1,[2]stages!$2:$2,0)-MATCH("temp_stage",[2]stages!$2:$2,0)+1,FALSE)</f>
        <v>フランス革命01</v>
      </c>
      <c r="H54" s="84">
        <v>0</v>
      </c>
      <c r="I54">
        <v>31</v>
      </c>
      <c r="J54" s="83" t="s">
        <v>199</v>
      </c>
      <c r="K54" s="92" t="str">
        <f>VLOOKUP(I54,[6]stage_hints!$A:$C,3,FALSE)</f>
        <v>イベントはお知らせでチェック</v>
      </c>
      <c r="L54" s="93" t="str">
        <f>VLOOKUP(I54,[6]stage_hints!$A:$D,4,FALSE)</f>
        <v>イベント限定ユニットを取り忘れないように_x000D_お知らせをこまめにチェックしましょう</v>
      </c>
      <c r="M54" s="57" t="s">
        <v>212</v>
      </c>
    </row>
    <row r="55" spans="1:13" x14ac:dyDescent="0.15">
      <c r="A55" s="80" t="s">
        <v>202</v>
      </c>
      <c r="B55" s="81">
        <f>floors!$C$2</f>
        <v>20017</v>
      </c>
      <c r="C55" s="82" t="str">
        <f ca="1">VLOOKUP($B55,OFFSET([2]quests!$A$1,0,0,COUNTA([2]quests!$A:$A),MATCH(C$1,[2]quests!$1:$1,0)-MATCH($B$1,[2]quests!$1:$1,0)+1),MATCH(C$1,[2]quests!$1:$1,0)-MATCH($B$1,[2]quests!$1:$1,0)+1,FALSE)</f>
        <v>隻腕の提督</v>
      </c>
      <c r="D55" s="82" t="str">
        <f ca="1">VLOOKUP($B55,OFFSET([2]quests!$A$1,0,0,COUNTA([2]quests!$A:$A),MATCH(D$1,[2]quests!$1:$1,0)-MATCH($B$1,[2]quests!$1:$1,0)+1),MATCH(D$1,[2]quests!$1:$1,0)-MATCH($B$1,[2]quests!$1:$1,0)+1,FALSE)</f>
        <v>フランス革命01</v>
      </c>
      <c r="E55" s="86">
        <v>2</v>
      </c>
      <c r="F55" s="82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【中級】隻腕の提督</v>
      </c>
      <c r="G55" s="82" t="str">
        <f ca="1">VLOOKUP($B55&amp;"_"&amp;$E55,OFFSET([2]stages!$A$1,0,0,COUNTA([2]stages!$A:$A),MATCH(G$1,[2]stages!$2:$2,0)-MATCH("temp_stage",[2]stages!$2:$2,0)+1),MATCH(G$1,[2]stages!$2:$2,0)-MATCH("temp_stage",[2]stages!$2:$2,0)+1,FALSE)</f>
        <v>フランス革命01</v>
      </c>
      <c r="H55" s="84">
        <v>0</v>
      </c>
      <c r="I55">
        <v>32</v>
      </c>
      <c r="J55" s="83" t="s">
        <v>199</v>
      </c>
      <c r="K55" s="92" t="str">
        <f>VLOOKUP(I55,[6]stage_hints!$A:$C,3,FALSE)</f>
        <v>敵の連続攻撃には</v>
      </c>
      <c r="L55" s="93" t="str">
        <f>VLOOKUP(I55,[6]stage_hints!$A:$D,4,FALSE)</f>
        <v>カウンタースキルを持つユニットがいれば_x000D_ダメージ回数分の反撃ができます</v>
      </c>
      <c r="M55" s="57" t="s">
        <v>212</v>
      </c>
    </row>
    <row r="56" spans="1:13" x14ac:dyDescent="0.15">
      <c r="A56" s="80" t="s">
        <v>202</v>
      </c>
      <c r="B56" s="81">
        <f>floors!$C$2</f>
        <v>20017</v>
      </c>
      <c r="C56" s="82" t="str">
        <f ca="1">VLOOKUP($B56,OFFSET([2]quests!$A$1,0,0,COUNTA([2]quests!$A:$A),MATCH(C$1,[2]quests!$1:$1,0)-MATCH($B$1,[2]quests!$1:$1,0)+1),MATCH(C$1,[2]quests!$1:$1,0)-MATCH($B$1,[2]quests!$1:$1,0)+1,FALSE)</f>
        <v>隻腕の提督</v>
      </c>
      <c r="D56" s="82" t="str">
        <f ca="1">VLOOKUP($B56,OFFSET([2]quests!$A$1,0,0,COUNTA([2]quests!$A:$A),MATCH(D$1,[2]quests!$1:$1,0)-MATCH($B$1,[2]quests!$1:$1,0)+1),MATCH(D$1,[2]quests!$1:$1,0)-MATCH($B$1,[2]quests!$1:$1,0)+1,FALSE)</f>
        <v>フランス革命01</v>
      </c>
      <c r="E56" s="86">
        <v>2</v>
      </c>
      <c r="F56" s="82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【中級】隻腕の提督</v>
      </c>
      <c r="G56" s="82" t="str">
        <f ca="1">VLOOKUP($B56&amp;"_"&amp;$E56,OFFSET([2]stages!$A$1,0,0,COUNTA([2]stages!$A:$A),MATCH(G$1,[2]stages!$2:$2,0)-MATCH("temp_stage",[2]stages!$2:$2,0)+1),MATCH(G$1,[2]stages!$2:$2,0)-MATCH("temp_stage",[2]stages!$2:$2,0)+1,FALSE)</f>
        <v>フランス革命01</v>
      </c>
      <c r="H56" s="84">
        <v>0</v>
      </c>
      <c r="I56">
        <v>33</v>
      </c>
      <c r="J56" s="83" t="s">
        <v>199</v>
      </c>
      <c r="K56" s="92" t="str">
        <f>VLOOKUP(I56,[6]stage_hints!$A:$C,3,FALSE)</f>
        <v>敵のカウンター攻撃には</v>
      </c>
      <c r="L56" s="93" t="str">
        <f>VLOOKUP(I56,[6]stage_hints!$A:$D,4,FALSE)</f>
        <v>カウンターブレイクスキルを持っていれば_x000D_敵のカウンターを解除して攻撃ができます</v>
      </c>
      <c r="M56" s="57" t="s">
        <v>212</v>
      </c>
    </row>
    <row r="57" spans="1:13" x14ac:dyDescent="0.15">
      <c r="A57" s="80" t="s">
        <v>202</v>
      </c>
      <c r="B57" s="81">
        <f>floors!$C$2</f>
        <v>20017</v>
      </c>
      <c r="C57" s="82" t="str">
        <f ca="1">VLOOKUP($B57,OFFSET([2]quests!$A$1,0,0,COUNTA([2]quests!$A:$A),MATCH(C$1,[2]quests!$1:$1,0)-MATCH($B$1,[2]quests!$1:$1,0)+1),MATCH(C$1,[2]quests!$1:$1,0)-MATCH($B$1,[2]quests!$1:$1,0)+1,FALSE)</f>
        <v>隻腕の提督</v>
      </c>
      <c r="D57" s="82" t="str">
        <f ca="1">VLOOKUP($B57,OFFSET([2]quests!$A$1,0,0,COUNTA([2]quests!$A:$A),MATCH(D$1,[2]quests!$1:$1,0)-MATCH($B$1,[2]quests!$1:$1,0)+1),MATCH(D$1,[2]quests!$1:$1,0)-MATCH($B$1,[2]quests!$1:$1,0)+1,FALSE)</f>
        <v>フランス革命01</v>
      </c>
      <c r="E57" s="86">
        <v>2</v>
      </c>
      <c r="F57" s="82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【中級】隻腕の提督</v>
      </c>
      <c r="G57" s="82" t="str">
        <f ca="1">VLOOKUP($B57&amp;"_"&amp;$E57,OFFSET([2]stages!$A$1,0,0,COUNTA([2]stages!$A:$A),MATCH(G$1,[2]stages!$2:$2,0)-MATCH("temp_stage",[2]stages!$2:$2,0)+1),MATCH(G$1,[2]stages!$2:$2,0)-MATCH("temp_stage",[2]stages!$2:$2,0)+1,FALSE)</f>
        <v>フランス革命01</v>
      </c>
      <c r="H57" s="84">
        <v>0</v>
      </c>
      <c r="I57">
        <v>34</v>
      </c>
      <c r="J57" s="83" t="s">
        <v>199</v>
      </c>
      <c r="K57" s="92" t="str">
        <f>VLOOKUP(I57,[6]stage_hints!$A:$C,3,FALSE)</f>
        <v>ステータスをスキルで下げられたら</v>
      </c>
      <c r="L57" s="93" t="str">
        <f>VLOOKUP(I57,[6]stage_hints!$A:$D,4,FALSE)</f>
        <v>ステータスダウンのスキルを受けたら_x000D_ステータスアップスキルで上書きしましょう</v>
      </c>
      <c r="M57" s="57" t="s">
        <v>212</v>
      </c>
    </row>
    <row r="58" spans="1:13" x14ac:dyDescent="0.15">
      <c r="A58" s="80" t="s">
        <v>202</v>
      </c>
      <c r="B58" s="81">
        <f>floors!$C$2</f>
        <v>20017</v>
      </c>
      <c r="C58" s="82" t="str">
        <f ca="1">VLOOKUP($B58,OFFSET([2]quests!$A$1,0,0,COUNTA([2]quests!$A:$A),MATCH(C$1,[2]quests!$1:$1,0)-MATCH($B$1,[2]quests!$1:$1,0)+1),MATCH(C$1,[2]quests!$1:$1,0)-MATCH($B$1,[2]quests!$1:$1,0)+1,FALSE)</f>
        <v>隻腕の提督</v>
      </c>
      <c r="D58" s="82" t="str">
        <f ca="1">VLOOKUP($B58,OFFSET([2]quests!$A$1,0,0,COUNTA([2]quests!$A:$A),MATCH(D$1,[2]quests!$1:$1,0)-MATCH($B$1,[2]quests!$1:$1,0)+1),MATCH(D$1,[2]quests!$1:$1,0)-MATCH($B$1,[2]quests!$1:$1,0)+1,FALSE)</f>
        <v>フランス革命01</v>
      </c>
      <c r="E58" s="86">
        <v>2</v>
      </c>
      <c r="F58" s="82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【中級】隻腕の提督</v>
      </c>
      <c r="G58" s="82" t="str">
        <f ca="1">VLOOKUP($B58&amp;"_"&amp;$E58,OFFSET([2]stages!$A$1,0,0,COUNTA([2]stages!$A:$A),MATCH(G$1,[2]stages!$2:$2,0)-MATCH("temp_stage",[2]stages!$2:$2,0)+1),MATCH(G$1,[2]stages!$2:$2,0)-MATCH("temp_stage",[2]stages!$2:$2,0)+1,FALSE)</f>
        <v>フランス革命01</v>
      </c>
      <c r="H58" s="84">
        <v>0</v>
      </c>
      <c r="I58">
        <v>35</v>
      </c>
      <c r="J58" s="83" t="s">
        <v>199</v>
      </c>
      <c r="K58" s="92" t="str">
        <f>VLOOKUP(I58,[6]stage_hints!$A:$C,3,FALSE)</f>
        <v>敵のステータスがスキルで上がったら</v>
      </c>
      <c r="L58" s="93" t="str">
        <f>VLOOKUP(I58,[6]stage_hints!$A:$D,4,FALSE)</f>
        <v>敵のステータスがスキルでアップしたときは_x000D_ステータスダウンスキルで上書きしましょう</v>
      </c>
      <c r="M58" s="57" t="s">
        <v>212</v>
      </c>
    </row>
    <row r="59" spans="1:13" x14ac:dyDescent="0.15">
      <c r="A59" s="80" t="s">
        <v>202</v>
      </c>
      <c r="B59" s="81">
        <f>floors!$C$2</f>
        <v>20017</v>
      </c>
      <c r="C59" s="82" t="str">
        <f ca="1">VLOOKUP($B59,OFFSET([2]quests!$A$1,0,0,COUNTA([2]quests!$A:$A),MATCH(C$1,[2]quests!$1:$1,0)-MATCH($B$1,[2]quests!$1:$1,0)+1),MATCH(C$1,[2]quests!$1:$1,0)-MATCH($B$1,[2]quests!$1:$1,0)+1,FALSE)</f>
        <v>隻腕の提督</v>
      </c>
      <c r="D59" s="82" t="str">
        <f ca="1">VLOOKUP($B59,OFFSET([2]quests!$A$1,0,0,COUNTA([2]quests!$A:$A),MATCH(D$1,[2]quests!$1:$1,0)-MATCH($B$1,[2]quests!$1:$1,0)+1),MATCH(D$1,[2]quests!$1:$1,0)-MATCH($B$1,[2]quests!$1:$1,0)+1,FALSE)</f>
        <v>フランス革命01</v>
      </c>
      <c r="E59" s="86">
        <v>2</v>
      </c>
      <c r="F59" s="82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【中級】隻腕の提督</v>
      </c>
      <c r="G59" s="82" t="str">
        <f ca="1">VLOOKUP($B59&amp;"_"&amp;$E59,OFFSET([2]stages!$A$1,0,0,COUNTA([2]stages!$A:$A),MATCH(G$1,[2]stages!$2:$2,0)-MATCH("temp_stage",[2]stages!$2:$2,0)+1),MATCH(G$1,[2]stages!$2:$2,0)-MATCH("temp_stage",[2]stages!$2:$2,0)+1,FALSE)</f>
        <v>フランス革命01</v>
      </c>
      <c r="H59" s="84">
        <v>0</v>
      </c>
      <c r="I59">
        <v>39</v>
      </c>
      <c r="J59" s="83" t="s">
        <v>199</v>
      </c>
      <c r="K59" s="92" t="str">
        <f>VLOOKUP(I59,[6]stage_hints!$A:$C,3,FALSE)</f>
        <v>システム適合者を確認</v>
      </c>
      <c r="L59" s="93" t="str">
        <f>VLOOKUP(I59,[6]stage_hints!$A:$D,4,FALSE)</f>
        <v>ALICEが 「アナタ」を呼んでいます</v>
      </c>
      <c r="M59" s="57" t="s">
        <v>212</v>
      </c>
    </row>
    <row r="60" spans="1:13" x14ac:dyDescent="0.15">
      <c r="A60" s="80" t="s">
        <v>202</v>
      </c>
      <c r="B60" s="81">
        <f>floors!$C$2</f>
        <v>20017</v>
      </c>
      <c r="C60" s="82" t="str">
        <f ca="1">VLOOKUP($B60,OFFSET([2]quests!$A$1,0,0,COUNTA([2]quests!$A:$A),MATCH(C$1,[2]quests!$1:$1,0)-MATCH($B$1,[2]quests!$1:$1,0)+1),MATCH(C$1,[2]quests!$1:$1,0)-MATCH($B$1,[2]quests!$1:$1,0)+1,FALSE)</f>
        <v>隻腕の提督</v>
      </c>
      <c r="D60" s="82" t="str">
        <f ca="1">VLOOKUP($B60,OFFSET([2]quests!$A$1,0,0,COUNTA([2]quests!$A:$A),MATCH(D$1,[2]quests!$1:$1,0)-MATCH($B$1,[2]quests!$1:$1,0)+1),MATCH(D$1,[2]quests!$1:$1,0)-MATCH($B$1,[2]quests!$1:$1,0)+1,FALSE)</f>
        <v>フランス革命01</v>
      </c>
      <c r="E60" s="86">
        <v>3</v>
      </c>
      <c r="F60" s="8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【上級】隻腕の提督</v>
      </c>
      <c r="G60" s="82" t="str">
        <f ca="1">VLOOKUP($B60&amp;"_"&amp;$E60,OFFSET([2]stages!$A$1,0,0,COUNTA([2]stages!$A:$A),MATCH(G$1,[2]stages!$2:$2,0)-MATCH("temp_stage",[2]stages!$2:$2,0)+1),MATCH(G$1,[2]stages!$2:$2,0)-MATCH("temp_stage",[2]stages!$2:$2,0)+1,FALSE)</f>
        <v>フランス革命01</v>
      </c>
      <c r="H60" s="84">
        <v>0</v>
      </c>
      <c r="I60" s="95">
        <v>3</v>
      </c>
      <c r="J60" s="83" t="s">
        <v>199</v>
      </c>
      <c r="K60" s="92" t="str">
        <f>VLOOKUP(I60,[6]stage_hints!$A:$C,3,FALSE)</f>
        <v>ターゲット</v>
      </c>
      <c r="L60" s="93" t="str">
        <f>VLOOKUP(I60,[6]stage_hints!$A:$D,4,FALSE)</f>
        <v>敵ユニットをタップすると_x000D_その敵を狙い撃ちできます</v>
      </c>
      <c r="M60" s="57" t="s">
        <v>212</v>
      </c>
    </row>
    <row r="61" spans="1:13" x14ac:dyDescent="0.15">
      <c r="A61" s="80" t="s">
        <v>202</v>
      </c>
      <c r="B61" s="81">
        <f>floors!$C$2</f>
        <v>20017</v>
      </c>
      <c r="C61" s="82" t="str">
        <f ca="1">VLOOKUP($B61,OFFSET([2]quests!$A$1,0,0,COUNTA([2]quests!$A:$A),MATCH(C$1,[2]quests!$1:$1,0)-MATCH($B$1,[2]quests!$1:$1,0)+1),MATCH(C$1,[2]quests!$1:$1,0)-MATCH($B$1,[2]quests!$1:$1,0)+1,FALSE)</f>
        <v>隻腕の提督</v>
      </c>
      <c r="D61" s="82" t="str">
        <f ca="1">VLOOKUP($B61,OFFSET([2]quests!$A$1,0,0,COUNTA([2]quests!$A:$A),MATCH(D$1,[2]quests!$1:$1,0)-MATCH($B$1,[2]quests!$1:$1,0)+1),MATCH(D$1,[2]quests!$1:$1,0)-MATCH($B$1,[2]quests!$1:$1,0)+1,FALSE)</f>
        <v>フランス革命01</v>
      </c>
      <c r="E61" s="86">
        <v>3</v>
      </c>
      <c r="F61" s="8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【上級】隻腕の提督</v>
      </c>
      <c r="G61" s="82" t="str">
        <f ca="1">VLOOKUP($B61&amp;"_"&amp;$E61,OFFSET([2]stages!$A$1,0,0,COUNTA([2]stages!$A:$A),MATCH(G$1,[2]stages!$2:$2,0)-MATCH("temp_stage",[2]stages!$2:$2,0)+1),MATCH(G$1,[2]stages!$2:$2,0)-MATCH("temp_stage",[2]stages!$2:$2,0)+1,FALSE)</f>
        <v>フランス革命01</v>
      </c>
      <c r="H61" s="84">
        <v>0</v>
      </c>
      <c r="I61" s="95">
        <v>6</v>
      </c>
      <c r="J61" s="83" t="s">
        <v>199</v>
      </c>
      <c r="K61" s="92" t="str">
        <f>VLOOKUP(I61,[6]stage_hints!$A:$C,3,FALSE)</f>
        <v>ユニット強化の属性ボーナス</v>
      </c>
      <c r="L61" s="93" t="str">
        <f>VLOOKUP(I61,[6]stage_hints!$A:$D,4,FALSE)</f>
        <v>同属性ユニットを強化素材にすると_x000D_経験値が多くもらえます</v>
      </c>
      <c r="M61" s="57" t="s">
        <v>212</v>
      </c>
    </row>
    <row r="62" spans="1:13" x14ac:dyDescent="0.15">
      <c r="A62" s="80" t="s">
        <v>202</v>
      </c>
      <c r="B62" s="81">
        <f>floors!$C$2</f>
        <v>20017</v>
      </c>
      <c r="C62" s="82" t="str">
        <f ca="1">VLOOKUP($B62,OFFSET([2]quests!$A$1,0,0,COUNTA([2]quests!$A:$A),MATCH(C$1,[2]quests!$1:$1,0)-MATCH($B$1,[2]quests!$1:$1,0)+1),MATCH(C$1,[2]quests!$1:$1,0)-MATCH($B$1,[2]quests!$1:$1,0)+1,FALSE)</f>
        <v>隻腕の提督</v>
      </c>
      <c r="D62" s="82" t="str">
        <f ca="1">VLOOKUP($B62,OFFSET([2]quests!$A$1,0,0,COUNTA([2]quests!$A:$A),MATCH(D$1,[2]quests!$1:$1,0)-MATCH($B$1,[2]quests!$1:$1,0)+1),MATCH(D$1,[2]quests!$1:$1,0)-MATCH($B$1,[2]quests!$1:$1,0)+1,FALSE)</f>
        <v>フランス革命01</v>
      </c>
      <c r="E62" s="86">
        <v>3</v>
      </c>
      <c r="F62" s="8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【上級】隻腕の提督</v>
      </c>
      <c r="G62" s="82" t="str">
        <f ca="1">VLOOKUP($B62&amp;"_"&amp;$E62,OFFSET([2]stages!$A$1,0,0,COUNTA([2]stages!$A:$A),MATCH(G$1,[2]stages!$2:$2,0)-MATCH("temp_stage",[2]stages!$2:$2,0)+1),MATCH(G$1,[2]stages!$2:$2,0)-MATCH("temp_stage",[2]stages!$2:$2,0)+1,FALSE)</f>
        <v>フランス革命01</v>
      </c>
      <c r="H62" s="84">
        <v>0</v>
      </c>
      <c r="I62" s="95">
        <v>7</v>
      </c>
      <c r="J62" s="83" t="s">
        <v>199</v>
      </c>
      <c r="K62" s="92" t="str">
        <f>VLOOKUP(I62,[6]stage_hints!$A:$C,3,FALSE)</f>
        <v>メタルダックで経験値を獲得</v>
      </c>
      <c r="L62" s="93" t="str">
        <f>VLOOKUP(I62,[6]stage_hints!$A:$D,4,FALSE)</f>
        <v>「メタルなアヒル」を強化素材にすると_x000D_大量の経験値がもらえます</v>
      </c>
      <c r="M62" s="57" t="s">
        <v>212</v>
      </c>
    </row>
    <row r="63" spans="1:13" x14ac:dyDescent="0.15">
      <c r="A63" s="80" t="s">
        <v>202</v>
      </c>
      <c r="B63" s="81">
        <f>floors!$C$2</f>
        <v>20017</v>
      </c>
      <c r="C63" s="82" t="str">
        <f ca="1">VLOOKUP($B63,OFFSET([2]quests!$A$1,0,0,COUNTA([2]quests!$A:$A),MATCH(C$1,[2]quests!$1:$1,0)-MATCH($B$1,[2]quests!$1:$1,0)+1),MATCH(C$1,[2]quests!$1:$1,0)-MATCH($B$1,[2]quests!$1:$1,0)+1,FALSE)</f>
        <v>隻腕の提督</v>
      </c>
      <c r="D63" s="82" t="str">
        <f ca="1">VLOOKUP($B63,OFFSET([2]quests!$A$1,0,0,COUNTA([2]quests!$A:$A),MATCH(D$1,[2]quests!$1:$1,0)-MATCH($B$1,[2]quests!$1:$1,0)+1),MATCH(D$1,[2]quests!$1:$1,0)-MATCH($B$1,[2]quests!$1:$1,0)+1,FALSE)</f>
        <v>フランス革命01</v>
      </c>
      <c r="E63" s="86">
        <v>3</v>
      </c>
      <c r="F63" s="8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【上級】隻腕の提督</v>
      </c>
      <c r="G63" s="82" t="str">
        <f ca="1">VLOOKUP($B63&amp;"_"&amp;$E63,OFFSET([2]stages!$A$1,0,0,COUNTA([2]stages!$A:$A),MATCH(G$1,[2]stages!$2:$2,0)-MATCH("temp_stage",[2]stages!$2:$2,0)+1),MATCH(G$1,[2]stages!$2:$2,0)-MATCH("temp_stage",[2]stages!$2:$2,0)+1,FALSE)</f>
        <v>フランス革命01</v>
      </c>
      <c r="H63" s="84">
        <v>0</v>
      </c>
      <c r="I63" s="95">
        <v>8</v>
      </c>
      <c r="J63" s="83" t="s">
        <v>199</v>
      </c>
      <c r="K63" s="92" t="str">
        <f>VLOOKUP(I63,[6]stage_hints!$A:$C,3,FALSE)</f>
        <v>ゲリラクエストは要チェック</v>
      </c>
      <c r="L63" s="93" t="str">
        <f>VLOOKUP(I63,[6]stage_hints!$A:$D,4,FALSE)</f>
        <v>時間限定の「アヒル捕獲作戦」では_x000D_経験値素材ユニットが多く手に入ります</v>
      </c>
      <c r="M63" s="57" t="s">
        <v>212</v>
      </c>
    </row>
    <row r="64" spans="1:13" x14ac:dyDescent="0.15">
      <c r="A64" s="80" t="s">
        <v>202</v>
      </c>
      <c r="B64" s="81">
        <f>floors!$C$2</f>
        <v>20017</v>
      </c>
      <c r="C64" s="82" t="str">
        <f ca="1">VLOOKUP($B64,OFFSET([2]quests!$A$1,0,0,COUNTA([2]quests!$A:$A),MATCH(C$1,[2]quests!$1:$1,0)-MATCH($B$1,[2]quests!$1:$1,0)+1),MATCH(C$1,[2]quests!$1:$1,0)-MATCH($B$1,[2]quests!$1:$1,0)+1,FALSE)</f>
        <v>隻腕の提督</v>
      </c>
      <c r="D64" s="82" t="str">
        <f ca="1">VLOOKUP($B64,OFFSET([2]quests!$A$1,0,0,COUNTA([2]quests!$A:$A),MATCH(D$1,[2]quests!$1:$1,0)-MATCH($B$1,[2]quests!$1:$1,0)+1),MATCH(D$1,[2]quests!$1:$1,0)-MATCH($B$1,[2]quests!$1:$1,0)+1,FALSE)</f>
        <v>フランス革命01</v>
      </c>
      <c r="E64" s="86">
        <v>3</v>
      </c>
      <c r="F64" s="8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【上級】隻腕の提督</v>
      </c>
      <c r="G64" s="82" t="str">
        <f ca="1">VLOOKUP($B64&amp;"_"&amp;$E64,OFFSET([2]stages!$A$1,0,0,COUNTA([2]stages!$A:$A),MATCH(G$1,[2]stages!$2:$2,0)-MATCH("temp_stage",[2]stages!$2:$2,0)+1),MATCH(G$1,[2]stages!$2:$2,0)-MATCH("temp_stage",[2]stages!$2:$2,0)+1,FALSE)</f>
        <v>フランス革命01</v>
      </c>
      <c r="H64" s="84">
        <v>0</v>
      </c>
      <c r="I64" s="95">
        <v>9</v>
      </c>
      <c r="J64" s="83" t="s">
        <v>199</v>
      </c>
      <c r="K64" s="92" t="str">
        <f>VLOOKUP(I64,[6]stage_hints!$A:$C,3,FALSE)</f>
        <v>ゴールドダックでビットを獲得</v>
      </c>
      <c r="L64" s="93" t="str">
        <f>VLOOKUP(I64,[6]stage_hints!$A:$D,4,FALSE)</f>
        <v>「ゴールドなアヒル」を売却すると_x000D_大量のビットがもらえます</v>
      </c>
      <c r="M64" s="57" t="s">
        <v>212</v>
      </c>
    </row>
    <row r="65" spans="1:13" x14ac:dyDescent="0.15">
      <c r="A65" s="80" t="s">
        <v>202</v>
      </c>
      <c r="B65" s="81">
        <f>floors!$C$2</f>
        <v>20017</v>
      </c>
      <c r="C65" s="82" t="str">
        <f ca="1">VLOOKUP($B65,OFFSET([2]quests!$A$1,0,0,COUNTA([2]quests!$A:$A),MATCH(C$1,[2]quests!$1:$1,0)-MATCH($B$1,[2]quests!$1:$1,0)+1),MATCH(C$1,[2]quests!$1:$1,0)-MATCH($B$1,[2]quests!$1:$1,0)+1,FALSE)</f>
        <v>隻腕の提督</v>
      </c>
      <c r="D65" s="82" t="str">
        <f ca="1">VLOOKUP($B65,OFFSET([2]quests!$A$1,0,0,COUNTA([2]quests!$A:$A),MATCH(D$1,[2]quests!$1:$1,0)-MATCH($B$1,[2]quests!$1:$1,0)+1),MATCH(D$1,[2]quests!$1:$1,0)-MATCH($B$1,[2]quests!$1:$1,0)+1,FALSE)</f>
        <v>フランス革命01</v>
      </c>
      <c r="E65" s="86">
        <v>3</v>
      </c>
      <c r="F65" s="8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【上級】隻腕の提督</v>
      </c>
      <c r="G65" s="82" t="str">
        <f ca="1">VLOOKUP($B65&amp;"_"&amp;$E65,OFFSET([2]stages!$A$1,0,0,COUNTA([2]stages!$A:$A),MATCH(G$1,[2]stages!$2:$2,0)-MATCH("temp_stage",[2]stages!$2:$2,0)+1),MATCH(G$1,[2]stages!$2:$2,0)-MATCH("temp_stage",[2]stages!$2:$2,0)+1,FALSE)</f>
        <v>フランス革命01</v>
      </c>
      <c r="H65" s="84">
        <v>0</v>
      </c>
      <c r="I65" s="95">
        <v>10</v>
      </c>
      <c r="J65" s="83" t="s">
        <v>199</v>
      </c>
      <c r="K65" s="92" t="str">
        <f>VLOOKUP(I65,[6]stage_hints!$A:$C,3,FALSE)</f>
        <v>土日に大量のビットを獲得</v>
      </c>
      <c r="L65" s="93" t="str">
        <f>VLOOKUP(I65,[6]stage_hints!$A:$D,4,FALSE)</f>
        <v>土日限定の「ゴールドカジノ」では_x000D_売却素材ユニットが多く手に入ります</v>
      </c>
      <c r="M65" s="57" t="s">
        <v>212</v>
      </c>
    </row>
    <row r="66" spans="1:13" x14ac:dyDescent="0.15">
      <c r="A66" s="80" t="s">
        <v>202</v>
      </c>
      <c r="B66" s="81">
        <f>floors!$C$2</f>
        <v>20017</v>
      </c>
      <c r="C66" s="82" t="str">
        <f ca="1">VLOOKUP($B66,OFFSET([2]quests!$A$1,0,0,COUNTA([2]quests!$A:$A),MATCH(C$1,[2]quests!$1:$1,0)-MATCH($B$1,[2]quests!$1:$1,0)+1),MATCH(C$1,[2]quests!$1:$1,0)-MATCH($B$1,[2]quests!$1:$1,0)+1,FALSE)</f>
        <v>隻腕の提督</v>
      </c>
      <c r="D66" s="82" t="str">
        <f ca="1">VLOOKUP($B66,OFFSET([2]quests!$A$1,0,0,COUNTA([2]quests!$A:$A),MATCH(D$1,[2]quests!$1:$1,0)-MATCH($B$1,[2]quests!$1:$1,0)+1),MATCH(D$1,[2]quests!$1:$1,0)-MATCH($B$1,[2]quests!$1:$1,0)+1,FALSE)</f>
        <v>フランス革命01</v>
      </c>
      <c r="E66" s="86">
        <v>3</v>
      </c>
      <c r="F66" s="8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【上級】隻腕の提督</v>
      </c>
      <c r="G66" s="82" t="str">
        <f ca="1">VLOOKUP($B66&amp;"_"&amp;$E66,OFFSET([2]stages!$A$1,0,0,COUNTA([2]stages!$A:$A),MATCH(G$1,[2]stages!$2:$2,0)-MATCH("temp_stage",[2]stages!$2:$2,0)+1),MATCH(G$1,[2]stages!$2:$2,0)-MATCH("temp_stage",[2]stages!$2:$2,0)+1,FALSE)</f>
        <v>フランス革命01</v>
      </c>
      <c r="H66" s="84">
        <v>0</v>
      </c>
      <c r="I66" s="95">
        <v>11</v>
      </c>
      <c r="J66" s="83" t="s">
        <v>199</v>
      </c>
      <c r="K66" s="92" t="str">
        <f>VLOOKUP(I66,[6]stage_hints!$A:$C,3,FALSE)</f>
        <v>ランク解放クエスト</v>
      </c>
      <c r="L66" s="93" t="str">
        <f>VLOOKUP(I66,[6]stage_hints!$A:$D,4,FALSE)</f>
        <v>一定ランクに到達すると_x000D_報酬付きのランク開放クエストが現れます</v>
      </c>
      <c r="M66" s="57" t="s">
        <v>212</v>
      </c>
    </row>
    <row r="67" spans="1:13" x14ac:dyDescent="0.15">
      <c r="A67" s="80" t="s">
        <v>202</v>
      </c>
      <c r="B67" s="81">
        <f>floors!$C$2</f>
        <v>20017</v>
      </c>
      <c r="C67" s="82" t="str">
        <f ca="1">VLOOKUP($B67,OFFSET([2]quests!$A$1,0,0,COUNTA([2]quests!$A:$A),MATCH(C$1,[2]quests!$1:$1,0)-MATCH($B$1,[2]quests!$1:$1,0)+1),MATCH(C$1,[2]quests!$1:$1,0)-MATCH($B$1,[2]quests!$1:$1,0)+1,FALSE)</f>
        <v>隻腕の提督</v>
      </c>
      <c r="D67" s="82" t="str">
        <f ca="1">VLOOKUP($B67,OFFSET([2]quests!$A$1,0,0,COUNTA([2]quests!$A:$A),MATCH(D$1,[2]quests!$1:$1,0)-MATCH($B$1,[2]quests!$1:$1,0)+1),MATCH(D$1,[2]quests!$1:$1,0)-MATCH($B$1,[2]quests!$1:$1,0)+1,FALSE)</f>
        <v>フランス革命01</v>
      </c>
      <c r="E67" s="86">
        <v>3</v>
      </c>
      <c r="F67" s="8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【上級】隻腕の提督</v>
      </c>
      <c r="G67" s="82" t="str">
        <f ca="1">VLOOKUP($B67&amp;"_"&amp;$E67,OFFSET([2]stages!$A$1,0,0,COUNTA([2]stages!$A:$A),MATCH(G$1,[2]stages!$2:$2,0)-MATCH("temp_stage",[2]stages!$2:$2,0)+1),MATCH(G$1,[2]stages!$2:$2,0)-MATCH("temp_stage",[2]stages!$2:$2,0)+1,FALSE)</f>
        <v>フランス革命01</v>
      </c>
      <c r="H67" s="84">
        <v>0</v>
      </c>
      <c r="I67" s="95">
        <v>12</v>
      </c>
      <c r="J67" s="83" t="s">
        <v>199</v>
      </c>
      <c r="K67" s="92" t="str">
        <f>VLOOKUP(I67,[6]stage_hints!$A:$C,3,FALSE)</f>
        <v>ユニットのお気に入り登録</v>
      </c>
      <c r="L67" s="93" t="str">
        <f>VLOOKUP(I67,[6]stage_hints!$A:$D,4,FALSE)</f>
        <v>大事なユニットを誤って消さないように_x000D_フォルダから「お気に入り登録」しましょう</v>
      </c>
      <c r="M67" s="57" t="s">
        <v>212</v>
      </c>
    </row>
    <row r="68" spans="1:13" x14ac:dyDescent="0.15">
      <c r="A68" s="80" t="s">
        <v>202</v>
      </c>
      <c r="B68" s="81">
        <f>floors!$C$2</f>
        <v>20017</v>
      </c>
      <c r="C68" s="82" t="str">
        <f ca="1">VLOOKUP($B68,OFFSET([2]quests!$A$1,0,0,COUNTA([2]quests!$A:$A),MATCH(C$1,[2]quests!$1:$1,0)-MATCH($B$1,[2]quests!$1:$1,0)+1),MATCH(C$1,[2]quests!$1:$1,0)-MATCH($B$1,[2]quests!$1:$1,0)+1,FALSE)</f>
        <v>隻腕の提督</v>
      </c>
      <c r="D68" s="82" t="str">
        <f ca="1">VLOOKUP($B68,OFFSET([2]quests!$A$1,0,0,COUNTA([2]quests!$A:$A),MATCH(D$1,[2]quests!$1:$1,0)-MATCH($B$1,[2]quests!$1:$1,0)+1),MATCH(D$1,[2]quests!$1:$1,0)-MATCH($B$1,[2]quests!$1:$1,0)+1,FALSE)</f>
        <v>フランス革命01</v>
      </c>
      <c r="E68" s="86">
        <v>3</v>
      </c>
      <c r="F68" s="82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【上級】隻腕の提督</v>
      </c>
      <c r="G68" s="82" t="str">
        <f ca="1">VLOOKUP($B68&amp;"_"&amp;$E68,OFFSET([2]stages!$A$1,0,0,COUNTA([2]stages!$A:$A),MATCH(G$1,[2]stages!$2:$2,0)-MATCH("temp_stage",[2]stages!$2:$2,0)+1),MATCH(G$1,[2]stages!$2:$2,0)-MATCH("temp_stage",[2]stages!$2:$2,0)+1,FALSE)</f>
        <v>フランス革命01</v>
      </c>
      <c r="H68" s="84">
        <v>0</v>
      </c>
      <c r="I68" s="95">
        <v>13</v>
      </c>
      <c r="J68" s="83" t="s">
        <v>199</v>
      </c>
      <c r="K68" s="92" t="str">
        <f>VLOOKUP(I68,[6]stage_hints!$A:$C,3,FALSE)</f>
        <v>ユニットの覚醒</v>
      </c>
      <c r="L68" s="93" t="str">
        <f>VLOOKUP(I68,[6]stage_hints!$A:$D,4,FALSE)</f>
        <v>ユニットを覚醒させると_x000D_比べものにならない強さが手に入ります</v>
      </c>
      <c r="M68" s="57" t="s">
        <v>212</v>
      </c>
    </row>
    <row r="69" spans="1:13" x14ac:dyDescent="0.15">
      <c r="A69" s="80" t="s">
        <v>202</v>
      </c>
      <c r="B69" s="81">
        <f>floors!$C$2</f>
        <v>20017</v>
      </c>
      <c r="C69" s="82" t="str">
        <f ca="1">VLOOKUP($B69,OFFSET([2]quests!$A$1,0,0,COUNTA([2]quests!$A:$A),MATCH(C$1,[2]quests!$1:$1,0)-MATCH($B$1,[2]quests!$1:$1,0)+1),MATCH(C$1,[2]quests!$1:$1,0)-MATCH($B$1,[2]quests!$1:$1,0)+1,FALSE)</f>
        <v>隻腕の提督</v>
      </c>
      <c r="D69" s="82" t="str">
        <f ca="1">VLOOKUP($B69,OFFSET([2]quests!$A$1,0,0,COUNTA([2]quests!$A:$A),MATCH(D$1,[2]quests!$1:$1,0)-MATCH($B$1,[2]quests!$1:$1,0)+1),MATCH(D$1,[2]quests!$1:$1,0)-MATCH($B$1,[2]quests!$1:$1,0)+1,FALSE)</f>
        <v>フランス革命01</v>
      </c>
      <c r="E69" s="86">
        <v>3</v>
      </c>
      <c r="F69" s="82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【上級】隻腕の提督</v>
      </c>
      <c r="G69" s="82" t="str">
        <f ca="1">VLOOKUP($B69&amp;"_"&amp;$E69,OFFSET([2]stages!$A$1,0,0,COUNTA([2]stages!$A:$A),MATCH(G$1,[2]stages!$2:$2,0)-MATCH("temp_stage",[2]stages!$2:$2,0)+1),MATCH(G$1,[2]stages!$2:$2,0)-MATCH("temp_stage",[2]stages!$2:$2,0)+1,FALSE)</f>
        <v>フランス革命01</v>
      </c>
      <c r="H69" s="84">
        <v>0</v>
      </c>
      <c r="I69" s="95">
        <v>14</v>
      </c>
      <c r="J69" s="83" t="s">
        <v>199</v>
      </c>
      <c r="K69" s="92" t="str">
        <f>VLOOKUP(I69,[6]stage_hints!$A:$C,3,FALSE)</f>
        <v>覚醒するにはレベルを最大に</v>
      </c>
      <c r="L69" s="93" t="str">
        <f>VLOOKUP(I69,[6]stage_hints!$A:$D,4,FALSE)</f>
        <v>覚醒するにはユニットのレベルを_x000D_最大まで上げる必要があります</v>
      </c>
      <c r="M69" s="57" t="s">
        <v>212</v>
      </c>
    </row>
    <row r="70" spans="1:13" x14ac:dyDescent="0.15">
      <c r="A70" s="80" t="s">
        <v>202</v>
      </c>
      <c r="B70" s="81">
        <f>floors!$C$2</f>
        <v>20017</v>
      </c>
      <c r="C70" s="82" t="str">
        <f ca="1">VLOOKUP($B70,OFFSET([2]quests!$A$1,0,0,COUNTA([2]quests!$A:$A),MATCH(C$1,[2]quests!$1:$1,0)-MATCH($B$1,[2]quests!$1:$1,0)+1),MATCH(C$1,[2]quests!$1:$1,0)-MATCH($B$1,[2]quests!$1:$1,0)+1,FALSE)</f>
        <v>隻腕の提督</v>
      </c>
      <c r="D70" s="82" t="str">
        <f ca="1">VLOOKUP($B70,OFFSET([2]quests!$A$1,0,0,COUNTA([2]quests!$A:$A),MATCH(D$1,[2]quests!$1:$1,0)-MATCH($B$1,[2]quests!$1:$1,0)+1),MATCH(D$1,[2]quests!$1:$1,0)-MATCH($B$1,[2]quests!$1:$1,0)+1,FALSE)</f>
        <v>フランス革命01</v>
      </c>
      <c r="E70" s="86">
        <v>3</v>
      </c>
      <c r="F70" s="82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【上級】隻腕の提督</v>
      </c>
      <c r="G70" s="82" t="str">
        <f ca="1">VLOOKUP($B70&amp;"_"&amp;$E70,OFFSET([2]stages!$A$1,0,0,COUNTA([2]stages!$A:$A),MATCH(G$1,[2]stages!$2:$2,0)-MATCH("temp_stage",[2]stages!$2:$2,0)+1),MATCH(G$1,[2]stages!$2:$2,0)-MATCH("temp_stage",[2]stages!$2:$2,0)+1,FALSE)</f>
        <v>フランス革命01</v>
      </c>
      <c r="H70" s="84">
        <v>0</v>
      </c>
      <c r="I70" s="95">
        <v>15</v>
      </c>
      <c r="J70" s="83" t="s">
        <v>199</v>
      </c>
      <c r="K70" s="92" t="str">
        <f>VLOOKUP(I70,[6]stage_hints!$A:$C,3,FALSE)</f>
        <v>覚醒素材を獲得</v>
      </c>
      <c r="L70" s="93" t="str">
        <f>VLOOKUP(I70,[6]stage_hints!$A:$D,4,FALSE)</f>
        <v>「曜日クエスト」では_x000D_ユニットの覚醒に必要な素材が手に入ります</v>
      </c>
      <c r="M70" s="57" t="s">
        <v>212</v>
      </c>
    </row>
    <row r="71" spans="1:13" x14ac:dyDescent="0.15">
      <c r="A71" s="80" t="s">
        <v>202</v>
      </c>
      <c r="B71" s="81">
        <f>floors!$C$2</f>
        <v>20017</v>
      </c>
      <c r="C71" s="82" t="str">
        <f ca="1">VLOOKUP($B71,OFFSET([2]quests!$A$1,0,0,COUNTA([2]quests!$A:$A),MATCH(C$1,[2]quests!$1:$1,0)-MATCH($B$1,[2]quests!$1:$1,0)+1),MATCH(C$1,[2]quests!$1:$1,0)-MATCH($B$1,[2]quests!$1:$1,0)+1,FALSE)</f>
        <v>隻腕の提督</v>
      </c>
      <c r="D71" s="82" t="str">
        <f ca="1">VLOOKUP($B71,OFFSET([2]quests!$A$1,0,0,COUNTA([2]quests!$A:$A),MATCH(D$1,[2]quests!$1:$1,0)-MATCH($B$1,[2]quests!$1:$1,0)+1),MATCH(D$1,[2]quests!$1:$1,0)-MATCH($B$1,[2]quests!$1:$1,0)+1,FALSE)</f>
        <v>フランス革命01</v>
      </c>
      <c r="E71" s="86">
        <v>3</v>
      </c>
      <c r="F71" s="82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【上級】隻腕の提督</v>
      </c>
      <c r="G71" s="82" t="str">
        <f ca="1">VLOOKUP($B71&amp;"_"&amp;$E71,OFFSET([2]stages!$A$1,0,0,COUNTA([2]stages!$A:$A),MATCH(G$1,[2]stages!$2:$2,0)-MATCH("temp_stage",[2]stages!$2:$2,0)+1),MATCH(G$1,[2]stages!$2:$2,0)-MATCH("temp_stage",[2]stages!$2:$2,0)+1,FALSE)</f>
        <v>フランス革命01</v>
      </c>
      <c r="H71" s="84">
        <v>0</v>
      </c>
      <c r="I71" s="95">
        <v>16</v>
      </c>
      <c r="J71" s="83" t="s">
        <v>199</v>
      </c>
      <c r="K71" s="92" t="str">
        <f>VLOOKUP(I71,[6]stage_hints!$A:$C,3,FALSE)</f>
        <v>マルチプレイのメリット（その1）</v>
      </c>
      <c r="L71" s="93" t="str">
        <f>VLOOKUP(I71,[6]stage_hints!$A:$D,4,FALSE)</f>
        <v>他のプレイヤーとマルチプレイで遊ぶと_x000D_ポリゴンがもらえます（100人まで）</v>
      </c>
      <c r="M71" s="57" t="s">
        <v>212</v>
      </c>
    </row>
    <row r="72" spans="1:13" x14ac:dyDescent="0.15">
      <c r="A72" s="80" t="s">
        <v>202</v>
      </c>
      <c r="B72" s="81">
        <f>floors!$C$2</f>
        <v>20017</v>
      </c>
      <c r="C72" s="82" t="str">
        <f ca="1">VLOOKUP($B72,OFFSET([2]quests!$A$1,0,0,COUNTA([2]quests!$A:$A),MATCH(C$1,[2]quests!$1:$1,0)-MATCH($B$1,[2]quests!$1:$1,0)+1),MATCH(C$1,[2]quests!$1:$1,0)-MATCH($B$1,[2]quests!$1:$1,0)+1,FALSE)</f>
        <v>隻腕の提督</v>
      </c>
      <c r="D72" s="82" t="str">
        <f ca="1">VLOOKUP($B72,OFFSET([2]quests!$A$1,0,0,COUNTA([2]quests!$A:$A),MATCH(D$1,[2]quests!$1:$1,0)-MATCH($B$1,[2]quests!$1:$1,0)+1),MATCH(D$1,[2]quests!$1:$1,0)-MATCH($B$1,[2]quests!$1:$1,0)+1,FALSE)</f>
        <v>フランス革命01</v>
      </c>
      <c r="E72" s="86">
        <v>3</v>
      </c>
      <c r="F72" s="82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【上級】隻腕の提督</v>
      </c>
      <c r="G72" s="82" t="str">
        <f ca="1">VLOOKUP($B72&amp;"_"&amp;$E72,OFFSET([2]stages!$A$1,0,0,COUNTA([2]stages!$A:$A),MATCH(G$1,[2]stages!$2:$2,0)-MATCH("temp_stage",[2]stages!$2:$2,0)+1),MATCH(G$1,[2]stages!$2:$2,0)-MATCH("temp_stage",[2]stages!$2:$2,0)+1,FALSE)</f>
        <v>フランス革命01</v>
      </c>
      <c r="H72" s="84">
        <v>0</v>
      </c>
      <c r="I72" s="95">
        <v>17</v>
      </c>
      <c r="J72" s="83" t="s">
        <v>199</v>
      </c>
      <c r="K72" s="92" t="str">
        <f>VLOOKUP(I72,[6]stage_hints!$A:$C,3,FALSE)</f>
        <v>リンクガチャ</v>
      </c>
      <c r="L72" s="93" t="str">
        <f>VLOOKUP(I72,[6]stage_hints!$A:$D,4,FALSE)</f>
        <v>無料のリンクガチャを回して_x000D_経験値素材や売却素材を獲得しましょう</v>
      </c>
      <c r="M72" s="57" t="s">
        <v>212</v>
      </c>
    </row>
    <row r="73" spans="1:13" x14ac:dyDescent="0.15">
      <c r="A73" s="80" t="s">
        <v>202</v>
      </c>
      <c r="B73" s="81">
        <f>floors!$C$2</f>
        <v>20017</v>
      </c>
      <c r="C73" s="82" t="str">
        <f ca="1">VLOOKUP($B73,OFFSET([2]quests!$A$1,0,0,COUNTA([2]quests!$A:$A),MATCH(C$1,[2]quests!$1:$1,0)-MATCH($B$1,[2]quests!$1:$1,0)+1),MATCH(C$1,[2]quests!$1:$1,0)-MATCH($B$1,[2]quests!$1:$1,0)+1,FALSE)</f>
        <v>隻腕の提督</v>
      </c>
      <c r="D73" s="82" t="str">
        <f ca="1">VLOOKUP($B73,OFFSET([2]quests!$A$1,0,0,COUNTA([2]quests!$A:$A),MATCH(D$1,[2]quests!$1:$1,0)-MATCH($B$1,[2]quests!$1:$1,0)+1),MATCH(D$1,[2]quests!$1:$1,0)-MATCH($B$1,[2]quests!$1:$1,0)+1,FALSE)</f>
        <v>フランス革命01</v>
      </c>
      <c r="E73" s="86">
        <v>3</v>
      </c>
      <c r="F73" s="82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【上級】隻腕の提督</v>
      </c>
      <c r="G73" s="82" t="str">
        <f ca="1">VLOOKUP($B73&amp;"_"&amp;$E73,OFFSET([2]stages!$A$1,0,0,COUNTA([2]stages!$A:$A),MATCH(G$1,[2]stages!$2:$2,0)-MATCH("temp_stage",[2]stages!$2:$2,0)+1),MATCH(G$1,[2]stages!$2:$2,0)-MATCH("temp_stage",[2]stages!$2:$2,0)+1,FALSE)</f>
        <v>フランス革命01</v>
      </c>
      <c r="H73" s="84">
        <v>0</v>
      </c>
      <c r="I73" s="95">
        <v>18</v>
      </c>
      <c r="J73" s="83" t="s">
        <v>199</v>
      </c>
      <c r="K73" s="92" t="str">
        <f>VLOOKUP(I73,[6]stage_hints!$A:$C,3,FALSE)</f>
        <v>マルチプレイのメリット（その2）</v>
      </c>
      <c r="L73" s="93" t="str">
        <f>VLOOKUP(I73,[6]stage_hints!$A:$D,4,FALSE)</f>
        <v>マルチプレイならリンクが2倍もらえます_x000D_リンクガチャをたくさん回しましょう</v>
      </c>
      <c r="M73" s="57" t="s">
        <v>212</v>
      </c>
    </row>
    <row r="74" spans="1:13" x14ac:dyDescent="0.15">
      <c r="A74" s="80" t="s">
        <v>202</v>
      </c>
      <c r="B74" s="81">
        <f>floors!$C$2</f>
        <v>20017</v>
      </c>
      <c r="C74" s="82" t="str">
        <f ca="1">VLOOKUP($B74,OFFSET([2]quests!$A$1,0,0,COUNTA([2]quests!$A:$A),MATCH(C$1,[2]quests!$1:$1,0)-MATCH($B$1,[2]quests!$1:$1,0)+1),MATCH(C$1,[2]quests!$1:$1,0)-MATCH($B$1,[2]quests!$1:$1,0)+1,FALSE)</f>
        <v>隻腕の提督</v>
      </c>
      <c r="D74" s="82" t="str">
        <f ca="1">VLOOKUP($B74,OFFSET([2]quests!$A$1,0,0,COUNTA([2]quests!$A:$A),MATCH(D$1,[2]quests!$1:$1,0)-MATCH($B$1,[2]quests!$1:$1,0)+1),MATCH(D$1,[2]quests!$1:$1,0)-MATCH($B$1,[2]quests!$1:$1,0)+1,FALSE)</f>
        <v>フランス革命01</v>
      </c>
      <c r="E74" s="86">
        <v>3</v>
      </c>
      <c r="F74" s="82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【上級】隻腕の提督</v>
      </c>
      <c r="G74" s="82" t="str">
        <f ca="1">VLOOKUP($B74&amp;"_"&amp;$E74,OFFSET([2]stages!$A$1,0,0,COUNTA([2]stages!$A:$A),MATCH(G$1,[2]stages!$2:$2,0)-MATCH("temp_stage",[2]stages!$2:$2,0)+1),MATCH(G$1,[2]stages!$2:$2,0)-MATCH("temp_stage",[2]stages!$2:$2,0)+1,FALSE)</f>
        <v>フランス革命01</v>
      </c>
      <c r="H74" s="84">
        <v>0</v>
      </c>
      <c r="I74" s="95">
        <v>19</v>
      </c>
      <c r="J74" s="83" t="s">
        <v>199</v>
      </c>
      <c r="K74" s="92" t="str">
        <f>VLOOKUP(I74,[6]stage_hints!$A:$C,3,FALSE)</f>
        <v>ソロ専用タワーオブザクイーン</v>
      </c>
      <c r="L74" s="93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212</v>
      </c>
    </row>
    <row r="75" spans="1:13" x14ac:dyDescent="0.15">
      <c r="A75" s="80" t="s">
        <v>202</v>
      </c>
      <c r="B75" s="81">
        <f>floors!$C$2</f>
        <v>20017</v>
      </c>
      <c r="C75" s="82" t="str">
        <f ca="1">VLOOKUP($B75,OFFSET([2]quests!$A$1,0,0,COUNTA([2]quests!$A:$A),MATCH(C$1,[2]quests!$1:$1,0)-MATCH($B$1,[2]quests!$1:$1,0)+1),MATCH(C$1,[2]quests!$1:$1,0)-MATCH($B$1,[2]quests!$1:$1,0)+1,FALSE)</f>
        <v>隻腕の提督</v>
      </c>
      <c r="D75" s="82" t="str">
        <f ca="1">VLOOKUP($B75,OFFSET([2]quests!$A$1,0,0,COUNTA([2]quests!$A:$A),MATCH(D$1,[2]quests!$1:$1,0)-MATCH($B$1,[2]quests!$1:$1,0)+1),MATCH(D$1,[2]quests!$1:$1,0)-MATCH($B$1,[2]quests!$1:$1,0)+1,FALSE)</f>
        <v>フランス革命01</v>
      </c>
      <c r="E75" s="86">
        <v>3</v>
      </c>
      <c r="F75" s="82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【上級】隻腕の提督</v>
      </c>
      <c r="G75" s="82" t="str">
        <f ca="1">VLOOKUP($B75&amp;"_"&amp;$E75,OFFSET([2]stages!$A$1,0,0,COUNTA([2]stages!$A:$A),MATCH(G$1,[2]stages!$2:$2,0)-MATCH("temp_stage",[2]stages!$2:$2,0)+1),MATCH(G$1,[2]stages!$2:$2,0)-MATCH("temp_stage",[2]stages!$2:$2,0)+1,FALSE)</f>
        <v>フランス革命01</v>
      </c>
      <c r="H75" s="84">
        <v>0</v>
      </c>
      <c r="I75" s="95">
        <v>20</v>
      </c>
      <c r="J75" s="83" t="s">
        <v>199</v>
      </c>
      <c r="K75" s="92" t="str">
        <f>VLOOKUP(I75,[6]stage_hints!$A:$C,3,FALSE)</f>
        <v>マルチプレイのメリット（その3）</v>
      </c>
      <c r="L75" s="93" t="str">
        <f>VLOOKUP(I75,[6]stage_hints!$A:$D,4,FALSE)</f>
        <v>マルチプレイへの参加はエナジー消費ゼロ_x000D_いつでも好きなだけ遊ぶことができます</v>
      </c>
      <c r="M75" s="57" t="s">
        <v>212</v>
      </c>
    </row>
    <row r="76" spans="1:13" x14ac:dyDescent="0.15">
      <c r="A76" s="80" t="s">
        <v>202</v>
      </c>
      <c r="B76" s="81">
        <f>floors!$C$2</f>
        <v>20017</v>
      </c>
      <c r="C76" s="82" t="str">
        <f ca="1">VLOOKUP($B76,OFFSET([2]quests!$A$1,0,0,COUNTA([2]quests!$A:$A),MATCH(C$1,[2]quests!$1:$1,0)-MATCH($B$1,[2]quests!$1:$1,0)+1),MATCH(C$1,[2]quests!$1:$1,0)-MATCH($B$1,[2]quests!$1:$1,0)+1,FALSE)</f>
        <v>隻腕の提督</v>
      </c>
      <c r="D76" s="82" t="str">
        <f ca="1">VLOOKUP($B76,OFFSET([2]quests!$A$1,0,0,COUNTA([2]quests!$A:$A),MATCH(D$1,[2]quests!$1:$1,0)-MATCH($B$1,[2]quests!$1:$1,0)+1),MATCH(D$1,[2]quests!$1:$1,0)-MATCH($B$1,[2]quests!$1:$1,0)+1,FALSE)</f>
        <v>フランス革命01</v>
      </c>
      <c r="E76" s="86">
        <v>3</v>
      </c>
      <c r="F76" s="82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【上級】隻腕の提督</v>
      </c>
      <c r="G76" s="82" t="str">
        <f ca="1">VLOOKUP($B76&amp;"_"&amp;$E76,OFFSET([2]stages!$A$1,0,0,COUNTA([2]stages!$A:$A),MATCH(G$1,[2]stages!$2:$2,0)-MATCH("temp_stage",[2]stages!$2:$2,0)+1),MATCH(G$1,[2]stages!$2:$2,0)-MATCH("temp_stage",[2]stages!$2:$2,0)+1,FALSE)</f>
        <v>フランス革命01</v>
      </c>
      <c r="H76" s="84">
        <v>0</v>
      </c>
      <c r="I76" s="95">
        <v>21</v>
      </c>
      <c r="J76" s="83" t="s">
        <v>199</v>
      </c>
      <c r="K76" s="92" t="str">
        <f>VLOOKUP(I76,[6]stage_hints!$A:$C,3,FALSE)</f>
        <v>スキルを有効に</v>
      </c>
      <c r="L76" s="93" t="str">
        <f>VLOOKUP(I76,[6]stage_hints!$A:$D,4,FALSE)</f>
        <v>ターン経過でユニットのスキルが使えます_x000D_強力スキルでバトルを有利に進めましょう</v>
      </c>
      <c r="M76" s="57" t="s">
        <v>212</v>
      </c>
    </row>
    <row r="77" spans="1:13" x14ac:dyDescent="0.15">
      <c r="A77" s="80" t="s">
        <v>202</v>
      </c>
      <c r="B77" s="81">
        <f>floors!$C$2</f>
        <v>20017</v>
      </c>
      <c r="C77" s="82" t="str">
        <f ca="1">VLOOKUP($B77,OFFSET([2]quests!$A$1,0,0,COUNTA([2]quests!$A:$A),MATCH(C$1,[2]quests!$1:$1,0)-MATCH($B$1,[2]quests!$1:$1,0)+1),MATCH(C$1,[2]quests!$1:$1,0)-MATCH($B$1,[2]quests!$1:$1,0)+1,FALSE)</f>
        <v>隻腕の提督</v>
      </c>
      <c r="D77" s="82" t="str">
        <f ca="1">VLOOKUP($B77,OFFSET([2]quests!$A$1,0,0,COUNTA([2]quests!$A:$A),MATCH(D$1,[2]quests!$1:$1,0)-MATCH($B$1,[2]quests!$1:$1,0)+1),MATCH(D$1,[2]quests!$1:$1,0)-MATCH($B$1,[2]quests!$1:$1,0)+1,FALSE)</f>
        <v>フランス革命01</v>
      </c>
      <c r="E77" s="86">
        <v>3</v>
      </c>
      <c r="F77" s="82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【上級】隻腕の提督</v>
      </c>
      <c r="G77" s="82" t="str">
        <f ca="1">VLOOKUP($B77&amp;"_"&amp;$E77,OFFSET([2]stages!$A$1,0,0,COUNTA([2]stages!$A:$A),MATCH(G$1,[2]stages!$2:$2,0)-MATCH("temp_stage",[2]stages!$2:$2,0)+1),MATCH(G$1,[2]stages!$2:$2,0)-MATCH("temp_stage",[2]stages!$2:$2,0)+1,FALSE)</f>
        <v>フランス革命01</v>
      </c>
      <c r="H77" s="84">
        <v>0</v>
      </c>
      <c r="I77" s="95">
        <v>22</v>
      </c>
      <c r="J77" s="83" t="s">
        <v>199</v>
      </c>
      <c r="K77" s="92" t="str">
        <f>VLOOKUP(I77,[6]stage_hints!$A:$C,3,FALSE)</f>
        <v>フィーバーで一発逆転（その1）</v>
      </c>
      <c r="L77" s="93" t="str">
        <f>VLOOKUP(I77,[6]stage_hints!$A:$D,4,FALSE)</f>
        <v>フィーバーは攻撃と回復を兼ね備えます_x000D_ピンチからの一発逆転を狙いましょう</v>
      </c>
      <c r="M77" s="57" t="s">
        <v>212</v>
      </c>
    </row>
    <row r="78" spans="1:13" x14ac:dyDescent="0.15">
      <c r="A78" s="80" t="s">
        <v>202</v>
      </c>
      <c r="B78" s="81">
        <f>floors!$C$2</f>
        <v>20017</v>
      </c>
      <c r="C78" s="82" t="str">
        <f ca="1">VLOOKUP($B78,OFFSET([2]quests!$A$1,0,0,COUNTA([2]quests!$A:$A),MATCH(C$1,[2]quests!$1:$1,0)-MATCH($B$1,[2]quests!$1:$1,0)+1),MATCH(C$1,[2]quests!$1:$1,0)-MATCH($B$1,[2]quests!$1:$1,0)+1,FALSE)</f>
        <v>隻腕の提督</v>
      </c>
      <c r="D78" s="82" t="str">
        <f ca="1">VLOOKUP($B78,OFFSET([2]quests!$A$1,0,0,COUNTA([2]quests!$A:$A),MATCH(D$1,[2]quests!$1:$1,0)-MATCH($B$1,[2]quests!$1:$1,0)+1),MATCH(D$1,[2]quests!$1:$1,0)-MATCH($B$1,[2]quests!$1:$1,0)+1,FALSE)</f>
        <v>フランス革命01</v>
      </c>
      <c r="E78" s="86">
        <v>3</v>
      </c>
      <c r="F78" s="82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【上級】隻腕の提督</v>
      </c>
      <c r="G78" s="82" t="str">
        <f ca="1">VLOOKUP($B78&amp;"_"&amp;$E78,OFFSET([2]stages!$A$1,0,0,COUNTA([2]stages!$A:$A),MATCH(G$1,[2]stages!$2:$2,0)-MATCH("temp_stage",[2]stages!$2:$2,0)+1),MATCH(G$1,[2]stages!$2:$2,0)-MATCH("temp_stage",[2]stages!$2:$2,0)+1,FALSE)</f>
        <v>フランス革命01</v>
      </c>
      <c r="H78" s="84">
        <v>0</v>
      </c>
      <c r="I78" s="95">
        <v>23</v>
      </c>
      <c r="J78" s="83" t="s">
        <v>199</v>
      </c>
      <c r="K78" s="92" t="str">
        <f>VLOOKUP(I78,[6]stage_hints!$A:$C,3,FALSE)</f>
        <v>フィーバーで一発逆転（その2）</v>
      </c>
      <c r="L78" s="93" t="str">
        <f>VLOOKUP(I78,[6]stage_hints!$A:$D,4,FALSE)</f>
        <v>フィーバー中は虹色のボムパネルを狙って_x000D_画面上のパネルを一気に破壊しましょう</v>
      </c>
      <c r="M78" s="57" t="s">
        <v>212</v>
      </c>
    </row>
    <row r="79" spans="1:13" x14ac:dyDescent="0.15">
      <c r="A79" s="80" t="s">
        <v>202</v>
      </c>
      <c r="B79" s="81">
        <f>floors!$C$2</f>
        <v>20017</v>
      </c>
      <c r="C79" s="82" t="str">
        <f ca="1">VLOOKUP($B79,OFFSET([2]quests!$A$1,0,0,COUNTA([2]quests!$A:$A),MATCH(C$1,[2]quests!$1:$1,0)-MATCH($B$1,[2]quests!$1:$1,0)+1),MATCH(C$1,[2]quests!$1:$1,0)-MATCH($B$1,[2]quests!$1:$1,0)+1,FALSE)</f>
        <v>隻腕の提督</v>
      </c>
      <c r="D79" s="82" t="str">
        <f ca="1">VLOOKUP($B79,OFFSET([2]quests!$A$1,0,0,COUNTA([2]quests!$A:$A),MATCH(D$1,[2]quests!$1:$1,0)-MATCH($B$1,[2]quests!$1:$1,0)+1),MATCH(D$1,[2]quests!$1:$1,0)-MATCH($B$1,[2]quests!$1:$1,0)+1,FALSE)</f>
        <v>フランス革命01</v>
      </c>
      <c r="E79" s="86">
        <v>3</v>
      </c>
      <c r="F79" s="82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【上級】隻腕の提督</v>
      </c>
      <c r="G79" s="82" t="str">
        <f ca="1">VLOOKUP($B79&amp;"_"&amp;$E79,OFFSET([2]stages!$A$1,0,0,COUNTA([2]stages!$A:$A),MATCH(G$1,[2]stages!$2:$2,0)-MATCH("temp_stage",[2]stages!$2:$2,0)+1),MATCH(G$1,[2]stages!$2:$2,0)-MATCH("temp_stage",[2]stages!$2:$2,0)+1,FALSE)</f>
        <v>フランス革命01</v>
      </c>
      <c r="H79" s="84">
        <v>0</v>
      </c>
      <c r="I79" s="95">
        <v>24</v>
      </c>
      <c r="J79" s="83" t="s">
        <v>199</v>
      </c>
      <c r="K79" s="92" t="str">
        <f>VLOOKUP(I79,[6]stage_hints!$A:$C,3,FALSE)</f>
        <v>果実を使って限界突破</v>
      </c>
      <c r="L79" s="93" t="str">
        <f>VLOOKUP(I79,[6]stage_hints!$A:$D,4,FALSE)</f>
        <v>攻めの果実 癒しの果実_x000D_生命の果実をユニット強化に使うと_x000D_ステータスが限界突破します（計99個迄）</v>
      </c>
      <c r="M79" s="57" t="s">
        <v>212</v>
      </c>
    </row>
    <row r="80" spans="1:13" x14ac:dyDescent="0.15">
      <c r="A80" s="80" t="s">
        <v>202</v>
      </c>
      <c r="B80" s="81">
        <f>floors!$C$2</f>
        <v>20017</v>
      </c>
      <c r="C80" s="82" t="str">
        <f ca="1">VLOOKUP($B80,OFFSET([2]quests!$A$1,0,0,COUNTA([2]quests!$A:$A),MATCH(C$1,[2]quests!$1:$1,0)-MATCH($B$1,[2]quests!$1:$1,0)+1),MATCH(C$1,[2]quests!$1:$1,0)-MATCH($B$1,[2]quests!$1:$1,0)+1,FALSE)</f>
        <v>隻腕の提督</v>
      </c>
      <c r="D80" s="82" t="str">
        <f ca="1">VLOOKUP($B80,OFFSET([2]quests!$A$1,0,0,COUNTA([2]quests!$A:$A),MATCH(D$1,[2]quests!$1:$1,0)-MATCH($B$1,[2]quests!$1:$1,0)+1),MATCH(D$1,[2]quests!$1:$1,0)-MATCH($B$1,[2]quests!$1:$1,0)+1,FALSE)</f>
        <v>フランス革命01</v>
      </c>
      <c r="E80" s="86">
        <v>3</v>
      </c>
      <c r="F80" s="82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【上級】隻腕の提督</v>
      </c>
      <c r="G80" s="82" t="str">
        <f ca="1">VLOOKUP($B80&amp;"_"&amp;$E80,OFFSET([2]stages!$A$1,0,0,COUNTA([2]stages!$A:$A),MATCH(G$1,[2]stages!$2:$2,0)-MATCH("temp_stage",[2]stages!$2:$2,0)+1),MATCH(G$1,[2]stages!$2:$2,0)-MATCH("temp_stage",[2]stages!$2:$2,0)+1,FALSE)</f>
        <v>フランス革命01</v>
      </c>
      <c r="H80" s="84">
        <v>0</v>
      </c>
      <c r="I80" s="95">
        <v>25</v>
      </c>
      <c r="J80" s="83" t="s">
        <v>199</v>
      </c>
      <c r="K80" s="92" t="str">
        <f>VLOOKUP(I80,[6]stage_hints!$A:$C,3,FALSE)</f>
        <v>スキルレベルアップ</v>
      </c>
      <c r="L80" s="93" t="str">
        <f>VLOOKUP(I80,[6]stage_hints!$A:$D,4,FALSE)</f>
        <v>「秘術の果実」を強化に使うと_x000D_スキルレベルを上げることができます</v>
      </c>
      <c r="M80" s="57" t="s">
        <v>212</v>
      </c>
    </row>
    <row r="81" spans="1:13" x14ac:dyDescent="0.15">
      <c r="A81" s="80" t="s">
        <v>202</v>
      </c>
      <c r="B81" s="81">
        <f>floors!$C$2</f>
        <v>20017</v>
      </c>
      <c r="C81" s="82" t="str">
        <f ca="1">VLOOKUP($B81,OFFSET([2]quests!$A$1,0,0,COUNTA([2]quests!$A:$A),MATCH(C$1,[2]quests!$1:$1,0)-MATCH($B$1,[2]quests!$1:$1,0)+1),MATCH(C$1,[2]quests!$1:$1,0)-MATCH($B$1,[2]quests!$1:$1,0)+1,FALSE)</f>
        <v>隻腕の提督</v>
      </c>
      <c r="D81" s="82" t="str">
        <f ca="1">VLOOKUP($B81,OFFSET([2]quests!$A$1,0,0,COUNTA([2]quests!$A:$A),MATCH(D$1,[2]quests!$1:$1,0)-MATCH($B$1,[2]quests!$1:$1,0)+1),MATCH(D$1,[2]quests!$1:$1,0)-MATCH($B$1,[2]quests!$1:$1,0)+1,FALSE)</f>
        <v>フランス革命01</v>
      </c>
      <c r="E81" s="86">
        <v>3</v>
      </c>
      <c r="F81" s="82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【上級】隻腕の提督</v>
      </c>
      <c r="G81" s="82" t="str">
        <f ca="1">VLOOKUP($B81&amp;"_"&amp;$E81,OFFSET([2]stages!$A$1,0,0,COUNTA([2]stages!$A:$A),MATCH(G$1,[2]stages!$2:$2,0)-MATCH("temp_stage",[2]stages!$2:$2,0)+1),MATCH(G$1,[2]stages!$2:$2,0)-MATCH("temp_stage",[2]stages!$2:$2,0)+1,FALSE)</f>
        <v>フランス革命01</v>
      </c>
      <c r="H81" s="84">
        <v>0</v>
      </c>
      <c r="I81" s="95">
        <v>26</v>
      </c>
      <c r="J81" s="83" t="s">
        <v>199</v>
      </c>
      <c r="K81" s="92" t="str">
        <f>VLOOKUP(I81,[6]stage_hints!$A:$C,3,FALSE)</f>
        <v>スキルレベルの効果</v>
      </c>
      <c r="L81" s="93" t="str">
        <f>VLOOKUP(I81,[6]stage_hints!$A:$D,4,FALSE)</f>
        <v>スキルレベルが上がると_x000D_短いターンでスキルを使うことができます</v>
      </c>
      <c r="M81" s="57" t="s">
        <v>212</v>
      </c>
    </row>
    <row r="82" spans="1:13" x14ac:dyDescent="0.15">
      <c r="A82" s="80" t="s">
        <v>202</v>
      </c>
      <c r="B82" s="81">
        <f>floors!$C$2</f>
        <v>20017</v>
      </c>
      <c r="C82" s="82" t="str">
        <f ca="1">VLOOKUP($B82,OFFSET([2]quests!$A$1,0,0,COUNTA([2]quests!$A:$A),MATCH(C$1,[2]quests!$1:$1,0)-MATCH($B$1,[2]quests!$1:$1,0)+1),MATCH(C$1,[2]quests!$1:$1,0)-MATCH($B$1,[2]quests!$1:$1,0)+1,FALSE)</f>
        <v>隻腕の提督</v>
      </c>
      <c r="D82" s="82" t="str">
        <f ca="1">VLOOKUP($B82,OFFSET([2]quests!$A$1,0,0,COUNTA([2]quests!$A:$A),MATCH(D$1,[2]quests!$1:$1,0)-MATCH($B$1,[2]quests!$1:$1,0)+1),MATCH(D$1,[2]quests!$1:$1,0)-MATCH($B$1,[2]quests!$1:$1,0)+1,FALSE)</f>
        <v>フランス革命01</v>
      </c>
      <c r="E82" s="86">
        <v>3</v>
      </c>
      <c r="F82" s="82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【上級】隻腕の提督</v>
      </c>
      <c r="G82" s="82" t="str">
        <f ca="1">VLOOKUP($B82&amp;"_"&amp;$E82,OFFSET([2]stages!$A$1,0,0,COUNTA([2]stages!$A:$A),MATCH(G$1,[2]stages!$2:$2,0)-MATCH("temp_stage",[2]stages!$2:$2,0)+1),MATCH(G$1,[2]stages!$2:$2,0)-MATCH("temp_stage",[2]stages!$2:$2,0)+1,FALSE)</f>
        <v>フランス革命01</v>
      </c>
      <c r="H82" s="84">
        <v>0</v>
      </c>
      <c r="I82" s="95">
        <v>27</v>
      </c>
      <c r="J82" s="83" t="s">
        <v>199</v>
      </c>
      <c r="K82" s="92" t="str">
        <f>VLOOKUP(I82,[6]stage_hints!$A:$C,3,FALSE)</f>
        <v>ホーム画面からデッキを編成</v>
      </c>
      <c r="L82" s="93" t="str">
        <f>VLOOKUP(I82,[6]stage_hints!$A:$D,4,FALSE)</f>
        <v>ホーム画面でユニットを長押しすると_x000D_すぐにパーティ編成に移動できます</v>
      </c>
      <c r="M82" s="57" t="s">
        <v>212</v>
      </c>
    </row>
    <row r="83" spans="1:13" x14ac:dyDescent="0.15">
      <c r="A83" s="80" t="s">
        <v>202</v>
      </c>
      <c r="B83" s="81">
        <f>floors!$C$2</f>
        <v>20017</v>
      </c>
      <c r="C83" s="82" t="str">
        <f ca="1">VLOOKUP($B83,OFFSET([2]quests!$A$1,0,0,COUNTA([2]quests!$A:$A),MATCH(C$1,[2]quests!$1:$1,0)-MATCH($B$1,[2]quests!$1:$1,0)+1),MATCH(C$1,[2]quests!$1:$1,0)-MATCH($B$1,[2]quests!$1:$1,0)+1,FALSE)</f>
        <v>隻腕の提督</v>
      </c>
      <c r="D83" s="82" t="str">
        <f ca="1">VLOOKUP($B83,OFFSET([2]quests!$A$1,0,0,COUNTA([2]quests!$A:$A),MATCH(D$1,[2]quests!$1:$1,0)-MATCH($B$1,[2]quests!$1:$1,0)+1),MATCH(D$1,[2]quests!$1:$1,0)-MATCH($B$1,[2]quests!$1:$1,0)+1,FALSE)</f>
        <v>フランス革命01</v>
      </c>
      <c r="E83" s="86">
        <v>3</v>
      </c>
      <c r="F83" s="82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【上級】隻腕の提督</v>
      </c>
      <c r="G83" s="82" t="str">
        <f ca="1">VLOOKUP($B83&amp;"_"&amp;$E83,OFFSET([2]stages!$A$1,0,0,COUNTA([2]stages!$A:$A),MATCH(G$1,[2]stages!$2:$2,0)-MATCH("temp_stage",[2]stages!$2:$2,0)+1),MATCH(G$1,[2]stages!$2:$2,0)-MATCH("temp_stage",[2]stages!$2:$2,0)+1,FALSE)</f>
        <v>フランス革命01</v>
      </c>
      <c r="H83" s="84">
        <v>0</v>
      </c>
      <c r="I83" s="95">
        <v>28</v>
      </c>
      <c r="J83" s="83" t="s">
        <v>199</v>
      </c>
      <c r="K83" s="92" t="str">
        <f>VLOOKUP(I83,[6]stage_hints!$A:$C,3,FALSE)</f>
        <v>ステータス情報は長押しで</v>
      </c>
      <c r="L83" s="93" t="str">
        <f>VLOOKUP(I83,[6]stage_hints!$A:$D,4,FALSE)</f>
        <v>ユニットのアイコンを長押しすると_x000D_ステータス情報を確認することができます</v>
      </c>
      <c r="M83" s="57" t="s">
        <v>212</v>
      </c>
    </row>
    <row r="84" spans="1:13" x14ac:dyDescent="0.15">
      <c r="A84" s="80" t="s">
        <v>202</v>
      </c>
      <c r="B84" s="81">
        <f>floors!$C$2</f>
        <v>20017</v>
      </c>
      <c r="C84" s="82" t="str">
        <f ca="1">VLOOKUP($B84,OFFSET([2]quests!$A$1,0,0,COUNTA([2]quests!$A:$A),MATCH(C$1,[2]quests!$1:$1,0)-MATCH($B$1,[2]quests!$1:$1,0)+1),MATCH(C$1,[2]quests!$1:$1,0)-MATCH($B$1,[2]quests!$1:$1,0)+1,FALSE)</f>
        <v>隻腕の提督</v>
      </c>
      <c r="D84" s="82" t="str">
        <f ca="1">VLOOKUP($B84,OFFSET([2]quests!$A$1,0,0,COUNTA([2]quests!$A:$A),MATCH(D$1,[2]quests!$1:$1,0)-MATCH($B$1,[2]quests!$1:$1,0)+1),MATCH(D$1,[2]quests!$1:$1,0)-MATCH($B$1,[2]quests!$1:$1,0)+1,FALSE)</f>
        <v>フランス革命01</v>
      </c>
      <c r="E84" s="86">
        <v>3</v>
      </c>
      <c r="F84" s="82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【上級】隻腕の提督</v>
      </c>
      <c r="G84" s="82" t="str">
        <f ca="1">VLOOKUP($B84&amp;"_"&amp;$E84,OFFSET([2]stages!$A$1,0,0,COUNTA([2]stages!$A:$A),MATCH(G$1,[2]stages!$2:$2,0)-MATCH("temp_stage",[2]stages!$2:$2,0)+1),MATCH(G$1,[2]stages!$2:$2,0)-MATCH("temp_stage",[2]stages!$2:$2,0)+1,FALSE)</f>
        <v>フランス革命01</v>
      </c>
      <c r="H84" s="84">
        <v>0</v>
      </c>
      <c r="I84" s="95">
        <v>29</v>
      </c>
      <c r="J84" s="83" t="s">
        <v>199</v>
      </c>
      <c r="K84" s="92" t="str">
        <f>VLOOKUP(I84,[6]stage_hints!$A:$C,3,FALSE)</f>
        <v>「バグ」のメリット</v>
      </c>
      <c r="L84" s="93" t="str">
        <f>VLOOKUP(I84,[6]stage_hints!$A:$D,4,FALSE)</f>
        <v>ユニットの「バグ」を増やすと_x000D_報酬をもらえる確率がアップします</v>
      </c>
      <c r="M84" s="57" t="s">
        <v>212</v>
      </c>
    </row>
    <row r="85" spans="1:13" x14ac:dyDescent="0.15">
      <c r="A85" s="80" t="s">
        <v>202</v>
      </c>
      <c r="B85" s="81">
        <f>floors!$C$2</f>
        <v>20017</v>
      </c>
      <c r="C85" s="82" t="str">
        <f ca="1">VLOOKUP($B85,OFFSET([2]quests!$A$1,0,0,COUNTA([2]quests!$A:$A),MATCH(C$1,[2]quests!$1:$1,0)-MATCH($B$1,[2]quests!$1:$1,0)+1),MATCH(C$1,[2]quests!$1:$1,0)-MATCH($B$1,[2]quests!$1:$1,0)+1,FALSE)</f>
        <v>隻腕の提督</v>
      </c>
      <c r="D85" s="82" t="str">
        <f ca="1">VLOOKUP($B85,OFFSET([2]quests!$A$1,0,0,COUNTA([2]quests!$A:$A),MATCH(D$1,[2]quests!$1:$1,0)-MATCH($B$1,[2]quests!$1:$1,0)+1),MATCH(D$1,[2]quests!$1:$1,0)-MATCH($B$1,[2]quests!$1:$1,0)+1,FALSE)</f>
        <v>フランス革命01</v>
      </c>
      <c r="E85" s="86">
        <v>3</v>
      </c>
      <c r="F85" s="82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【上級】隻腕の提督</v>
      </c>
      <c r="G85" s="82" t="str">
        <f ca="1">VLOOKUP($B85&amp;"_"&amp;$E85,OFFSET([2]stages!$A$1,0,0,COUNTA([2]stages!$A:$A),MATCH(G$1,[2]stages!$2:$2,0)-MATCH("temp_stage",[2]stages!$2:$2,0)+1),MATCH(G$1,[2]stages!$2:$2,0)-MATCH("temp_stage",[2]stages!$2:$2,0)+1,FALSE)</f>
        <v>フランス革命01</v>
      </c>
      <c r="H85" s="84">
        <v>0</v>
      </c>
      <c r="I85" s="95">
        <v>30</v>
      </c>
      <c r="J85" s="83" t="s">
        <v>199</v>
      </c>
      <c r="K85" s="92" t="str">
        <f>VLOOKUP(I85,[6]stage_hints!$A:$C,3,FALSE)</f>
        <v>「バグ」の増やし方</v>
      </c>
      <c r="L85" s="93" t="str">
        <f>VLOOKUP(I85,[6]stage_hints!$A:$D,4,FALSE)</f>
        <v>同じユニット同士を強化で合成すると_x000D_「バグ」を増やすことができます</v>
      </c>
      <c r="M85" s="57" t="s">
        <v>212</v>
      </c>
    </row>
    <row r="86" spans="1:13" x14ac:dyDescent="0.15">
      <c r="A86" s="80" t="s">
        <v>202</v>
      </c>
      <c r="B86" s="81">
        <f>floors!$C$2</f>
        <v>20017</v>
      </c>
      <c r="C86" s="82" t="str">
        <f ca="1">VLOOKUP($B86,OFFSET([2]quests!$A$1,0,0,COUNTA([2]quests!$A:$A),MATCH(C$1,[2]quests!$1:$1,0)-MATCH($B$1,[2]quests!$1:$1,0)+1),MATCH(C$1,[2]quests!$1:$1,0)-MATCH($B$1,[2]quests!$1:$1,0)+1,FALSE)</f>
        <v>隻腕の提督</v>
      </c>
      <c r="D86" s="82" t="str">
        <f ca="1">VLOOKUP($B86,OFFSET([2]quests!$A$1,0,0,COUNTA([2]quests!$A:$A),MATCH(D$1,[2]quests!$1:$1,0)-MATCH($B$1,[2]quests!$1:$1,0)+1),MATCH(D$1,[2]quests!$1:$1,0)-MATCH($B$1,[2]quests!$1:$1,0)+1,FALSE)</f>
        <v>フランス革命01</v>
      </c>
      <c r="E86" s="86">
        <v>3</v>
      </c>
      <c r="F86" s="82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【上級】隻腕の提督</v>
      </c>
      <c r="G86" s="82" t="str">
        <f ca="1">VLOOKUP($B86&amp;"_"&amp;$E86,OFFSET([2]stages!$A$1,0,0,COUNTA([2]stages!$A:$A),MATCH(G$1,[2]stages!$2:$2,0)-MATCH("temp_stage",[2]stages!$2:$2,0)+1),MATCH(G$1,[2]stages!$2:$2,0)-MATCH("temp_stage",[2]stages!$2:$2,0)+1,FALSE)</f>
        <v>フランス革命01</v>
      </c>
      <c r="H86" s="84">
        <v>0</v>
      </c>
      <c r="I86" s="95">
        <v>31</v>
      </c>
      <c r="J86" s="83" t="s">
        <v>199</v>
      </c>
      <c r="K86" s="92" t="str">
        <f>VLOOKUP(I86,[6]stage_hints!$A:$C,3,FALSE)</f>
        <v>イベントはお知らせでチェック</v>
      </c>
      <c r="L86" s="93" t="str">
        <f>VLOOKUP(I86,[6]stage_hints!$A:$D,4,FALSE)</f>
        <v>イベント限定ユニットを取り忘れないように_x000D_お知らせをこまめにチェックしましょう</v>
      </c>
      <c r="M86" s="57" t="s">
        <v>212</v>
      </c>
    </row>
    <row r="87" spans="1:13" x14ac:dyDescent="0.15">
      <c r="A87" s="80" t="s">
        <v>202</v>
      </c>
      <c r="B87" s="81">
        <f>floors!$C$2</f>
        <v>20017</v>
      </c>
      <c r="C87" s="82" t="str">
        <f ca="1">VLOOKUP($B87,OFFSET([2]quests!$A$1,0,0,COUNTA([2]quests!$A:$A),MATCH(C$1,[2]quests!$1:$1,0)-MATCH($B$1,[2]quests!$1:$1,0)+1),MATCH(C$1,[2]quests!$1:$1,0)-MATCH($B$1,[2]quests!$1:$1,0)+1,FALSE)</f>
        <v>隻腕の提督</v>
      </c>
      <c r="D87" s="82" t="str">
        <f ca="1">VLOOKUP($B87,OFFSET([2]quests!$A$1,0,0,COUNTA([2]quests!$A:$A),MATCH(D$1,[2]quests!$1:$1,0)-MATCH($B$1,[2]quests!$1:$1,0)+1),MATCH(D$1,[2]quests!$1:$1,0)-MATCH($B$1,[2]quests!$1:$1,0)+1,FALSE)</f>
        <v>フランス革命01</v>
      </c>
      <c r="E87" s="86">
        <v>3</v>
      </c>
      <c r="F87" s="82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【上級】隻腕の提督</v>
      </c>
      <c r="G87" s="82" t="str">
        <f ca="1">VLOOKUP($B87&amp;"_"&amp;$E87,OFFSET([2]stages!$A$1,0,0,COUNTA([2]stages!$A:$A),MATCH(G$1,[2]stages!$2:$2,0)-MATCH("temp_stage",[2]stages!$2:$2,0)+1),MATCH(G$1,[2]stages!$2:$2,0)-MATCH("temp_stage",[2]stages!$2:$2,0)+1,FALSE)</f>
        <v>フランス革命01</v>
      </c>
      <c r="H87" s="84">
        <v>0</v>
      </c>
      <c r="I87" s="95">
        <v>32</v>
      </c>
      <c r="J87" s="83" t="s">
        <v>199</v>
      </c>
      <c r="K87" s="92" t="str">
        <f>VLOOKUP(I87,[6]stage_hints!$A:$C,3,FALSE)</f>
        <v>敵の連続攻撃には</v>
      </c>
      <c r="L87" s="93" t="str">
        <f>VLOOKUP(I87,[6]stage_hints!$A:$D,4,FALSE)</f>
        <v>カウンタースキルを持つユニットがいれば_x000D_ダメージ回数分の反撃ができます</v>
      </c>
      <c r="M87" s="57" t="s">
        <v>212</v>
      </c>
    </row>
    <row r="88" spans="1:13" x14ac:dyDescent="0.15">
      <c r="A88" s="80" t="s">
        <v>202</v>
      </c>
      <c r="B88" s="81">
        <f>floors!$C$2</f>
        <v>20017</v>
      </c>
      <c r="C88" s="82" t="str">
        <f ca="1">VLOOKUP($B88,OFFSET([2]quests!$A$1,0,0,COUNTA([2]quests!$A:$A),MATCH(C$1,[2]quests!$1:$1,0)-MATCH($B$1,[2]quests!$1:$1,0)+1),MATCH(C$1,[2]quests!$1:$1,0)-MATCH($B$1,[2]quests!$1:$1,0)+1,FALSE)</f>
        <v>隻腕の提督</v>
      </c>
      <c r="D88" s="82" t="str">
        <f ca="1">VLOOKUP($B88,OFFSET([2]quests!$A$1,0,0,COUNTA([2]quests!$A:$A),MATCH(D$1,[2]quests!$1:$1,0)-MATCH($B$1,[2]quests!$1:$1,0)+1),MATCH(D$1,[2]quests!$1:$1,0)-MATCH($B$1,[2]quests!$1:$1,0)+1,FALSE)</f>
        <v>フランス革命01</v>
      </c>
      <c r="E88" s="86">
        <v>3</v>
      </c>
      <c r="F88" s="82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【上級】隻腕の提督</v>
      </c>
      <c r="G88" s="82" t="str">
        <f ca="1">VLOOKUP($B88&amp;"_"&amp;$E88,OFFSET([2]stages!$A$1,0,0,COUNTA([2]stages!$A:$A),MATCH(G$1,[2]stages!$2:$2,0)-MATCH("temp_stage",[2]stages!$2:$2,0)+1),MATCH(G$1,[2]stages!$2:$2,0)-MATCH("temp_stage",[2]stages!$2:$2,0)+1,FALSE)</f>
        <v>フランス革命01</v>
      </c>
      <c r="H88" s="84">
        <v>0</v>
      </c>
      <c r="I88" s="95">
        <v>33</v>
      </c>
      <c r="J88" s="83" t="s">
        <v>199</v>
      </c>
      <c r="K88" s="92" t="str">
        <f>VLOOKUP(I88,[6]stage_hints!$A:$C,3,FALSE)</f>
        <v>敵のカウンター攻撃には</v>
      </c>
      <c r="L88" s="93" t="str">
        <f>VLOOKUP(I88,[6]stage_hints!$A:$D,4,FALSE)</f>
        <v>カウンターブレイクスキルを持っていれば_x000D_敵のカウンターを解除して攻撃ができます</v>
      </c>
      <c r="M88" s="57" t="s">
        <v>212</v>
      </c>
    </row>
    <row r="89" spans="1:13" x14ac:dyDescent="0.15">
      <c r="A89" s="80" t="s">
        <v>202</v>
      </c>
      <c r="B89" s="81">
        <f>floors!$C$2</f>
        <v>20017</v>
      </c>
      <c r="C89" s="82" t="str">
        <f ca="1">VLOOKUP($B89,OFFSET([2]quests!$A$1,0,0,COUNTA([2]quests!$A:$A),MATCH(C$1,[2]quests!$1:$1,0)-MATCH($B$1,[2]quests!$1:$1,0)+1),MATCH(C$1,[2]quests!$1:$1,0)-MATCH($B$1,[2]quests!$1:$1,0)+1,FALSE)</f>
        <v>隻腕の提督</v>
      </c>
      <c r="D89" s="82" t="str">
        <f ca="1">VLOOKUP($B89,OFFSET([2]quests!$A$1,0,0,COUNTA([2]quests!$A:$A),MATCH(D$1,[2]quests!$1:$1,0)-MATCH($B$1,[2]quests!$1:$1,0)+1),MATCH(D$1,[2]quests!$1:$1,0)-MATCH($B$1,[2]quests!$1:$1,0)+1,FALSE)</f>
        <v>フランス革命01</v>
      </c>
      <c r="E89" s="86">
        <v>3</v>
      </c>
      <c r="F89" s="82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【上級】隻腕の提督</v>
      </c>
      <c r="G89" s="82" t="str">
        <f ca="1">VLOOKUP($B89&amp;"_"&amp;$E89,OFFSET([2]stages!$A$1,0,0,COUNTA([2]stages!$A:$A),MATCH(G$1,[2]stages!$2:$2,0)-MATCH("temp_stage",[2]stages!$2:$2,0)+1),MATCH(G$1,[2]stages!$2:$2,0)-MATCH("temp_stage",[2]stages!$2:$2,0)+1,FALSE)</f>
        <v>フランス革命01</v>
      </c>
      <c r="H89" s="84">
        <v>0</v>
      </c>
      <c r="I89" s="95">
        <v>34</v>
      </c>
      <c r="J89" s="83" t="s">
        <v>199</v>
      </c>
      <c r="K89" s="92" t="str">
        <f>VLOOKUP(I89,[6]stage_hints!$A:$C,3,FALSE)</f>
        <v>ステータスをスキルで下げられたら</v>
      </c>
      <c r="L89" s="93" t="str">
        <f>VLOOKUP(I89,[6]stage_hints!$A:$D,4,FALSE)</f>
        <v>ステータスダウンのスキルを受けたら_x000D_ステータスアップスキルで上書きしましょう</v>
      </c>
      <c r="M89" s="57" t="s">
        <v>212</v>
      </c>
    </row>
    <row r="90" spans="1:13" x14ac:dyDescent="0.15">
      <c r="A90" s="80" t="s">
        <v>202</v>
      </c>
      <c r="B90" s="81">
        <f>floors!$C$2</f>
        <v>20017</v>
      </c>
      <c r="C90" s="82" t="str">
        <f ca="1">VLOOKUP($B90,OFFSET([2]quests!$A$1,0,0,COUNTA([2]quests!$A:$A),MATCH(C$1,[2]quests!$1:$1,0)-MATCH($B$1,[2]quests!$1:$1,0)+1),MATCH(C$1,[2]quests!$1:$1,0)-MATCH($B$1,[2]quests!$1:$1,0)+1,FALSE)</f>
        <v>隻腕の提督</v>
      </c>
      <c r="D90" s="82" t="str">
        <f ca="1">VLOOKUP($B90,OFFSET([2]quests!$A$1,0,0,COUNTA([2]quests!$A:$A),MATCH(D$1,[2]quests!$1:$1,0)-MATCH($B$1,[2]quests!$1:$1,0)+1),MATCH(D$1,[2]quests!$1:$1,0)-MATCH($B$1,[2]quests!$1:$1,0)+1,FALSE)</f>
        <v>フランス革命01</v>
      </c>
      <c r="E90" s="86">
        <v>3</v>
      </c>
      <c r="F90" s="82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【上級】隻腕の提督</v>
      </c>
      <c r="G90" s="82" t="str">
        <f ca="1">VLOOKUP($B90&amp;"_"&amp;$E90,OFFSET([2]stages!$A$1,0,0,COUNTA([2]stages!$A:$A),MATCH(G$1,[2]stages!$2:$2,0)-MATCH("temp_stage",[2]stages!$2:$2,0)+1),MATCH(G$1,[2]stages!$2:$2,0)-MATCH("temp_stage",[2]stages!$2:$2,0)+1,FALSE)</f>
        <v>フランス革命01</v>
      </c>
      <c r="H90" s="84">
        <v>0</v>
      </c>
      <c r="I90" s="95">
        <v>35</v>
      </c>
      <c r="J90" s="83" t="s">
        <v>199</v>
      </c>
      <c r="K90" s="92" t="str">
        <f>VLOOKUP(I90,[6]stage_hints!$A:$C,3,FALSE)</f>
        <v>敵のステータスがスキルで上がったら</v>
      </c>
      <c r="L90" s="93" t="str">
        <f>VLOOKUP(I90,[6]stage_hints!$A:$D,4,FALSE)</f>
        <v>敵のステータスがスキルでアップしたときは_x000D_ステータスダウンスキルで上書きしましょう</v>
      </c>
      <c r="M90" s="57" t="s">
        <v>212</v>
      </c>
    </row>
    <row r="91" spans="1:13" x14ac:dyDescent="0.15">
      <c r="A91" s="80" t="s">
        <v>202</v>
      </c>
      <c r="B91" s="81">
        <f>floors!$C$2</f>
        <v>20017</v>
      </c>
      <c r="C91" s="82" t="str">
        <f ca="1">VLOOKUP($B91,OFFSET([2]quests!$A$1,0,0,COUNTA([2]quests!$A:$A),MATCH(C$1,[2]quests!$1:$1,0)-MATCH($B$1,[2]quests!$1:$1,0)+1),MATCH(C$1,[2]quests!$1:$1,0)-MATCH($B$1,[2]quests!$1:$1,0)+1,FALSE)</f>
        <v>隻腕の提督</v>
      </c>
      <c r="D91" s="82" t="str">
        <f ca="1">VLOOKUP($B91,OFFSET([2]quests!$A$1,0,0,COUNTA([2]quests!$A:$A),MATCH(D$1,[2]quests!$1:$1,0)-MATCH($B$1,[2]quests!$1:$1,0)+1),MATCH(D$1,[2]quests!$1:$1,0)-MATCH($B$1,[2]quests!$1:$1,0)+1,FALSE)</f>
        <v>フランス革命01</v>
      </c>
      <c r="E91" s="86">
        <v>3</v>
      </c>
      <c r="F91" s="82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【上級】隻腕の提督</v>
      </c>
      <c r="G91" s="82" t="str">
        <f ca="1">VLOOKUP($B91&amp;"_"&amp;$E91,OFFSET([2]stages!$A$1,0,0,COUNTA([2]stages!$A:$A),MATCH(G$1,[2]stages!$2:$2,0)-MATCH("temp_stage",[2]stages!$2:$2,0)+1),MATCH(G$1,[2]stages!$2:$2,0)-MATCH("temp_stage",[2]stages!$2:$2,0)+1,FALSE)</f>
        <v>フランス革命01</v>
      </c>
      <c r="H91" s="84">
        <v>0</v>
      </c>
      <c r="I91" s="95">
        <v>36</v>
      </c>
      <c r="J91" s="83" t="s">
        <v>199</v>
      </c>
      <c r="K91" s="92" t="str">
        <f>VLOOKUP(I91,[6]stage_hints!$A:$C,3,FALSE)</f>
        <v>タワーオブザクイーンのボス</v>
      </c>
      <c r="L91" s="93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212</v>
      </c>
    </row>
    <row r="92" spans="1:13" x14ac:dyDescent="0.15">
      <c r="A92" s="80" t="s">
        <v>202</v>
      </c>
      <c r="B92" s="81">
        <f>floors!$C$2</f>
        <v>20017</v>
      </c>
      <c r="C92" s="82" t="str">
        <f ca="1">VLOOKUP($B92,OFFSET([2]quests!$A$1,0,0,COUNTA([2]quests!$A:$A),MATCH(C$1,[2]quests!$1:$1,0)-MATCH($B$1,[2]quests!$1:$1,0)+1),MATCH(C$1,[2]quests!$1:$1,0)-MATCH($B$1,[2]quests!$1:$1,0)+1,FALSE)</f>
        <v>隻腕の提督</v>
      </c>
      <c r="D92" s="82" t="str">
        <f ca="1">VLOOKUP($B92,OFFSET([2]quests!$A$1,0,0,COUNTA([2]quests!$A:$A),MATCH(D$1,[2]quests!$1:$1,0)-MATCH($B$1,[2]quests!$1:$1,0)+1),MATCH(D$1,[2]quests!$1:$1,0)-MATCH($B$1,[2]quests!$1:$1,0)+1,FALSE)</f>
        <v>フランス革命01</v>
      </c>
      <c r="E92" s="86">
        <v>3</v>
      </c>
      <c r="F92" s="82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【上級】隻腕の提督</v>
      </c>
      <c r="G92" s="82" t="str">
        <f ca="1">VLOOKUP($B92&amp;"_"&amp;$E92,OFFSET([2]stages!$A$1,0,0,COUNTA([2]stages!$A:$A),MATCH(G$1,[2]stages!$2:$2,0)-MATCH("temp_stage",[2]stages!$2:$2,0)+1),MATCH(G$1,[2]stages!$2:$2,0)-MATCH("temp_stage",[2]stages!$2:$2,0)+1,FALSE)</f>
        <v>フランス革命01</v>
      </c>
      <c r="H92" s="84">
        <v>0</v>
      </c>
      <c r="I92" s="95">
        <v>37</v>
      </c>
      <c r="J92" s="83" t="s">
        <v>199</v>
      </c>
      <c r="K92" s="92" t="str">
        <f>VLOOKUP(I92,[6]stage_hints!$A:$C,3,FALSE)</f>
        <v>限界突破値の引き継ぎ</v>
      </c>
      <c r="L92" s="93" t="str">
        <f>VLOOKUP(I92,[6]stage_hints!$A:$D,4,FALSE)</f>
        <v>同じユニットを強化で合成すると_x000D_限界突破値を引き継げます（覚醒前後も可）</v>
      </c>
      <c r="M92" s="57" t="s">
        <v>212</v>
      </c>
    </row>
    <row r="93" spans="1:13" x14ac:dyDescent="0.15">
      <c r="A93" s="80" t="s">
        <v>202</v>
      </c>
      <c r="B93" s="81">
        <f>floors!$C$2</f>
        <v>20017</v>
      </c>
      <c r="C93" s="82" t="str">
        <f ca="1">VLOOKUP($B93,OFFSET([2]quests!$A$1,0,0,COUNTA([2]quests!$A:$A),MATCH(C$1,[2]quests!$1:$1,0)-MATCH($B$1,[2]quests!$1:$1,0)+1),MATCH(C$1,[2]quests!$1:$1,0)-MATCH($B$1,[2]quests!$1:$1,0)+1,FALSE)</f>
        <v>隻腕の提督</v>
      </c>
      <c r="D93" s="82" t="str">
        <f ca="1">VLOOKUP($B93,OFFSET([2]quests!$A$1,0,0,COUNTA([2]quests!$A:$A),MATCH(D$1,[2]quests!$1:$1,0)-MATCH($B$1,[2]quests!$1:$1,0)+1),MATCH(D$1,[2]quests!$1:$1,0)-MATCH($B$1,[2]quests!$1:$1,0)+1,FALSE)</f>
        <v>フランス革命01</v>
      </c>
      <c r="E93" s="86">
        <v>3</v>
      </c>
      <c r="F93" s="82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【上級】隻腕の提督</v>
      </c>
      <c r="G93" s="82" t="str">
        <f ca="1">VLOOKUP($B93&amp;"_"&amp;$E93,OFFSET([2]stages!$A$1,0,0,COUNTA([2]stages!$A:$A),MATCH(G$1,[2]stages!$2:$2,0)-MATCH("temp_stage",[2]stages!$2:$2,0)+1),MATCH(G$1,[2]stages!$2:$2,0)-MATCH("temp_stage",[2]stages!$2:$2,0)+1,FALSE)</f>
        <v>フランス革命01</v>
      </c>
      <c r="H93" s="84">
        <v>0</v>
      </c>
      <c r="I93" s="95">
        <v>39</v>
      </c>
      <c r="J93" s="83" t="s">
        <v>199</v>
      </c>
      <c r="K93" s="92" t="str">
        <f>VLOOKUP(I93,[6]stage_hints!$A:$C,3,FALSE)</f>
        <v>システム適合者を確認</v>
      </c>
      <c r="L93" s="93" t="str">
        <f>VLOOKUP(I93,[6]stage_hints!$A:$D,4,FALSE)</f>
        <v>ALICEが 「アナタ」を呼んでいます</v>
      </c>
      <c r="M93" s="57" t="s">
        <v>212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0"/>
  <sheetViews>
    <sheetView showGridLines="0" topLeftCell="C1" workbookViewId="0">
      <pane ySplit="1" topLeftCell="A2" activePane="bottomLeft" state="frozen"/>
      <selection pane="bottomLeft" activeCell="C2" sqref="C2"/>
    </sheetView>
  </sheetViews>
  <sheetFormatPr baseColWidth="12" defaultColWidth="13" defaultRowHeight="15" outlineLevelCol="1" x14ac:dyDescent="0.15"/>
  <cols>
    <col min="1" max="1" width="13" style="87"/>
    <col min="4" max="4" width="17" customWidth="1" outlineLevel="1"/>
    <col min="5" max="5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189</v>
      </c>
      <c r="B1" s="72" t="s">
        <v>151</v>
      </c>
      <c r="C1" s="72" t="s">
        <v>192</v>
      </c>
      <c r="D1" s="76" t="s">
        <v>191</v>
      </c>
      <c r="E1" s="76" t="s">
        <v>33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127</v>
      </c>
      <c r="L1" s="77" t="s">
        <v>188</v>
      </c>
      <c r="M1" s="91" t="s">
        <v>187</v>
      </c>
      <c r="N1" s="79" t="s">
        <v>197</v>
      </c>
    </row>
    <row r="2" spans="1:15" ht="56" x14ac:dyDescent="0.15">
      <c r="A2" s="80" t="s">
        <v>198</v>
      </c>
      <c r="B2" s="81">
        <f>floors!$C$2</f>
        <v>20017</v>
      </c>
      <c r="C2" s="83">
        <v>3</v>
      </c>
      <c r="D2" s="82" t="str">
        <f ca="1">VLOOKUP($B2,OFFSET([2]quests!$A$1,0,0,COUNTA([2]quests!$A:$A),MATCH(D$1,[2]quests!$1:$1,0)-MATCH($B$1,[2]quests!$1:$1,0)+1),MATCH(D$1,[2]quests!$1:$1,0)-MATCH($B$1,[2]quests!$1:$1,0)+1,FALSE)</f>
        <v>隻腕の提督</v>
      </c>
      <c r="E2" s="82" t="str">
        <f ca="1">VLOOKUP($B2,OFFSET([2]quests!$A$1,0,0,COUNTA([2]quests!$A:$A),MATCH(E$1,[2]quests!$1:$1,0)-MATCH($B$1,[2]quests!$1:$1,0)+1),MATCH(E$1,[2]quests!$1:$1,0)-MATCH($B$1,[2]quests!$1:$1,0)+1,FALSE)</f>
        <v>フランス革命01</v>
      </c>
      <c r="F2" s="82" t="str">
        <f ca="1">VLOOKUP($B2&amp;"_"&amp;$C2,OFFSET([2]stages!$A$1,0,0,COUNTA([2]stages!$A:$A),MATCH(F$1,[2]stages!$2:$2,0)-MATCH("temp_stage",[2]stages!$2:$2,0)+1),MATCH(F$1,[2]stages!$2:$2,0)-MATCH("temp_stage",[2]stages!$2:$2,0)+1,FALSE)</f>
        <v>【上級】隻腕の提督</v>
      </c>
      <c r="G2" s="82" t="str">
        <f ca="1">VLOOKUP($B2&amp;"_"&amp;$C2,OFFSET([2]stages!$A$1,0,0,COUNTA([2]stages!$A:$A),MATCH(G$1,[2]stages!$2:$2,0)-MATCH("temp_stage",[2]stages!$2:$2,0)+1),MATCH(G$1,[2]stages!$2:$2,0)-MATCH("temp_stage",[2]stages!$2:$2,0)+1,FALSE)</f>
        <v>フランス革命01</v>
      </c>
      <c r="H2" s="84">
        <v>2</v>
      </c>
      <c r="I2" s="89">
        <f t="shared" ref="I2:I10" si="0">ROW()-1</f>
        <v>1</v>
      </c>
      <c r="J2" s="85" t="str">
        <f t="shared" ref="J2:J10" si="1">B2&amp;TEXT(I2,"00")</f>
        <v>2001701</v>
      </c>
      <c r="K2" s="83" t="s">
        <v>199</v>
      </c>
      <c r="L2" s="86" t="s">
        <v>200</v>
      </c>
      <c r="M2" s="114" t="s">
        <v>267</v>
      </c>
      <c r="N2" s="57" t="s">
        <v>201</v>
      </c>
      <c r="O2">
        <f>LEN(M2)</f>
        <v>44</v>
      </c>
    </row>
    <row r="3" spans="1:15" ht="70" x14ac:dyDescent="0.15">
      <c r="A3" s="80" t="s">
        <v>198</v>
      </c>
      <c r="B3" s="81">
        <f>floors!$C$2</f>
        <v>20017</v>
      </c>
      <c r="C3" s="83">
        <v>3</v>
      </c>
      <c r="D3" s="82" t="str">
        <f ca="1">VLOOKUP($B3,OFFSET([2]quests!$A$1,0,0,COUNTA([2]quests!$A:$A),MATCH(D$1,[2]quests!$1:$1,0)-MATCH($B$1,[2]quests!$1:$1,0)+1),MATCH(D$1,[2]quests!$1:$1,0)-MATCH($B$1,[2]quests!$1:$1,0)+1,FALSE)</f>
        <v>隻腕の提督</v>
      </c>
      <c r="E3" s="82" t="str">
        <f ca="1">VLOOKUP($B3,OFFSET([2]quests!$A$1,0,0,COUNTA([2]quests!$A:$A),MATCH(E$1,[2]quests!$1:$1,0)-MATCH($B$1,[2]quests!$1:$1,0)+1),MATCH(E$1,[2]quests!$1:$1,0)-MATCH($B$1,[2]quests!$1:$1,0)+1,FALSE)</f>
        <v>フランス革命01</v>
      </c>
      <c r="F3" s="82" t="str">
        <f ca="1">VLOOKUP($B3&amp;"_"&amp;$C3,OFFSET([2]stages!$A$1,0,0,COUNTA([2]stages!$A:$A),MATCH(F$1,[2]stages!$2:$2,0)-MATCH("temp_stage",[2]stages!$2:$2,0)+1),MATCH(F$1,[2]stages!$2:$2,0)-MATCH("temp_stage",[2]stages!$2:$2,0)+1,FALSE)</f>
        <v>【上級】隻腕の提督</v>
      </c>
      <c r="G3" s="82" t="str">
        <f ca="1">VLOOKUP($B3&amp;"_"&amp;$C3,OFFSET([2]stages!$A$1,0,0,COUNTA([2]stages!$A:$A),MATCH(G$1,[2]stages!$2:$2,0)-MATCH("temp_stage",[2]stages!$2:$2,0)+1),MATCH(G$1,[2]stages!$2:$2,0)-MATCH("temp_stage",[2]stages!$2:$2,0)+1,FALSE)</f>
        <v>フランス革命01</v>
      </c>
      <c r="H3" s="84">
        <v>4</v>
      </c>
      <c r="I3" s="89">
        <f t="shared" si="0"/>
        <v>2</v>
      </c>
      <c r="J3" s="85" t="str">
        <f t="shared" si="1"/>
        <v>2001702</v>
      </c>
      <c r="K3" s="83" t="s">
        <v>199</v>
      </c>
      <c r="L3" s="86" t="s">
        <v>200</v>
      </c>
      <c r="M3" s="114" t="s">
        <v>271</v>
      </c>
      <c r="N3" s="57" t="s">
        <v>201</v>
      </c>
      <c r="O3">
        <f>LEN(M3)</f>
        <v>64</v>
      </c>
    </row>
    <row r="4" spans="1:15" ht="56" x14ac:dyDescent="0.15">
      <c r="A4" s="80" t="s">
        <v>198</v>
      </c>
      <c r="B4" s="81">
        <f>floors!$C$2</f>
        <v>20017</v>
      </c>
      <c r="C4" s="83">
        <v>3</v>
      </c>
      <c r="D4" s="82" t="str">
        <f ca="1">VLOOKUP($B4,OFFSET([2]quests!$A$1,0,0,COUNTA([2]quests!$A:$A),MATCH(D$1,[2]quests!$1:$1,0)-MATCH($B$1,[2]quests!$1:$1,0)+1),MATCH(D$1,[2]quests!$1:$1,0)-MATCH($B$1,[2]quests!$1:$1,0)+1,FALSE)</f>
        <v>隻腕の提督</v>
      </c>
      <c r="E4" s="82" t="str">
        <f ca="1">VLOOKUP($B4,OFFSET([2]quests!$A$1,0,0,COUNTA([2]quests!$A:$A),MATCH(E$1,[2]quests!$1:$1,0)-MATCH($B$1,[2]quests!$1:$1,0)+1),MATCH(E$1,[2]quests!$1:$1,0)-MATCH($B$1,[2]quests!$1:$1,0)+1,FALSE)</f>
        <v>フランス革命01</v>
      </c>
      <c r="F4" s="82" t="str">
        <f ca="1">VLOOKUP($B4&amp;"_"&amp;$C4,OFFSET([2]stages!$A$1,0,0,COUNTA([2]stages!$A:$A),MATCH(F$1,[2]stages!$2:$2,0)-MATCH("temp_stage",[2]stages!$2:$2,0)+1),MATCH(F$1,[2]stages!$2:$2,0)-MATCH("temp_stage",[2]stages!$2:$2,0)+1,FALSE)</f>
        <v>【上級】隻腕の提督</v>
      </c>
      <c r="G4" s="82" t="str">
        <f ca="1">VLOOKUP($B4&amp;"_"&amp;$C4,OFFSET([2]stages!$A$1,0,0,COUNTA([2]stages!$A:$A),MATCH(G$1,[2]stages!$2:$2,0)-MATCH("temp_stage",[2]stages!$2:$2,0)+1),MATCH(G$1,[2]stages!$2:$2,0)-MATCH("temp_stage",[2]stages!$2:$2,0)+1,FALSE)</f>
        <v>フランス革命01</v>
      </c>
      <c r="H4" s="84">
        <v>4</v>
      </c>
      <c r="I4" s="89">
        <f t="shared" si="0"/>
        <v>3</v>
      </c>
      <c r="J4" s="85" t="str">
        <f t="shared" si="1"/>
        <v>2001703</v>
      </c>
      <c r="K4" s="83" t="s">
        <v>199</v>
      </c>
      <c r="L4" s="86" t="s">
        <v>200</v>
      </c>
      <c r="M4" s="114" t="s">
        <v>268</v>
      </c>
      <c r="N4" s="57" t="s">
        <v>201</v>
      </c>
      <c r="O4">
        <f>LEN(M4)</f>
        <v>49</v>
      </c>
    </row>
    <row r="5" spans="1:15" ht="56" x14ac:dyDescent="0.15">
      <c r="A5" s="80" t="s">
        <v>198</v>
      </c>
      <c r="B5" s="81">
        <f>floors!$C$2</f>
        <v>20017</v>
      </c>
      <c r="C5" s="83">
        <v>2</v>
      </c>
      <c r="D5" s="82" t="str">
        <f ca="1">VLOOKUP($B5,OFFSET([2]quests!$A$1,0,0,COUNTA([2]quests!$A:$A),MATCH(D$1,[2]quests!$1:$1,0)-MATCH($B$1,[2]quests!$1:$1,0)+1),MATCH(D$1,[2]quests!$1:$1,0)-MATCH($B$1,[2]quests!$1:$1,0)+1,FALSE)</f>
        <v>隻腕の提督</v>
      </c>
      <c r="E5" s="82" t="str">
        <f ca="1">VLOOKUP($B5,OFFSET([2]quests!$A$1,0,0,COUNTA([2]quests!$A:$A),MATCH(E$1,[2]quests!$1:$1,0)-MATCH($B$1,[2]quests!$1:$1,0)+1),MATCH(E$1,[2]quests!$1:$1,0)-MATCH($B$1,[2]quests!$1:$1,0)+1,FALSE)</f>
        <v>フランス革命01</v>
      </c>
      <c r="F5" s="82" t="str">
        <f ca="1">VLOOKUP($B5&amp;"_"&amp;$C5,OFFSET([2]stages!$A$1,0,0,COUNTA([2]stages!$A:$A),MATCH(F$1,[2]stages!$2:$2,0)-MATCH("temp_stage",[2]stages!$2:$2,0)+1),MATCH(F$1,[2]stages!$2:$2,0)-MATCH("temp_stage",[2]stages!$2:$2,0)+1,FALSE)</f>
        <v>【中級】隻腕の提督</v>
      </c>
      <c r="G5" s="82" t="str">
        <f ca="1">VLOOKUP($B5&amp;"_"&amp;$C5,OFFSET([2]stages!$A$1,0,0,COUNTA([2]stages!$A:$A),MATCH(G$1,[2]stages!$2:$2,0)-MATCH("temp_stage",[2]stages!$2:$2,0)+1),MATCH(G$1,[2]stages!$2:$2,0)-MATCH("temp_stage",[2]stages!$2:$2,0)+1,FALSE)</f>
        <v>フランス革命01</v>
      </c>
      <c r="H5" s="84">
        <v>2</v>
      </c>
      <c r="I5" s="89">
        <f t="shared" si="0"/>
        <v>4</v>
      </c>
      <c r="J5" s="85" t="str">
        <f t="shared" si="1"/>
        <v>2001704</v>
      </c>
      <c r="K5" s="83" t="s">
        <v>199</v>
      </c>
      <c r="L5" s="86" t="s">
        <v>200</v>
      </c>
      <c r="M5" s="114" t="s">
        <v>267</v>
      </c>
      <c r="N5" s="57" t="s">
        <v>201</v>
      </c>
    </row>
    <row r="6" spans="1:15" ht="70" x14ac:dyDescent="0.15">
      <c r="A6" s="80" t="s">
        <v>198</v>
      </c>
      <c r="B6" s="81">
        <f>floors!$C$2</f>
        <v>20017</v>
      </c>
      <c r="C6" s="83">
        <v>2</v>
      </c>
      <c r="D6" s="82" t="str">
        <f ca="1">VLOOKUP($B6,OFFSET([2]quests!$A$1,0,0,COUNTA([2]quests!$A:$A),MATCH(D$1,[2]quests!$1:$1,0)-MATCH($B$1,[2]quests!$1:$1,0)+1),MATCH(D$1,[2]quests!$1:$1,0)-MATCH($B$1,[2]quests!$1:$1,0)+1,FALSE)</f>
        <v>隻腕の提督</v>
      </c>
      <c r="E6" s="82" t="str">
        <f ca="1">VLOOKUP($B6,OFFSET([2]quests!$A$1,0,0,COUNTA([2]quests!$A:$A),MATCH(E$1,[2]quests!$1:$1,0)-MATCH($B$1,[2]quests!$1:$1,0)+1),MATCH(E$1,[2]quests!$1:$1,0)-MATCH($B$1,[2]quests!$1:$1,0)+1,FALSE)</f>
        <v>フランス革命01</v>
      </c>
      <c r="F6" s="82" t="str">
        <f ca="1">VLOOKUP($B6&amp;"_"&amp;$C6,OFFSET([2]stages!$A$1,0,0,COUNTA([2]stages!$A:$A),MATCH(F$1,[2]stages!$2:$2,0)-MATCH("temp_stage",[2]stages!$2:$2,0)+1),MATCH(F$1,[2]stages!$2:$2,0)-MATCH("temp_stage",[2]stages!$2:$2,0)+1,FALSE)</f>
        <v>【中級】隻腕の提督</v>
      </c>
      <c r="G6" s="82" t="str">
        <f ca="1">VLOOKUP($B6&amp;"_"&amp;$C6,OFFSET([2]stages!$A$1,0,0,COUNTA([2]stages!$A:$A),MATCH(G$1,[2]stages!$2:$2,0)-MATCH("temp_stage",[2]stages!$2:$2,0)+1),MATCH(G$1,[2]stages!$2:$2,0)-MATCH("temp_stage",[2]stages!$2:$2,0)+1,FALSE)</f>
        <v>フランス革命01</v>
      </c>
      <c r="H6" s="84">
        <v>4</v>
      </c>
      <c r="I6" s="89">
        <f t="shared" si="0"/>
        <v>5</v>
      </c>
      <c r="J6" s="85" t="str">
        <f t="shared" si="1"/>
        <v>2001705</v>
      </c>
      <c r="K6" s="83" t="s">
        <v>199</v>
      </c>
      <c r="L6" s="86" t="s">
        <v>200</v>
      </c>
      <c r="M6" s="114" t="s">
        <v>271</v>
      </c>
      <c r="N6" s="57" t="s">
        <v>201</v>
      </c>
    </row>
    <row r="7" spans="1:15" ht="56" x14ac:dyDescent="0.15">
      <c r="A7" s="80" t="s">
        <v>198</v>
      </c>
      <c r="B7" s="81">
        <f>floors!$C$2</f>
        <v>20017</v>
      </c>
      <c r="C7" s="83">
        <v>2</v>
      </c>
      <c r="D7" s="82" t="str">
        <f ca="1">VLOOKUP($B7,OFFSET([2]quests!$A$1,0,0,COUNTA([2]quests!$A:$A),MATCH(D$1,[2]quests!$1:$1,0)-MATCH($B$1,[2]quests!$1:$1,0)+1),MATCH(D$1,[2]quests!$1:$1,0)-MATCH($B$1,[2]quests!$1:$1,0)+1,FALSE)</f>
        <v>隻腕の提督</v>
      </c>
      <c r="E7" s="82" t="str">
        <f ca="1">VLOOKUP($B7,OFFSET([2]quests!$A$1,0,0,COUNTA([2]quests!$A:$A),MATCH(E$1,[2]quests!$1:$1,0)-MATCH($B$1,[2]quests!$1:$1,0)+1),MATCH(E$1,[2]quests!$1:$1,0)-MATCH($B$1,[2]quests!$1:$1,0)+1,FALSE)</f>
        <v>フランス革命01</v>
      </c>
      <c r="F7" s="82" t="str">
        <f ca="1">VLOOKUP($B7&amp;"_"&amp;$C7,OFFSET([2]stages!$A$1,0,0,COUNTA([2]stages!$A:$A),MATCH(F$1,[2]stages!$2:$2,0)-MATCH("temp_stage",[2]stages!$2:$2,0)+1),MATCH(F$1,[2]stages!$2:$2,0)-MATCH("temp_stage",[2]stages!$2:$2,0)+1,FALSE)</f>
        <v>【中級】隻腕の提督</v>
      </c>
      <c r="G7" s="82" t="str">
        <f ca="1">VLOOKUP($B7&amp;"_"&amp;$C7,OFFSET([2]stages!$A$1,0,0,COUNTA([2]stages!$A:$A),MATCH(G$1,[2]stages!$2:$2,0)-MATCH("temp_stage",[2]stages!$2:$2,0)+1),MATCH(G$1,[2]stages!$2:$2,0)-MATCH("temp_stage",[2]stages!$2:$2,0)+1,FALSE)</f>
        <v>フランス革命01</v>
      </c>
      <c r="H7" s="84">
        <v>4</v>
      </c>
      <c r="I7" s="89">
        <f t="shared" si="0"/>
        <v>6</v>
      </c>
      <c r="J7" s="85" t="str">
        <f t="shared" si="1"/>
        <v>2001706</v>
      </c>
      <c r="K7" s="83" t="s">
        <v>199</v>
      </c>
      <c r="L7" s="86" t="s">
        <v>200</v>
      </c>
      <c r="M7" s="114" t="s">
        <v>268</v>
      </c>
      <c r="N7" s="57" t="s">
        <v>201</v>
      </c>
    </row>
    <row r="8" spans="1:15" ht="56" x14ac:dyDescent="0.15">
      <c r="A8" s="80" t="s">
        <v>198</v>
      </c>
      <c r="B8" s="81">
        <f>floors!$C$2</f>
        <v>20017</v>
      </c>
      <c r="C8" s="83">
        <v>1</v>
      </c>
      <c r="D8" s="82" t="str">
        <f ca="1">VLOOKUP($B8,OFFSET([2]quests!$A$1,0,0,COUNTA([2]quests!$A:$A),MATCH(D$1,[2]quests!$1:$1,0)-MATCH($B$1,[2]quests!$1:$1,0)+1),MATCH(D$1,[2]quests!$1:$1,0)-MATCH($B$1,[2]quests!$1:$1,0)+1,FALSE)</f>
        <v>隻腕の提督</v>
      </c>
      <c r="E8" s="82" t="str">
        <f ca="1">VLOOKUP($B8,OFFSET([2]quests!$A$1,0,0,COUNTA([2]quests!$A:$A),MATCH(E$1,[2]quests!$1:$1,0)-MATCH($B$1,[2]quests!$1:$1,0)+1),MATCH(E$1,[2]quests!$1:$1,0)-MATCH($B$1,[2]quests!$1:$1,0)+1,FALSE)</f>
        <v>フランス革命01</v>
      </c>
      <c r="F8" s="82" t="str">
        <f ca="1">VLOOKUP($B8&amp;"_"&amp;$C8,OFFSET([2]stages!$A$1,0,0,COUNTA([2]stages!$A:$A),MATCH(F$1,[2]stages!$2:$2,0)-MATCH("temp_stage",[2]stages!$2:$2,0)+1),MATCH(F$1,[2]stages!$2:$2,0)-MATCH("temp_stage",[2]stages!$2:$2,0)+1,FALSE)</f>
        <v>【初級】隻腕の提督</v>
      </c>
      <c r="G8" s="82" t="str">
        <f ca="1">VLOOKUP($B8&amp;"_"&amp;$C8,OFFSET([2]stages!$A$1,0,0,COUNTA([2]stages!$A:$A),MATCH(G$1,[2]stages!$2:$2,0)-MATCH("temp_stage",[2]stages!$2:$2,0)+1),MATCH(G$1,[2]stages!$2:$2,0)-MATCH("temp_stage",[2]stages!$2:$2,0)+1,FALSE)</f>
        <v>フランス革命01</v>
      </c>
      <c r="H8" s="84">
        <v>2</v>
      </c>
      <c r="I8" s="89">
        <f t="shared" si="0"/>
        <v>7</v>
      </c>
      <c r="J8" s="85" t="str">
        <f t="shared" si="1"/>
        <v>2001707</v>
      </c>
      <c r="K8" s="83" t="s">
        <v>199</v>
      </c>
      <c r="L8" s="86" t="s">
        <v>200</v>
      </c>
      <c r="M8" s="114" t="s">
        <v>267</v>
      </c>
      <c r="N8" s="57" t="s">
        <v>201</v>
      </c>
    </row>
    <row r="9" spans="1:15" ht="70" x14ac:dyDescent="0.15">
      <c r="A9" s="80" t="s">
        <v>198</v>
      </c>
      <c r="B9" s="81">
        <f>floors!$C$2</f>
        <v>20017</v>
      </c>
      <c r="C9" s="83">
        <v>1</v>
      </c>
      <c r="D9" s="82" t="str">
        <f ca="1">VLOOKUP($B9,OFFSET([2]quests!$A$1,0,0,COUNTA([2]quests!$A:$A),MATCH(D$1,[2]quests!$1:$1,0)-MATCH($B$1,[2]quests!$1:$1,0)+1),MATCH(D$1,[2]quests!$1:$1,0)-MATCH($B$1,[2]quests!$1:$1,0)+1,FALSE)</f>
        <v>隻腕の提督</v>
      </c>
      <c r="E9" s="82" t="str">
        <f ca="1">VLOOKUP($B9,OFFSET([2]quests!$A$1,0,0,COUNTA([2]quests!$A:$A),MATCH(E$1,[2]quests!$1:$1,0)-MATCH($B$1,[2]quests!$1:$1,0)+1),MATCH(E$1,[2]quests!$1:$1,0)-MATCH($B$1,[2]quests!$1:$1,0)+1,FALSE)</f>
        <v>フランス革命01</v>
      </c>
      <c r="F9" s="82" t="str">
        <f ca="1">VLOOKUP($B9&amp;"_"&amp;$C9,OFFSET([2]stages!$A$1,0,0,COUNTA([2]stages!$A:$A),MATCH(F$1,[2]stages!$2:$2,0)-MATCH("temp_stage",[2]stages!$2:$2,0)+1),MATCH(F$1,[2]stages!$2:$2,0)-MATCH("temp_stage",[2]stages!$2:$2,0)+1,FALSE)</f>
        <v>【初級】隻腕の提督</v>
      </c>
      <c r="G9" s="82" t="str">
        <f ca="1">VLOOKUP($B9&amp;"_"&amp;$C9,OFFSET([2]stages!$A$1,0,0,COUNTA([2]stages!$A:$A),MATCH(G$1,[2]stages!$2:$2,0)-MATCH("temp_stage",[2]stages!$2:$2,0)+1),MATCH(G$1,[2]stages!$2:$2,0)-MATCH("temp_stage",[2]stages!$2:$2,0)+1,FALSE)</f>
        <v>フランス革命01</v>
      </c>
      <c r="H9" s="84">
        <v>4</v>
      </c>
      <c r="I9" s="89">
        <f t="shared" si="0"/>
        <v>8</v>
      </c>
      <c r="J9" s="85" t="str">
        <f t="shared" si="1"/>
        <v>2001708</v>
      </c>
      <c r="K9" s="83" t="s">
        <v>199</v>
      </c>
      <c r="L9" s="86" t="s">
        <v>200</v>
      </c>
      <c r="M9" s="114" t="s">
        <v>271</v>
      </c>
      <c r="N9" s="57" t="s">
        <v>201</v>
      </c>
    </row>
    <row r="10" spans="1:15" ht="56" x14ac:dyDescent="0.15">
      <c r="A10" s="80" t="s">
        <v>198</v>
      </c>
      <c r="B10" s="81">
        <f>floors!$C$2</f>
        <v>20017</v>
      </c>
      <c r="C10" s="83">
        <v>1</v>
      </c>
      <c r="D10" s="82" t="str">
        <f ca="1">VLOOKUP($B10,OFFSET([2]quests!$A$1,0,0,COUNTA([2]quests!$A:$A),MATCH(D$1,[2]quests!$1:$1,0)-MATCH($B$1,[2]quests!$1:$1,0)+1),MATCH(D$1,[2]quests!$1:$1,0)-MATCH($B$1,[2]quests!$1:$1,0)+1,FALSE)</f>
        <v>隻腕の提督</v>
      </c>
      <c r="E10" s="82" t="str">
        <f ca="1">VLOOKUP($B10,OFFSET([2]quests!$A$1,0,0,COUNTA([2]quests!$A:$A),MATCH(E$1,[2]quests!$1:$1,0)-MATCH($B$1,[2]quests!$1:$1,0)+1),MATCH(E$1,[2]quests!$1:$1,0)-MATCH($B$1,[2]quests!$1:$1,0)+1,FALSE)</f>
        <v>フランス革命01</v>
      </c>
      <c r="F10" s="82" t="str">
        <f ca="1">VLOOKUP($B10&amp;"_"&amp;$C10,OFFSET([2]stages!$A$1,0,0,COUNTA([2]stages!$A:$A),MATCH(F$1,[2]stages!$2:$2,0)-MATCH("temp_stage",[2]stages!$2:$2,0)+1),MATCH(F$1,[2]stages!$2:$2,0)-MATCH("temp_stage",[2]stages!$2:$2,0)+1,FALSE)</f>
        <v>【初級】隻腕の提督</v>
      </c>
      <c r="G10" s="82" t="str">
        <f ca="1">VLOOKUP($B10&amp;"_"&amp;$C10,OFFSET([2]stages!$A$1,0,0,COUNTA([2]stages!$A:$A),MATCH(G$1,[2]stages!$2:$2,0)-MATCH("temp_stage",[2]stages!$2:$2,0)+1),MATCH(G$1,[2]stages!$2:$2,0)-MATCH("temp_stage",[2]stages!$2:$2,0)+1,FALSE)</f>
        <v>フランス革命01</v>
      </c>
      <c r="H10" s="84">
        <v>4</v>
      </c>
      <c r="I10" s="89">
        <f t="shared" si="0"/>
        <v>9</v>
      </c>
      <c r="J10" s="85" t="str">
        <f t="shared" si="1"/>
        <v>2001709</v>
      </c>
      <c r="K10" s="83" t="s">
        <v>199</v>
      </c>
      <c r="L10" s="86" t="s">
        <v>200</v>
      </c>
      <c r="M10" s="114" t="s">
        <v>268</v>
      </c>
      <c r="N10" s="57" t="s">
        <v>201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L21" sqref="L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1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20017</v>
      </c>
      <c r="B2" s="57">
        <v>3</v>
      </c>
      <c r="C2" s="115" t="str">
        <f t="shared" ref="C2:C12" si="0">A2&amp; "_"&amp;B2</f>
        <v>20017_3</v>
      </c>
      <c r="D2" s="1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5000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>
        <f>floors!C3</f>
        <v>20017</v>
      </c>
      <c r="B3" s="57">
        <v>3</v>
      </c>
      <c r="C3" s="115" t="str">
        <f t="shared" si="0"/>
        <v>20017_3</v>
      </c>
      <c r="D3" s="1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261</v>
      </c>
      <c r="G3" s="57">
        <v>25</v>
      </c>
      <c r="H3" s="57" t="s">
        <v>170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171</v>
      </c>
      <c r="R3" s="57" t="s">
        <v>172</v>
      </c>
    </row>
    <row r="4" spans="1:18" x14ac:dyDescent="0.15">
      <c r="A4" s="57">
        <f>floors!C4</f>
        <v>20017</v>
      </c>
      <c r="B4" s="57">
        <v>3</v>
      </c>
      <c r="C4" s="115" t="str">
        <f t="shared" si="0"/>
        <v>20017_3</v>
      </c>
      <c r="D4" s="1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262</v>
      </c>
      <c r="G4" s="57">
        <v>336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56</v>
      </c>
      <c r="Q4" s="57" t="s">
        <v>171</v>
      </c>
      <c r="R4" s="57" t="s">
        <v>172</v>
      </c>
    </row>
    <row r="5" spans="1:18" x14ac:dyDescent="0.15">
      <c r="A5" s="57">
        <f>floors!C5</f>
        <v>20017</v>
      </c>
      <c r="B5" s="57">
        <v>3</v>
      </c>
      <c r="C5" s="115" t="str">
        <f t="shared" si="0"/>
        <v>20017_3</v>
      </c>
      <c r="D5" s="1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262</v>
      </c>
      <c r="G5" s="57">
        <v>337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56</v>
      </c>
      <c r="Q5" s="57" t="s">
        <v>171</v>
      </c>
      <c r="R5" s="57" t="s">
        <v>172</v>
      </c>
    </row>
    <row r="6" spans="1:18" x14ac:dyDescent="0.15">
      <c r="A6" s="57">
        <f>floors!C6</f>
        <v>20017</v>
      </c>
      <c r="B6" s="57">
        <v>3</v>
      </c>
      <c r="C6" s="115" t="str">
        <f t="shared" si="0"/>
        <v>20017_3</v>
      </c>
      <c r="D6" s="1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262</v>
      </c>
      <c r="G6" s="57">
        <v>338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28</v>
      </c>
      <c r="Q6" s="57" t="s">
        <v>171</v>
      </c>
      <c r="R6" s="57" t="s">
        <v>172</v>
      </c>
    </row>
    <row r="7" spans="1:18" x14ac:dyDescent="0.15">
      <c r="A7" s="57">
        <f>floors!C7</f>
        <v>20017</v>
      </c>
      <c r="B7" s="57">
        <v>3</v>
      </c>
      <c r="C7" s="115" t="str">
        <f t="shared" si="0"/>
        <v>20017_3</v>
      </c>
      <c r="D7" s="1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262</v>
      </c>
      <c r="G7" s="57">
        <v>350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171</v>
      </c>
      <c r="R7" s="57" t="s">
        <v>172</v>
      </c>
    </row>
    <row r="8" spans="1:18" x14ac:dyDescent="0.15">
      <c r="A8" s="57">
        <f>floors!C8</f>
        <v>20017</v>
      </c>
      <c r="B8" s="57">
        <v>3</v>
      </c>
      <c r="C8" s="115" t="str">
        <f t="shared" si="0"/>
        <v>20017_3</v>
      </c>
      <c r="D8" s="1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262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171</v>
      </c>
      <c r="R8" s="57" t="s">
        <v>172</v>
      </c>
    </row>
    <row r="9" spans="1:18" x14ac:dyDescent="0.15">
      <c r="A9" s="57">
        <f>floors!C9</f>
        <v>20017</v>
      </c>
      <c r="B9" s="57">
        <v>3</v>
      </c>
      <c r="C9" s="115" t="str">
        <f t="shared" si="0"/>
        <v>20017_3</v>
      </c>
      <c r="D9" s="11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262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171</v>
      </c>
      <c r="R9" s="57" t="s">
        <v>172</v>
      </c>
    </row>
    <row r="10" spans="1:18" x14ac:dyDescent="0.15">
      <c r="A10" s="57">
        <f>floors!C10</f>
        <v>20017</v>
      </c>
      <c r="B10" s="57">
        <v>3</v>
      </c>
      <c r="C10" s="115" t="str">
        <f t="shared" si="0"/>
        <v>20017_3</v>
      </c>
      <c r="D10" s="11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262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171</v>
      </c>
      <c r="R10" s="57" t="s">
        <v>172</v>
      </c>
    </row>
    <row r="11" spans="1:18" x14ac:dyDescent="0.15">
      <c r="A11" s="57">
        <f>floors!C11</f>
        <v>20017</v>
      </c>
      <c r="B11" s="57">
        <v>3</v>
      </c>
      <c r="C11" s="115" t="str">
        <f t="shared" si="0"/>
        <v>20017_3</v>
      </c>
      <c r="D11" s="11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262</v>
      </c>
      <c r="G11" s="57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171</v>
      </c>
      <c r="R11" s="57" t="s">
        <v>172</v>
      </c>
    </row>
    <row r="12" spans="1:18" x14ac:dyDescent="0.15">
      <c r="A12" s="57">
        <f>floors!C12</f>
        <v>20017</v>
      </c>
      <c r="B12" s="57">
        <v>3</v>
      </c>
      <c r="C12" s="115" t="str">
        <f t="shared" si="0"/>
        <v>20017_3</v>
      </c>
      <c r="D12" s="1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262</v>
      </c>
      <c r="G12" s="57">
        <v>931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400</v>
      </c>
      <c r="Q12" s="57" t="s">
        <v>171</v>
      </c>
      <c r="R12" s="57" t="s">
        <v>172</v>
      </c>
    </row>
    <row r="13" spans="1:18" s="113" customFormat="1" x14ac:dyDescent="0.15">
      <c r="A13" s="111">
        <f>floors!C13</f>
        <v>20017</v>
      </c>
      <c r="B13" s="111">
        <v>2</v>
      </c>
      <c r="C13" s="111" t="str">
        <f t="shared" ref="C13:C22" si="1">A13&amp; "_"&amp;B13</f>
        <v>20017_2</v>
      </c>
      <c r="D13" s="112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11">
        <v>12</v>
      </c>
      <c r="F13" s="111" t="s">
        <v>169</v>
      </c>
      <c r="G13" s="111">
        <v>3200</v>
      </c>
      <c r="H13" s="111" t="s">
        <v>170</v>
      </c>
      <c r="I13" s="111">
        <v>1</v>
      </c>
      <c r="J13" s="111">
        <v>1</v>
      </c>
      <c r="K13" s="111">
        <v>0</v>
      </c>
      <c r="L13" s="111">
        <v>0</v>
      </c>
      <c r="M13" s="111">
        <v>0</v>
      </c>
      <c r="N13" s="111">
        <v>0</v>
      </c>
      <c r="O13" s="111">
        <v>1</v>
      </c>
      <c r="P13" s="111">
        <v>200</v>
      </c>
      <c r="Q13" s="111" t="s">
        <v>171</v>
      </c>
      <c r="R13" s="111" t="s">
        <v>172</v>
      </c>
    </row>
    <row r="14" spans="1:18" s="113" customFormat="1" x14ac:dyDescent="0.15">
      <c r="A14" s="111">
        <v>20017</v>
      </c>
      <c r="B14" s="111">
        <v>2</v>
      </c>
      <c r="C14" s="111" t="str">
        <f t="shared" si="1"/>
        <v>20017_2</v>
      </c>
      <c r="D14" s="112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11">
        <v>13</v>
      </c>
      <c r="F14" s="111" t="s">
        <v>261</v>
      </c>
      <c r="G14" s="111">
        <v>20</v>
      </c>
      <c r="H14" s="111" t="s">
        <v>170</v>
      </c>
      <c r="I14" s="111">
        <v>1</v>
      </c>
      <c r="J14" s="111">
        <v>1</v>
      </c>
      <c r="K14" s="111">
        <v>0</v>
      </c>
      <c r="L14" s="111">
        <v>0</v>
      </c>
      <c r="M14" s="111">
        <v>0</v>
      </c>
      <c r="N14" s="111">
        <v>0</v>
      </c>
      <c r="O14" s="111">
        <v>1</v>
      </c>
      <c r="P14" s="111">
        <v>150</v>
      </c>
      <c r="Q14" s="111" t="s">
        <v>171</v>
      </c>
      <c r="R14" s="111" t="s">
        <v>172</v>
      </c>
    </row>
    <row r="15" spans="1:18" s="113" customFormat="1" x14ac:dyDescent="0.15">
      <c r="A15" s="111">
        <v>20017</v>
      </c>
      <c r="B15" s="111">
        <v>2</v>
      </c>
      <c r="C15" s="111" t="str">
        <f t="shared" si="1"/>
        <v>20017_2</v>
      </c>
      <c r="D15" s="112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11">
        <v>14</v>
      </c>
      <c r="F15" s="111" t="s">
        <v>262</v>
      </c>
      <c r="G15" s="111">
        <v>336</v>
      </c>
      <c r="H15" s="111">
        <v>1</v>
      </c>
      <c r="I15" s="111">
        <v>1</v>
      </c>
      <c r="J15" s="111">
        <v>1</v>
      </c>
      <c r="K15" s="111">
        <v>0</v>
      </c>
      <c r="L15" s="111">
        <v>0</v>
      </c>
      <c r="M15" s="111">
        <v>0</v>
      </c>
      <c r="N15" s="111">
        <v>0</v>
      </c>
      <c r="O15" s="111">
        <v>1</v>
      </c>
      <c r="P15" s="111">
        <v>70</v>
      </c>
      <c r="Q15" s="111" t="s">
        <v>171</v>
      </c>
      <c r="R15" s="111" t="s">
        <v>172</v>
      </c>
    </row>
    <row r="16" spans="1:18" s="113" customFormat="1" x14ac:dyDescent="0.15">
      <c r="A16" s="111">
        <v>20017</v>
      </c>
      <c r="B16" s="111">
        <v>2</v>
      </c>
      <c r="C16" s="111" t="str">
        <f t="shared" si="1"/>
        <v>20017_2</v>
      </c>
      <c r="D16" s="112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11">
        <v>15</v>
      </c>
      <c r="F16" s="111" t="s">
        <v>262</v>
      </c>
      <c r="G16" s="111">
        <v>337</v>
      </c>
      <c r="H16" s="111">
        <v>1</v>
      </c>
      <c r="I16" s="111">
        <v>1</v>
      </c>
      <c r="J16" s="111">
        <v>1</v>
      </c>
      <c r="K16" s="111">
        <v>0</v>
      </c>
      <c r="L16" s="111">
        <v>0</v>
      </c>
      <c r="M16" s="111">
        <v>0</v>
      </c>
      <c r="N16" s="111">
        <v>0</v>
      </c>
      <c r="O16" s="111">
        <v>1</v>
      </c>
      <c r="P16" s="111">
        <v>70</v>
      </c>
      <c r="Q16" s="111" t="s">
        <v>171</v>
      </c>
      <c r="R16" s="111" t="s">
        <v>172</v>
      </c>
    </row>
    <row r="17" spans="1:18" s="113" customFormat="1" x14ac:dyDescent="0.15">
      <c r="A17" s="111">
        <v>20017</v>
      </c>
      <c r="B17" s="111">
        <v>2</v>
      </c>
      <c r="C17" s="111" t="str">
        <f t="shared" si="1"/>
        <v>20017_2</v>
      </c>
      <c r="D17" s="112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11">
        <v>16</v>
      </c>
      <c r="F17" s="111" t="s">
        <v>262</v>
      </c>
      <c r="G17" s="111">
        <v>350</v>
      </c>
      <c r="H17" s="111">
        <v>1</v>
      </c>
      <c r="I17" s="111">
        <v>1</v>
      </c>
      <c r="J17" s="111">
        <v>1</v>
      </c>
      <c r="K17" s="111">
        <v>0</v>
      </c>
      <c r="L17" s="111">
        <v>0</v>
      </c>
      <c r="M17" s="111">
        <v>0</v>
      </c>
      <c r="N17" s="111">
        <v>0</v>
      </c>
      <c r="O17" s="111">
        <v>1</v>
      </c>
      <c r="P17" s="111">
        <v>100</v>
      </c>
      <c r="Q17" s="111" t="s">
        <v>171</v>
      </c>
      <c r="R17" s="111" t="s">
        <v>172</v>
      </c>
    </row>
    <row r="18" spans="1:18" s="113" customFormat="1" x14ac:dyDescent="0.15">
      <c r="A18" s="111">
        <v>20017</v>
      </c>
      <c r="B18" s="111">
        <v>2</v>
      </c>
      <c r="C18" s="111" t="str">
        <f t="shared" si="1"/>
        <v>20017_2</v>
      </c>
      <c r="D18" s="112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1">
        <v>17</v>
      </c>
      <c r="F18" s="111" t="s">
        <v>262</v>
      </c>
      <c r="G18" s="111">
        <v>121</v>
      </c>
      <c r="H18" s="111">
        <v>1</v>
      </c>
      <c r="I18" s="111">
        <v>1</v>
      </c>
      <c r="J18" s="111">
        <v>1</v>
      </c>
      <c r="K18" s="111">
        <v>0</v>
      </c>
      <c r="L18" s="111">
        <v>0</v>
      </c>
      <c r="M18" s="111">
        <v>0</v>
      </c>
      <c r="N18" s="111">
        <v>0</v>
      </c>
      <c r="O18" s="111">
        <v>1</v>
      </c>
      <c r="P18" s="111">
        <v>50</v>
      </c>
      <c r="Q18" s="111" t="s">
        <v>171</v>
      </c>
      <c r="R18" s="111" t="s">
        <v>172</v>
      </c>
    </row>
    <row r="19" spans="1:18" s="113" customFormat="1" x14ac:dyDescent="0.15">
      <c r="A19" s="111">
        <v>20017</v>
      </c>
      <c r="B19" s="111">
        <v>2</v>
      </c>
      <c r="C19" s="111" t="str">
        <f t="shared" si="1"/>
        <v>20017_2</v>
      </c>
      <c r="D19" s="112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11">
        <v>18</v>
      </c>
      <c r="F19" s="111" t="s">
        <v>262</v>
      </c>
      <c r="G19" s="111">
        <v>122</v>
      </c>
      <c r="H19" s="111">
        <v>1</v>
      </c>
      <c r="I19" s="111">
        <v>1</v>
      </c>
      <c r="J19" s="111">
        <v>1</v>
      </c>
      <c r="K19" s="111">
        <v>0</v>
      </c>
      <c r="L19" s="111">
        <v>0</v>
      </c>
      <c r="M19" s="111">
        <v>0</v>
      </c>
      <c r="N19" s="111">
        <v>0</v>
      </c>
      <c r="O19" s="111">
        <v>1</v>
      </c>
      <c r="P19" s="111">
        <v>50</v>
      </c>
      <c r="Q19" s="111" t="s">
        <v>171</v>
      </c>
      <c r="R19" s="111" t="s">
        <v>172</v>
      </c>
    </row>
    <row r="20" spans="1:18" s="113" customFormat="1" x14ac:dyDescent="0.15">
      <c r="A20" s="111">
        <v>20017</v>
      </c>
      <c r="B20" s="111">
        <v>2</v>
      </c>
      <c r="C20" s="111" t="str">
        <f t="shared" si="1"/>
        <v>20017_2</v>
      </c>
      <c r="D20" s="112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11">
        <v>19</v>
      </c>
      <c r="F20" s="111" t="s">
        <v>262</v>
      </c>
      <c r="G20" s="111">
        <v>123</v>
      </c>
      <c r="H20" s="111">
        <v>1</v>
      </c>
      <c r="I20" s="111">
        <v>1</v>
      </c>
      <c r="J20" s="111">
        <v>1</v>
      </c>
      <c r="K20" s="111">
        <v>0</v>
      </c>
      <c r="L20" s="111">
        <v>0</v>
      </c>
      <c r="M20" s="111">
        <v>0</v>
      </c>
      <c r="N20" s="111">
        <v>0</v>
      </c>
      <c r="O20" s="111">
        <v>1</v>
      </c>
      <c r="P20" s="111">
        <v>50</v>
      </c>
      <c r="Q20" s="111" t="s">
        <v>171</v>
      </c>
      <c r="R20" s="111" t="s">
        <v>172</v>
      </c>
    </row>
    <row r="21" spans="1:18" s="113" customFormat="1" x14ac:dyDescent="0.15">
      <c r="A21" s="111">
        <v>20017</v>
      </c>
      <c r="B21" s="111">
        <v>2</v>
      </c>
      <c r="C21" s="111" t="str">
        <f t="shared" si="1"/>
        <v>20017_2</v>
      </c>
      <c r="D21" s="112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11">
        <v>20</v>
      </c>
      <c r="F21" s="111" t="s">
        <v>262</v>
      </c>
      <c r="G21" s="111">
        <v>125</v>
      </c>
      <c r="H21" s="111">
        <v>1</v>
      </c>
      <c r="I21" s="111">
        <v>1</v>
      </c>
      <c r="J21" s="111">
        <v>1</v>
      </c>
      <c r="K21" s="111">
        <v>0</v>
      </c>
      <c r="L21" s="111">
        <v>0</v>
      </c>
      <c r="M21" s="111">
        <v>0</v>
      </c>
      <c r="N21" s="111">
        <v>0</v>
      </c>
      <c r="O21" s="111">
        <v>1</v>
      </c>
      <c r="P21" s="111">
        <v>10</v>
      </c>
      <c r="Q21" s="111" t="s">
        <v>171</v>
      </c>
      <c r="R21" s="111" t="s">
        <v>172</v>
      </c>
    </row>
    <row r="22" spans="1:18" s="113" customFormat="1" x14ac:dyDescent="0.15">
      <c r="A22" s="111">
        <v>20017</v>
      </c>
      <c r="B22" s="111">
        <v>2</v>
      </c>
      <c r="C22" s="111" t="str">
        <f t="shared" si="1"/>
        <v>20017_2</v>
      </c>
      <c r="D22" s="112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1">
        <v>21</v>
      </c>
      <c r="F22" s="111" t="s">
        <v>262</v>
      </c>
      <c r="G22" s="111">
        <v>931</v>
      </c>
      <c r="H22" s="111">
        <v>1</v>
      </c>
      <c r="I22" s="111">
        <v>1</v>
      </c>
      <c r="J22" s="111">
        <v>1</v>
      </c>
      <c r="K22" s="111">
        <v>0</v>
      </c>
      <c r="L22" s="111">
        <v>0</v>
      </c>
      <c r="M22" s="111">
        <v>0</v>
      </c>
      <c r="N22" s="111">
        <v>0</v>
      </c>
      <c r="O22" s="111">
        <v>1</v>
      </c>
      <c r="P22" s="111">
        <v>250</v>
      </c>
      <c r="Q22" s="111" t="s">
        <v>171</v>
      </c>
      <c r="R22" s="111" t="s">
        <v>172</v>
      </c>
    </row>
    <row r="23" spans="1:18" s="110" customFormat="1" x14ac:dyDescent="0.15">
      <c r="A23" s="108">
        <v>20017</v>
      </c>
      <c r="B23" s="108">
        <v>1</v>
      </c>
      <c r="C23" s="108" t="str">
        <f t="shared" ref="C23:C32" si="2">A23&amp; "_"&amp;B23</f>
        <v>20017_1</v>
      </c>
      <c r="D23" s="109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8">
        <v>22</v>
      </c>
      <c r="F23" s="108" t="s">
        <v>169</v>
      </c>
      <c r="G23" s="108">
        <v>1700</v>
      </c>
      <c r="H23" s="108" t="s">
        <v>170</v>
      </c>
      <c r="I23" s="108">
        <v>1</v>
      </c>
      <c r="J23" s="108">
        <v>1</v>
      </c>
      <c r="K23" s="108">
        <v>0</v>
      </c>
      <c r="L23" s="108">
        <v>0</v>
      </c>
      <c r="M23" s="108">
        <v>0</v>
      </c>
      <c r="N23" s="108">
        <v>0</v>
      </c>
      <c r="O23" s="108">
        <v>1</v>
      </c>
      <c r="P23" s="108">
        <v>200</v>
      </c>
      <c r="Q23" s="108" t="s">
        <v>171</v>
      </c>
      <c r="R23" s="108" t="s">
        <v>172</v>
      </c>
    </row>
    <row r="24" spans="1:18" s="110" customFormat="1" x14ac:dyDescent="0.15">
      <c r="A24" s="108">
        <v>20017</v>
      </c>
      <c r="B24" s="108">
        <v>1</v>
      </c>
      <c r="C24" s="108" t="str">
        <f t="shared" si="2"/>
        <v>20017_1</v>
      </c>
      <c r="D24" s="109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08">
        <v>23</v>
      </c>
      <c r="F24" s="108" t="s">
        <v>261</v>
      </c>
      <c r="G24" s="108">
        <v>20</v>
      </c>
      <c r="H24" s="108" t="s">
        <v>170</v>
      </c>
      <c r="I24" s="108">
        <v>1</v>
      </c>
      <c r="J24" s="108">
        <v>1</v>
      </c>
      <c r="K24" s="108">
        <v>0</v>
      </c>
      <c r="L24" s="108">
        <v>0</v>
      </c>
      <c r="M24" s="108">
        <v>0</v>
      </c>
      <c r="N24" s="108">
        <v>0</v>
      </c>
      <c r="O24" s="108">
        <v>1</v>
      </c>
      <c r="P24" s="108">
        <v>200</v>
      </c>
      <c r="Q24" s="108" t="s">
        <v>171</v>
      </c>
      <c r="R24" s="108" t="s">
        <v>172</v>
      </c>
    </row>
    <row r="25" spans="1:18" s="110" customFormat="1" x14ac:dyDescent="0.15">
      <c r="A25" s="108">
        <v>20017</v>
      </c>
      <c r="B25" s="108">
        <v>1</v>
      </c>
      <c r="C25" s="108" t="str">
        <f t="shared" si="2"/>
        <v>20017_1</v>
      </c>
      <c r="D25" s="109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08">
        <v>24</v>
      </c>
      <c r="F25" s="108" t="s">
        <v>262</v>
      </c>
      <c r="G25" s="108">
        <v>336</v>
      </c>
      <c r="H25" s="108">
        <v>1</v>
      </c>
      <c r="I25" s="108">
        <v>1</v>
      </c>
      <c r="J25" s="108">
        <v>1</v>
      </c>
      <c r="K25" s="108">
        <v>0</v>
      </c>
      <c r="L25" s="108">
        <v>0</v>
      </c>
      <c r="M25" s="108">
        <v>0</v>
      </c>
      <c r="N25" s="108">
        <v>0</v>
      </c>
      <c r="O25" s="108">
        <v>1</v>
      </c>
      <c r="P25" s="108">
        <v>98</v>
      </c>
      <c r="Q25" s="108" t="s">
        <v>171</v>
      </c>
      <c r="R25" s="108" t="s">
        <v>172</v>
      </c>
    </row>
    <row r="26" spans="1:18" s="110" customFormat="1" x14ac:dyDescent="0.15">
      <c r="A26" s="108">
        <v>20017</v>
      </c>
      <c r="B26" s="108">
        <v>1</v>
      </c>
      <c r="C26" s="108" t="str">
        <f t="shared" si="2"/>
        <v>20017_1</v>
      </c>
      <c r="D26" s="109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08">
        <v>25</v>
      </c>
      <c r="F26" s="108" t="s">
        <v>262</v>
      </c>
      <c r="G26" s="108">
        <v>337</v>
      </c>
      <c r="H26" s="108">
        <v>1</v>
      </c>
      <c r="I26" s="108">
        <v>1</v>
      </c>
      <c r="J26" s="108">
        <v>1</v>
      </c>
      <c r="K26" s="108">
        <v>0</v>
      </c>
      <c r="L26" s="108">
        <v>0</v>
      </c>
      <c r="M26" s="108">
        <v>0</v>
      </c>
      <c r="N26" s="108">
        <v>0</v>
      </c>
      <c r="O26" s="108">
        <v>1</v>
      </c>
      <c r="P26" s="108">
        <v>42</v>
      </c>
      <c r="Q26" s="108" t="s">
        <v>171</v>
      </c>
      <c r="R26" s="108" t="s">
        <v>172</v>
      </c>
    </row>
    <row r="27" spans="1:18" s="110" customFormat="1" x14ac:dyDescent="0.15">
      <c r="A27" s="108">
        <v>20017</v>
      </c>
      <c r="B27" s="108">
        <v>1</v>
      </c>
      <c r="C27" s="108" t="str">
        <f t="shared" si="2"/>
        <v>20017_1</v>
      </c>
      <c r="D27" s="109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08">
        <v>26</v>
      </c>
      <c r="F27" s="108" t="s">
        <v>262</v>
      </c>
      <c r="G27" s="108">
        <v>350</v>
      </c>
      <c r="H27" s="108">
        <v>1</v>
      </c>
      <c r="I27" s="108">
        <v>1</v>
      </c>
      <c r="J27" s="108">
        <v>1</v>
      </c>
      <c r="K27" s="108">
        <v>0</v>
      </c>
      <c r="L27" s="108">
        <v>0</v>
      </c>
      <c r="M27" s="108">
        <v>0</v>
      </c>
      <c r="N27" s="108">
        <v>0</v>
      </c>
      <c r="O27" s="108">
        <v>1</v>
      </c>
      <c r="P27" s="108">
        <v>100</v>
      </c>
      <c r="Q27" s="108" t="s">
        <v>171</v>
      </c>
      <c r="R27" s="108" t="s">
        <v>172</v>
      </c>
    </row>
    <row r="28" spans="1:18" s="110" customFormat="1" x14ac:dyDescent="0.15">
      <c r="A28" s="108">
        <v>20017</v>
      </c>
      <c r="B28" s="108">
        <v>1</v>
      </c>
      <c r="C28" s="108" t="str">
        <f t="shared" si="2"/>
        <v>20017_1</v>
      </c>
      <c r="D28" s="109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08">
        <v>27</v>
      </c>
      <c r="F28" s="108" t="s">
        <v>262</v>
      </c>
      <c r="G28" s="108">
        <v>121</v>
      </c>
      <c r="H28" s="108">
        <v>1</v>
      </c>
      <c r="I28" s="108">
        <v>1</v>
      </c>
      <c r="J28" s="108">
        <v>1</v>
      </c>
      <c r="K28" s="108">
        <v>0</v>
      </c>
      <c r="L28" s="108">
        <v>0</v>
      </c>
      <c r="M28" s="108">
        <v>0</v>
      </c>
      <c r="N28" s="108">
        <v>0</v>
      </c>
      <c r="O28" s="108">
        <v>1</v>
      </c>
      <c r="P28" s="108">
        <v>50</v>
      </c>
      <c r="Q28" s="108" t="s">
        <v>171</v>
      </c>
      <c r="R28" s="108" t="s">
        <v>172</v>
      </c>
    </row>
    <row r="29" spans="1:18" s="110" customFormat="1" x14ac:dyDescent="0.15">
      <c r="A29" s="108">
        <v>20017</v>
      </c>
      <c r="B29" s="108">
        <v>1</v>
      </c>
      <c r="C29" s="108" t="str">
        <f t="shared" si="2"/>
        <v>20017_1</v>
      </c>
      <c r="D29" s="109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08">
        <v>28</v>
      </c>
      <c r="F29" s="108" t="s">
        <v>262</v>
      </c>
      <c r="G29" s="108">
        <v>122</v>
      </c>
      <c r="H29" s="108">
        <v>1</v>
      </c>
      <c r="I29" s="108">
        <v>1</v>
      </c>
      <c r="J29" s="108">
        <v>1</v>
      </c>
      <c r="K29" s="108">
        <v>0</v>
      </c>
      <c r="L29" s="108">
        <v>0</v>
      </c>
      <c r="M29" s="108">
        <v>0</v>
      </c>
      <c r="N29" s="108">
        <v>0</v>
      </c>
      <c r="O29" s="108">
        <v>1</v>
      </c>
      <c r="P29" s="108">
        <v>50</v>
      </c>
      <c r="Q29" s="108" t="s">
        <v>171</v>
      </c>
      <c r="R29" s="108" t="s">
        <v>172</v>
      </c>
    </row>
    <row r="30" spans="1:18" s="110" customFormat="1" x14ac:dyDescent="0.15">
      <c r="A30" s="108">
        <v>20017</v>
      </c>
      <c r="B30" s="108">
        <v>1</v>
      </c>
      <c r="C30" s="108" t="str">
        <f t="shared" si="2"/>
        <v>20017_1</v>
      </c>
      <c r="D30" s="109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08">
        <v>29</v>
      </c>
      <c r="F30" s="108" t="s">
        <v>262</v>
      </c>
      <c r="G30" s="108">
        <v>123</v>
      </c>
      <c r="H30" s="108">
        <v>1</v>
      </c>
      <c r="I30" s="108">
        <v>1</v>
      </c>
      <c r="J30" s="108">
        <v>1</v>
      </c>
      <c r="K30" s="108">
        <v>0</v>
      </c>
      <c r="L30" s="108">
        <v>0</v>
      </c>
      <c r="M30" s="108">
        <v>0</v>
      </c>
      <c r="N30" s="108">
        <v>0</v>
      </c>
      <c r="O30" s="108">
        <v>1</v>
      </c>
      <c r="P30" s="108">
        <v>50</v>
      </c>
      <c r="Q30" s="108" t="s">
        <v>171</v>
      </c>
      <c r="R30" s="108" t="s">
        <v>172</v>
      </c>
    </row>
    <row r="31" spans="1:18" s="110" customFormat="1" x14ac:dyDescent="0.15">
      <c r="A31" s="108">
        <v>20017</v>
      </c>
      <c r="B31" s="108">
        <v>1</v>
      </c>
      <c r="C31" s="108" t="str">
        <f t="shared" si="2"/>
        <v>20017_1</v>
      </c>
      <c r="D31" s="109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08">
        <v>30</v>
      </c>
      <c r="F31" s="108" t="s">
        <v>262</v>
      </c>
      <c r="G31" s="108">
        <v>125</v>
      </c>
      <c r="H31" s="108">
        <v>1</v>
      </c>
      <c r="I31" s="108">
        <v>1</v>
      </c>
      <c r="J31" s="108">
        <v>1</v>
      </c>
      <c r="K31" s="108">
        <v>0</v>
      </c>
      <c r="L31" s="108">
        <v>0</v>
      </c>
      <c r="M31" s="108">
        <v>0</v>
      </c>
      <c r="N31" s="108">
        <v>0</v>
      </c>
      <c r="O31" s="108">
        <v>1</v>
      </c>
      <c r="P31" s="108">
        <v>10</v>
      </c>
      <c r="Q31" s="108" t="s">
        <v>171</v>
      </c>
      <c r="R31" s="108" t="s">
        <v>172</v>
      </c>
    </row>
    <row r="32" spans="1:18" s="110" customFormat="1" x14ac:dyDescent="0.15">
      <c r="A32" s="108">
        <v>20017</v>
      </c>
      <c r="B32" s="108">
        <v>1</v>
      </c>
      <c r="C32" s="108" t="str">
        <f t="shared" si="2"/>
        <v>20017_1</v>
      </c>
      <c r="D32" s="109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08">
        <v>31</v>
      </c>
      <c r="F32" s="108" t="s">
        <v>262</v>
      </c>
      <c r="G32" s="108">
        <v>931</v>
      </c>
      <c r="H32" s="108">
        <v>1</v>
      </c>
      <c r="I32" s="108">
        <v>1</v>
      </c>
      <c r="J32" s="108">
        <v>1</v>
      </c>
      <c r="K32" s="108">
        <v>0</v>
      </c>
      <c r="L32" s="108">
        <v>0</v>
      </c>
      <c r="M32" s="108">
        <v>0</v>
      </c>
      <c r="N32" s="108">
        <v>0</v>
      </c>
      <c r="O32" s="108">
        <v>1</v>
      </c>
      <c r="P32" s="108">
        <v>200</v>
      </c>
      <c r="Q32" s="108" t="s">
        <v>171</v>
      </c>
      <c r="R32" s="108" t="s">
        <v>172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D1:N1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6.83203125" bestFit="1" customWidth="1"/>
    <col min="4" max="4" width="17" customWidth="1" outlineLevel="1"/>
    <col min="5" max="5" width="18.83203125" customWidth="1" outlineLevel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/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stage_hints_complete</vt:lpstr>
      <vt:lpstr>stage_hints_failure</vt:lpstr>
      <vt:lpstr>bugbonuses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2017-03-08T03:45:45Z</dcterms:modified>
</cp:coreProperties>
</file>