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800" tabRatio="943" activeTab="3"/>
  </bookViews>
  <sheets>
    <sheet name="確率の考え方" sheetId="110" r:id="rId1"/>
    <sheet name="Sheet1" sheetId="107" r:id="rId2"/>
    <sheet name="output" sheetId="103" r:id="rId3"/>
    <sheet name="input_407010" sheetId="157" r:id="rId4"/>
    <sheet name="input_407011" sheetId="160" r:id="rId5"/>
    <sheet name="tables_407010" sheetId="158" r:id="rId6"/>
    <sheet name="tables_407011" sheetId="161" r:id="rId7"/>
    <sheet name="input_407100" sheetId="153" r:id="rId8"/>
    <sheet name="tables_407100" sheetId="154" r:id="rId9"/>
    <sheet name="tables_settle_407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tables_407010!$A$1:$V$294</definedName>
    <definedName name="_xlnm._FilterDatabase" localSheetId="6" hidden="1">tables_407011!$A$1:$V$294</definedName>
    <definedName name="_xlnm._FilterDatabase" localSheetId="8" hidden="1">tables_407100!$A$1:$V$294</definedName>
    <definedName name="_xlnm._FilterDatabase" localSheetId="9" hidden="1">tables_settle_407100!$A$1:$V$1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F6" i="153"/>
  <c r="B10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I4" i="161"/>
  <c r="D4" i="161"/>
  <c r="J4" i="161"/>
  <c r="E4" i="161"/>
  <c r="F4" i="161"/>
  <c r="C4" i="161"/>
  <c r="I5" i="161"/>
  <c r="D5" i="161"/>
  <c r="J5" i="161"/>
  <c r="E5" i="161"/>
  <c r="F5" i="161"/>
  <c r="C5" i="161"/>
  <c r="I6" i="161"/>
  <c r="D6" i="161"/>
  <c r="J6" i="161"/>
  <c r="E6" i="161"/>
  <c r="F6" i="161"/>
  <c r="C6" i="161"/>
  <c r="I7" i="161"/>
  <c r="D7" i="161"/>
  <c r="J7" i="161"/>
  <c r="E7" i="161"/>
  <c r="F7" i="161"/>
  <c r="C7" i="161"/>
  <c r="I8" i="161"/>
  <c r="D8" i="161"/>
  <c r="J8" i="161"/>
  <c r="E8" i="161"/>
  <c r="F8" i="161"/>
  <c r="C8" i="161"/>
  <c r="I9" i="161"/>
  <c r="D9" i="161"/>
  <c r="J9" i="161"/>
  <c r="E9" i="161"/>
  <c r="F9" i="161"/>
  <c r="C9" i="161"/>
  <c r="I10" i="161"/>
  <c r="D10" i="161"/>
  <c r="J10" i="161"/>
  <c r="E10" i="161"/>
  <c r="F10" i="161"/>
  <c r="C10" i="161"/>
  <c r="I11" i="161"/>
  <c r="D11" i="161"/>
  <c r="J11" i="161"/>
  <c r="E11" i="161"/>
  <c r="F11" i="161"/>
  <c r="C11" i="161"/>
  <c r="I12" i="161"/>
  <c r="D12" i="161"/>
  <c r="J12" i="161"/>
  <c r="E12" i="161"/>
  <c r="F12" i="161"/>
  <c r="C12" i="161"/>
  <c r="I13" i="161"/>
  <c r="D13" i="161"/>
  <c r="J13" i="161"/>
  <c r="E13" i="161"/>
  <c r="F13" i="161"/>
  <c r="C13" i="161"/>
  <c r="I14" i="161"/>
  <c r="D14" i="161"/>
  <c r="J14" i="161"/>
  <c r="E14" i="161"/>
  <c r="F14" i="161"/>
  <c r="C14" i="161"/>
  <c r="I15" i="161"/>
  <c r="D15" i="161"/>
  <c r="J15" i="161"/>
  <c r="E15" i="161"/>
  <c r="F15" i="161"/>
  <c r="C15" i="161"/>
  <c r="I16" i="161"/>
  <c r="D16" i="161"/>
  <c r="J16" i="161"/>
  <c r="E16" i="161"/>
  <c r="F16" i="161"/>
  <c r="C16" i="161"/>
  <c r="I17" i="161"/>
  <c r="D17" i="161"/>
  <c r="J17" i="161"/>
  <c r="E17" i="161"/>
  <c r="F17" i="161"/>
  <c r="C17" i="161"/>
  <c r="I18" i="161"/>
  <c r="D18" i="161"/>
  <c r="J18" i="161"/>
  <c r="E18" i="161"/>
  <c r="F18" i="161"/>
  <c r="C18" i="161"/>
  <c r="I19" i="161"/>
  <c r="D19" i="161"/>
  <c r="J19" i="161"/>
  <c r="E19" i="161"/>
  <c r="F19" i="161"/>
  <c r="C19" i="161"/>
  <c r="I20" i="161"/>
  <c r="D20" i="161"/>
  <c r="J20" i="161"/>
  <c r="E20" i="161"/>
  <c r="F20" i="161"/>
  <c r="C20" i="161"/>
  <c r="I21" i="161"/>
  <c r="D21" i="161"/>
  <c r="J21" i="161"/>
  <c r="E21" i="161"/>
  <c r="F21" i="161"/>
  <c r="C21" i="161"/>
  <c r="I22" i="161"/>
  <c r="D22" i="161"/>
  <c r="J22" i="161"/>
  <c r="E22" i="161"/>
  <c r="F22" i="161"/>
  <c r="C22" i="161"/>
  <c r="I23" i="161"/>
  <c r="D23" i="161"/>
  <c r="J23" i="161"/>
  <c r="E23" i="161"/>
  <c r="F23" i="161"/>
  <c r="C23" i="161"/>
  <c r="I24" i="161"/>
  <c r="D24" i="161"/>
  <c r="J24" i="161"/>
  <c r="E24" i="161"/>
  <c r="F24" i="161"/>
  <c r="C24" i="161"/>
  <c r="I25" i="161"/>
  <c r="D25" i="161"/>
  <c r="J25" i="161"/>
  <c r="E25" i="161"/>
  <c r="F25" i="161"/>
  <c r="C25" i="161"/>
  <c r="I26" i="161"/>
  <c r="D26" i="161"/>
  <c r="J26" i="161"/>
  <c r="E26" i="161"/>
  <c r="F26" i="161"/>
  <c r="C26" i="161"/>
  <c r="I27" i="161"/>
  <c r="D27" i="161"/>
  <c r="J27" i="161"/>
  <c r="E27" i="161"/>
  <c r="F27" i="161"/>
  <c r="C27" i="161"/>
  <c r="I28" i="161"/>
  <c r="D28" i="161"/>
  <c r="J28" i="161"/>
  <c r="E28" i="161"/>
  <c r="F28" i="161"/>
  <c r="C28" i="161"/>
  <c r="I29" i="161"/>
  <c r="D29" i="161"/>
  <c r="J29" i="161"/>
  <c r="E29" i="161"/>
  <c r="F29" i="161"/>
  <c r="C29" i="161"/>
  <c r="I30" i="161"/>
  <c r="D30" i="161"/>
  <c r="J30" i="161"/>
  <c r="E30" i="161"/>
  <c r="F30" i="161"/>
  <c r="C30" i="161"/>
  <c r="I31" i="161"/>
  <c r="D31" i="161"/>
  <c r="J31" i="161"/>
  <c r="E31" i="161"/>
  <c r="F31" i="161"/>
  <c r="C31" i="161"/>
  <c r="I32" i="161"/>
  <c r="D32" i="161"/>
  <c r="J32" i="161"/>
  <c r="E32" i="161"/>
  <c r="F32" i="161"/>
  <c r="C32" i="161"/>
  <c r="I33" i="161"/>
  <c r="D33" i="161"/>
  <c r="J33" i="161"/>
  <c r="E33" i="161"/>
  <c r="F33" i="161"/>
  <c r="C33" i="161"/>
  <c r="I34" i="161"/>
  <c r="D34" i="161"/>
  <c r="J34" i="161"/>
  <c r="E34" i="161"/>
  <c r="F34" i="161"/>
  <c r="C34" i="161"/>
  <c r="I35" i="161"/>
  <c r="D35" i="161"/>
  <c r="J35" i="161"/>
  <c r="E35" i="161"/>
  <c r="F35" i="161"/>
  <c r="C35" i="161"/>
  <c r="I36" i="161"/>
  <c r="D36" i="161"/>
  <c r="J36" i="161"/>
  <c r="E36" i="161"/>
  <c r="F36" i="161"/>
  <c r="C36" i="161"/>
  <c r="I37" i="161"/>
  <c r="D37" i="161"/>
  <c r="J37" i="161"/>
  <c r="E37" i="161"/>
  <c r="F37" i="161"/>
  <c r="C37" i="161"/>
  <c r="I38" i="161"/>
  <c r="D38" i="161"/>
  <c r="J38" i="161"/>
  <c r="E38" i="161"/>
  <c r="F38" i="161"/>
  <c r="C38" i="161"/>
  <c r="I39" i="161"/>
  <c r="D39" i="161"/>
  <c r="J39" i="161"/>
  <c r="E39" i="161"/>
  <c r="F39" i="161"/>
  <c r="C39" i="161"/>
  <c r="I40" i="161"/>
  <c r="D40" i="161"/>
  <c r="J40" i="161"/>
  <c r="E40" i="161"/>
  <c r="F40" i="161"/>
  <c r="C40" i="161"/>
  <c r="I41" i="161"/>
  <c r="D41" i="161"/>
  <c r="J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D215" i="161"/>
  <c r="J215" i="161"/>
  <c r="E215" i="161"/>
  <c r="F215" i="161"/>
  <c r="C215" i="161"/>
  <c r="I216" i="161"/>
  <c r="D216" i="161"/>
  <c r="J216" i="161"/>
  <c r="E216" i="161"/>
  <c r="F216" i="161"/>
  <c r="C216" i="161"/>
  <c r="I217" i="161"/>
  <c r="D217" i="161"/>
  <c r="J217" i="161"/>
  <c r="E217" i="161"/>
  <c r="F217" i="161"/>
  <c r="C217" i="161"/>
  <c r="I218" i="161"/>
  <c r="D218" i="161"/>
  <c r="J218" i="161"/>
  <c r="E218" i="161"/>
  <c r="F218" i="161"/>
  <c r="C218" i="161"/>
  <c r="I219" i="161"/>
  <c r="D219" i="161"/>
  <c r="J219" i="161"/>
  <c r="E219" i="161"/>
  <c r="F219" i="161"/>
  <c r="C219" i="161"/>
  <c r="I220" i="161"/>
  <c r="D220" i="161"/>
  <c r="J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F6" i="160"/>
  <c r="B10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0" i="160"/>
  <c r="B5" i="160"/>
  <c r="B6" i="160"/>
  <c r="B20" i="160"/>
  <c r="E21" i="160"/>
  <c r="B21" i="160"/>
  <c r="A2" i="160"/>
  <c r="F5" i="160"/>
  <c r="A36" i="160"/>
  <c r="E26" i="160"/>
  <c r="B26" i="160"/>
  <c r="G26" i="160"/>
  <c r="H26" i="160"/>
  <c r="O44" i="161"/>
  <c r="O47" i="161"/>
  <c r="O50" i="161"/>
  <c r="G21" i="160"/>
  <c r="H21" i="160"/>
  <c r="O53" i="161"/>
  <c r="E19" i="160"/>
  <c r="B19" i="160"/>
  <c r="E24" i="160"/>
  <c r="B24" i="160"/>
  <c r="B17" i="160"/>
  <c r="G17" i="160"/>
  <c r="E17" i="160"/>
  <c r="H17" i="160"/>
  <c r="O2" i="161"/>
  <c r="E18" i="160"/>
  <c r="B18" i="160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O45" i="161"/>
  <c r="O46" i="161"/>
  <c r="O48" i="161"/>
  <c r="O49" i="161"/>
  <c r="G19" i="160"/>
  <c r="H19" i="160"/>
  <c r="O51" i="161"/>
  <c r="G20" i="160"/>
  <c r="H20" i="160"/>
  <c r="O52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E5" i="160"/>
  <c r="E27" i="160"/>
  <c r="B27" i="160"/>
  <c r="G27" i="160"/>
  <c r="H27" i="160"/>
  <c r="O138" i="161"/>
  <c r="E28" i="160"/>
  <c r="B28" i="160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E22" i="160"/>
  <c r="E23" i="160"/>
  <c r="B23" i="160"/>
  <c r="B22" i="160"/>
  <c r="G22" i="160"/>
  <c r="H22" i="160"/>
  <c r="O256" i="161"/>
  <c r="G23" i="160"/>
  <c r="H23" i="160"/>
  <c r="O257" i="161"/>
  <c r="O258" i="161"/>
  <c r="O259" i="161"/>
  <c r="E29" i="160"/>
  <c r="B29" i="160"/>
  <c r="G29" i="160"/>
  <c r="H29" i="160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F42" i="160"/>
  <c r="G42" i="160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F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5" i="157"/>
  <c r="B6" i="157"/>
  <c r="B20" i="157"/>
  <c r="A2" i="157"/>
  <c r="F5" i="157"/>
  <c r="A36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F41" i="157"/>
  <c r="G41" i="157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2" i="153"/>
  <c r="F5" i="153"/>
  <c r="A36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O149" i="154"/>
  <c r="O150" i="154"/>
  <c r="O151" i="154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O196" i="154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O223" i="154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61"/>
  <c r="H305" i="161"/>
  <c r="K305" i="161"/>
  <c r="L305" i="161"/>
  <c r="M305" i="161"/>
  <c r="N305" i="161"/>
  <c r="A306" i="161"/>
  <c r="H306" i="161"/>
  <c r="K306" i="161"/>
  <c r="L306" i="161"/>
  <c r="M306" i="161"/>
  <c r="N306" i="161"/>
  <c r="A307" i="161"/>
  <c r="H307" i="161"/>
  <c r="K307" i="161"/>
  <c r="L307" i="161"/>
  <c r="M307" i="161"/>
  <c r="N307" i="161"/>
  <c r="A308" i="161"/>
  <c r="H308" i="161"/>
  <c r="K308" i="161"/>
  <c r="L308" i="161"/>
  <c r="M308" i="161"/>
  <c r="N308" i="161"/>
  <c r="A309" i="161"/>
  <c r="H309" i="161"/>
  <c r="K309" i="161"/>
  <c r="L309" i="161"/>
  <c r="M309" i="161"/>
  <c r="N309" i="161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F41" i="160"/>
  <c r="G41" i="160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C4" i="103"/>
  <c r="E4" i="103"/>
  <c r="B30" i="153"/>
  <c r="B30" i="160"/>
  <c r="B30" i="157"/>
  <c r="B46" i="160"/>
  <c r="B45" i="160"/>
  <c r="B43" i="160"/>
  <c r="B42" i="160"/>
  <c r="B41" i="160"/>
  <c r="F40" i="160"/>
  <c r="B40" i="160"/>
  <c r="E31" i="160"/>
  <c r="E30" i="160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G40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3" i="159"/>
  <c r="O2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G20" i="153"/>
  <c r="H20" i="153"/>
  <c r="I20" i="153"/>
  <c r="J20" i="153"/>
  <c r="B32" i="153"/>
  <c r="D32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1" i="160"/>
  <c r="F21" i="160"/>
  <c r="I21" i="160"/>
  <c r="J21" i="160"/>
  <c r="B32" i="160"/>
  <c r="D32" i="160"/>
  <c r="B44" i="160"/>
  <c r="B47" i="160"/>
  <c r="C40" i="160"/>
  <c r="C41" i="160"/>
  <c r="C42" i="160"/>
  <c r="C43" i="160"/>
  <c r="C44" i="160"/>
  <c r="C45" i="160"/>
  <c r="C46" i="160"/>
  <c r="C47" i="160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38" i="161"/>
  <c r="P139" i="161"/>
  <c r="P140" i="161"/>
  <c r="P141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F45" i="160"/>
  <c r="F46" i="160"/>
  <c r="F47" i="160"/>
  <c r="F48" i="160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<sst xmlns="http://schemas.openxmlformats.org/spreadsheetml/2006/main" count="651" uniqueCount="260">
  <si>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</si>
  <si>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</si>
  <si>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</si>
  <si>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</si>
  <si>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</si>
  <si>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</si>
  <si>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</si>
  <si>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</si>
  <si>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</si>
  <si>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</si>
  <si>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</si>
  <si>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</si>
  <si>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</si>
  <si>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</si>
  <si>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</si>
  <si>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</si>
  <si>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</si>
  <si>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</si>
  <si>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</si>
  <si>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</si>
  <si>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</si>
  <si>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</si>
  <si>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</si>
  <si>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</si>
  <si>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</si>
  <si>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</si>
  <si>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</si>
  <si>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</si>
  <si>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</si>
  <si>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</si>
  <si>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</si>
  <si>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</si>
  <si>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</si>
  <si>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</si>
  <si>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</si>
  <si>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</si>
  <si>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</si>
  <si>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</si>
  <si>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</si>
  <si>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</si>
  <si>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</si>
  <si>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</si>
  <si>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</si>
  <si>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</si>
  <si>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</si>
  <si>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</si>
  <si>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</si>
  <si>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</si>
  <si>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</si>
  <si>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</si>
  <si>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</si>
  <si>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</si>
  <si>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</si>
  <si>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</si>
  <si>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</si>
  <si>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</si>
  <si>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</si>
  <si>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</si>
  <si>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</si>
  <si>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</si>
  <si>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</si>
  <si>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</si>
  <si>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</si>
  <si>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</si>
  <si>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</si>
  <si>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</si>
  <si>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</si>
  <si>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</si>
  <si>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</si>
  <si>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</si>
  <si>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</si>
  <si>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</si>
  <si>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</si>
  <si>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</si>
  <si>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</si>
  <si>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</si>
  <si>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</si>
  <si>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</si>
  <si>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</si>
  <si>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</si>
  <si>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</si>
  <si>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</si>
  <si>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</si>
  <si>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</si>
  <si>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</si>
  <si>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</si>
  <si>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</si>
  <si>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</si>
  <si>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</si>
  <si>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</si>
  <si>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</si>
  <si>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</si>
  <si>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</si>
  <si>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</si>
  <si>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</si>
  <si>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</si>
  <si>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</si>
  <si>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</si>
  <si>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</si>
  <si>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</si>
  <si>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</si>
  <si>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</si>
  <si>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</si>
  <si>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</si>
  <si>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</si>
  <si>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</si>
  <si>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</si>
  <si>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</si>
  <si>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</si>
  <si>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</si>
  <si>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</si>
  <si>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</si>
  <si>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</si>
  <si>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</si>
  <si>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</si>
  <si>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</si>
  <si>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</si>
  <si>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</si>
  <si>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</si>
  <si>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</si>
  <si>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</si>
  <si>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</si>
  <si>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</si>
  <si>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</si>
  <si>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</si>
  <si>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</si>
  <si>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</si>
  <si>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</si>
  <si>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</si>
  <si>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</si>
  <si>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</si>
  <si>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</si>
  <si>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</si>
  <si>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</si>
  <si>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</si>
  <si>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</si>
  <si>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</si>
  <si>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</si>
  <si>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</si>
  <si>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</si>
  <si>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</si>
  <si>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</si>
  <si>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</si>
  <si>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</si>
  <si>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</si>
  <si>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</si>
  <si>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</si>
  <si>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</si>
  <si>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</si>
  <si>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</si>
  <si>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</si>
  <si>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</si>
  <si>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</si>
  <si>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</si>
  <si>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</si>
  <si>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</si>
  <si>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</si>
  <si>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</si>
  <si>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</si>
  <si>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</si>
  <si>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</si>
  <si>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</si>
  <si>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</si>
  <si>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</si>
  <si>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</si>
  <si>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</si>
  <si>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</si>
  <si>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</si>
  <si>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</si>
  <si>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</si>
  <si>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</si>
  <si>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</si>
  <si>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</si>
  <si>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</si>
  <si>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</si>
  <si>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</si>
  <si>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</si>
  <si>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</si>
  <si>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</si>
  <si>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</si>
  <si>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</si>
  <si>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</si>
  <si>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</si>
  <si>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</si>
  <si>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</si>
  <si>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</si>
  <si>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</si>
  <si>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</si>
  <si>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</si>
  <si>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</si>
  <si>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</si>
  <si>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</si>
  <si>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</si>
  <si>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</si>
  <si>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</si>
  <si>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</si>
  <si>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</si>
  <si>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</si>
  <si>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</si>
  <si>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</si>
  <si>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</si>
  <si>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</si>
  <si>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</si>
  <si>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</si>
  <si>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</si>
  <si>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</si>
  <si>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</si>
  <si>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</si>
  <si>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</si>
  <si>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</si>
  <si>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</si>
  <si>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</si>
  <si>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</si>
  <si>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</si>
  <si>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</si>
  <si>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</si>
  <si>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</si>
  <si>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</si>
  <si>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</si>
  <si>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</si>
  <si>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</si>
  <si>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</si>
  <si>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</si>
  <si>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</si>
  <si>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</si>
  <si>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</si>
  <si>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</si>
  <si>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</si>
  <si>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</si>
  <si>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</si>
  <si>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</si>
  <si>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</si>
  <si>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</si>
  <si>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</si>
  <si>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</si>
  <si>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</si>
  <si>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</si>
  <si>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</si>
  <si>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</si>
  <si>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</si>
  <si>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</si>
  <si>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</si>
  <si>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</si>
  <si>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</si>
  <si>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</si>
  <si>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</si>
  <si>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</si>
  <si>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</si>
  <si>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gacha_select_tables_</t>
    <phoneticPr fontId="22"/>
  </si>
  <si>
    <t>tables_398010</t>
    <phoneticPr fontId="22"/>
  </si>
  <si>
    <t>tables_398011</t>
    <phoneticPr fontId="22"/>
  </si>
  <si>
    <t>unit</t>
    <phoneticPr fontId="22"/>
  </si>
  <si>
    <t>ja</t>
    <phoneticPr fontId="22"/>
  </si>
  <si>
    <t>リトルハンプティ</t>
  </si>
  <si>
    <t>skip</t>
    <phoneticPr fontId="22"/>
  </si>
  <si>
    <t>skip</t>
    <phoneticPr fontId="22"/>
  </si>
  <si>
    <t>tables_407100</t>
    <phoneticPr fontId="22"/>
  </si>
  <si>
    <t>ハンプティおまけ付きガチャ特典</t>
    <phoneticPr fontId="22"/>
  </si>
  <si>
    <t>old</t>
    <phoneticPr fontId="22"/>
  </si>
  <si>
    <t>5連ガチャ特典として
リトルハンプティ1体をプレゼント！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</si>
</sst>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180" fontId="0" fillId="4" borderId="1" xfId="0" applyNumberFormat="1" applyFill="1" applyBorder="1"/>
    <xf numFmtId="0" fontId="4" fillId="4" borderId="1" xfId="2978" applyFont="1" applyFill="1" applyBorder="1"/>
    <xf numFmtId="0" fontId="3" fillId="0" borderId="1" xfId="3036" applyFont="1" applyBorder="1"/>
    <xf numFmtId="0" fontId="3" fillId="4" borderId="1" xfId="2978" applyFont="1" applyFill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6</v>
          </cell>
          <cell r="J1132" t="str">
            <v>PremiumSS</v>
          </cell>
          <cell r="K1132" t="str">
            <v>technical</v>
          </cell>
          <cell r="L1132" t="str">
            <v>バランスタイプ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PremiumSS</v>
          </cell>
          <cell r="K1133" t="str">
            <v>technical</v>
          </cell>
          <cell r="L1133" t="str">
            <v>バランスタイプ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8" sqref="A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407100</v>
      </c>
      <c r="D2" s="19" t="s">
        <v>45</v>
      </c>
      <c r="E2" s="17" t="str">
        <f t="shared" ref="E2" si="1">B2&amp;C2&amp;D2</f>
        <v>gacha_select_tables_407100.tmp</v>
      </c>
      <c r="F2" s="99" t="s">
        <v>256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8" t="s">
        <v>255</v>
      </c>
      <c r="B3" s="61" t="s">
        <v>110</v>
      </c>
      <c r="C3" s="50" t="str">
        <f t="shared" ref="C3:C7" si="2">RIGHT(F3,6)</f>
        <v>398010</v>
      </c>
      <c r="D3" s="19" t="s">
        <v>45</v>
      </c>
      <c r="E3" s="17" t="str">
        <f t="shared" ref="E3:E10" si="3">B3&amp;C3&amp;D3</f>
        <v>gacha_select_tables_398010.tmp</v>
      </c>
      <c r="F3" s="97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254</v>
      </c>
      <c r="B4" s="95" t="s">
        <v>248</v>
      </c>
      <c r="C4" s="50" t="str">
        <f>RIGHT(F4,6)</f>
        <v>398011</v>
      </c>
      <c r="D4" s="19" t="s">
        <v>45</v>
      </c>
      <c r="E4" s="17" t="str">
        <f>B4&amp;C4&amp;D4</f>
        <v>gacha_select_tables_398011.tmp</v>
      </c>
      <c r="F4" s="97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1" t="s">
        <v>258</v>
      </c>
      <c r="B8" s="27" t="s">
        <v>50</v>
      </c>
      <c r="C8" s="32">
        <v>407</v>
      </c>
      <c r="D8" s="19" t="s">
        <v>46</v>
      </c>
      <c r="E8" s="17" t="str">
        <f t="shared" si="3"/>
        <v>gacha_bonus_tables_407.tmp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1" t="s">
        <v>258</v>
      </c>
      <c r="B9" s="19" t="s">
        <v>48</v>
      </c>
      <c r="C9" s="32">
        <v>407</v>
      </c>
      <c r="D9" s="19" t="s">
        <v>46</v>
      </c>
      <c r="E9" s="17" t="str">
        <f t="shared" si="3"/>
        <v>gifts_tmp_407.tmp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1" t="s">
        <v>258</v>
      </c>
      <c r="B10" s="19" t="s">
        <v>49</v>
      </c>
      <c r="C10" s="32">
        <v>407</v>
      </c>
      <c r="D10" s="19" t="s">
        <v>46</v>
      </c>
      <c r="E10" s="17" t="str">
        <f t="shared" si="3"/>
        <v>gifts_i18n_407.tmp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topLeftCell="A6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1.0416666666666667E-3</v>
      </c>
      <c r="F5">
        <f>(COUNTIF(tables_407010!C:C,input_407010!A28)+COUNTIF(tables_407010!C:C,input_407010!A29))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(COUNTIF(tables_407010!C:C,input_407010!A25)+COUNTIF(tables_407010!C:C,input_407010!A18)+COUNTIF(tables_407010!C:C,input_407010!A20)+COUNTIF(tables_407010!C:C,input_407010!A22))</f>
        <v>88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COUNTIF(tables_407010!C:C,input_407010!A17)-COUNTIF(Q:Q,A17)</f>
        <v>20</v>
      </c>
      <c r="F17" s="43">
        <f>IFERROR(B17/E17,0)</f>
        <v>9.8863636363636341E-3</v>
      </c>
      <c r="G17">
        <f t="shared" ref="G17:G31" si="4">A$36*B17</f>
        <v>2087999.9999999998</v>
      </c>
      <c r="H17">
        <f t="shared" ref="H17:H31" si="5">IFERROR(ROUND(G17/E17,5),0)</f>
        <v>104400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COUNTIF(tables_407010!C:C,input_407010!A18)-COUNTIF(Q:Q,A18)</f>
        <v>20</v>
      </c>
      <c r="F18" s="43">
        <f>IFERROR(B18/E18,0)</f>
        <v>9.0909090909091082E-4</v>
      </c>
      <c r="G18">
        <f t="shared" si="4"/>
        <v>192000.00000000035</v>
      </c>
      <c r="H18">
        <f t="shared" si="5"/>
        <v>9600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COUNTIF(tables_407010!C:C,input_407010!A19)-COUNTIF(Q:Q,A19)</f>
        <v>52</v>
      </c>
      <c r="F19" s="43">
        <f t="shared" ref="F19:F31" si="8">IFERROR(B19/E19,0)</f>
        <v>5.3977272727272728E-3</v>
      </c>
      <c r="G19">
        <f t="shared" si="4"/>
        <v>2964000</v>
      </c>
      <c r="H19">
        <f t="shared" si="5"/>
        <v>57000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0.26160984848484853</v>
      </c>
      <c r="C20" s="85">
        <f t="shared" si="2"/>
        <v>0</v>
      </c>
      <c r="D20" s="74">
        <f t="shared" si="3"/>
        <v>0.26160984848484853</v>
      </c>
      <c r="E20">
        <f>COUNTIF(tables_407010!C:C,input_407010!A20)-COUNTIF(Q:Q,A20)</f>
        <v>52</v>
      </c>
      <c r="F20" s="43">
        <f t="shared" si="8"/>
        <v>5.0309586247086254E-3</v>
      </c>
      <c r="G20">
        <f t="shared" si="4"/>
        <v>2762600.0000000005</v>
      </c>
      <c r="H20">
        <f t="shared" si="5"/>
        <v>53126.92308</v>
      </c>
      <c r="I20">
        <f t="shared" si="6"/>
        <v>0.92308000000048196</v>
      </c>
      <c r="J20">
        <f t="shared" si="7"/>
        <v>1.0833297222336935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1.9071969696969702E-2</v>
      </c>
      <c r="C21" s="85">
        <f t="shared" si="2"/>
        <v>0</v>
      </c>
      <c r="D21" s="74">
        <f t="shared" si="3"/>
        <v>1.9071969696969702E-2</v>
      </c>
      <c r="E21">
        <f>COUNTIF(tables_407010!C:C,input_407010!A21)-COUNTIF(Q:Q,A21)</f>
        <v>52</v>
      </c>
      <c r="F21" s="43">
        <f t="shared" si="8"/>
        <v>3.6676864801864814E-4</v>
      </c>
      <c r="G21">
        <f t="shared" si="4"/>
        <v>201400.00000000006</v>
      </c>
      <c r="H21">
        <f t="shared" si="5"/>
        <v>3873.07692</v>
      </c>
      <c r="I21">
        <f t="shared" si="6"/>
        <v>7.6919999999972788E-2</v>
      </c>
      <c r="J21">
        <f t="shared" si="7"/>
        <v>13.000520020805432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COUNTIF(tables_407010!C:C,input_407010!A22)-COUNTIF(Q:Q,A22)</f>
        <v>12</v>
      </c>
      <c r="F22" s="43">
        <f t="shared" si="8"/>
        <v>1.0255681818181818E-2</v>
      </c>
      <c r="G22">
        <f t="shared" si="4"/>
        <v>1299600</v>
      </c>
      <c r="H22">
        <f t="shared" si="5"/>
        <v>108300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COUNTIF(tables_407010!C:C,input_407010!A23)-COUNTIF(Q:Q,A23)</f>
        <v>12</v>
      </c>
      <c r="F23" s="43">
        <f t="shared" si="8"/>
        <v>5.3977272727272728E-4</v>
      </c>
      <c r="G23">
        <f t="shared" si="4"/>
        <v>68400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COUNTIF(tables_407010!C:C,input_407010!A24)-COUNTIF(Q:Q,A24)</f>
        <v>4</v>
      </c>
      <c r="F24" s="43">
        <f t="shared" si="8"/>
        <v>5.3977272727272728E-3</v>
      </c>
      <c r="G24">
        <f t="shared" si="4"/>
        <v>228000</v>
      </c>
      <c r="H24">
        <f t="shared" si="5"/>
        <v>57000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COUNTIF(tables_407010!C:C,input_407010!A25)-COUNTIF(Q:Q,A25)</f>
        <v>4</v>
      </c>
      <c r="F25" s="43">
        <f t="shared" si="8"/>
        <v>4.8579545454545455E-3</v>
      </c>
      <c r="G25">
        <f t="shared" si="4"/>
        <v>205200</v>
      </c>
      <c r="H25">
        <f t="shared" si="5"/>
        <v>51300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COUNTIF(tables_407010!C:C,input_407010!A26)-COUNTIF(Q:Q,A26)</f>
        <v>4</v>
      </c>
      <c r="F26" s="43">
        <f t="shared" si="8"/>
        <v>5.3977272727272728E-4</v>
      </c>
      <c r="G26">
        <f t="shared" si="4"/>
        <v>22800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2.7708333333333331E-2</v>
      </c>
      <c r="C27" s="85">
        <f t="shared" si="2"/>
        <v>0</v>
      </c>
      <c r="D27" s="74">
        <f t="shared" si="3"/>
        <v>2.7708333333333331E-2</v>
      </c>
      <c r="E27">
        <f>COUNTIF(tables_407010!C:C,input_407010!A27)-COUNTIF(Q:Q,A27)</f>
        <v>28</v>
      </c>
      <c r="F27" s="43">
        <f>IFERROR(B27/E27,0)</f>
        <v>9.895833333333332E-4</v>
      </c>
      <c r="G27">
        <f t="shared" si="4"/>
        <v>292600</v>
      </c>
      <c r="H27">
        <f t="shared" si="5"/>
        <v>10450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1.4583333333333334E-3</v>
      </c>
      <c r="C28" s="85">
        <f t="shared" si="2"/>
        <v>0</v>
      </c>
      <c r="D28" s="74">
        <f t="shared" si="3"/>
        <v>1.4583333333333334E-3</v>
      </c>
      <c r="E28">
        <f>COUNTIF(tables_407010!C:C,input_407010!A28)-COUNTIF(Q:Q,A28)</f>
        <v>28</v>
      </c>
      <c r="F28" s="43">
        <f t="shared" si="8"/>
        <v>5.2083333333333337E-5</v>
      </c>
      <c r="G28">
        <f t="shared" si="4"/>
        <v>15400</v>
      </c>
      <c r="H28">
        <f t="shared" si="5"/>
        <v>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2.0833333333333332E-2</v>
      </c>
      <c r="C29" s="85">
        <f t="shared" si="2"/>
        <v>0</v>
      </c>
      <c r="D29" s="74">
        <f t="shared" si="3"/>
        <v>2.0833333333333332E-2</v>
      </c>
      <c r="E29">
        <f>COUNTIF(tables_407010!C:C,input_407010!A29)-COUNTIF(Q:Q,A29)</f>
        <v>20</v>
      </c>
      <c r="F29" s="43">
        <f t="shared" si="8"/>
        <v>1.0416666666666667E-3</v>
      </c>
      <c r="G29">
        <f t="shared" si="4"/>
        <v>220000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COUNTIF(tables_407010!C:C,input_407010!A30)-COUNTIF(Q:Q,A30)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COUNTIF(tables_407010!C:C,input_407010!A31)-COUNTIF(Q:Q,A31)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8.9962121212121549E-3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SUMIF(tables_407010!C:C,input_407010!A40,tables_407010!O:O)</f>
        <v>2964000</v>
      </c>
      <c r="C40" s="54">
        <f t="shared" ref="C40:C46" ca="1" si="9">B40/B$47</f>
        <v>0.47530468248877467</v>
      </c>
      <c r="E40">
        <v>3</v>
      </c>
      <c r="F40">
        <f ca="1">SUMIF(tables_407010!J:J,input_407010!E40,tables_407010!O:O)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SUMIF(tables_407010!C:C,input_407010!A41,tables_407010!O:O)</f>
        <v>2762600.0001600026</v>
      </c>
      <c r="C41" s="54">
        <f t="shared" ca="1" si="9"/>
        <v>0.44300833870429784</v>
      </c>
      <c r="E41">
        <v>4</v>
      </c>
      <c r="F41">
        <f ca="1">SUMIF(tables_407010!J:J,input_407010!E41,tables_407010!O:O)</f>
        <v>4752000.0001600031</v>
      </c>
      <c r="G41">
        <f ca="1">F41/A36</f>
        <v>0.45000000001515178</v>
      </c>
    </row>
    <row r="42" spans="1:7" x14ac:dyDescent="0.15">
      <c r="A42" s="33" t="s">
        <v>106</v>
      </c>
      <c r="B42">
        <f ca="1">SUMIF(tables_407010!C:C,input_407010!A42,tables_407010!O:O)</f>
        <v>292600</v>
      </c>
      <c r="C42" s="54">
        <f t="shared" ca="1" si="9"/>
        <v>4.6921103271327751E-2</v>
      </c>
      <c r="E42">
        <v>5</v>
      </c>
      <c r="F42">
        <f ca="1">SUMIF(tables_407010!J:J,input_407010!E42,tables_407010!O:O)</f>
        <v>527999.99983999995</v>
      </c>
      <c r="G42">
        <f ca="1">F42/A36</f>
        <v>4.9999999984848477E-2</v>
      </c>
    </row>
    <row r="43" spans="1:7" x14ac:dyDescent="0.15">
      <c r="A43" s="33" t="s">
        <v>109</v>
      </c>
      <c r="B43">
        <f>SUMIF(tables_407010!C:C,input_407010!A43,tables_407010!O:O)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SUMIF(tables_407010!C:C,input_407010!A44,tables_407010!O:O)</f>
        <v>201399.99983999997</v>
      </c>
      <c r="C44" s="54">
        <f t="shared" ca="1" si="9"/>
        <v>3.2296343784477211E-2</v>
      </c>
      <c r="E44" t="s">
        <v>54</v>
      </c>
      <c r="F44" s="55"/>
    </row>
    <row r="45" spans="1:7" x14ac:dyDescent="0.15">
      <c r="A45" s="33" t="s">
        <v>107</v>
      </c>
      <c r="B45">
        <f ca="1">SUMIF(tables_407010!C:C,input_407010!A45,tables_407010!O:O)</f>
        <v>15400</v>
      </c>
      <c r="C45" s="54">
        <f t="shared" ca="1" si="9"/>
        <v>2.4695317511225132E-3</v>
      </c>
      <c r="E45" t="s">
        <v>204</v>
      </c>
      <c r="F45" s="55">
        <f ca="1">SUMIF(tables_407010!I:I,input_407010!E45,tables_407010!P:P)</f>
        <v>0.21590909090909099</v>
      </c>
    </row>
    <row r="46" spans="1:7" x14ac:dyDescent="0.15">
      <c r="A46" s="33" t="s">
        <v>108</v>
      </c>
      <c r="B46">
        <f>SUMIF(tables_407010!C:C,input_407010!A46,tables_407010!O:O)</f>
        <v>0</v>
      </c>
      <c r="C46" s="54">
        <f t="shared" ca="1" si="9"/>
        <v>0</v>
      </c>
      <c r="E46" t="s">
        <v>205</v>
      </c>
      <c r="F46" s="55">
        <f ca="1">SUMIF(tables_407010!I:I,input_407010!E46,tables_407010!P:P)</f>
        <v>0.21590909090909099</v>
      </c>
    </row>
    <row r="47" spans="1:7" x14ac:dyDescent="0.15">
      <c r="A47" s="39" t="s">
        <v>59</v>
      </c>
      <c r="B47">
        <f ca="1">SUM(B40:B46)</f>
        <v>6236000.0000000028</v>
      </c>
      <c r="C47" s="55">
        <f ca="1">SUM(C40:C46)</f>
        <v>1</v>
      </c>
      <c r="E47" t="s">
        <v>206</v>
      </c>
      <c r="F47" s="55">
        <f ca="1">SUMIF(tables_407010!I:I,input_407010!E47,tables_407010!P:P)</f>
        <v>0.51818181818181841</v>
      </c>
    </row>
    <row r="48" spans="1:7" x14ac:dyDescent="0.15">
      <c r="E48" t="s">
        <v>207</v>
      </c>
      <c r="F48" s="55">
        <f ca="1">SUMIF(tables_407010!I:I,input_407010!E48,tables_407010!P:P)</f>
        <v>4.8958333333333381E-2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opLeftCell="A7"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407011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VLOOKUP(L3,tables_407011!B:C,2,FALSE)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VLOOKUP(L4,tables_407011!B:C,2,FALSE)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6.2500000000000001E-4</v>
      </c>
      <c r="F5">
        <f>(COUNTIF(tables_407011!C:C,input_407011!A28)+COUNTIF(tables_407011!C:C,input_407011!A29))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VLOOKUP(L5,tables_407011!B:C,2,FALSE)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1.1022727272727273E-2</v>
      </c>
      <c r="F6">
        <f>(COUNTIF(tables_407011!C:C,input_407011!A25)+COUNTIF(tables_407011!C:C,input_407011!A18)+COUNTIF(tables_407011!C:C,input_407011!A20)+COUNTIF(tables_407011!C:C,input_407011!A22))</f>
        <v>88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VLOOKUP(L6,tables_407011!B:C,2,FALSE)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VLOOKUP(L7,tables_407011!B:C,2,FALSE)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VLOOKUP(L8,tables_407011!B:C,2,FALSE)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VLOOKUP(L9,tables_407011!B:C,2,FALSE)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VLOOKUP(L10,tables_407011!B:C,2,FALSE)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VLOOKUP(L11,tables_407011!B:C,2,FALSE)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VLOOKUP(L12,tables_407011!B:C,2,FALSE)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VLOOKUP(L13,tables_407011!B:C,2,FALSE)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VLOOKUP(L14,tables_407011!B:C,2,FALSE)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VLOOKUP(L15,tables_407011!B:C,2,FALSE)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VLOOKUP(L16,tables_407011!B:C,2,FALSE)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0.1913636363636364</v>
      </c>
      <c r="C17" s="85">
        <f t="shared" ref="C17:C31" si="2">SUMIF(Q:Q,A17,N:N)</f>
        <v>0</v>
      </c>
      <c r="D17" s="74">
        <f t="shared" ref="D17:D32" si="3">B17-C17</f>
        <v>0.1913636363636364</v>
      </c>
      <c r="E17">
        <f>COUNTIF(tables_407011!C:C,input_407011!A17)-COUNTIF(Q:Q,A17)</f>
        <v>20</v>
      </c>
      <c r="F17" s="43">
        <f>IFERROR(B17/E17,0)</f>
        <v>9.5681818181818194E-3</v>
      </c>
      <c r="G17">
        <f t="shared" ref="G17:G31" si="4">A$36*B17</f>
        <v>2020800.0000000005</v>
      </c>
      <c r="H17">
        <f t="shared" ref="H17:H31" si="5">IFERROR(ROUND(G17/E17,5),0)</f>
        <v>101040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VLOOKUP(L17,tables_407011!B:C,2,FALSE)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2.9090909090909056E-2</v>
      </c>
      <c r="C18" s="85">
        <f t="shared" si="2"/>
        <v>0</v>
      </c>
      <c r="D18" s="74">
        <f t="shared" si="3"/>
        <v>2.9090909090909056E-2</v>
      </c>
      <c r="E18">
        <f>COUNTIF(tables_407011!C:C,input_407011!A18)-COUNTIF(Q:Q,A18)</f>
        <v>20</v>
      </c>
      <c r="F18" s="43">
        <f>IFERROR(B18/E18,0)</f>
        <v>1.4545454545454527E-3</v>
      </c>
      <c r="G18">
        <f t="shared" si="4"/>
        <v>307199.99999999965</v>
      </c>
      <c r="H18">
        <f t="shared" si="5"/>
        <v>15360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VLOOKUP(L18,tables_407011!B:C,2,FALSE)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0.28659090909090906</v>
      </c>
      <c r="C19" s="85">
        <f t="shared" si="2"/>
        <v>0</v>
      </c>
      <c r="D19" s="74">
        <f t="shared" si="3"/>
        <v>0.28659090909090906</v>
      </c>
      <c r="E19">
        <f>COUNTIF(tables_407011!C:C,input_407011!A19)-COUNTIF(Q:Q,A19)</f>
        <v>52</v>
      </c>
      <c r="F19" s="43">
        <f t="shared" ref="F19:F31" si="8">IFERROR(B19/E19,0)</f>
        <v>5.5113636363636354E-3</v>
      </c>
      <c r="G19">
        <f t="shared" si="4"/>
        <v>3026399.9999999995</v>
      </c>
      <c r="H19">
        <f t="shared" si="5"/>
        <v>58200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VLOOKUP(L19,tables_407011!B:C,2,FALSE)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0.25878409090909088</v>
      </c>
      <c r="C20" s="85">
        <f t="shared" si="2"/>
        <v>0</v>
      </c>
      <c r="D20" s="74">
        <f t="shared" si="3"/>
        <v>0.25878409090909088</v>
      </c>
      <c r="E20">
        <f>COUNTIF(tables_407011!C:C,input_407011!A20)-COUNTIF(Q:Q,A20)</f>
        <v>52</v>
      </c>
      <c r="F20" s="43">
        <f t="shared" si="8"/>
        <v>4.9766171328671322E-3</v>
      </c>
      <c r="G20">
        <f t="shared" si="4"/>
        <v>2732759.9999999995</v>
      </c>
      <c r="H20">
        <f t="shared" si="5"/>
        <v>52553.07692</v>
      </c>
      <c r="I20">
        <f t="shared" si="6"/>
        <v>7.6919999999518041E-2</v>
      </c>
      <c r="J20">
        <f t="shared" si="7"/>
        <v>13.00052002088229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VLOOKUP(L20,tables_407011!B:C,2,FALSE)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6">
        <f>E$6*E21*B$7-E34</f>
        <v>2.7806818181818186E-2</v>
      </c>
      <c r="C21" s="85">
        <f t="shared" si="2"/>
        <v>0</v>
      </c>
      <c r="D21" s="74">
        <f t="shared" si="3"/>
        <v>2.7806818181818186E-2</v>
      </c>
      <c r="E21">
        <f>COUNTIF(tables_407011!C:C,input_407011!A21)-COUNTIF(Q:Q,A21)</f>
        <v>52</v>
      </c>
      <c r="F21" s="43">
        <f t="shared" si="8"/>
        <v>5.3474650349650361E-4</v>
      </c>
      <c r="G21">
        <f t="shared" si="4"/>
        <v>293640.00000000006</v>
      </c>
      <c r="H21">
        <f t="shared" si="5"/>
        <v>5646.9230799999996</v>
      </c>
      <c r="I21">
        <f t="shared" si="6"/>
        <v>0.92307999999957246</v>
      </c>
      <c r="J21">
        <f t="shared" si="7"/>
        <v>1.0833297222347609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0.12565909090909089</v>
      </c>
      <c r="C22" s="85">
        <f t="shared" si="2"/>
        <v>0</v>
      </c>
      <c r="D22" s="74">
        <f t="shared" si="3"/>
        <v>0.12565909090909089</v>
      </c>
      <c r="E22">
        <f>COUNTIF(tables_407011!C:C,input_407011!A22)-COUNTIF(Q:Q,A22)</f>
        <v>12</v>
      </c>
      <c r="F22" s="43">
        <f t="shared" si="8"/>
        <v>1.0471590909090908E-2</v>
      </c>
      <c r="G22">
        <f t="shared" si="4"/>
        <v>1326959.9999999998</v>
      </c>
      <c r="H22">
        <f t="shared" si="5"/>
        <v>110580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6.6136363636363632E-3</v>
      </c>
      <c r="C23" s="85">
        <f t="shared" si="2"/>
        <v>0</v>
      </c>
      <c r="D23" s="74">
        <f t="shared" si="3"/>
        <v>6.6136363636363632E-3</v>
      </c>
      <c r="E23">
        <f>COUNTIF(tables_407011!C:C,input_407011!A23)-COUNTIF(Q:Q,A23)</f>
        <v>12</v>
      </c>
      <c r="F23" s="43">
        <f t="shared" si="8"/>
        <v>5.5113636363636356E-4</v>
      </c>
      <c r="G23">
        <f t="shared" si="4"/>
        <v>69840</v>
      </c>
      <c r="H23">
        <f t="shared" si="5"/>
        <v>5820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2.2045454545454545E-2</v>
      </c>
      <c r="C24" s="85">
        <f t="shared" si="2"/>
        <v>0</v>
      </c>
      <c r="D24" s="74">
        <f t="shared" si="3"/>
        <v>2.2045454545454545E-2</v>
      </c>
      <c r="E24">
        <f>COUNTIF(tables_407011!C:C,input_407011!A24)-COUNTIF(Q:Q,A24)</f>
        <v>4</v>
      </c>
      <c r="F24" s="43">
        <f t="shared" si="8"/>
        <v>5.5113636363636363E-3</v>
      </c>
      <c r="G24">
        <f t="shared" si="4"/>
        <v>232800</v>
      </c>
      <c r="H24">
        <f t="shared" si="5"/>
        <v>58200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1.984090909090909E-2</v>
      </c>
      <c r="C25" s="85">
        <f t="shared" si="2"/>
        <v>0</v>
      </c>
      <c r="D25" s="74">
        <f t="shared" si="3"/>
        <v>1.984090909090909E-2</v>
      </c>
      <c r="E25">
        <f>COUNTIF(tables_407011!C:C,input_407011!A25)-COUNTIF(Q:Q,A25)</f>
        <v>4</v>
      </c>
      <c r="F25" s="43">
        <f t="shared" si="8"/>
        <v>4.9602272727272724E-3</v>
      </c>
      <c r="G25">
        <f t="shared" si="4"/>
        <v>209520</v>
      </c>
      <c r="H25">
        <f t="shared" si="5"/>
        <v>52380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2.2045454545454547E-3</v>
      </c>
      <c r="C26" s="85">
        <f t="shared" si="2"/>
        <v>0</v>
      </c>
      <c r="D26" s="74">
        <f t="shared" si="3"/>
        <v>2.2045454545454547E-3</v>
      </c>
      <c r="E26">
        <f>COUNTIF(tables_407011!C:C,input_407011!A26)-COUNTIF(Q:Q,A26)</f>
        <v>4</v>
      </c>
      <c r="F26" s="43">
        <f t="shared" si="8"/>
        <v>5.5113636363636367E-4</v>
      </c>
      <c r="G26">
        <f t="shared" si="4"/>
        <v>23280</v>
      </c>
      <c r="H26">
        <f t="shared" si="5"/>
        <v>5820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1.6625000000000001E-2</v>
      </c>
      <c r="C27" s="85">
        <f t="shared" si="2"/>
        <v>0</v>
      </c>
      <c r="D27" s="74">
        <f t="shared" si="3"/>
        <v>1.6625000000000001E-2</v>
      </c>
      <c r="E27">
        <f>COUNTIF(tables_407011!C:C,input_407011!A27)-COUNTIF(Q:Q,A27)</f>
        <v>28</v>
      </c>
      <c r="F27" s="43">
        <f>IFERROR(B27/E27,0)</f>
        <v>5.9374999999999999E-4</v>
      </c>
      <c r="G27">
        <f t="shared" si="4"/>
        <v>175560</v>
      </c>
      <c r="H27">
        <f t="shared" si="5"/>
        <v>6270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8.7500000000000013E-4</v>
      </c>
      <c r="C28" s="85">
        <f t="shared" si="2"/>
        <v>0</v>
      </c>
      <c r="D28" s="74">
        <f t="shared" si="3"/>
        <v>8.7500000000000013E-4</v>
      </c>
      <c r="E28">
        <f>COUNTIF(tables_407011!C:C,input_407011!A28)-COUNTIF(Q:Q,A28)</f>
        <v>28</v>
      </c>
      <c r="F28" s="43">
        <f t="shared" si="8"/>
        <v>3.1250000000000007E-5</v>
      </c>
      <c r="G28">
        <f t="shared" si="4"/>
        <v>9240.0000000000018</v>
      </c>
      <c r="H28">
        <f t="shared" si="5"/>
        <v>330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1.2500000000000001E-2</v>
      </c>
      <c r="C29" s="85">
        <f t="shared" si="2"/>
        <v>0</v>
      </c>
      <c r="D29" s="74">
        <f t="shared" si="3"/>
        <v>1.2500000000000001E-2</v>
      </c>
      <c r="E29">
        <f>COUNTIF(tables_407011!C:C,input_407011!A29)-COUNTIF(Q:Q,A29)</f>
        <v>20</v>
      </c>
      <c r="F29" s="43">
        <f t="shared" si="8"/>
        <v>6.2500000000000001E-4</v>
      </c>
      <c r="G29">
        <f t="shared" si="4"/>
        <v>132000</v>
      </c>
      <c r="H29">
        <f t="shared" si="5"/>
        <v>6600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COUNTIF(tables_407011!C:C,input_407011!A30)-COUNTIF(Q:Q,A30)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COUNTIF(tables_407011!C:C,input_407011!A31)-COUNTIF(Q:Q,A31)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0.99999999999999978</v>
      </c>
      <c r="C32" s="41">
        <f>SUM(C19:C31)</f>
        <v>0</v>
      </c>
      <c r="D32" s="42">
        <f t="shared" si="3"/>
        <v>0.99999999999999978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8.5227272727272235E-4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SUMIF(tables_407011!C:C,input_407011!A40,tables_407011!O:O)</f>
        <v>3026400</v>
      </c>
      <c r="C40" s="54">
        <f t="shared" ref="C40:C46" ca="1" si="9">B40/B$47</f>
        <v>0.48518661023470588</v>
      </c>
      <c r="E40">
        <v>3</v>
      </c>
      <c r="F40">
        <f ca="1">SUMIF(tables_407011!J:J,input_407011!E40,tables_407011!O:O)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SUMIF(tables_407011!C:C,input_407011!A41,tables_407011!O:O)</f>
        <v>2732759.9998399974</v>
      </c>
      <c r="C41" s="54">
        <f t="shared" ca="1" si="9"/>
        <v>0.43811081182506068</v>
      </c>
      <c r="E41">
        <v>4</v>
      </c>
      <c r="F41">
        <f ca="1">SUMIF(tables_407011!J:J,input_407011!E41,tables_407011!O:O)</f>
        <v>4751999.9998399969</v>
      </c>
      <c r="G41">
        <f ca="1">F41/A36</f>
        <v>0.44999999998484819</v>
      </c>
    </row>
    <row r="42" spans="1:7" x14ac:dyDescent="0.15">
      <c r="A42" s="33" t="s">
        <v>106</v>
      </c>
      <c r="B42">
        <f ca="1">SUMIF(tables_407011!C:C,input_407011!A42,tables_407011!O:O)</f>
        <v>175560</v>
      </c>
      <c r="C42" s="54">
        <f t="shared" ca="1" si="9"/>
        <v>2.8145440554059264E-2</v>
      </c>
      <c r="E42">
        <v>5</v>
      </c>
      <c r="F42">
        <f ca="1">SUMIF(tables_407011!J:J,input_407011!E42,tables_407011!O:O)</f>
        <v>528000.00015999982</v>
      </c>
      <c r="G42">
        <f ca="1">F42/A36</f>
        <v>5.0000000015151501E-2</v>
      </c>
    </row>
    <row r="43" spans="1:7" x14ac:dyDescent="0.15">
      <c r="A43" s="33" t="s">
        <v>109</v>
      </c>
      <c r="B43">
        <f>SUMIF(tables_407011!C:C,input_407011!A43,tables_407011!O:O)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SUMIF(tables_407011!C:C,input_407011!A44,tables_407011!O:O)</f>
        <v>293640.00016</v>
      </c>
      <c r="C44" s="54">
        <f t="shared" ca="1" si="9"/>
        <v>4.7075798409644758E-2</v>
      </c>
      <c r="E44" t="s">
        <v>54</v>
      </c>
      <c r="F44" s="55"/>
    </row>
    <row r="45" spans="1:7" x14ac:dyDescent="0.15">
      <c r="A45" s="33" t="s">
        <v>107</v>
      </c>
      <c r="B45">
        <f ca="1">SUMIF(tables_407011!C:C,input_407011!A45,tables_407011!O:O)</f>
        <v>9240</v>
      </c>
      <c r="C45" s="54">
        <f t="shared" ca="1" si="9"/>
        <v>1.481338976529435E-3</v>
      </c>
      <c r="E45" t="s">
        <v>204</v>
      </c>
      <c r="F45" s="55">
        <f ca="1">SUMIF(tables_407011!I:I,input_407011!E45,tables_407011!P:P)</f>
        <v>0.22045454545454546</v>
      </c>
    </row>
    <row r="46" spans="1:7" x14ac:dyDescent="0.15">
      <c r="A46" s="33" t="s">
        <v>108</v>
      </c>
      <c r="B46">
        <f>SUMIF(tables_407011!C:C,input_407011!A46,tables_407011!O:O)</f>
        <v>0</v>
      </c>
      <c r="C46" s="54">
        <f t="shared" ca="1" si="9"/>
        <v>0</v>
      </c>
      <c r="E46" t="s">
        <v>205</v>
      </c>
      <c r="F46" s="55">
        <f ca="1">SUMIF(tables_407011!I:I,input_407011!E46,tables_407011!P:P)</f>
        <v>0.22045454545454538</v>
      </c>
    </row>
    <row r="47" spans="1:7" x14ac:dyDescent="0.15">
      <c r="A47" s="39" t="s">
        <v>59</v>
      </c>
      <c r="B47">
        <f ca="1">SUM(B40:B46)</f>
        <v>6237599.9999999972</v>
      </c>
      <c r="C47" s="55">
        <f ca="1">SUM(C40:C46)</f>
        <v>1</v>
      </c>
      <c r="E47" t="s">
        <v>206</v>
      </c>
      <c r="F47" s="55">
        <f ca="1">SUMIF(tables_407011!I:I,input_407011!E47,tables_407011!P:P)</f>
        <v>0.52909090909090817</v>
      </c>
    </row>
    <row r="48" spans="1:7" x14ac:dyDescent="0.15">
      <c r="E48" t="s">
        <v>207</v>
      </c>
      <c r="F48" s="55">
        <f ca="1">SUMIF(tables_407011!I:I,input_407011!E48,tables_407011!P:P)</f>
        <v>2.9375000000000016E-2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input_407010!A$2</f>
        <v>407010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IFERROR(VLOOKUP(B2,input_407010!L:R,7,FALSE),VLOOKUP(tables_407010!C2,input_407010!A:H,8,FALSE))</f>
        <v>104400</v>
      </c>
      <c r="P2" s="46">
        <f t="shared" ref="P2:P65" ca="1" si="1">O2/SUM(O:O)</f>
        <v>9.8863636363636358E-3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input_407010!A$2</f>
        <v>407010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IFERROR(VLOOKUP(B3,input_407010!L:R,7,FALSE),VLOOKUP(tables_407010!C3,input_407010!A:H,8,FALSE))</f>
        <v>9600</v>
      </c>
      <c r="P3" s="46">
        <f t="shared" ca="1" si="1"/>
        <v>9.0909090909090909E-4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input_407010!A$2</f>
        <v>407010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IFERROR(VLOOKUP(B4,input_407010!L:R,7,FALSE),VLOOKUP(tables_407010!C4,input_407010!A:H,8,FALSE))</f>
        <v>104400</v>
      </c>
      <c r="P4" s="46">
        <f t="shared" ca="1" si="1"/>
        <v>9.8863636363636358E-3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input_407010!A$2</f>
        <v>407010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IFERROR(VLOOKUP(B5,input_407010!L:R,7,FALSE),VLOOKUP(tables_407010!C5,input_407010!A:H,8,FALSE))</f>
        <v>9600</v>
      </c>
      <c r="P5" s="46">
        <f t="shared" ca="1" si="1"/>
        <v>9.0909090909090909E-4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input_407010!A$2</f>
        <v>407010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IFERROR(VLOOKUP(B6,input_407010!L:R,7,FALSE),VLOOKUP(tables_407010!C6,input_407010!A:H,8,FALSE))</f>
        <v>104400</v>
      </c>
      <c r="P6" s="46">
        <f t="shared" ca="1" si="1"/>
        <v>9.8863636363636358E-3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input_407010!A$2</f>
        <v>407010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IFERROR(VLOOKUP(B7,input_407010!L:R,7,FALSE),VLOOKUP(tables_407010!C7,input_407010!A:H,8,FALSE))</f>
        <v>9600</v>
      </c>
      <c r="P7" s="46">
        <f t="shared" ca="1" si="1"/>
        <v>9.0909090909090909E-4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input_407010!A$2</f>
        <v>407010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IFERROR(VLOOKUP(B8,input_407010!L:R,7,FALSE),VLOOKUP(tables_407010!C8,input_407010!A:H,8,FALSE))</f>
        <v>104400</v>
      </c>
      <c r="P8" s="46">
        <f t="shared" ca="1" si="1"/>
        <v>9.8863636363636358E-3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input_407010!A$2</f>
        <v>407010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IFERROR(VLOOKUP(B9,input_407010!L:R,7,FALSE),VLOOKUP(tables_407010!C9,input_407010!A:H,8,FALSE))</f>
        <v>9600</v>
      </c>
      <c r="P9" s="46">
        <f t="shared" ca="1" si="1"/>
        <v>9.0909090909090909E-4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input_407010!A$2</f>
        <v>407010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IFERROR(VLOOKUP(B10,input_407010!L:R,7,FALSE),VLOOKUP(tables_407010!C10,input_407010!A:H,8,FALSE))</f>
        <v>104400</v>
      </c>
      <c r="P10" s="46">
        <f t="shared" ca="1" si="1"/>
        <v>9.8863636363636358E-3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input_407010!A$2</f>
        <v>407010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IFERROR(VLOOKUP(B11,input_407010!L:R,7,FALSE),VLOOKUP(tables_407010!C11,input_407010!A:H,8,FALSE))</f>
        <v>9600</v>
      </c>
      <c r="P11" s="46">
        <f t="shared" ca="1" si="1"/>
        <v>9.0909090909090909E-4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input_407010!A$2</f>
        <v>407010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IFERROR(VLOOKUP(B12,input_407010!L:R,7,FALSE),VLOOKUP(tables_407010!C12,input_407010!A:H,8,FALSE))</f>
        <v>104400</v>
      </c>
      <c r="P12" s="46">
        <f t="shared" ca="1" si="1"/>
        <v>9.8863636363636358E-3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input_407010!A$2</f>
        <v>407010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IFERROR(VLOOKUP(B13,input_407010!L:R,7,FALSE),VLOOKUP(tables_407010!C13,input_407010!A:H,8,FALSE))</f>
        <v>9600</v>
      </c>
      <c r="P13" s="46">
        <f t="shared" ca="1" si="1"/>
        <v>9.0909090909090909E-4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input_407010!A$2</f>
        <v>407010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IFERROR(VLOOKUP(B14,input_407010!L:R,7,FALSE),VLOOKUP(tables_407010!C14,input_407010!A:H,8,FALSE))</f>
        <v>104400</v>
      </c>
      <c r="P14" s="46">
        <f t="shared" ca="1" si="1"/>
        <v>9.8863636363636358E-3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input_407010!A$2</f>
        <v>407010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IFERROR(VLOOKUP(B15,input_407010!L:R,7,FALSE),VLOOKUP(tables_407010!C15,input_407010!A:H,8,FALSE))</f>
        <v>9600</v>
      </c>
      <c r="P15" s="46">
        <f t="shared" ca="1" si="1"/>
        <v>9.0909090909090909E-4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input_407010!A$2</f>
        <v>407010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IFERROR(VLOOKUP(B16,input_407010!L:R,7,FALSE),VLOOKUP(tables_407010!C16,input_407010!A:H,8,FALSE))</f>
        <v>104400</v>
      </c>
      <c r="P16" s="46">
        <f t="shared" ca="1" si="1"/>
        <v>9.8863636363636358E-3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input_407010!A$2</f>
        <v>407010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IFERROR(VLOOKUP(B17,input_407010!L:R,7,FALSE),VLOOKUP(tables_407010!C17,input_407010!A:H,8,FALSE))</f>
        <v>9600</v>
      </c>
      <c r="P17" s="46">
        <f t="shared" ca="1" si="1"/>
        <v>9.0909090909090909E-4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input_407010!A$2</f>
        <v>407010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IFERROR(VLOOKUP(B18,input_407010!L:R,7,FALSE),VLOOKUP(tables_407010!C18,input_407010!A:H,8,FALSE))</f>
        <v>104400</v>
      </c>
      <c r="P18" s="46">
        <f t="shared" ca="1" si="1"/>
        <v>9.8863636363636358E-3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input_407010!A$2</f>
        <v>407010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IFERROR(VLOOKUP(B19,input_407010!L:R,7,FALSE),VLOOKUP(tables_407010!C19,input_407010!A:H,8,FALSE))</f>
        <v>9600</v>
      </c>
      <c r="P19" s="46">
        <f t="shared" ca="1" si="1"/>
        <v>9.0909090909090909E-4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input_407010!A$2</f>
        <v>407010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IFERROR(VLOOKUP(B20,input_407010!L:R,7,FALSE),VLOOKUP(tables_407010!C20,input_407010!A:H,8,FALSE))</f>
        <v>104400</v>
      </c>
      <c r="P20" s="46">
        <f t="shared" ca="1" si="1"/>
        <v>9.8863636363636358E-3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input_407010!A$2</f>
        <v>407010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IFERROR(VLOOKUP(B21,input_407010!L:R,7,FALSE),VLOOKUP(tables_407010!C21,input_407010!A:H,8,FALSE))</f>
        <v>9600</v>
      </c>
      <c r="P21" s="46">
        <f t="shared" ca="1" si="1"/>
        <v>9.0909090909090909E-4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input_407010!A$2</f>
        <v>407010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IFERROR(VLOOKUP(B22,input_407010!L:R,7,FALSE),VLOOKUP(tables_407010!C22,input_407010!A:H,8,FALSE))</f>
        <v>104400</v>
      </c>
      <c r="P22" s="46">
        <f t="shared" ca="1" si="1"/>
        <v>9.8863636363636358E-3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input_407010!A$2</f>
        <v>407010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IFERROR(VLOOKUP(B23,input_407010!L:R,7,FALSE),VLOOKUP(tables_407010!C23,input_407010!A:H,8,FALSE))</f>
        <v>9600</v>
      </c>
      <c r="P23" s="46">
        <f t="shared" ca="1" si="1"/>
        <v>9.0909090909090909E-4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input_407010!A$2</f>
        <v>407010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IFERROR(VLOOKUP(B24,input_407010!L:R,7,FALSE),VLOOKUP(tables_407010!C24,input_407010!A:H,8,FALSE))</f>
        <v>104400</v>
      </c>
      <c r="P24" s="46">
        <f t="shared" ca="1" si="1"/>
        <v>9.8863636363636358E-3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input_407010!A$2</f>
        <v>407010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IFERROR(VLOOKUP(B25,input_407010!L:R,7,FALSE),VLOOKUP(tables_407010!C25,input_407010!A:H,8,FALSE))</f>
        <v>9600</v>
      </c>
      <c r="P25" s="46">
        <f t="shared" ca="1" si="1"/>
        <v>9.0909090909090909E-4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input_407010!A$2</f>
        <v>407010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IFERROR(VLOOKUP(B26,input_407010!L:R,7,FALSE),VLOOKUP(tables_407010!C26,input_407010!A:H,8,FALSE))</f>
        <v>104400</v>
      </c>
      <c r="P26" s="46">
        <f t="shared" ca="1" si="1"/>
        <v>9.8863636363636358E-3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input_407010!A$2</f>
        <v>407010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IFERROR(VLOOKUP(B27,input_407010!L:R,7,FALSE),VLOOKUP(tables_407010!C27,input_407010!A:H,8,FALSE))</f>
        <v>9600</v>
      </c>
      <c r="P27" s="46">
        <f t="shared" ca="1" si="1"/>
        <v>9.0909090909090909E-4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input_407010!A$2</f>
        <v>407010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IFERROR(VLOOKUP(B28,input_407010!L:R,7,FALSE),VLOOKUP(tables_407010!C28,input_407010!A:H,8,FALSE))</f>
        <v>104400</v>
      </c>
      <c r="P28" s="46">
        <f t="shared" ca="1" si="1"/>
        <v>9.8863636363636358E-3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input_407010!A$2</f>
        <v>407010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IFERROR(VLOOKUP(B29,input_407010!L:R,7,FALSE),VLOOKUP(tables_407010!C29,input_407010!A:H,8,FALSE))</f>
        <v>9600</v>
      </c>
      <c r="P29" s="46">
        <f t="shared" ca="1" si="1"/>
        <v>9.0909090909090909E-4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input_407010!A$2</f>
        <v>407010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IFERROR(VLOOKUP(B30,input_407010!L:R,7,FALSE),VLOOKUP(tables_407010!C30,input_407010!A:H,8,FALSE))</f>
        <v>104400</v>
      </c>
      <c r="P30" s="46">
        <f t="shared" ca="1" si="1"/>
        <v>9.8863636363636358E-3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input_407010!A$2</f>
        <v>407010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IFERROR(VLOOKUP(B31,input_407010!L:R,7,FALSE),VLOOKUP(tables_407010!C31,input_407010!A:H,8,FALSE))</f>
        <v>9600</v>
      </c>
      <c r="P31" s="46">
        <f t="shared" ca="1" si="1"/>
        <v>9.0909090909090909E-4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input_407010!A$2</f>
        <v>407010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IFERROR(VLOOKUP(B32,input_407010!L:R,7,FALSE),VLOOKUP(tables_407010!C32,input_407010!A:H,8,FALSE))</f>
        <v>104400</v>
      </c>
      <c r="P32" s="46">
        <f t="shared" ca="1" si="1"/>
        <v>9.8863636363636358E-3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input_407010!A$2</f>
        <v>407010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IFERROR(VLOOKUP(B33,input_407010!L:R,7,FALSE),VLOOKUP(tables_407010!C33,input_407010!A:H,8,FALSE))</f>
        <v>9600</v>
      </c>
      <c r="P33" s="46">
        <f t="shared" ca="1" si="1"/>
        <v>9.0909090909090909E-4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input_407010!A$2</f>
        <v>407010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IFERROR(VLOOKUP(B34,input_407010!L:R,7,FALSE),VLOOKUP(tables_407010!C34,input_407010!A:H,8,FALSE))</f>
        <v>104400</v>
      </c>
      <c r="P34" s="46">
        <f t="shared" ca="1" si="1"/>
        <v>9.8863636363636358E-3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input_407010!A$2</f>
        <v>407010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IFERROR(VLOOKUP(B35,input_407010!L:R,7,FALSE),VLOOKUP(tables_407010!C35,input_407010!A:H,8,FALSE))</f>
        <v>9600</v>
      </c>
      <c r="P35" s="46">
        <f t="shared" ca="1" si="1"/>
        <v>9.0909090909090909E-4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input_407010!A$2</f>
        <v>407010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IFERROR(VLOOKUP(B36,input_407010!L:R,7,FALSE),VLOOKUP(tables_407010!C36,input_407010!A:H,8,FALSE))</f>
        <v>104400</v>
      </c>
      <c r="P36" s="46">
        <f t="shared" ca="1" si="1"/>
        <v>9.8863636363636358E-3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input_407010!A$2</f>
        <v>407010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IFERROR(VLOOKUP(B37,input_407010!L:R,7,FALSE),VLOOKUP(tables_407010!C37,input_407010!A:H,8,FALSE))</f>
        <v>9600</v>
      </c>
      <c r="P37" s="46">
        <f t="shared" ca="1" si="1"/>
        <v>9.0909090909090909E-4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input_407010!A$2</f>
        <v>407010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IFERROR(VLOOKUP(B38,input_407010!L:R,7,FALSE),VLOOKUP(tables_407010!C38,input_407010!A:H,8,FALSE))</f>
        <v>104400</v>
      </c>
      <c r="P38" s="46">
        <f t="shared" ca="1" si="1"/>
        <v>9.8863636363636358E-3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input_407010!A$2</f>
        <v>407010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IFERROR(VLOOKUP(B39,input_407010!L:R,7,FALSE),VLOOKUP(tables_407010!C39,input_407010!A:H,8,FALSE))</f>
        <v>9600</v>
      </c>
      <c r="P39" s="46">
        <f t="shared" ca="1" si="1"/>
        <v>9.0909090909090909E-4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input_407010!A$2</f>
        <v>407010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IFERROR(VLOOKUP(B40,input_407010!L:R,7,FALSE),VLOOKUP(tables_407010!C40,input_407010!A:H,8,FALSE))</f>
        <v>104400</v>
      </c>
      <c r="P40" s="46">
        <f t="shared" ca="1" si="1"/>
        <v>9.8863636363636358E-3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input_407010!A$2</f>
        <v>407010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IFERROR(VLOOKUP(B41,input_407010!L:R,7,FALSE),VLOOKUP(tables_407010!C41,input_407010!A:H,8,FALSE))</f>
        <v>9600</v>
      </c>
      <c r="P41" s="46">
        <f t="shared" ca="1" si="1"/>
        <v>9.0909090909090909E-4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input_407010!A$2</f>
        <v>407010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IFERROR(VLOOKUP(B42,input_407010!L:R,7,FALSE),VLOOKUP(tables_407010!C42,input_407010!A:H,8,FALSE))</f>
        <v>57000</v>
      </c>
      <c r="P42" s="46">
        <f t="shared" ca="1" si="1"/>
        <v>5.3977272727272728E-3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input_407010!A$2</f>
        <v>407010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IFERROR(VLOOKUP(B43,input_407010!L:R,7,FALSE),VLOOKUP(tables_407010!C43,input_407010!A:H,8,FALSE))</f>
        <v>51300</v>
      </c>
      <c r="P43" s="46">
        <f t="shared" ca="1" si="1"/>
        <v>4.8579545454545455E-3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input_407010!A$2</f>
        <v>407010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IFERROR(VLOOKUP(B44,input_407010!L:R,7,FALSE),VLOOKUP(tables_407010!C44,input_407010!A:H,8,FALSE))</f>
        <v>5700</v>
      </c>
      <c r="P44" s="46">
        <f t="shared" ca="1" si="1"/>
        <v>5.3977272727272728E-4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input_407010!A$2</f>
        <v>407010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IFERROR(VLOOKUP(B45,input_407010!L:R,7,FALSE),VLOOKUP(tables_407010!C45,input_407010!A:H,8,FALSE))</f>
        <v>57000</v>
      </c>
      <c r="P45" s="46">
        <f t="shared" ca="1" si="1"/>
        <v>5.3977272727272728E-3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input_407010!A$2</f>
        <v>407010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IFERROR(VLOOKUP(B46,input_407010!L:R,7,FALSE),VLOOKUP(tables_407010!C46,input_407010!A:H,8,FALSE))</f>
        <v>51300</v>
      </c>
      <c r="P46" s="46">
        <f t="shared" ca="1" si="1"/>
        <v>4.8579545454545455E-3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input_407010!A$2</f>
        <v>407010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IFERROR(VLOOKUP(B47,input_407010!L:R,7,FALSE),VLOOKUP(tables_407010!C47,input_407010!A:H,8,FALSE))</f>
        <v>5700</v>
      </c>
      <c r="P47" s="46">
        <f t="shared" ca="1" si="1"/>
        <v>5.3977272727272728E-4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input_407010!A$2</f>
        <v>407010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IFERROR(VLOOKUP(B48,input_407010!L:R,7,FALSE),VLOOKUP(tables_407010!C48,input_407010!A:H,8,FALSE))</f>
        <v>57000</v>
      </c>
      <c r="P48" s="46">
        <f t="shared" ca="1" si="1"/>
        <v>5.3977272727272728E-3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input_407010!A$2</f>
        <v>407010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IFERROR(VLOOKUP(B49,input_407010!L:R,7,FALSE),VLOOKUP(tables_407010!C49,input_407010!A:H,8,FALSE))</f>
        <v>51300</v>
      </c>
      <c r="P49" s="46">
        <f t="shared" ca="1" si="1"/>
        <v>4.8579545454545455E-3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input_407010!A$2</f>
        <v>407010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IFERROR(VLOOKUP(B50,input_407010!L:R,7,FALSE),VLOOKUP(tables_407010!C50,input_407010!A:H,8,FALSE))</f>
        <v>5700</v>
      </c>
      <c r="P50" s="46">
        <f t="shared" ca="1" si="1"/>
        <v>5.3977272727272728E-4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input_407010!A$2</f>
        <v>407010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IFERROR(VLOOKUP(B51,input_407010!L:R,7,FALSE),VLOOKUP(tables_407010!C51,input_407010!A:H,8,FALSE))</f>
        <v>57000</v>
      </c>
      <c r="P51" s="46">
        <f t="shared" ca="1" si="1"/>
        <v>5.3977272727272728E-3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input_407010!A$2</f>
        <v>407010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IFERROR(VLOOKUP(B52,input_407010!L:R,7,FALSE),VLOOKUP(tables_407010!C52,input_407010!A:H,8,FALSE))</f>
        <v>53126.92308</v>
      </c>
      <c r="P52" s="46">
        <f t="shared" ca="1" si="1"/>
        <v>5.030958625E-3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input_407010!A$2</f>
        <v>407010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IFERROR(VLOOKUP(B53,input_407010!L:R,7,FALSE),VLOOKUP(tables_407010!C53,input_407010!A:H,8,FALSE))</f>
        <v>3873.07692</v>
      </c>
      <c r="P53" s="46">
        <f t="shared" ca="1" si="1"/>
        <v>3.6676864772727271E-4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input_407010!A$2</f>
        <v>407010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IFERROR(VLOOKUP(B54,input_407010!L:R,7,FALSE),VLOOKUP(tables_407010!C54,input_407010!A:H,8,FALSE))</f>
        <v>57000</v>
      </c>
      <c r="P54" s="46">
        <f t="shared" ca="1" si="1"/>
        <v>5.3977272727272728E-3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input_407010!A$2</f>
        <v>407010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IFERROR(VLOOKUP(B55,input_407010!L:R,7,FALSE),VLOOKUP(tables_407010!C55,input_407010!A:H,8,FALSE))</f>
        <v>53126.92308</v>
      </c>
      <c r="P55" s="46">
        <f t="shared" ca="1" si="1"/>
        <v>5.030958625E-3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input_407010!A$2</f>
        <v>407010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IFERROR(VLOOKUP(B56,input_407010!L:R,7,FALSE),VLOOKUP(tables_407010!C56,input_407010!A:H,8,FALSE))</f>
        <v>3873.07692</v>
      </c>
      <c r="P56" s="46">
        <f t="shared" ca="1" si="1"/>
        <v>3.6676864772727271E-4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input_407010!A$2</f>
        <v>407010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IFERROR(VLOOKUP(B57,input_407010!L:R,7,FALSE),VLOOKUP(tables_407010!C57,input_407010!A:H,8,FALSE))</f>
        <v>57000</v>
      </c>
      <c r="P57" s="46">
        <f t="shared" ca="1" si="1"/>
        <v>5.3977272727272728E-3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input_407010!A$2</f>
        <v>407010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IFERROR(VLOOKUP(B58,input_407010!L:R,7,FALSE),VLOOKUP(tables_407010!C58,input_407010!A:H,8,FALSE))</f>
        <v>53126.92308</v>
      </c>
      <c r="P58" s="46">
        <f t="shared" ca="1" si="1"/>
        <v>5.030958625E-3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input_407010!A$2</f>
        <v>407010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IFERROR(VLOOKUP(B59,input_407010!L:R,7,FALSE),VLOOKUP(tables_407010!C59,input_407010!A:H,8,FALSE))</f>
        <v>3873.07692</v>
      </c>
      <c r="P59" s="46">
        <f t="shared" ca="1" si="1"/>
        <v>3.6676864772727271E-4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input_407010!A$2</f>
        <v>407010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IFERROR(VLOOKUP(B60,input_407010!L:R,7,FALSE),VLOOKUP(tables_407010!C60,input_407010!A:H,8,FALSE))</f>
        <v>57000</v>
      </c>
      <c r="P60" s="46">
        <f t="shared" ca="1" si="1"/>
        <v>5.3977272727272728E-3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input_407010!A$2</f>
        <v>407010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IFERROR(VLOOKUP(B61,input_407010!L:R,7,FALSE),VLOOKUP(tables_407010!C61,input_407010!A:H,8,FALSE))</f>
        <v>53126.92308</v>
      </c>
      <c r="P61" s="46">
        <f t="shared" ca="1" si="1"/>
        <v>5.030958625E-3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input_407010!A$2</f>
        <v>407010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IFERROR(VLOOKUP(B62,input_407010!L:R,7,FALSE),VLOOKUP(tables_407010!C62,input_407010!A:H,8,FALSE))</f>
        <v>3873.07692</v>
      </c>
      <c r="P62" s="46">
        <f t="shared" ca="1" si="1"/>
        <v>3.6676864772727271E-4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input_407010!A$2</f>
        <v>407010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IFERROR(VLOOKUP(B63,input_407010!L:R,7,FALSE),VLOOKUP(tables_407010!C63,input_407010!A:H,8,FALSE))</f>
        <v>57000</v>
      </c>
      <c r="P63" s="46">
        <f t="shared" ca="1" si="1"/>
        <v>5.3977272727272728E-3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input_407010!A$2</f>
        <v>407010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IFERROR(VLOOKUP(B64,input_407010!L:R,7,FALSE),VLOOKUP(tables_407010!C64,input_407010!A:H,8,FALSE))</f>
        <v>53126.92308</v>
      </c>
      <c r="P64" s="46">
        <f t="shared" ca="1" si="1"/>
        <v>5.030958625E-3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input_407010!A$2</f>
        <v>407010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IFERROR(VLOOKUP(B65,input_407010!L:R,7,FALSE),VLOOKUP(tables_407010!C65,input_407010!A:H,8,FALSE))</f>
        <v>3873.07692</v>
      </c>
      <c r="P65" s="46">
        <f t="shared" ca="1" si="1"/>
        <v>3.6676864772727271E-4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input_407010!A$2</f>
        <v>407010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IFERROR(VLOOKUP(B66,input_407010!L:R,7,FALSE),VLOOKUP(tables_407010!C66,input_407010!A:H,8,FALSE))</f>
        <v>57000</v>
      </c>
      <c r="P66" s="46">
        <f t="shared" ref="P66:P129" ca="1" si="4">O66/SUM(O:O)</f>
        <v>5.3977272727272728E-3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input_407010!A$2</f>
        <v>407010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IFERROR(VLOOKUP(B67,input_407010!L:R,7,FALSE),VLOOKUP(tables_407010!C67,input_407010!A:H,8,FALSE))</f>
        <v>53126.92308</v>
      </c>
      <c r="P67" s="46">
        <f t="shared" ca="1" si="4"/>
        <v>5.030958625E-3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input_407010!A$2</f>
        <v>407010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IFERROR(VLOOKUP(B68,input_407010!L:R,7,FALSE),VLOOKUP(tables_407010!C68,input_407010!A:H,8,FALSE))</f>
        <v>3873.07692</v>
      </c>
      <c r="P68" s="46">
        <f t="shared" ca="1" si="4"/>
        <v>3.6676864772727271E-4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input_407010!A$2</f>
        <v>407010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IFERROR(VLOOKUP(B69,input_407010!L:R,7,FALSE),VLOOKUP(tables_407010!C69,input_407010!A:H,8,FALSE))</f>
        <v>57000</v>
      </c>
      <c r="P69" s="46">
        <f t="shared" ca="1" si="4"/>
        <v>5.3977272727272728E-3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input_407010!A$2</f>
        <v>407010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IFERROR(VLOOKUP(B70,input_407010!L:R,7,FALSE),VLOOKUP(tables_407010!C70,input_407010!A:H,8,FALSE))</f>
        <v>53126.92308</v>
      </c>
      <c r="P70" s="46">
        <f t="shared" ca="1" si="4"/>
        <v>5.030958625E-3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input_407010!A$2</f>
        <v>407010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IFERROR(VLOOKUP(B71,input_407010!L:R,7,FALSE),VLOOKUP(tables_407010!C71,input_407010!A:H,8,FALSE))</f>
        <v>3873.07692</v>
      </c>
      <c r="P71" s="46">
        <f t="shared" ca="1" si="4"/>
        <v>3.6676864772727271E-4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input_407010!A$2</f>
        <v>407010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IFERROR(VLOOKUP(B72,input_407010!L:R,7,FALSE),VLOOKUP(tables_407010!C72,input_407010!A:H,8,FALSE))</f>
        <v>57000</v>
      </c>
      <c r="P72" s="46">
        <f t="shared" ca="1" si="4"/>
        <v>5.3977272727272728E-3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input_407010!A$2</f>
        <v>407010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IFERROR(VLOOKUP(B73,input_407010!L:R,7,FALSE),VLOOKUP(tables_407010!C73,input_407010!A:H,8,FALSE))</f>
        <v>53126.92308</v>
      </c>
      <c r="P73" s="46">
        <f t="shared" ca="1" si="4"/>
        <v>5.030958625E-3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input_407010!A$2</f>
        <v>407010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IFERROR(VLOOKUP(B74,input_407010!L:R,7,FALSE),VLOOKUP(tables_407010!C74,input_407010!A:H,8,FALSE))</f>
        <v>3873.07692</v>
      </c>
      <c r="P74" s="46">
        <f t="shared" ca="1" si="4"/>
        <v>3.6676864772727271E-4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input_407010!A$2</f>
        <v>407010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IFERROR(VLOOKUP(B75,input_407010!L:R,7,FALSE),VLOOKUP(tables_407010!C75,input_407010!A:H,8,FALSE))</f>
        <v>57000</v>
      </c>
      <c r="P75" s="46">
        <f t="shared" ca="1" si="4"/>
        <v>5.3977272727272728E-3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input_407010!A$2</f>
        <v>407010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IFERROR(VLOOKUP(B76,input_407010!L:R,7,FALSE),VLOOKUP(tables_407010!C76,input_407010!A:H,8,FALSE))</f>
        <v>53126.92308</v>
      </c>
      <c r="P76" s="46">
        <f t="shared" ca="1" si="4"/>
        <v>5.030958625E-3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input_407010!A$2</f>
        <v>407010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IFERROR(VLOOKUP(B77,input_407010!L:R,7,FALSE),VLOOKUP(tables_407010!C77,input_407010!A:H,8,FALSE))</f>
        <v>3873.07692</v>
      </c>
      <c r="P77" s="46">
        <f t="shared" ca="1" si="4"/>
        <v>3.6676864772727271E-4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input_407010!A$2</f>
        <v>407010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IFERROR(VLOOKUP(B78,input_407010!L:R,7,FALSE),VLOOKUP(tables_407010!C78,input_407010!A:H,8,FALSE))</f>
        <v>57000</v>
      </c>
      <c r="P78" s="46">
        <f t="shared" ca="1" si="4"/>
        <v>5.3977272727272728E-3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input_407010!A$2</f>
        <v>407010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IFERROR(VLOOKUP(B79,input_407010!L:R,7,FALSE),VLOOKUP(tables_407010!C79,input_407010!A:H,8,FALSE))</f>
        <v>53126.92308</v>
      </c>
      <c r="P79" s="46">
        <f t="shared" ca="1" si="4"/>
        <v>5.030958625E-3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input_407010!A$2</f>
        <v>407010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IFERROR(VLOOKUP(B80,input_407010!L:R,7,FALSE),VLOOKUP(tables_407010!C80,input_407010!A:H,8,FALSE))</f>
        <v>3873.07692</v>
      </c>
      <c r="P80" s="46">
        <f t="shared" ca="1" si="4"/>
        <v>3.6676864772727271E-4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input_407010!A$2</f>
        <v>407010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IFERROR(VLOOKUP(B81,input_407010!L:R,7,FALSE),VLOOKUP(tables_407010!C81,input_407010!A:H,8,FALSE))</f>
        <v>57000</v>
      </c>
      <c r="P81" s="46">
        <f t="shared" ca="1" si="4"/>
        <v>5.3977272727272728E-3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input_407010!A$2</f>
        <v>407010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IFERROR(VLOOKUP(B82,input_407010!L:R,7,FALSE),VLOOKUP(tables_407010!C82,input_407010!A:H,8,FALSE))</f>
        <v>53126.92308</v>
      </c>
      <c r="P82" s="46">
        <f t="shared" ca="1" si="4"/>
        <v>5.030958625E-3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input_407010!A$2</f>
        <v>407010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IFERROR(VLOOKUP(B83,input_407010!L:R,7,FALSE),VLOOKUP(tables_407010!C83,input_407010!A:H,8,FALSE))</f>
        <v>3873.07692</v>
      </c>
      <c r="P83" s="46">
        <f t="shared" ca="1" si="4"/>
        <v>3.6676864772727271E-4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input_407010!A$2</f>
        <v>407010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IFERROR(VLOOKUP(B84,input_407010!L:R,7,FALSE),VLOOKUP(tables_407010!C84,input_407010!A:H,8,FALSE))</f>
        <v>57000</v>
      </c>
      <c r="P84" s="46">
        <f t="shared" ca="1" si="4"/>
        <v>5.3977272727272728E-3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input_407010!A$2</f>
        <v>407010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IFERROR(VLOOKUP(B85,input_407010!L:R,7,FALSE),VLOOKUP(tables_407010!C85,input_407010!A:H,8,FALSE))</f>
        <v>53126.92308</v>
      </c>
      <c r="P85" s="46">
        <f t="shared" ca="1" si="4"/>
        <v>5.030958625E-3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input_407010!A$2</f>
        <v>407010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IFERROR(VLOOKUP(B86,input_407010!L:R,7,FALSE),VLOOKUP(tables_407010!C86,input_407010!A:H,8,FALSE))</f>
        <v>3873.07692</v>
      </c>
      <c r="P86" s="46">
        <f t="shared" ca="1" si="4"/>
        <v>3.6676864772727271E-4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input_407010!A$2</f>
        <v>407010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IFERROR(VLOOKUP(B87,input_407010!L:R,7,FALSE),VLOOKUP(tables_407010!C87,input_407010!A:H,8,FALSE))</f>
        <v>57000</v>
      </c>
      <c r="P87" s="46">
        <f t="shared" ca="1" si="4"/>
        <v>5.3977272727272728E-3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input_407010!A$2</f>
        <v>407010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IFERROR(VLOOKUP(B88,input_407010!L:R,7,FALSE),VLOOKUP(tables_407010!C88,input_407010!A:H,8,FALSE))</f>
        <v>53126.92308</v>
      </c>
      <c r="P88" s="46">
        <f t="shared" ca="1" si="4"/>
        <v>5.030958625E-3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input_407010!A$2</f>
        <v>407010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IFERROR(VLOOKUP(B89,input_407010!L:R,7,FALSE),VLOOKUP(tables_407010!C89,input_407010!A:H,8,FALSE))</f>
        <v>3873.07692</v>
      </c>
      <c r="P89" s="46">
        <f t="shared" ca="1" si="4"/>
        <v>3.6676864772727271E-4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input_407010!A$2</f>
        <v>407010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IFERROR(VLOOKUP(B90,input_407010!L:R,7,FALSE),VLOOKUP(tables_407010!C90,input_407010!A:H,8,FALSE))</f>
        <v>57000</v>
      </c>
      <c r="P90" s="46">
        <f t="shared" ca="1" si="4"/>
        <v>5.3977272727272728E-3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input_407010!A$2</f>
        <v>407010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IFERROR(VLOOKUP(B91,input_407010!L:R,7,FALSE),VLOOKUP(tables_407010!C91,input_407010!A:H,8,FALSE))</f>
        <v>53126.92308</v>
      </c>
      <c r="P91" s="46">
        <f t="shared" ca="1" si="4"/>
        <v>5.030958625E-3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input_407010!A$2</f>
        <v>407010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IFERROR(VLOOKUP(B92,input_407010!L:R,7,FALSE),VLOOKUP(tables_407010!C92,input_407010!A:H,8,FALSE))</f>
        <v>3873.07692</v>
      </c>
      <c r="P92" s="46">
        <f t="shared" ca="1" si="4"/>
        <v>3.6676864772727271E-4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input_407010!A$2</f>
        <v>407010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IFERROR(VLOOKUP(B93,input_407010!L:R,7,FALSE),VLOOKUP(tables_407010!C93,input_407010!A:H,8,FALSE))</f>
        <v>57000</v>
      </c>
      <c r="P93" s="46">
        <f t="shared" ca="1" si="4"/>
        <v>5.3977272727272728E-3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input_407010!A$2</f>
        <v>407010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IFERROR(VLOOKUP(B94,input_407010!L:R,7,FALSE),VLOOKUP(tables_407010!C94,input_407010!A:H,8,FALSE))</f>
        <v>53126.92308</v>
      </c>
      <c r="P94" s="46">
        <f t="shared" ca="1" si="4"/>
        <v>5.030958625E-3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input_407010!A$2</f>
        <v>407010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IFERROR(VLOOKUP(B95,input_407010!L:R,7,FALSE),VLOOKUP(tables_407010!C95,input_407010!A:H,8,FALSE))</f>
        <v>3873.07692</v>
      </c>
      <c r="P95" s="46">
        <f t="shared" ca="1" si="4"/>
        <v>3.6676864772727271E-4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input_407010!A$2</f>
        <v>407010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IFERROR(VLOOKUP(B96,input_407010!L:R,7,FALSE),VLOOKUP(tables_407010!C96,input_407010!A:H,8,FALSE))</f>
        <v>57000</v>
      </c>
      <c r="P96" s="46">
        <f t="shared" ca="1" si="4"/>
        <v>5.3977272727272728E-3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input_407010!A$2</f>
        <v>407010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IFERROR(VLOOKUP(B97,input_407010!L:R,7,FALSE),VLOOKUP(tables_407010!C97,input_407010!A:H,8,FALSE))</f>
        <v>53126.92308</v>
      </c>
      <c r="P97" s="46">
        <f t="shared" ca="1" si="4"/>
        <v>5.030958625E-3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input_407010!A$2</f>
        <v>407010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IFERROR(VLOOKUP(B98,input_407010!L:R,7,FALSE),VLOOKUP(tables_407010!C98,input_407010!A:H,8,FALSE))</f>
        <v>3873.07692</v>
      </c>
      <c r="P98" s="46">
        <f t="shared" ca="1" si="4"/>
        <v>3.6676864772727271E-4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input_407010!A$2</f>
        <v>407010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IFERROR(VLOOKUP(B99,input_407010!L:R,7,FALSE),VLOOKUP(tables_407010!C99,input_407010!A:H,8,FALSE))</f>
        <v>57000</v>
      </c>
      <c r="P99" s="46">
        <f t="shared" ca="1" si="4"/>
        <v>5.3977272727272728E-3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input_407010!A$2</f>
        <v>407010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IFERROR(VLOOKUP(B100,input_407010!L:R,7,FALSE),VLOOKUP(tables_407010!C100,input_407010!A:H,8,FALSE))</f>
        <v>53126.92308</v>
      </c>
      <c r="P100" s="46">
        <f t="shared" ca="1" si="4"/>
        <v>5.030958625E-3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input_407010!A$2</f>
        <v>407010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IFERROR(VLOOKUP(B101,input_407010!L:R,7,FALSE),VLOOKUP(tables_407010!C101,input_407010!A:H,8,FALSE))</f>
        <v>3873.07692</v>
      </c>
      <c r="P101" s="46">
        <f t="shared" ca="1" si="4"/>
        <v>3.6676864772727271E-4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input_407010!A$2</f>
        <v>407010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IFERROR(VLOOKUP(B102,input_407010!L:R,7,FALSE),VLOOKUP(tables_407010!C102,input_407010!A:H,8,FALSE))</f>
        <v>57000</v>
      </c>
      <c r="P102" s="46">
        <f t="shared" ca="1" si="4"/>
        <v>5.3977272727272728E-3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input_407010!A$2</f>
        <v>407010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IFERROR(VLOOKUP(B103,input_407010!L:R,7,FALSE),VLOOKUP(tables_407010!C103,input_407010!A:H,8,FALSE))</f>
        <v>53126.92308</v>
      </c>
      <c r="P103" s="46">
        <f t="shared" ca="1" si="4"/>
        <v>5.030958625E-3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input_407010!A$2</f>
        <v>407010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IFERROR(VLOOKUP(B104,input_407010!L:R,7,FALSE),VLOOKUP(tables_407010!C104,input_407010!A:H,8,FALSE))</f>
        <v>3873.07692</v>
      </c>
      <c r="P104" s="46">
        <f t="shared" ca="1" si="4"/>
        <v>3.6676864772727271E-4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input_407010!A$2</f>
        <v>407010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IFERROR(VLOOKUP(B105,input_407010!L:R,7,FALSE),VLOOKUP(tables_407010!C105,input_407010!A:H,8,FALSE))</f>
        <v>57000</v>
      </c>
      <c r="P105" s="46">
        <f t="shared" ca="1" si="4"/>
        <v>5.3977272727272728E-3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input_407010!A$2</f>
        <v>407010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IFERROR(VLOOKUP(B106,input_407010!L:R,7,FALSE),VLOOKUP(tables_407010!C106,input_407010!A:H,8,FALSE))</f>
        <v>53126.92308</v>
      </c>
      <c r="P106" s="46">
        <f t="shared" ca="1" si="4"/>
        <v>5.030958625E-3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input_407010!A$2</f>
        <v>407010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IFERROR(VLOOKUP(B107,input_407010!L:R,7,FALSE),VLOOKUP(tables_407010!C107,input_407010!A:H,8,FALSE))</f>
        <v>3873.07692</v>
      </c>
      <c r="P107" s="46">
        <f t="shared" ca="1" si="4"/>
        <v>3.6676864772727271E-4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input_407010!A$2</f>
        <v>407010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IFERROR(VLOOKUP(B108,input_407010!L:R,7,FALSE),VLOOKUP(tables_407010!C108,input_407010!A:H,8,FALSE))</f>
        <v>57000</v>
      </c>
      <c r="P108" s="46">
        <f t="shared" ca="1" si="4"/>
        <v>5.3977272727272728E-3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input_407010!A$2</f>
        <v>407010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IFERROR(VLOOKUP(B109,input_407010!L:R,7,FALSE),VLOOKUP(tables_407010!C109,input_407010!A:H,8,FALSE))</f>
        <v>53126.92308</v>
      </c>
      <c r="P109" s="46">
        <f t="shared" ca="1" si="4"/>
        <v>5.030958625E-3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input_407010!A$2</f>
        <v>407010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IFERROR(VLOOKUP(B110,input_407010!L:R,7,FALSE),VLOOKUP(tables_407010!C110,input_407010!A:H,8,FALSE))</f>
        <v>3873.07692</v>
      </c>
      <c r="P110" s="46">
        <f t="shared" ca="1" si="4"/>
        <v>3.6676864772727271E-4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input_407010!A$2</f>
        <v>407010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IFERROR(VLOOKUP(B111,input_407010!L:R,7,FALSE),VLOOKUP(tables_407010!C111,input_407010!A:H,8,FALSE))</f>
        <v>57000</v>
      </c>
      <c r="P111" s="46">
        <f t="shared" ca="1" si="4"/>
        <v>5.3977272727272728E-3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input_407010!A$2</f>
        <v>407010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IFERROR(VLOOKUP(B112,input_407010!L:R,7,FALSE),VLOOKUP(tables_407010!C112,input_407010!A:H,8,FALSE))</f>
        <v>51300</v>
      </c>
      <c r="P112" s="46">
        <f t="shared" ca="1" si="4"/>
        <v>4.8579545454545455E-3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input_407010!A$2</f>
        <v>407010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IFERROR(VLOOKUP(B113,input_407010!L:R,7,FALSE),VLOOKUP(tables_407010!C113,input_407010!A:H,8,FALSE))</f>
        <v>5700</v>
      </c>
      <c r="P113" s="46">
        <f t="shared" ca="1" si="4"/>
        <v>5.3977272727272728E-4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input_407010!A$2</f>
        <v>407010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IFERROR(VLOOKUP(B114,input_407010!L:R,7,FALSE),VLOOKUP(tables_407010!C114,input_407010!A:H,8,FALSE))</f>
        <v>57000</v>
      </c>
      <c r="P114" s="46">
        <f t="shared" ca="1" si="4"/>
        <v>5.3977272727272728E-3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input_407010!A$2</f>
        <v>407010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IFERROR(VLOOKUP(B115,input_407010!L:R,7,FALSE),VLOOKUP(tables_407010!C115,input_407010!A:H,8,FALSE))</f>
        <v>53126.92308</v>
      </c>
      <c r="P115" s="46">
        <f t="shared" ca="1" si="4"/>
        <v>5.030958625E-3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input_407010!A$2</f>
        <v>407010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IFERROR(VLOOKUP(B116,input_407010!L:R,7,FALSE),VLOOKUP(tables_407010!C116,input_407010!A:H,8,FALSE))</f>
        <v>3873.07692</v>
      </c>
      <c r="P116" s="46">
        <f t="shared" ca="1" si="4"/>
        <v>3.6676864772727271E-4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input_407010!A$2</f>
        <v>407010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IFERROR(VLOOKUP(B117,input_407010!L:R,7,FALSE),VLOOKUP(tables_407010!C117,input_407010!A:H,8,FALSE))</f>
        <v>57000</v>
      </c>
      <c r="P117" s="46">
        <f t="shared" ca="1" si="4"/>
        <v>5.3977272727272728E-3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input_407010!A$2</f>
        <v>407010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IFERROR(VLOOKUP(B118,input_407010!L:R,7,FALSE),VLOOKUP(tables_407010!C118,input_407010!A:H,8,FALSE))</f>
        <v>53126.92308</v>
      </c>
      <c r="P118" s="46">
        <f t="shared" ca="1" si="4"/>
        <v>5.030958625E-3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input_407010!A$2</f>
        <v>407010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IFERROR(VLOOKUP(B119,input_407010!L:R,7,FALSE),VLOOKUP(tables_407010!C119,input_407010!A:H,8,FALSE))</f>
        <v>3873.07692</v>
      </c>
      <c r="P119" s="46">
        <f t="shared" ca="1" si="4"/>
        <v>3.6676864772727271E-4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input_407010!A$2</f>
        <v>407010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IFERROR(VLOOKUP(B120,input_407010!L:R,7,FALSE),VLOOKUP(tables_407010!C120,input_407010!A:H,8,FALSE))</f>
        <v>57000</v>
      </c>
      <c r="P120" s="46">
        <f t="shared" ca="1" si="4"/>
        <v>5.3977272727272728E-3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input_407010!A$2</f>
        <v>407010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IFERROR(VLOOKUP(B121,input_407010!L:R,7,FALSE),VLOOKUP(tables_407010!C121,input_407010!A:H,8,FALSE))</f>
        <v>53126.92308</v>
      </c>
      <c r="P121" s="46">
        <f t="shared" ca="1" si="4"/>
        <v>5.030958625E-3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input_407010!A$2</f>
        <v>407010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IFERROR(VLOOKUP(B122,input_407010!L:R,7,FALSE),VLOOKUP(tables_407010!C122,input_407010!A:H,8,FALSE))</f>
        <v>3873.07692</v>
      </c>
      <c r="P122" s="46">
        <f t="shared" ca="1" si="4"/>
        <v>3.6676864772727271E-4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input_407010!A$2</f>
        <v>407010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IFERROR(VLOOKUP(B123,input_407010!L:R,7,FALSE),VLOOKUP(tables_407010!C123,input_407010!A:H,8,FALSE))</f>
        <v>57000</v>
      </c>
      <c r="P123" s="46">
        <f t="shared" ca="1" si="4"/>
        <v>5.3977272727272728E-3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input_407010!A$2</f>
        <v>407010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IFERROR(VLOOKUP(B124,input_407010!L:R,7,FALSE),VLOOKUP(tables_407010!C124,input_407010!A:H,8,FALSE))</f>
        <v>53126.92308</v>
      </c>
      <c r="P124" s="46">
        <f t="shared" ca="1" si="4"/>
        <v>5.030958625E-3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input_407010!A$2</f>
        <v>407010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IFERROR(VLOOKUP(B125,input_407010!L:R,7,FALSE),VLOOKUP(tables_407010!C125,input_407010!A:H,8,FALSE))</f>
        <v>3873.07692</v>
      </c>
      <c r="P125" s="46">
        <f t="shared" ca="1" si="4"/>
        <v>3.6676864772727271E-4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input_407010!A$2</f>
        <v>407010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IFERROR(VLOOKUP(B126,input_407010!L:R,7,FALSE),VLOOKUP(tables_407010!C126,input_407010!A:H,8,FALSE))</f>
        <v>57000</v>
      </c>
      <c r="P126" s="46">
        <f t="shared" ca="1" si="4"/>
        <v>5.3977272727272728E-3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input_407010!A$2</f>
        <v>407010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IFERROR(VLOOKUP(B127,input_407010!L:R,7,FALSE),VLOOKUP(tables_407010!C127,input_407010!A:H,8,FALSE))</f>
        <v>53126.92308</v>
      </c>
      <c r="P127" s="46">
        <f t="shared" ca="1" si="4"/>
        <v>5.030958625E-3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input_407010!A$2</f>
        <v>407010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IFERROR(VLOOKUP(B128,input_407010!L:R,7,FALSE),VLOOKUP(tables_407010!C128,input_407010!A:H,8,FALSE))</f>
        <v>3873.07692</v>
      </c>
      <c r="P128" s="46">
        <f t="shared" ca="1" si="4"/>
        <v>3.6676864772727271E-4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input_407010!A$2</f>
        <v>407010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IFERROR(VLOOKUP(B129,input_407010!L:R,7,FALSE),VLOOKUP(tables_407010!C129,input_407010!A:H,8,FALSE))</f>
        <v>57000</v>
      </c>
      <c r="P129" s="46">
        <f t="shared" ca="1" si="4"/>
        <v>5.3977272727272728E-3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input_407010!A$2</f>
        <v>407010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IFERROR(VLOOKUP(B130,input_407010!L:R,7,FALSE),VLOOKUP(tables_407010!C130,input_407010!A:H,8,FALSE))</f>
        <v>53126.92308</v>
      </c>
      <c r="P130" s="46">
        <f t="shared" ref="P130:P193" ca="1" si="7">O130/SUM(O:O)</f>
        <v>5.030958625E-3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input_407010!A$2</f>
        <v>407010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IFERROR(VLOOKUP(B131,input_407010!L:R,7,FALSE),VLOOKUP(tables_407010!C131,input_407010!A:H,8,FALSE))</f>
        <v>3873.07692</v>
      </c>
      <c r="P131" s="46">
        <f t="shared" ca="1" si="7"/>
        <v>3.6676864772727271E-4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input_407010!A$2</f>
        <v>407010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IFERROR(VLOOKUP(B132,input_407010!L:R,7,FALSE),VLOOKUP(tables_407010!C132,input_407010!A:H,8,FALSE))</f>
        <v>57000</v>
      </c>
      <c r="P132" s="46">
        <f t="shared" ca="1" si="7"/>
        <v>5.3977272727272728E-3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input_407010!A$2</f>
        <v>407010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IFERROR(VLOOKUP(B133,input_407010!L:R,7,FALSE),VLOOKUP(tables_407010!C133,input_407010!A:H,8,FALSE))</f>
        <v>53126.92308</v>
      </c>
      <c r="P133" s="46">
        <f t="shared" ca="1" si="7"/>
        <v>5.030958625E-3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input_407010!A$2</f>
        <v>407010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IFERROR(VLOOKUP(B134,input_407010!L:R,7,FALSE),VLOOKUP(tables_407010!C134,input_407010!A:H,8,FALSE))</f>
        <v>3873.07692</v>
      </c>
      <c r="P134" s="46">
        <f t="shared" ca="1" si="7"/>
        <v>3.6676864772727271E-4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input_407010!A$2</f>
        <v>407010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IFERROR(VLOOKUP(B135,input_407010!L:R,7,FALSE),VLOOKUP(tables_407010!C135,input_407010!A:H,8,FALSE))</f>
        <v>57000</v>
      </c>
      <c r="P135" s="46">
        <f t="shared" ca="1" si="7"/>
        <v>5.3977272727272728E-3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input_407010!A$2</f>
        <v>407010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IFERROR(VLOOKUP(B136,input_407010!L:R,7,FALSE),VLOOKUP(tables_407010!C136,input_407010!A:H,8,FALSE))</f>
        <v>53126.92308</v>
      </c>
      <c r="P136" s="46">
        <f t="shared" ca="1" si="7"/>
        <v>5.030958625E-3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input_407010!A$2</f>
        <v>407010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IFERROR(VLOOKUP(B137,input_407010!L:R,7,FALSE),VLOOKUP(tables_407010!C137,input_407010!A:H,8,FALSE))</f>
        <v>3873.07692</v>
      </c>
      <c r="P137" s="46">
        <f t="shared" ca="1" si="7"/>
        <v>3.6676864772727271E-4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input_407010!A$2</f>
        <v>407010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IFERROR(VLOOKUP(B138,input_407010!L:R,7,FALSE),VLOOKUP(tables_407010!C138,input_407010!A:H,8,FALSE))</f>
        <v>10450</v>
      </c>
      <c r="P138" s="46">
        <f t="shared" ca="1" si="7"/>
        <v>9.8958333333333342E-4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input_407010!A$2</f>
        <v>407010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IFERROR(VLOOKUP(B139,input_407010!L:R,7,FALSE),VLOOKUP(tables_407010!C139,input_407010!A:H,8,FALSE))</f>
        <v>550</v>
      </c>
      <c r="P139" s="46">
        <f t="shared" ca="1" si="7"/>
        <v>5.2083333333333337E-5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input_407010!A$2</f>
        <v>407010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IFERROR(VLOOKUP(B140,input_407010!L:R,7,FALSE),VLOOKUP(tables_407010!C140,input_407010!A:H,8,FALSE))</f>
        <v>10450</v>
      </c>
      <c r="P140" s="46">
        <f t="shared" ca="1" si="7"/>
        <v>9.8958333333333342E-4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input_407010!A$2</f>
        <v>407010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IFERROR(VLOOKUP(B141,input_407010!L:R,7,FALSE),VLOOKUP(tables_407010!C141,input_407010!A:H,8,FALSE))</f>
        <v>550</v>
      </c>
      <c r="P141" s="46">
        <f t="shared" ca="1" si="7"/>
        <v>5.2083333333333337E-5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input_407010!A$2</f>
        <v>407010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IFERROR(VLOOKUP(B142,input_407010!L:R,7,FALSE),VLOOKUP(tables_407010!C142,input_407010!A:H,8,FALSE))</f>
        <v>10450</v>
      </c>
      <c r="P142" s="46">
        <f t="shared" ca="1" si="7"/>
        <v>9.8958333333333342E-4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input_407010!A$2</f>
        <v>407010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IFERROR(VLOOKUP(B143,input_407010!L:R,7,FALSE),VLOOKUP(tables_407010!C143,input_407010!A:H,8,FALSE))</f>
        <v>550</v>
      </c>
      <c r="P143" s="46">
        <f t="shared" ca="1" si="7"/>
        <v>5.2083333333333337E-5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input_407010!A$2</f>
        <v>407010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IFERROR(VLOOKUP(B144,input_407010!L:R,7,FALSE),VLOOKUP(tables_407010!C144,input_407010!A:H,8,FALSE))</f>
        <v>10450</v>
      </c>
      <c r="P144" s="46">
        <f t="shared" ca="1" si="7"/>
        <v>9.8958333333333342E-4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input_407010!A$2</f>
        <v>407010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IFERROR(VLOOKUP(B145,input_407010!L:R,7,FALSE),VLOOKUP(tables_407010!C145,input_407010!A:H,8,FALSE))</f>
        <v>550</v>
      </c>
      <c r="P145" s="46">
        <f t="shared" ca="1" si="7"/>
        <v>5.2083333333333337E-5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input_407010!A$2</f>
        <v>407010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IFERROR(VLOOKUP(B146,input_407010!L:R,7,FALSE),VLOOKUP(tables_407010!C146,input_407010!A:H,8,FALSE))</f>
        <v>57000</v>
      </c>
      <c r="P146" s="46">
        <f t="shared" ca="1" si="7"/>
        <v>5.3977272727272728E-3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input_407010!A$2</f>
        <v>407010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IFERROR(VLOOKUP(B147,input_407010!L:R,7,FALSE),VLOOKUP(tables_407010!C147,input_407010!A:H,8,FALSE))</f>
        <v>53126.92308</v>
      </c>
      <c r="P147" s="46">
        <f t="shared" ca="1" si="7"/>
        <v>5.030958625E-3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input_407010!A$2</f>
        <v>407010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IFERROR(VLOOKUP(B148,input_407010!L:R,7,FALSE),VLOOKUP(tables_407010!C148,input_407010!A:H,8,FALSE))</f>
        <v>3873.07692</v>
      </c>
      <c r="P148" s="46">
        <f t="shared" ca="1" si="7"/>
        <v>3.6676864772727271E-4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input_407010!A$2</f>
        <v>407010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IFERROR(VLOOKUP(B149,input_407010!L:R,7,FALSE),VLOOKUP(tables_407010!C149,input_407010!A:H,8,FALSE))</f>
        <v>10450</v>
      </c>
      <c r="P149" s="46">
        <f t="shared" ca="1" si="7"/>
        <v>9.8958333333333342E-4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input_407010!A$2</f>
        <v>407010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IFERROR(VLOOKUP(B150,input_407010!L:R,7,FALSE),VLOOKUP(tables_407010!C150,input_407010!A:H,8,FALSE))</f>
        <v>550</v>
      </c>
      <c r="P150" s="46">
        <f t="shared" ca="1" si="7"/>
        <v>5.2083333333333337E-5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input_407010!A$2</f>
        <v>407010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IFERROR(VLOOKUP(B151,input_407010!L:R,7,FALSE),VLOOKUP(tables_407010!C151,input_407010!A:H,8,FALSE))</f>
        <v>10450</v>
      </c>
      <c r="P151" s="46">
        <f t="shared" ca="1" si="7"/>
        <v>9.8958333333333342E-4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input_407010!A$2</f>
        <v>407010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IFERROR(VLOOKUP(B152,input_407010!L:R,7,FALSE),VLOOKUP(tables_407010!C152,input_407010!A:H,8,FALSE))</f>
        <v>550</v>
      </c>
      <c r="P152" s="46">
        <f t="shared" ca="1" si="7"/>
        <v>5.2083333333333337E-5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input_407010!A$2</f>
        <v>407010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IFERROR(VLOOKUP(B153,input_407010!L:R,7,FALSE),VLOOKUP(tables_407010!C153,input_407010!A:H,8,FALSE))</f>
        <v>57000</v>
      </c>
      <c r="P153" s="46">
        <f t="shared" ca="1" si="7"/>
        <v>5.3977272727272728E-3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input_407010!A$2</f>
        <v>407010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IFERROR(VLOOKUP(B154,input_407010!L:R,7,FALSE),VLOOKUP(tables_407010!C154,input_407010!A:H,8,FALSE))</f>
        <v>53126.92308</v>
      </c>
      <c r="P154" s="46">
        <f t="shared" ca="1" si="7"/>
        <v>5.030958625E-3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input_407010!A$2</f>
        <v>407010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IFERROR(VLOOKUP(B155,input_407010!L:R,7,FALSE),VLOOKUP(tables_407010!C155,input_407010!A:H,8,FALSE))</f>
        <v>3873.07692</v>
      </c>
      <c r="P155" s="46">
        <f t="shared" ca="1" si="7"/>
        <v>3.6676864772727271E-4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input_407010!A$2</f>
        <v>407010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IFERROR(VLOOKUP(B156,input_407010!L:R,7,FALSE),VLOOKUP(tables_407010!C156,input_407010!A:H,8,FALSE))</f>
        <v>10450</v>
      </c>
      <c r="P156" s="46">
        <f t="shared" ca="1" si="7"/>
        <v>9.8958333333333342E-4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input_407010!A$2</f>
        <v>407010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IFERROR(VLOOKUP(B157,input_407010!L:R,7,FALSE),VLOOKUP(tables_407010!C157,input_407010!A:H,8,FALSE))</f>
        <v>550</v>
      </c>
      <c r="P157" s="46">
        <f t="shared" ca="1" si="7"/>
        <v>5.2083333333333337E-5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input_407010!A$2</f>
        <v>407010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IFERROR(VLOOKUP(B158,input_407010!L:R,7,FALSE),VLOOKUP(tables_407010!C158,input_407010!A:H,8,FALSE))</f>
        <v>57000</v>
      </c>
      <c r="P158" s="46">
        <f t="shared" ca="1" si="7"/>
        <v>5.3977272727272728E-3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input_407010!A$2</f>
        <v>407010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IFERROR(VLOOKUP(B159,input_407010!L:R,7,FALSE),VLOOKUP(tables_407010!C159,input_407010!A:H,8,FALSE))</f>
        <v>53126.92308</v>
      </c>
      <c r="P159" s="46">
        <f t="shared" ca="1" si="7"/>
        <v>5.030958625E-3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input_407010!A$2</f>
        <v>407010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IFERROR(VLOOKUP(B160,input_407010!L:R,7,FALSE),VLOOKUP(tables_407010!C160,input_407010!A:H,8,FALSE))</f>
        <v>3873.07692</v>
      </c>
      <c r="P160" s="46">
        <f t="shared" ca="1" si="7"/>
        <v>3.6676864772727271E-4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input_407010!A$2</f>
        <v>407010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IFERROR(VLOOKUP(B161,input_407010!L:R,7,FALSE),VLOOKUP(tables_407010!C161,input_407010!A:H,8,FALSE))</f>
        <v>57000</v>
      </c>
      <c r="P161" s="46">
        <f t="shared" ca="1" si="7"/>
        <v>5.3977272727272728E-3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input_407010!A$2</f>
        <v>407010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IFERROR(VLOOKUP(B162,input_407010!L:R,7,FALSE),VLOOKUP(tables_407010!C162,input_407010!A:H,8,FALSE))</f>
        <v>53126.92308</v>
      </c>
      <c r="P162" s="46">
        <f t="shared" ca="1" si="7"/>
        <v>5.030958625E-3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input_407010!A$2</f>
        <v>407010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IFERROR(VLOOKUP(B163,input_407010!L:R,7,FALSE),VLOOKUP(tables_407010!C163,input_407010!A:H,8,FALSE))</f>
        <v>3873.07692</v>
      </c>
      <c r="P163" s="46">
        <f t="shared" ca="1" si="7"/>
        <v>3.6676864772727271E-4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input_407010!A$2</f>
        <v>407010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IFERROR(VLOOKUP(B164,input_407010!L:R,7,FALSE),VLOOKUP(tables_407010!C164,input_407010!A:H,8,FALSE))</f>
        <v>10450</v>
      </c>
      <c r="P164" s="46">
        <f t="shared" ca="1" si="7"/>
        <v>9.8958333333333342E-4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input_407010!A$2</f>
        <v>407010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IFERROR(VLOOKUP(B165,input_407010!L:R,7,FALSE),VLOOKUP(tables_407010!C165,input_407010!A:H,8,FALSE))</f>
        <v>550</v>
      </c>
      <c r="P165" s="46">
        <f t="shared" ca="1" si="7"/>
        <v>5.2083333333333337E-5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input_407010!A$2</f>
        <v>407010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IFERROR(VLOOKUP(B166,input_407010!L:R,7,FALSE),VLOOKUP(tables_407010!C166,input_407010!A:H,8,FALSE))</f>
        <v>57000</v>
      </c>
      <c r="P166" s="46">
        <f t="shared" ca="1" si="7"/>
        <v>5.3977272727272728E-3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input_407010!A$2</f>
        <v>407010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IFERROR(VLOOKUP(B167,input_407010!L:R,7,FALSE),VLOOKUP(tables_407010!C167,input_407010!A:H,8,FALSE))</f>
        <v>53126.92308</v>
      </c>
      <c r="P167" s="46">
        <f t="shared" ca="1" si="7"/>
        <v>5.030958625E-3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input_407010!A$2</f>
        <v>407010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IFERROR(VLOOKUP(B168,input_407010!L:R,7,FALSE),VLOOKUP(tables_407010!C168,input_407010!A:H,8,FALSE))</f>
        <v>3873.07692</v>
      </c>
      <c r="P168" s="46">
        <f t="shared" ca="1" si="7"/>
        <v>3.6676864772727271E-4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input_407010!A$2</f>
        <v>407010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IFERROR(VLOOKUP(B169,input_407010!L:R,7,FALSE),VLOOKUP(tables_407010!C169,input_407010!A:H,8,FALSE))</f>
        <v>10450</v>
      </c>
      <c r="P169" s="46">
        <f t="shared" ca="1" si="7"/>
        <v>9.8958333333333342E-4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input_407010!A$2</f>
        <v>407010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IFERROR(VLOOKUP(B170,input_407010!L:R,7,FALSE),VLOOKUP(tables_407010!C170,input_407010!A:H,8,FALSE))</f>
        <v>550</v>
      </c>
      <c r="P170" s="46">
        <f t="shared" ca="1" si="7"/>
        <v>5.2083333333333337E-5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input_407010!A$2</f>
        <v>407010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IFERROR(VLOOKUP(B171,input_407010!L:R,7,FALSE),VLOOKUP(tables_407010!C171,input_407010!A:H,8,FALSE))</f>
        <v>57000</v>
      </c>
      <c r="P171" s="46">
        <f t="shared" ca="1" si="7"/>
        <v>5.3977272727272728E-3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input_407010!A$2</f>
        <v>407010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IFERROR(VLOOKUP(B172,input_407010!L:R,7,FALSE),VLOOKUP(tables_407010!C172,input_407010!A:H,8,FALSE))</f>
        <v>53126.92308</v>
      </c>
      <c r="P172" s="46">
        <f t="shared" ca="1" si="7"/>
        <v>5.030958625E-3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input_407010!A$2</f>
        <v>407010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IFERROR(VLOOKUP(B173,input_407010!L:R,7,FALSE),VLOOKUP(tables_407010!C173,input_407010!A:H,8,FALSE))</f>
        <v>3873.07692</v>
      </c>
      <c r="P173" s="46">
        <f t="shared" ca="1" si="7"/>
        <v>3.6676864772727271E-4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input_407010!A$2</f>
        <v>407010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IFERROR(VLOOKUP(B174,input_407010!L:R,7,FALSE),VLOOKUP(tables_407010!C174,input_407010!A:H,8,FALSE))</f>
        <v>10450</v>
      </c>
      <c r="P174" s="46">
        <f t="shared" ca="1" si="7"/>
        <v>9.8958333333333342E-4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input_407010!A$2</f>
        <v>407010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IFERROR(VLOOKUP(B175,input_407010!L:R,7,FALSE),VLOOKUP(tables_407010!C175,input_407010!A:H,8,FALSE))</f>
        <v>550</v>
      </c>
      <c r="P175" s="46">
        <f t="shared" ca="1" si="7"/>
        <v>5.2083333333333337E-5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input_407010!A$2</f>
        <v>407010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IFERROR(VLOOKUP(B176,input_407010!L:R,7,FALSE),VLOOKUP(tables_407010!C176,input_407010!A:H,8,FALSE))</f>
        <v>10450</v>
      </c>
      <c r="P176" s="46">
        <f t="shared" ca="1" si="7"/>
        <v>9.8958333333333342E-4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input_407010!A$2</f>
        <v>407010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IFERROR(VLOOKUP(B177,input_407010!L:R,7,FALSE),VLOOKUP(tables_407010!C177,input_407010!A:H,8,FALSE))</f>
        <v>550</v>
      </c>
      <c r="P177" s="46">
        <f t="shared" ca="1" si="7"/>
        <v>5.2083333333333337E-5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input_407010!A$2</f>
        <v>407010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IFERROR(VLOOKUP(B178,input_407010!L:R,7,FALSE),VLOOKUP(tables_407010!C178,input_407010!A:H,8,FALSE))</f>
        <v>57000</v>
      </c>
      <c r="P178" s="46">
        <f t="shared" ca="1" si="7"/>
        <v>5.3977272727272728E-3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input_407010!A$2</f>
        <v>407010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IFERROR(VLOOKUP(B179,input_407010!L:R,7,FALSE),VLOOKUP(tables_407010!C179,input_407010!A:H,8,FALSE))</f>
        <v>53126.92308</v>
      </c>
      <c r="P179" s="46">
        <f t="shared" ca="1" si="7"/>
        <v>5.030958625E-3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input_407010!A$2</f>
        <v>407010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IFERROR(VLOOKUP(B180,input_407010!L:R,7,FALSE),VLOOKUP(tables_407010!C180,input_407010!A:H,8,FALSE))</f>
        <v>3873.07692</v>
      </c>
      <c r="P180" s="46">
        <f t="shared" ca="1" si="7"/>
        <v>3.6676864772727271E-4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input_407010!A$2</f>
        <v>407010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IFERROR(VLOOKUP(B181,input_407010!L:R,7,FALSE),VLOOKUP(tables_407010!C181,input_407010!A:H,8,FALSE))</f>
        <v>57000</v>
      </c>
      <c r="P181" s="46">
        <f t="shared" ca="1" si="7"/>
        <v>5.3977272727272728E-3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input_407010!A$2</f>
        <v>407010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IFERROR(VLOOKUP(B182,input_407010!L:R,7,FALSE),VLOOKUP(tables_407010!C182,input_407010!A:H,8,FALSE))</f>
        <v>53126.92308</v>
      </c>
      <c r="P182" s="46">
        <f t="shared" ca="1" si="7"/>
        <v>5.030958625E-3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input_407010!A$2</f>
        <v>407010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IFERROR(VLOOKUP(B183,input_407010!L:R,7,FALSE),VLOOKUP(tables_407010!C183,input_407010!A:H,8,FALSE))</f>
        <v>3873.07692</v>
      </c>
      <c r="P183" s="46">
        <f t="shared" ca="1" si="7"/>
        <v>3.6676864772727271E-4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input_407010!A$2</f>
        <v>407010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IFERROR(VLOOKUP(B184,input_407010!L:R,7,FALSE),VLOOKUP(tables_407010!C184,input_407010!A:H,8,FALSE))</f>
        <v>10450</v>
      </c>
      <c r="P184" s="46">
        <f t="shared" ca="1" si="7"/>
        <v>9.8958333333333342E-4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input_407010!A$2</f>
        <v>407010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IFERROR(VLOOKUP(B185,input_407010!L:R,7,FALSE),VLOOKUP(tables_407010!C185,input_407010!A:H,8,FALSE))</f>
        <v>550</v>
      </c>
      <c r="P185" s="46">
        <f t="shared" ca="1" si="7"/>
        <v>5.2083333333333337E-5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input_407010!A$2</f>
        <v>407010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IFERROR(VLOOKUP(B186,input_407010!L:R,7,FALSE),VLOOKUP(tables_407010!C186,input_407010!A:H,8,FALSE))</f>
        <v>57000</v>
      </c>
      <c r="P186" s="46">
        <f t="shared" ca="1" si="7"/>
        <v>5.3977272727272728E-3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input_407010!A$2</f>
        <v>407010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IFERROR(VLOOKUP(B187,input_407010!L:R,7,FALSE),VLOOKUP(tables_407010!C187,input_407010!A:H,8,FALSE))</f>
        <v>53126.92308</v>
      </c>
      <c r="P187" s="46">
        <f t="shared" ca="1" si="7"/>
        <v>5.030958625E-3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input_407010!A$2</f>
        <v>407010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IFERROR(VLOOKUP(B188,input_407010!L:R,7,FALSE),VLOOKUP(tables_407010!C188,input_407010!A:H,8,FALSE))</f>
        <v>3873.07692</v>
      </c>
      <c r="P188" s="46">
        <f t="shared" ca="1" si="7"/>
        <v>3.6676864772727271E-4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input_407010!A$2</f>
        <v>407010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IFERROR(VLOOKUP(B189,input_407010!L:R,7,FALSE),VLOOKUP(tables_407010!C189,input_407010!A:H,8,FALSE))</f>
        <v>10450</v>
      </c>
      <c r="P189" s="46">
        <f t="shared" ca="1" si="7"/>
        <v>9.8958333333333342E-4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input_407010!A$2</f>
        <v>407010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IFERROR(VLOOKUP(B190,input_407010!L:R,7,FALSE),VLOOKUP(tables_407010!C190,input_407010!A:H,8,FALSE))</f>
        <v>550</v>
      </c>
      <c r="P190" s="46">
        <f t="shared" ca="1" si="7"/>
        <v>5.2083333333333337E-5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input_407010!A$2</f>
        <v>407010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IFERROR(VLOOKUP(B191,input_407010!L:R,7,FALSE),VLOOKUP(tables_407010!C191,input_407010!A:H,8,FALSE))</f>
        <v>10450</v>
      </c>
      <c r="P191" s="46">
        <f t="shared" ca="1" si="7"/>
        <v>9.8958333333333342E-4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input_407010!A$2</f>
        <v>407010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IFERROR(VLOOKUP(B192,input_407010!L:R,7,FALSE),VLOOKUP(tables_407010!C192,input_407010!A:H,8,FALSE))</f>
        <v>550</v>
      </c>
      <c r="P192" s="46">
        <f t="shared" ca="1" si="7"/>
        <v>5.2083333333333337E-5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input_407010!A$2</f>
        <v>407010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IFERROR(VLOOKUP(B193,input_407010!L:R,7,FALSE),VLOOKUP(tables_407010!C193,input_407010!A:H,8,FALSE))</f>
        <v>57000</v>
      </c>
      <c r="P193" s="46">
        <f t="shared" ca="1" si="7"/>
        <v>5.3977272727272728E-3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input_407010!A$2</f>
        <v>407010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IFERROR(VLOOKUP(B194,input_407010!L:R,7,FALSE),VLOOKUP(tables_407010!C194,input_407010!A:H,8,FALSE))</f>
        <v>53126.92308</v>
      </c>
      <c r="P194" s="46">
        <f t="shared" ref="P194:P257" ca="1" si="10">O194/SUM(O:O)</f>
        <v>5.030958625E-3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input_407010!A$2</f>
        <v>407010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IFERROR(VLOOKUP(B195,input_407010!L:R,7,FALSE),VLOOKUP(tables_407010!C195,input_407010!A:H,8,FALSE))</f>
        <v>3873.07692</v>
      </c>
      <c r="P195" s="46">
        <f t="shared" ca="1" si="10"/>
        <v>3.6676864772727271E-4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input_407010!A$2</f>
        <v>407010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IFERROR(VLOOKUP(B196,input_407010!L:R,7,FALSE),VLOOKUP(tables_407010!C196,input_407010!A:H,8,FALSE))</f>
        <v>10450</v>
      </c>
      <c r="P196" s="46">
        <f t="shared" ca="1" si="10"/>
        <v>9.8958333333333342E-4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input_407010!A$2</f>
        <v>407010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IFERROR(VLOOKUP(B197,input_407010!L:R,7,FALSE),VLOOKUP(tables_407010!C197,input_407010!A:H,8,FALSE))</f>
        <v>550</v>
      </c>
      <c r="P197" s="46">
        <f t="shared" ca="1" si="10"/>
        <v>5.2083333333333337E-5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input_407010!A$2</f>
        <v>407010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IFERROR(VLOOKUP(B198,input_407010!L:R,7,FALSE),VLOOKUP(tables_407010!C198,input_407010!A:H,8,FALSE))</f>
        <v>57000</v>
      </c>
      <c r="P198" s="46">
        <f t="shared" ca="1" si="10"/>
        <v>5.3977272727272728E-3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input_407010!A$2</f>
        <v>407010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IFERROR(VLOOKUP(B199,input_407010!L:R,7,FALSE),VLOOKUP(tables_407010!C199,input_407010!A:H,8,FALSE))</f>
        <v>53126.92308</v>
      </c>
      <c r="P199" s="46">
        <f t="shared" ca="1" si="10"/>
        <v>5.030958625E-3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input_407010!A$2</f>
        <v>407010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IFERROR(VLOOKUP(B200,input_407010!L:R,7,FALSE),VLOOKUP(tables_407010!C200,input_407010!A:H,8,FALSE))</f>
        <v>3873.07692</v>
      </c>
      <c r="P200" s="46">
        <f t="shared" ca="1" si="10"/>
        <v>3.6676864772727271E-4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input_407010!A$2</f>
        <v>407010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IFERROR(VLOOKUP(B201,input_407010!L:R,7,FALSE),VLOOKUP(tables_407010!C201,input_407010!A:H,8,FALSE))</f>
        <v>10450</v>
      </c>
      <c r="P201" s="46">
        <f t="shared" ca="1" si="10"/>
        <v>9.8958333333333342E-4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input_407010!A$2</f>
        <v>407010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IFERROR(VLOOKUP(B202,input_407010!L:R,7,FALSE),VLOOKUP(tables_407010!C202,input_407010!A:H,8,FALSE))</f>
        <v>550</v>
      </c>
      <c r="P202" s="46">
        <f t="shared" ca="1" si="10"/>
        <v>5.2083333333333337E-5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input_407010!A$2</f>
        <v>407010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IFERROR(VLOOKUP(B203,input_407010!L:R,7,FALSE),VLOOKUP(tables_407010!C203,input_407010!A:H,8,FALSE))</f>
        <v>57000</v>
      </c>
      <c r="P203" s="46">
        <f t="shared" ca="1" si="10"/>
        <v>5.3977272727272728E-3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input_407010!A$2</f>
        <v>407010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IFERROR(VLOOKUP(B204,input_407010!L:R,7,FALSE),VLOOKUP(tables_407010!C204,input_407010!A:H,8,FALSE))</f>
        <v>53126.92308</v>
      </c>
      <c r="P204" s="46">
        <f t="shared" ca="1" si="10"/>
        <v>5.030958625E-3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input_407010!A$2</f>
        <v>407010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IFERROR(VLOOKUP(B205,input_407010!L:R,7,FALSE),VLOOKUP(tables_407010!C205,input_407010!A:H,8,FALSE))</f>
        <v>3873.07692</v>
      </c>
      <c r="P205" s="46">
        <f t="shared" ca="1" si="10"/>
        <v>3.6676864772727271E-4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input_407010!A$2</f>
        <v>407010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IFERROR(VLOOKUP(B206,input_407010!L:R,7,FALSE),VLOOKUP(tables_407010!C206,input_407010!A:H,8,FALSE))</f>
        <v>10450</v>
      </c>
      <c r="P206" s="46">
        <f t="shared" ca="1" si="10"/>
        <v>9.8958333333333342E-4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input_407010!A$2</f>
        <v>407010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IFERROR(VLOOKUP(B207,input_407010!L:R,7,FALSE),VLOOKUP(tables_407010!C207,input_407010!A:H,8,FALSE))</f>
        <v>550</v>
      </c>
      <c r="P207" s="46">
        <f t="shared" ca="1" si="10"/>
        <v>5.2083333333333337E-5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input_407010!A$2</f>
        <v>407010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IFERROR(VLOOKUP(B208,input_407010!L:R,7,FALSE),VLOOKUP(tables_407010!C208,input_407010!A:H,8,FALSE))</f>
        <v>10450</v>
      </c>
      <c r="P208" s="46">
        <f t="shared" ca="1" si="10"/>
        <v>9.8958333333333342E-4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input_407010!A$2</f>
        <v>407010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IFERROR(VLOOKUP(B209,input_407010!L:R,7,FALSE),VLOOKUP(tables_407010!C209,input_407010!A:H,8,FALSE))</f>
        <v>550</v>
      </c>
      <c r="P209" s="46">
        <f t="shared" ca="1" si="10"/>
        <v>5.2083333333333337E-5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input_407010!A$2</f>
        <v>407010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IFERROR(VLOOKUP(B210,input_407010!L:R,7,FALSE),VLOOKUP(tables_407010!C210,input_407010!A:H,8,FALSE))</f>
        <v>57000</v>
      </c>
      <c r="P210" s="46">
        <f t="shared" ca="1" si="10"/>
        <v>5.3977272727272728E-3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input_407010!A$2</f>
        <v>407010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IFERROR(VLOOKUP(B211,input_407010!L:R,7,FALSE),VLOOKUP(tables_407010!C211,input_407010!A:H,8,FALSE))</f>
        <v>53126.92308</v>
      </c>
      <c r="P211" s="46">
        <f t="shared" ca="1" si="10"/>
        <v>5.030958625E-3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input_407010!A$2</f>
        <v>407010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IFERROR(VLOOKUP(B212,input_407010!L:R,7,FALSE),VLOOKUP(tables_407010!C212,input_407010!A:H,8,FALSE))</f>
        <v>3873.07692</v>
      </c>
      <c r="P212" s="46">
        <f t="shared" ca="1" si="10"/>
        <v>3.6676864772727271E-4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input_407010!A$2</f>
        <v>407010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IFERROR(VLOOKUP(B213,input_407010!L:R,7,FALSE),VLOOKUP(tables_407010!C213,input_407010!A:H,8,FALSE))</f>
        <v>10450</v>
      </c>
      <c r="P213" s="46">
        <f t="shared" ca="1" si="10"/>
        <v>9.8958333333333342E-4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input_407010!A$2</f>
        <v>407010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IFERROR(VLOOKUP(B214,input_407010!L:R,7,FALSE),VLOOKUP(tables_407010!C214,input_407010!A:H,8,FALSE))</f>
        <v>550</v>
      </c>
      <c r="P214" s="46">
        <f t="shared" ca="1" si="10"/>
        <v>5.2083333333333337E-5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input_407010!A$2</f>
        <v>407010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IFERROR(VLOOKUP(B215,input_407010!L:R,7,FALSE),VLOOKUP(tables_407010!C215,input_407010!A:H,8,FALSE))</f>
        <v>10450</v>
      </c>
      <c r="P215" s="46">
        <f t="shared" ca="1" si="10"/>
        <v>9.8958333333333342E-4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input_407010!A$2</f>
        <v>407010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IFERROR(VLOOKUP(B216,input_407010!L:R,7,FALSE),VLOOKUP(tables_407010!C216,input_407010!A:H,8,FALSE))</f>
        <v>550</v>
      </c>
      <c r="P216" s="46">
        <f t="shared" ca="1" si="10"/>
        <v>5.2083333333333337E-5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input_407010!A$2</f>
        <v>407010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IFERROR(VLOOKUP(B217,input_407010!L:R,7,FALSE),VLOOKUP(tables_407010!C217,input_407010!A:H,8,FALSE))</f>
        <v>57000</v>
      </c>
      <c r="P217" s="46">
        <f t="shared" ca="1" si="10"/>
        <v>5.3977272727272728E-3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input_407010!A$2</f>
        <v>407010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IFERROR(VLOOKUP(B218,input_407010!L:R,7,FALSE),VLOOKUP(tables_407010!C218,input_407010!A:H,8,FALSE))</f>
        <v>53126.92308</v>
      </c>
      <c r="P218" s="46">
        <f t="shared" ca="1" si="10"/>
        <v>5.030958625E-3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input_407010!A$2</f>
        <v>407010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IFERROR(VLOOKUP(B219,input_407010!L:R,7,FALSE),VLOOKUP(tables_407010!C219,input_407010!A:H,8,FALSE))</f>
        <v>3873.07692</v>
      </c>
      <c r="P219" s="46">
        <f t="shared" ca="1" si="10"/>
        <v>3.6676864772727271E-4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input_407010!A$2</f>
        <v>407010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IFERROR(VLOOKUP(B220,input_407010!L:R,7,FALSE),VLOOKUP(tables_407010!C220,input_407010!A:H,8,FALSE))</f>
        <v>57000</v>
      </c>
      <c r="P220" s="46">
        <f t="shared" ca="1" si="10"/>
        <v>5.3977272727272728E-3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input_407010!A$2</f>
        <v>407010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IFERROR(VLOOKUP(B221,input_407010!L:R,7,FALSE),VLOOKUP(tables_407010!C221,input_407010!A:H,8,FALSE))</f>
        <v>53126.92308</v>
      </c>
      <c r="P221" s="46">
        <f t="shared" ca="1" si="10"/>
        <v>5.030958625E-3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input_407010!A$2</f>
        <v>407010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IFERROR(VLOOKUP(B222,input_407010!L:R,7,FALSE),VLOOKUP(tables_407010!C222,input_407010!A:H,8,FALSE))</f>
        <v>3873.07692</v>
      </c>
      <c r="P222" s="46">
        <f t="shared" ca="1" si="10"/>
        <v>3.6676864772727271E-4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input_407010!A$2</f>
        <v>407010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IFERROR(VLOOKUP(B223,input_407010!L:R,7,FALSE),VLOOKUP(tables_407010!C223,input_407010!A:H,8,FALSE))</f>
        <v>10450</v>
      </c>
      <c r="P223" s="46">
        <f t="shared" ca="1" si="10"/>
        <v>9.8958333333333342E-4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input_407010!A$2</f>
        <v>407010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IFERROR(VLOOKUP(B224,input_407010!L:R,7,FALSE),VLOOKUP(tables_407010!C224,input_407010!A:H,8,FALSE))</f>
        <v>550</v>
      </c>
      <c r="P224" s="46">
        <f t="shared" ca="1" si="10"/>
        <v>5.2083333333333337E-5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input_407010!A$2</f>
        <v>407010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IFERROR(VLOOKUP(B225,input_407010!L:R,7,FALSE),VLOOKUP(tables_407010!C225,input_407010!A:H,8,FALSE))</f>
        <v>57000</v>
      </c>
      <c r="P225" s="46">
        <f t="shared" ca="1" si="10"/>
        <v>5.3977272727272728E-3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input_407010!A$2</f>
        <v>407010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IFERROR(VLOOKUP(B226,input_407010!L:R,7,FALSE),VLOOKUP(tables_407010!C226,input_407010!A:H,8,FALSE))</f>
        <v>53126.92308</v>
      </c>
      <c r="P226" s="46">
        <f t="shared" ca="1" si="10"/>
        <v>5.030958625E-3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input_407010!A$2</f>
        <v>407010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IFERROR(VLOOKUP(B227,input_407010!L:R,7,FALSE),VLOOKUP(tables_407010!C227,input_407010!A:H,8,FALSE))</f>
        <v>3873.07692</v>
      </c>
      <c r="P227" s="46">
        <f t="shared" ca="1" si="10"/>
        <v>3.6676864772727271E-4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input_407010!A$2</f>
        <v>407010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IFERROR(VLOOKUP(B228,input_407010!L:R,7,FALSE),VLOOKUP(tables_407010!C228,input_407010!A:H,8,FALSE))</f>
        <v>57000</v>
      </c>
      <c r="P228" s="46">
        <f t="shared" ca="1" si="10"/>
        <v>5.3977272727272728E-3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input_407010!A$2</f>
        <v>407010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IFERROR(VLOOKUP(B229,input_407010!L:R,7,FALSE),VLOOKUP(tables_407010!C229,input_407010!A:H,8,FALSE))</f>
        <v>53126.92308</v>
      </c>
      <c r="P229" s="46">
        <f t="shared" ca="1" si="10"/>
        <v>5.030958625E-3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input_407010!A$2</f>
        <v>407010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IFERROR(VLOOKUP(B230,input_407010!L:R,7,FALSE),VLOOKUP(tables_407010!C230,input_407010!A:H,8,FALSE))</f>
        <v>3873.07692</v>
      </c>
      <c r="P230" s="46">
        <f t="shared" ca="1" si="10"/>
        <v>3.6676864772727271E-4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input_407010!A$2</f>
        <v>407010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IFERROR(VLOOKUP(B231,input_407010!L:R,7,FALSE),VLOOKUP(tables_407010!C231,input_407010!A:H,8,FALSE))</f>
        <v>10450</v>
      </c>
      <c r="P231" s="46">
        <f t="shared" ca="1" si="10"/>
        <v>9.8958333333333342E-4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input_407010!A$2</f>
        <v>407010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IFERROR(VLOOKUP(B232,input_407010!L:R,7,FALSE),VLOOKUP(tables_407010!C232,input_407010!A:H,8,FALSE))</f>
        <v>550</v>
      </c>
      <c r="P232" s="46">
        <f t="shared" ca="1" si="10"/>
        <v>5.2083333333333337E-5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input_407010!A$2</f>
        <v>407010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IFERROR(VLOOKUP(B233,input_407010!L:R,7,FALSE),VLOOKUP(tables_407010!C233,input_407010!A:H,8,FALSE))</f>
        <v>57000</v>
      </c>
      <c r="P233" s="46">
        <f t="shared" ca="1" si="10"/>
        <v>5.3977272727272728E-3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input_407010!A$2</f>
        <v>407010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IFERROR(VLOOKUP(B234,input_407010!L:R,7,FALSE),VLOOKUP(tables_407010!C234,input_407010!A:H,8,FALSE))</f>
        <v>53126.92308</v>
      </c>
      <c r="P234" s="46">
        <f t="shared" ca="1" si="10"/>
        <v>5.030958625E-3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input_407010!A$2</f>
        <v>407010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IFERROR(VLOOKUP(B235,input_407010!L:R,7,FALSE),VLOOKUP(tables_407010!C235,input_407010!A:H,8,FALSE))</f>
        <v>3873.07692</v>
      </c>
      <c r="P235" s="46">
        <f t="shared" ca="1" si="10"/>
        <v>3.6676864772727271E-4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input_407010!A$2</f>
        <v>407010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IFERROR(VLOOKUP(B236,input_407010!L:R,7,FALSE),VLOOKUP(tables_407010!C236,input_407010!A:H,8,FALSE))</f>
        <v>10450</v>
      </c>
      <c r="P236" s="46">
        <f t="shared" ca="1" si="10"/>
        <v>9.8958333333333342E-4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input_407010!A$2</f>
        <v>407010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IFERROR(VLOOKUP(B237,input_407010!L:R,7,FALSE),VLOOKUP(tables_407010!C237,input_407010!A:H,8,FALSE))</f>
        <v>550</v>
      </c>
      <c r="P237" s="46">
        <f t="shared" ca="1" si="10"/>
        <v>5.2083333333333337E-5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input_407010!A$2</f>
        <v>407010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IFERROR(VLOOKUP(B238,input_407010!L:R,7,FALSE),VLOOKUP(tables_407010!C238,input_407010!A:H,8,FALSE))</f>
        <v>10450</v>
      </c>
      <c r="P238" s="46">
        <f t="shared" ca="1" si="10"/>
        <v>9.8958333333333342E-4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input_407010!A$2</f>
        <v>407010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IFERROR(VLOOKUP(B239,input_407010!L:R,7,FALSE),VLOOKUP(tables_407010!C239,input_407010!A:H,8,FALSE))</f>
        <v>550</v>
      </c>
      <c r="P239" s="46">
        <f t="shared" ca="1" si="10"/>
        <v>5.2083333333333337E-5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input_407010!A$2</f>
        <v>407010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IFERROR(VLOOKUP(B240,input_407010!L:R,7,FALSE),VLOOKUP(tables_407010!C240,input_407010!A:H,8,FALSE))</f>
        <v>57000</v>
      </c>
      <c r="P240" s="46">
        <f t="shared" ca="1" si="10"/>
        <v>5.3977272727272728E-3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input_407010!A$2</f>
        <v>407010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IFERROR(VLOOKUP(B241,input_407010!L:R,7,FALSE),VLOOKUP(tables_407010!C241,input_407010!A:H,8,FALSE))</f>
        <v>53126.92308</v>
      </c>
      <c r="P241" s="46">
        <f t="shared" ca="1" si="10"/>
        <v>5.030958625E-3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input_407010!A$2</f>
        <v>407010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IFERROR(VLOOKUP(B242,input_407010!L:R,7,FALSE),VLOOKUP(tables_407010!C242,input_407010!A:H,8,FALSE))</f>
        <v>3873.07692</v>
      </c>
      <c r="P242" s="46">
        <f t="shared" ca="1" si="10"/>
        <v>3.6676864772727271E-4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input_407010!A$2</f>
        <v>407010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IFERROR(VLOOKUP(B243,input_407010!L:R,7,FALSE),VLOOKUP(tables_407010!C243,input_407010!A:H,8,FALSE))</f>
        <v>57000</v>
      </c>
      <c r="P243" s="46">
        <f t="shared" ca="1" si="10"/>
        <v>5.3977272727272728E-3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input_407010!A$2</f>
        <v>407010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IFERROR(VLOOKUP(B244,input_407010!L:R,7,FALSE),VLOOKUP(tables_407010!C244,input_407010!A:H,8,FALSE))</f>
        <v>53126.92308</v>
      </c>
      <c r="P244" s="46">
        <f t="shared" ca="1" si="10"/>
        <v>5.030958625E-3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input_407010!A$2</f>
        <v>407010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IFERROR(VLOOKUP(B245,input_407010!L:R,7,FALSE),VLOOKUP(tables_407010!C245,input_407010!A:H,8,FALSE))</f>
        <v>3873.07692</v>
      </c>
      <c r="P245" s="46">
        <f t="shared" ca="1" si="10"/>
        <v>3.6676864772727271E-4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input_407010!A$2</f>
        <v>407010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IFERROR(VLOOKUP(B246,input_407010!L:R,7,FALSE),VLOOKUP(tables_407010!C246,input_407010!A:H,8,FALSE))</f>
        <v>57000</v>
      </c>
      <c r="P246" s="46">
        <f t="shared" ca="1" si="10"/>
        <v>5.3977272727272728E-3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input_407010!A$2</f>
        <v>407010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IFERROR(VLOOKUP(B247,input_407010!L:R,7,FALSE),VLOOKUP(tables_407010!C247,input_407010!A:H,8,FALSE))</f>
        <v>53126.92308</v>
      </c>
      <c r="P247" s="46">
        <f t="shared" ca="1" si="10"/>
        <v>5.030958625E-3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input_407010!A$2</f>
        <v>407010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IFERROR(VLOOKUP(B248,input_407010!L:R,7,FALSE),VLOOKUP(tables_407010!C248,input_407010!A:H,8,FALSE))</f>
        <v>3873.07692</v>
      </c>
      <c r="P248" s="46">
        <f t="shared" ca="1" si="10"/>
        <v>3.6676864772727271E-4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input_407010!A$2</f>
        <v>407010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IFERROR(VLOOKUP(B249,input_407010!L:R,7,FALSE),VLOOKUP(tables_407010!C249,input_407010!A:H,8,FALSE))</f>
        <v>57000</v>
      </c>
      <c r="P249" s="46">
        <f t="shared" ca="1" si="10"/>
        <v>5.3977272727272728E-3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input_407010!A$2</f>
        <v>407010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IFERROR(VLOOKUP(B250,input_407010!L:R,7,FALSE),VLOOKUP(tables_407010!C250,input_407010!A:H,8,FALSE))</f>
        <v>53126.92308</v>
      </c>
      <c r="P250" s="46">
        <f t="shared" ca="1" si="10"/>
        <v>5.030958625E-3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input_407010!A$2</f>
        <v>407010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IFERROR(VLOOKUP(B251,input_407010!L:R,7,FALSE),VLOOKUP(tables_407010!C251,input_407010!A:H,8,FALSE))</f>
        <v>3873.07692</v>
      </c>
      <c r="P251" s="46">
        <f t="shared" ca="1" si="10"/>
        <v>3.6676864772727271E-4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input_407010!A$2</f>
        <v>407010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IFERROR(VLOOKUP(B252,input_407010!L:R,7,FALSE),VLOOKUP(tables_407010!C252,input_407010!A:H,8,FALSE))</f>
        <v>10450</v>
      </c>
      <c r="P252" s="46">
        <f t="shared" ca="1" si="10"/>
        <v>9.8958333333333342E-4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input_407010!A$2</f>
        <v>407010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IFERROR(VLOOKUP(B253,input_407010!L:R,7,FALSE),VLOOKUP(tables_407010!C253,input_407010!A:H,8,FALSE))</f>
        <v>550</v>
      </c>
      <c r="P253" s="46">
        <f t="shared" ca="1" si="10"/>
        <v>5.2083333333333337E-5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input_407010!A$2</f>
        <v>407010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IFERROR(VLOOKUP(B254,input_407010!L:R,7,FALSE),VLOOKUP(tables_407010!C254,input_407010!A:H,8,FALSE))</f>
        <v>10450</v>
      </c>
      <c r="P254" s="46">
        <f t="shared" ca="1" si="10"/>
        <v>9.8958333333333342E-4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input_407010!A$2</f>
        <v>407010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IFERROR(VLOOKUP(B255,input_407010!L:R,7,FALSE),VLOOKUP(tables_407010!C255,input_407010!A:H,8,FALSE))</f>
        <v>550</v>
      </c>
      <c r="P255" s="46">
        <f t="shared" ca="1" si="10"/>
        <v>5.2083333333333337E-5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input_407010!A$2</f>
        <v>407010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IFERROR(VLOOKUP(B256,input_407010!L:R,7,FALSE),VLOOKUP(tables_407010!C256,input_407010!A:H,8,FALSE))</f>
        <v>108300</v>
      </c>
      <c r="P256" s="46">
        <f t="shared" ca="1" si="10"/>
        <v>1.0255681818181818E-2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input_407010!A$2</f>
        <v>407010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IFERROR(VLOOKUP(B257,input_407010!L:R,7,FALSE),VLOOKUP(tables_407010!C257,input_407010!A:H,8,FALSE))</f>
        <v>5700</v>
      </c>
      <c r="P257" s="46">
        <f t="shared" ca="1" si="10"/>
        <v>5.3977272727272728E-4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input_407010!A$2</f>
        <v>407010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IFERROR(VLOOKUP(B258,input_407010!L:R,7,FALSE),VLOOKUP(tables_407010!C258,input_407010!A:H,8,FALSE))</f>
        <v>108300</v>
      </c>
      <c r="P258" s="46">
        <f t="shared" ref="P258:P294" ca="1" si="13">O258/SUM(O:O)</f>
        <v>1.0255681818181818E-2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input_407010!A$2</f>
        <v>407010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IFERROR(VLOOKUP(B259,input_407010!L:R,7,FALSE),VLOOKUP(tables_407010!C259,input_407010!A:H,8,FALSE))</f>
        <v>5700</v>
      </c>
      <c r="P259" s="46">
        <f t="shared" ca="1" si="13"/>
        <v>5.3977272727272728E-4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input_407010!A$2</f>
        <v>407010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IFERROR(VLOOKUP(B260,input_407010!L:R,7,FALSE),VLOOKUP(tables_407010!C260,input_407010!A:H,8,FALSE))</f>
        <v>11000</v>
      </c>
      <c r="P260" s="46">
        <f t="shared" ca="1" si="13"/>
        <v>1.0416666666666667E-3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input_407010!A$2</f>
        <v>407010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IFERROR(VLOOKUP(B261,input_407010!L:R,7,FALSE),VLOOKUP(tables_407010!C261,input_407010!A:H,8,FALSE))</f>
        <v>11000</v>
      </c>
      <c r="P261" s="46">
        <f t="shared" ca="1" si="13"/>
        <v>1.0416666666666667E-3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input_407010!A$2</f>
        <v>407010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IFERROR(VLOOKUP(B262,input_407010!L:R,7,FALSE),VLOOKUP(tables_407010!C262,input_407010!A:H,8,FALSE))</f>
        <v>10450</v>
      </c>
      <c r="P262" s="46">
        <f t="shared" ca="1" si="13"/>
        <v>9.8958333333333342E-4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input_407010!A$2</f>
        <v>407010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IFERROR(VLOOKUP(B263,input_407010!L:R,7,FALSE),VLOOKUP(tables_407010!C263,input_407010!A:H,8,FALSE))</f>
        <v>550</v>
      </c>
      <c r="P263" s="46">
        <f t="shared" ca="1" si="13"/>
        <v>5.2083333333333337E-5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input_407010!A$2</f>
        <v>407010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IFERROR(VLOOKUP(B264,input_407010!L:R,7,FALSE),VLOOKUP(tables_407010!C264,input_407010!A:H,8,FALSE))</f>
        <v>10450</v>
      </c>
      <c r="P264" s="46">
        <f t="shared" ca="1" si="13"/>
        <v>9.8958333333333342E-4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input_407010!A$2</f>
        <v>407010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IFERROR(VLOOKUP(B265,input_407010!L:R,7,FALSE),VLOOKUP(tables_407010!C265,input_407010!A:H,8,FALSE))</f>
        <v>550</v>
      </c>
      <c r="P265" s="46">
        <f t="shared" ca="1" si="13"/>
        <v>5.2083333333333337E-5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input_407010!A$2</f>
        <v>407010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IFERROR(VLOOKUP(B266,input_407010!L:R,7,FALSE),VLOOKUP(tables_407010!C266,input_407010!A:H,8,FALSE))</f>
        <v>57000</v>
      </c>
      <c r="P266" s="46">
        <f t="shared" ca="1" si="13"/>
        <v>5.3977272727272728E-3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input_407010!A$2</f>
        <v>407010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IFERROR(VLOOKUP(B267,input_407010!L:R,7,FALSE),VLOOKUP(tables_407010!C267,input_407010!A:H,8,FALSE))</f>
        <v>53126.92308</v>
      </c>
      <c r="P267" s="46">
        <f t="shared" ca="1" si="13"/>
        <v>5.030958625E-3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input_407010!A$2</f>
        <v>407010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IFERROR(VLOOKUP(B268,input_407010!L:R,7,FALSE),VLOOKUP(tables_407010!C268,input_407010!A:H,8,FALSE))</f>
        <v>3873.07692</v>
      </c>
      <c r="P268" s="46">
        <f t="shared" ca="1" si="13"/>
        <v>3.6676864772727271E-4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input_407010!A$2</f>
        <v>407010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IFERROR(VLOOKUP(B269,input_407010!L:R,7,FALSE),VLOOKUP(tables_407010!C269,input_407010!A:H,8,FALSE))</f>
        <v>57000</v>
      </c>
      <c r="P269" s="46">
        <f t="shared" ca="1" si="13"/>
        <v>5.3977272727272728E-3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input_407010!A$2</f>
        <v>407010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IFERROR(VLOOKUP(B270,input_407010!L:R,7,FALSE),VLOOKUP(tables_407010!C270,input_407010!A:H,8,FALSE))</f>
        <v>53126.92308</v>
      </c>
      <c r="P270" s="46">
        <f t="shared" ca="1" si="13"/>
        <v>5.030958625E-3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input_407010!A$2</f>
        <v>407010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IFERROR(VLOOKUP(B271,input_407010!L:R,7,FALSE),VLOOKUP(tables_407010!C271,input_407010!A:H,8,FALSE))</f>
        <v>3873.07692</v>
      </c>
      <c r="P271" s="46">
        <f t="shared" ca="1" si="13"/>
        <v>3.6676864772727271E-4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input_407010!A$2</f>
        <v>407010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IFERROR(VLOOKUP(B272,input_407010!L:R,7,FALSE),VLOOKUP(tables_407010!C272,input_407010!A:H,8,FALSE))</f>
        <v>11000</v>
      </c>
      <c r="P272" s="46">
        <f t="shared" ca="1" si="13"/>
        <v>1.0416666666666667E-3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input_407010!A$2</f>
        <v>407010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IFERROR(VLOOKUP(B273,input_407010!L:R,7,FALSE),VLOOKUP(tables_407010!C273,input_407010!A:H,8,FALSE))</f>
        <v>11000</v>
      </c>
      <c r="P273" s="46">
        <f t="shared" ca="1" si="13"/>
        <v>1.0416666666666667E-3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input_407010!A$2</f>
        <v>407010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IFERROR(VLOOKUP(B274,input_407010!L:R,7,FALSE),VLOOKUP(tables_407010!C274,input_407010!A:H,8,FALSE))</f>
        <v>108300</v>
      </c>
      <c r="P274" s="46">
        <f t="shared" ca="1" si="13"/>
        <v>1.0255681818181818E-2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input_407010!A$2</f>
        <v>407010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IFERROR(VLOOKUP(B275,input_407010!L:R,7,FALSE),VLOOKUP(tables_407010!C275,input_407010!A:H,8,FALSE))</f>
        <v>5700</v>
      </c>
      <c r="P275" s="46">
        <f t="shared" ca="1" si="13"/>
        <v>5.3977272727272728E-4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input_407010!A$2</f>
        <v>407010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IFERROR(VLOOKUP(B276,input_407010!L:R,7,FALSE),VLOOKUP(tables_407010!C276,input_407010!A:H,8,FALSE))</f>
        <v>108300</v>
      </c>
      <c r="P276" s="46">
        <f t="shared" ca="1" si="13"/>
        <v>1.0255681818181818E-2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input_407010!A$2</f>
        <v>407010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IFERROR(VLOOKUP(B277,input_407010!L:R,7,FALSE),VLOOKUP(tables_407010!C277,input_407010!A:H,8,FALSE))</f>
        <v>5700</v>
      </c>
      <c r="P277" s="46">
        <f t="shared" ca="1" si="13"/>
        <v>5.3977272727272728E-4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input_407010!A$2</f>
        <v>407010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IFERROR(VLOOKUP(B278,input_407010!L:R,7,FALSE),VLOOKUP(tables_407010!C278,input_407010!A:H,8,FALSE))</f>
        <v>108300</v>
      </c>
      <c r="P278" s="46">
        <f t="shared" ca="1" si="13"/>
        <v>1.0255681818181818E-2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input_407010!A$2</f>
        <v>407010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IFERROR(VLOOKUP(B279,input_407010!L:R,7,FALSE),VLOOKUP(tables_407010!C279,input_407010!A:H,8,FALSE))</f>
        <v>5700</v>
      </c>
      <c r="P279" s="46">
        <f t="shared" ca="1" si="13"/>
        <v>5.3977272727272728E-4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input_407010!A$2</f>
        <v>407010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IFERROR(VLOOKUP(B280,input_407010!L:R,7,FALSE),VLOOKUP(tables_407010!C280,input_407010!A:H,8,FALSE))</f>
        <v>108300</v>
      </c>
      <c r="P280" s="46">
        <f t="shared" ca="1" si="13"/>
        <v>1.0255681818181818E-2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input_407010!A$2</f>
        <v>407010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IFERROR(VLOOKUP(B281,input_407010!L:R,7,FALSE),VLOOKUP(tables_407010!C281,input_407010!A:H,8,FALSE))</f>
        <v>5700</v>
      </c>
      <c r="P281" s="46">
        <f t="shared" ca="1" si="13"/>
        <v>5.3977272727272728E-4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input_407010!A$2</f>
        <v>407010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IFERROR(VLOOKUP(B282,input_407010!L:R,7,FALSE),VLOOKUP(tables_407010!C282,input_407010!A:H,8,FALSE))</f>
        <v>11000</v>
      </c>
      <c r="P282" s="46">
        <f t="shared" ca="1" si="13"/>
        <v>1.0416666666666667E-3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input_407010!A$2</f>
        <v>407010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IFERROR(VLOOKUP(B283,input_407010!L:R,7,FALSE),VLOOKUP(tables_407010!C283,input_407010!A:H,8,FALSE))</f>
        <v>11000</v>
      </c>
      <c r="P283" s="46">
        <f t="shared" ca="1" si="13"/>
        <v>1.0416666666666667E-3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input_407010!A$2</f>
        <v>407010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IFERROR(VLOOKUP(B284,input_407010!L:R,7,FALSE),VLOOKUP(tables_407010!C284,input_407010!A:H,8,FALSE))</f>
        <v>11000</v>
      </c>
      <c r="P284" s="46">
        <f t="shared" ca="1" si="13"/>
        <v>1.0416666666666667E-3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input_407010!A$2</f>
        <v>407010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IFERROR(VLOOKUP(B285,input_407010!L:R,7,FALSE),VLOOKUP(tables_407010!C285,input_407010!A:H,8,FALSE))</f>
        <v>11000</v>
      </c>
      <c r="P285" s="46">
        <f t="shared" ca="1" si="13"/>
        <v>1.0416666666666667E-3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input_407010!A$2</f>
        <v>407010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IFERROR(VLOOKUP(B286,input_407010!L:R,7,FALSE),VLOOKUP(tables_407010!C286,input_407010!A:H,8,FALSE))</f>
        <v>108300</v>
      </c>
      <c r="P286" s="46">
        <f t="shared" ca="1" si="13"/>
        <v>1.0255681818181818E-2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input_407010!A$2</f>
        <v>407010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IFERROR(VLOOKUP(B287,input_407010!L:R,7,FALSE),VLOOKUP(tables_407010!C287,input_407010!A:H,8,FALSE))</f>
        <v>5700</v>
      </c>
      <c r="P287" s="46">
        <f t="shared" ca="1" si="13"/>
        <v>5.3977272727272728E-4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input_407010!A$2</f>
        <v>407010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IFERROR(VLOOKUP(B288,input_407010!L:R,7,FALSE),VLOOKUP(tables_407010!C288,input_407010!A:H,8,FALSE))</f>
        <v>108300</v>
      </c>
      <c r="P288" s="46">
        <f t="shared" ca="1" si="13"/>
        <v>1.0255681818181818E-2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input_407010!A$2</f>
        <v>407010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IFERROR(VLOOKUP(B289,input_407010!L:R,7,FALSE),VLOOKUP(tables_407010!C289,input_407010!A:H,8,FALSE))</f>
        <v>5700</v>
      </c>
      <c r="P289" s="46">
        <f t="shared" ca="1" si="13"/>
        <v>5.3977272727272728E-4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input_407010!A$2</f>
        <v>407010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IFERROR(VLOOKUP(B290,input_407010!L:R,7,FALSE),VLOOKUP(tables_407010!C290,input_407010!A:H,8,FALSE))</f>
        <v>11000</v>
      </c>
      <c r="P290" s="46">
        <f t="shared" ca="1" si="13"/>
        <v>1.0416666666666667E-3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input_407010!A$2</f>
        <v>407010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IFERROR(VLOOKUP(B291,input_407010!L:R,7,FALSE),VLOOKUP(tables_407010!C291,input_407010!A:H,8,FALSE))</f>
        <v>108300</v>
      </c>
      <c r="P291" s="46">
        <f t="shared" ca="1" si="13"/>
        <v>1.0255681818181818E-2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input_407010!A$2</f>
        <v>407010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IFERROR(VLOOKUP(B292,input_407010!L:R,7,FALSE),VLOOKUP(tables_407010!C292,input_407010!A:H,8,FALSE))</f>
        <v>5700</v>
      </c>
      <c r="P292" s="46">
        <f t="shared" ca="1" si="13"/>
        <v>5.3977272727272728E-4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input_407010!A$2</f>
        <v>407010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IFERROR(VLOOKUP(B293,input_407010!L:R,7,FALSE),VLOOKUP(tables_407010!C293,input_407010!A:H,8,FALSE))</f>
        <v>11000</v>
      </c>
      <c r="P293" s="46">
        <f t="shared" ca="1" si="13"/>
        <v>1.0416666666666667E-3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input_407010!A$2</f>
        <v>407010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IFERROR(VLOOKUP(B294,input_407010!L:R,7,FALSE),VLOOKUP(tables_407010!C294,input_407010!A:H,8,FALSE))</f>
        <v>11000</v>
      </c>
      <c r="P294" s="46">
        <f t="shared" ca="1" si="13"/>
        <v>1.0416666666666667E-3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input_407010!A$2</f>
        <v>407010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IFERROR(VLOOKUP(B295,input_407010!L:R,7,FALSE),VLOOKUP(tables_407010!C295,input_407010!A:H,8,FALSE))</f>
        <v>11000</v>
      </c>
      <c r="P295" s="46">
        <f t="shared" ref="P295:P299" ca="1" si="18">O295/SUM(O:O)</f>
        <v>1.0416666666666667E-3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input_407010!A$2</f>
        <v>407010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IFERROR(VLOOKUP(B296,input_407010!L:R,7,FALSE),VLOOKUP(tables_407010!C296,input_407010!A:H,8,FALSE))</f>
        <v>11000</v>
      </c>
      <c r="P296" s="46">
        <f t="shared" ca="1" si="18"/>
        <v>1.0416666666666667E-3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input_407010!A$2</f>
        <v>407010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IFERROR(VLOOKUP(B297,input_407010!L:R,7,FALSE),VLOOKUP(tables_407010!C297,input_407010!A:H,8,FALSE))</f>
        <v>108300</v>
      </c>
      <c r="P297" s="46">
        <f t="shared" ca="1" si="18"/>
        <v>1.0255681818181818E-2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input_407010!A$2</f>
        <v>407010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IFERROR(VLOOKUP(B298,input_407010!L:R,7,FALSE),VLOOKUP(tables_407010!C298,input_407010!A:H,8,FALSE))</f>
        <v>5700</v>
      </c>
      <c r="P298" s="46">
        <f t="shared" ca="1" si="18"/>
        <v>5.3977272727272728E-4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input_407010!A$2</f>
        <v>407010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IFERROR(VLOOKUP(B299,input_407010!L:R,7,FALSE),VLOOKUP(tables_407010!C299,input_407010!A:H,8,FALSE))</f>
        <v>11000</v>
      </c>
      <c r="P299" s="46">
        <f t="shared" ca="1" si="18"/>
        <v>1.0416666666666667E-3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input_407010!A$2</f>
        <v>407010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IFERROR(VLOOKUP(B300,input_407010!L:R,7,FALSE),VLOOKUP(tables_407010!C300,input_407010!A:H,8,FALSE))</f>
        <v>108300</v>
      </c>
      <c r="P300" s="46">
        <f t="shared" ref="P300:P304" ca="1" si="20">O300/SUM(O:O)</f>
        <v>1.0255681818181818E-2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input_407010!A$2</f>
        <v>407010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IFERROR(VLOOKUP(B301,input_407010!L:R,7,FALSE),VLOOKUP(tables_407010!C301,input_407010!A:H,8,FALSE))</f>
        <v>5700</v>
      </c>
      <c r="P301" s="46">
        <f t="shared" ca="1" si="20"/>
        <v>5.3977272727272728E-4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input_407010!A$2</f>
        <v>407010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IFERROR(VLOOKUP(B302,input_407010!L:R,7,FALSE),VLOOKUP(tables_407010!C302,input_407010!A:H,8,FALSE))</f>
        <v>11000</v>
      </c>
      <c r="P302" s="46">
        <f t="shared" ca="1" si="20"/>
        <v>1.0416666666666667E-3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input_407010!A$2</f>
        <v>407010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IFERROR(VLOOKUP(B303,input_407010!L:R,7,FALSE),VLOOKUP(tables_407010!C303,input_407010!A:H,8,FALSE))</f>
        <v>11000</v>
      </c>
      <c r="P303" s="46">
        <f t="shared" ca="1" si="20"/>
        <v>1.0416666666666667E-3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input_407010!A$2</f>
        <v>407010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IFERROR(VLOOKUP(B304,input_407010!L:R,7,FALSE),VLOOKUP(tables_407010!C304,input_407010!A:H,8,FALSE))</f>
        <v>11000</v>
      </c>
      <c r="P304" s="46">
        <f t="shared" ca="1" si="20"/>
        <v>1.0416666666666667E-3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input_407010!A$2</f>
        <v>407010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IFERROR(VLOOKUP(B305,input_407010!L:R,7,FALSE),VLOOKUP(tables_407010!C305,input_407010!A:H,8,FALSE))</f>
        <v>108300</v>
      </c>
      <c r="P305" s="46">
        <f t="shared" ref="P305:P309" ca="1" si="22">O305/SUM(O:O)</f>
        <v>1.0255681818181818E-2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input_407010!A$2</f>
        <v>407010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IFERROR(VLOOKUP(B306,input_407010!L:R,7,FALSE),VLOOKUP(tables_407010!C306,input_407010!A:H,8,FALSE))</f>
        <v>5700</v>
      </c>
      <c r="P306" s="46">
        <f t="shared" ca="1" si="22"/>
        <v>5.3977272727272728E-4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input_407010!A$2</f>
        <v>407010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IFERROR(VLOOKUP(B307,input_407010!L:R,7,FALSE),VLOOKUP(tables_407010!C307,input_407010!A:H,8,FALSE))</f>
        <v>11000</v>
      </c>
      <c r="P307" s="46">
        <f t="shared" ca="1" si="22"/>
        <v>1.0416666666666667E-3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input_407010!A$2</f>
        <v>407010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IFERROR(VLOOKUP(B308,input_407010!L:R,7,FALSE),VLOOKUP(tables_407010!C308,input_407010!A:H,8,FALSE))</f>
        <v>11000</v>
      </c>
      <c r="P308" s="46">
        <f t="shared" ca="1" si="22"/>
        <v>1.0416666666666667E-3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input_407010!A$2</f>
        <v>407010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IFERROR(VLOOKUP(B309,input_407010!L:R,7,FALSE),VLOOKUP(tables_407010!C309,input_407010!A:H,8,FALSE))</f>
        <v>11000</v>
      </c>
      <c r="P309" s="46">
        <f t="shared" ca="1" si="22"/>
        <v>1.0416666666666667E-3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input_407011!A$2</f>
        <v>407011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IFERROR(VLOOKUP(B2,input_407011!L:R,7,FALSE),VLOOKUP(tables_407011!C2,input_407011!A:H,8,FALSE))</f>
        <v>101040</v>
      </c>
      <c r="P2" s="46">
        <f t="shared" ref="P2:P65" ca="1" si="1">O2/SUM(O:O)</f>
        <v>9.5681818181818177E-3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input_407011!A$2</f>
        <v>407011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IFERROR(VLOOKUP(B3,input_407011!L:R,7,FALSE),VLOOKUP(tables_407011!C3,input_407011!A:H,8,FALSE))</f>
        <v>15360</v>
      </c>
      <c r="P3" s="46">
        <f t="shared" ca="1" si="1"/>
        <v>1.4545454545454545E-3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input_407011!A$2</f>
        <v>407011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IFERROR(VLOOKUP(B4,input_407011!L:R,7,FALSE),VLOOKUP(tables_407011!C4,input_407011!A:H,8,FALSE))</f>
        <v>101040</v>
      </c>
      <c r="P4" s="46">
        <f t="shared" ca="1" si="1"/>
        <v>9.5681818181818177E-3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input_407011!A$2</f>
        <v>407011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IFERROR(VLOOKUP(B5,input_407011!L:R,7,FALSE),VLOOKUP(tables_407011!C5,input_407011!A:H,8,FALSE))</f>
        <v>15360</v>
      </c>
      <c r="P5" s="46">
        <f t="shared" ca="1" si="1"/>
        <v>1.4545454545454545E-3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input_407011!A$2</f>
        <v>407011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IFERROR(VLOOKUP(B6,input_407011!L:R,7,FALSE),VLOOKUP(tables_407011!C6,input_407011!A:H,8,FALSE))</f>
        <v>101040</v>
      </c>
      <c r="P6" s="46">
        <f t="shared" ca="1" si="1"/>
        <v>9.5681818181818177E-3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input_407011!A$2</f>
        <v>407011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IFERROR(VLOOKUP(B7,input_407011!L:R,7,FALSE),VLOOKUP(tables_407011!C7,input_407011!A:H,8,FALSE))</f>
        <v>15360</v>
      </c>
      <c r="P7" s="46">
        <f t="shared" ca="1" si="1"/>
        <v>1.4545454545454545E-3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input_407011!A$2</f>
        <v>407011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IFERROR(VLOOKUP(B8,input_407011!L:R,7,FALSE),VLOOKUP(tables_407011!C8,input_407011!A:H,8,FALSE))</f>
        <v>101040</v>
      </c>
      <c r="P8" s="46">
        <f t="shared" ca="1" si="1"/>
        <v>9.5681818181818177E-3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input_407011!A$2</f>
        <v>407011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IFERROR(VLOOKUP(B9,input_407011!L:R,7,FALSE),VLOOKUP(tables_407011!C9,input_407011!A:H,8,FALSE))</f>
        <v>15360</v>
      </c>
      <c r="P9" s="46">
        <f t="shared" ca="1" si="1"/>
        <v>1.4545454545454545E-3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input_407011!A$2</f>
        <v>407011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IFERROR(VLOOKUP(B10,input_407011!L:R,7,FALSE),VLOOKUP(tables_407011!C10,input_407011!A:H,8,FALSE))</f>
        <v>101040</v>
      </c>
      <c r="P10" s="46">
        <f t="shared" ca="1" si="1"/>
        <v>9.5681818181818177E-3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input_407011!A$2</f>
        <v>407011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IFERROR(VLOOKUP(B11,input_407011!L:R,7,FALSE),VLOOKUP(tables_407011!C11,input_407011!A:H,8,FALSE))</f>
        <v>15360</v>
      </c>
      <c r="P11" s="46">
        <f t="shared" ca="1" si="1"/>
        <v>1.4545454545454545E-3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input_407011!A$2</f>
        <v>407011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IFERROR(VLOOKUP(B12,input_407011!L:R,7,FALSE),VLOOKUP(tables_407011!C12,input_407011!A:H,8,FALSE))</f>
        <v>101040</v>
      </c>
      <c r="P12" s="46">
        <f t="shared" ca="1" si="1"/>
        <v>9.5681818181818177E-3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input_407011!A$2</f>
        <v>407011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IFERROR(VLOOKUP(B13,input_407011!L:R,7,FALSE),VLOOKUP(tables_407011!C13,input_407011!A:H,8,FALSE))</f>
        <v>15360</v>
      </c>
      <c r="P13" s="46">
        <f t="shared" ca="1" si="1"/>
        <v>1.4545454545454545E-3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input_407011!A$2</f>
        <v>407011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IFERROR(VLOOKUP(B14,input_407011!L:R,7,FALSE),VLOOKUP(tables_407011!C14,input_407011!A:H,8,FALSE))</f>
        <v>101040</v>
      </c>
      <c r="P14" s="46">
        <f t="shared" ca="1" si="1"/>
        <v>9.5681818181818177E-3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input_407011!A$2</f>
        <v>407011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IFERROR(VLOOKUP(B15,input_407011!L:R,7,FALSE),VLOOKUP(tables_407011!C15,input_407011!A:H,8,FALSE))</f>
        <v>15360</v>
      </c>
      <c r="P15" s="46">
        <f t="shared" ca="1" si="1"/>
        <v>1.4545454545454545E-3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input_407011!A$2</f>
        <v>407011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IFERROR(VLOOKUP(B16,input_407011!L:R,7,FALSE),VLOOKUP(tables_407011!C16,input_407011!A:H,8,FALSE))</f>
        <v>101040</v>
      </c>
      <c r="P16" s="46">
        <f t="shared" ca="1" si="1"/>
        <v>9.5681818181818177E-3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input_407011!A$2</f>
        <v>407011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IFERROR(VLOOKUP(B17,input_407011!L:R,7,FALSE),VLOOKUP(tables_407011!C17,input_407011!A:H,8,FALSE))</f>
        <v>15360</v>
      </c>
      <c r="P17" s="46">
        <f t="shared" ca="1" si="1"/>
        <v>1.4545454545454545E-3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input_407011!A$2</f>
        <v>407011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IFERROR(VLOOKUP(B18,input_407011!L:R,7,FALSE),VLOOKUP(tables_407011!C18,input_407011!A:H,8,FALSE))</f>
        <v>101040</v>
      </c>
      <c r="P18" s="46">
        <f t="shared" ca="1" si="1"/>
        <v>9.5681818181818177E-3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input_407011!A$2</f>
        <v>407011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IFERROR(VLOOKUP(B19,input_407011!L:R,7,FALSE),VLOOKUP(tables_407011!C19,input_407011!A:H,8,FALSE))</f>
        <v>15360</v>
      </c>
      <c r="P19" s="46">
        <f t="shared" ca="1" si="1"/>
        <v>1.4545454545454545E-3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input_407011!A$2</f>
        <v>407011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IFERROR(VLOOKUP(B20,input_407011!L:R,7,FALSE),VLOOKUP(tables_407011!C20,input_407011!A:H,8,FALSE))</f>
        <v>101040</v>
      </c>
      <c r="P20" s="46">
        <f t="shared" ca="1" si="1"/>
        <v>9.5681818181818177E-3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input_407011!A$2</f>
        <v>407011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IFERROR(VLOOKUP(B21,input_407011!L:R,7,FALSE),VLOOKUP(tables_407011!C21,input_407011!A:H,8,FALSE))</f>
        <v>15360</v>
      </c>
      <c r="P21" s="46">
        <f t="shared" ca="1" si="1"/>
        <v>1.4545454545454545E-3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input_407011!A$2</f>
        <v>407011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IFERROR(VLOOKUP(B22,input_407011!L:R,7,FALSE),VLOOKUP(tables_407011!C22,input_407011!A:H,8,FALSE))</f>
        <v>101040</v>
      </c>
      <c r="P22" s="46">
        <f t="shared" ca="1" si="1"/>
        <v>9.5681818181818177E-3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input_407011!A$2</f>
        <v>407011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IFERROR(VLOOKUP(B23,input_407011!L:R,7,FALSE),VLOOKUP(tables_407011!C23,input_407011!A:H,8,FALSE))</f>
        <v>15360</v>
      </c>
      <c r="P23" s="46">
        <f t="shared" ca="1" si="1"/>
        <v>1.4545454545454545E-3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input_407011!A$2</f>
        <v>407011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IFERROR(VLOOKUP(B24,input_407011!L:R,7,FALSE),VLOOKUP(tables_407011!C24,input_407011!A:H,8,FALSE))</f>
        <v>101040</v>
      </c>
      <c r="P24" s="46">
        <f t="shared" ca="1" si="1"/>
        <v>9.5681818181818177E-3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input_407011!A$2</f>
        <v>407011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IFERROR(VLOOKUP(B25,input_407011!L:R,7,FALSE),VLOOKUP(tables_407011!C25,input_407011!A:H,8,FALSE))</f>
        <v>15360</v>
      </c>
      <c r="P25" s="46">
        <f t="shared" ca="1" si="1"/>
        <v>1.4545454545454545E-3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input_407011!A$2</f>
        <v>407011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IFERROR(VLOOKUP(B26,input_407011!L:R,7,FALSE),VLOOKUP(tables_407011!C26,input_407011!A:H,8,FALSE))</f>
        <v>101040</v>
      </c>
      <c r="P26" s="46">
        <f t="shared" ca="1" si="1"/>
        <v>9.5681818181818177E-3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input_407011!A$2</f>
        <v>407011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IFERROR(VLOOKUP(B27,input_407011!L:R,7,FALSE),VLOOKUP(tables_407011!C27,input_407011!A:H,8,FALSE))</f>
        <v>15360</v>
      </c>
      <c r="P27" s="46">
        <f t="shared" ca="1" si="1"/>
        <v>1.4545454545454545E-3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input_407011!A$2</f>
        <v>407011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IFERROR(VLOOKUP(B28,input_407011!L:R,7,FALSE),VLOOKUP(tables_407011!C28,input_407011!A:H,8,FALSE))</f>
        <v>101040</v>
      </c>
      <c r="P28" s="46">
        <f t="shared" ca="1" si="1"/>
        <v>9.5681818181818177E-3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input_407011!A$2</f>
        <v>407011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IFERROR(VLOOKUP(B29,input_407011!L:R,7,FALSE),VLOOKUP(tables_407011!C29,input_407011!A:H,8,FALSE))</f>
        <v>15360</v>
      </c>
      <c r="P29" s="46">
        <f t="shared" ca="1" si="1"/>
        <v>1.4545454545454545E-3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input_407011!A$2</f>
        <v>407011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IFERROR(VLOOKUP(B30,input_407011!L:R,7,FALSE),VLOOKUP(tables_407011!C30,input_407011!A:H,8,FALSE))</f>
        <v>101040</v>
      </c>
      <c r="P30" s="46">
        <f t="shared" ca="1" si="1"/>
        <v>9.5681818181818177E-3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input_407011!A$2</f>
        <v>407011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IFERROR(VLOOKUP(B31,input_407011!L:R,7,FALSE),VLOOKUP(tables_407011!C31,input_407011!A:H,8,FALSE))</f>
        <v>15360</v>
      </c>
      <c r="P31" s="46">
        <f t="shared" ca="1" si="1"/>
        <v>1.4545454545454545E-3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input_407011!A$2</f>
        <v>407011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IFERROR(VLOOKUP(B32,input_407011!L:R,7,FALSE),VLOOKUP(tables_407011!C32,input_407011!A:H,8,FALSE))</f>
        <v>101040</v>
      </c>
      <c r="P32" s="46">
        <f t="shared" ca="1" si="1"/>
        <v>9.5681818181818177E-3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input_407011!A$2</f>
        <v>407011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IFERROR(VLOOKUP(B33,input_407011!L:R,7,FALSE),VLOOKUP(tables_407011!C33,input_407011!A:H,8,FALSE))</f>
        <v>15360</v>
      </c>
      <c r="P33" s="46">
        <f t="shared" ca="1" si="1"/>
        <v>1.4545454545454545E-3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input_407011!A$2</f>
        <v>407011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IFERROR(VLOOKUP(B34,input_407011!L:R,7,FALSE),VLOOKUP(tables_407011!C34,input_407011!A:H,8,FALSE))</f>
        <v>101040</v>
      </c>
      <c r="P34" s="46">
        <f t="shared" ca="1" si="1"/>
        <v>9.5681818181818177E-3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input_407011!A$2</f>
        <v>407011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IFERROR(VLOOKUP(B35,input_407011!L:R,7,FALSE),VLOOKUP(tables_407011!C35,input_407011!A:H,8,FALSE))</f>
        <v>15360</v>
      </c>
      <c r="P35" s="46">
        <f t="shared" ca="1" si="1"/>
        <v>1.4545454545454545E-3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input_407011!A$2</f>
        <v>407011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IFERROR(VLOOKUP(B36,input_407011!L:R,7,FALSE),VLOOKUP(tables_407011!C36,input_407011!A:H,8,FALSE))</f>
        <v>101040</v>
      </c>
      <c r="P36" s="46">
        <f t="shared" ca="1" si="1"/>
        <v>9.5681818181818177E-3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input_407011!A$2</f>
        <v>407011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IFERROR(VLOOKUP(B37,input_407011!L:R,7,FALSE),VLOOKUP(tables_407011!C37,input_407011!A:H,8,FALSE))</f>
        <v>15360</v>
      </c>
      <c r="P37" s="46">
        <f t="shared" ca="1" si="1"/>
        <v>1.4545454545454545E-3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input_407011!A$2</f>
        <v>407011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IFERROR(VLOOKUP(B38,input_407011!L:R,7,FALSE),VLOOKUP(tables_407011!C38,input_407011!A:H,8,FALSE))</f>
        <v>101040</v>
      </c>
      <c r="P38" s="46">
        <f t="shared" ca="1" si="1"/>
        <v>9.5681818181818177E-3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input_407011!A$2</f>
        <v>407011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IFERROR(VLOOKUP(B39,input_407011!L:R,7,FALSE),VLOOKUP(tables_407011!C39,input_407011!A:H,8,FALSE))</f>
        <v>15360</v>
      </c>
      <c r="P39" s="46">
        <f t="shared" ca="1" si="1"/>
        <v>1.4545454545454545E-3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input_407011!A$2</f>
        <v>407011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IFERROR(VLOOKUP(B40,input_407011!L:R,7,FALSE),VLOOKUP(tables_407011!C40,input_407011!A:H,8,FALSE))</f>
        <v>101040</v>
      </c>
      <c r="P40" s="46">
        <f t="shared" ca="1" si="1"/>
        <v>9.5681818181818177E-3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input_407011!A$2</f>
        <v>407011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IFERROR(VLOOKUP(B41,input_407011!L:R,7,FALSE),VLOOKUP(tables_407011!C41,input_407011!A:H,8,FALSE))</f>
        <v>15360</v>
      </c>
      <c r="P41" s="46">
        <f t="shared" ca="1" si="1"/>
        <v>1.4545454545454545E-3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input_407011!A$2</f>
        <v>407011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IFERROR(VLOOKUP(B42,input_407011!L:R,7,FALSE),VLOOKUP(tables_407011!C42,input_407011!A:H,8,FALSE))</f>
        <v>58200</v>
      </c>
      <c r="P42" s="46">
        <f t="shared" ca="1" si="1"/>
        <v>5.5113636363636363E-3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input_407011!A$2</f>
        <v>407011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IFERROR(VLOOKUP(B43,input_407011!L:R,7,FALSE),VLOOKUP(tables_407011!C43,input_407011!A:H,8,FALSE))</f>
        <v>52380</v>
      </c>
      <c r="P43" s="46">
        <f t="shared" ca="1" si="1"/>
        <v>4.9602272727272724E-3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input_407011!A$2</f>
        <v>407011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IFERROR(VLOOKUP(B44,input_407011!L:R,7,FALSE),VLOOKUP(tables_407011!C44,input_407011!A:H,8,FALSE))</f>
        <v>5820</v>
      </c>
      <c r="P44" s="46">
        <f t="shared" ca="1" si="1"/>
        <v>5.5113636363636367E-4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input_407011!A$2</f>
        <v>407011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IFERROR(VLOOKUP(B45,input_407011!L:R,7,FALSE),VLOOKUP(tables_407011!C45,input_407011!A:H,8,FALSE))</f>
        <v>58200</v>
      </c>
      <c r="P45" s="46">
        <f t="shared" ca="1" si="1"/>
        <v>5.5113636363636363E-3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input_407011!A$2</f>
        <v>407011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IFERROR(VLOOKUP(B46,input_407011!L:R,7,FALSE),VLOOKUP(tables_407011!C46,input_407011!A:H,8,FALSE))</f>
        <v>52380</v>
      </c>
      <c r="P46" s="46">
        <f t="shared" ca="1" si="1"/>
        <v>4.9602272727272724E-3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input_407011!A$2</f>
        <v>407011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IFERROR(VLOOKUP(B47,input_407011!L:R,7,FALSE),VLOOKUP(tables_407011!C47,input_407011!A:H,8,FALSE))</f>
        <v>5820</v>
      </c>
      <c r="P47" s="46">
        <f t="shared" ca="1" si="1"/>
        <v>5.5113636363636367E-4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input_407011!A$2</f>
        <v>407011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IFERROR(VLOOKUP(B48,input_407011!L:R,7,FALSE),VLOOKUP(tables_407011!C48,input_407011!A:H,8,FALSE))</f>
        <v>58200</v>
      </c>
      <c r="P48" s="46">
        <f t="shared" ca="1" si="1"/>
        <v>5.5113636363636363E-3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input_407011!A$2</f>
        <v>407011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IFERROR(VLOOKUP(B49,input_407011!L:R,7,FALSE),VLOOKUP(tables_407011!C49,input_407011!A:H,8,FALSE))</f>
        <v>52380</v>
      </c>
      <c r="P49" s="46">
        <f t="shared" ca="1" si="1"/>
        <v>4.9602272727272724E-3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input_407011!A$2</f>
        <v>407011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IFERROR(VLOOKUP(B50,input_407011!L:R,7,FALSE),VLOOKUP(tables_407011!C50,input_407011!A:H,8,FALSE))</f>
        <v>5820</v>
      </c>
      <c r="P50" s="46">
        <f t="shared" ca="1" si="1"/>
        <v>5.5113636363636367E-4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input_407011!A$2</f>
        <v>407011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IFERROR(VLOOKUP(B51,input_407011!L:R,7,FALSE),VLOOKUP(tables_407011!C51,input_407011!A:H,8,FALSE))</f>
        <v>58200</v>
      </c>
      <c r="P51" s="46">
        <f t="shared" ca="1" si="1"/>
        <v>5.5113636363636363E-3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input_407011!A$2</f>
        <v>407011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IFERROR(VLOOKUP(B52,input_407011!L:R,7,FALSE),VLOOKUP(tables_407011!C52,input_407011!A:H,8,FALSE))</f>
        <v>52553.07692</v>
      </c>
      <c r="P52" s="46">
        <f t="shared" ca="1" si="1"/>
        <v>4.9766171325757577E-3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input_407011!A$2</f>
        <v>407011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IFERROR(VLOOKUP(B53,input_407011!L:R,7,FALSE),VLOOKUP(tables_407011!C53,input_407011!A:H,8,FALSE))</f>
        <v>5646.9230799999996</v>
      </c>
      <c r="P53" s="46">
        <f t="shared" ca="1" si="1"/>
        <v>5.3474650378787872E-4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input_407011!A$2</f>
        <v>407011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IFERROR(VLOOKUP(B54,input_407011!L:R,7,FALSE),VLOOKUP(tables_407011!C54,input_407011!A:H,8,FALSE))</f>
        <v>58200</v>
      </c>
      <c r="P54" s="46">
        <f t="shared" ca="1" si="1"/>
        <v>5.5113636363636363E-3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input_407011!A$2</f>
        <v>407011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IFERROR(VLOOKUP(B55,input_407011!L:R,7,FALSE),VLOOKUP(tables_407011!C55,input_407011!A:H,8,FALSE))</f>
        <v>52553.07692</v>
      </c>
      <c r="P55" s="46">
        <f t="shared" ca="1" si="1"/>
        <v>4.9766171325757577E-3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input_407011!A$2</f>
        <v>407011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IFERROR(VLOOKUP(B56,input_407011!L:R,7,FALSE),VLOOKUP(tables_407011!C56,input_407011!A:H,8,FALSE))</f>
        <v>5646.9230799999996</v>
      </c>
      <c r="P56" s="46">
        <f t="shared" ca="1" si="1"/>
        <v>5.3474650378787872E-4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input_407011!A$2</f>
        <v>407011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IFERROR(VLOOKUP(B57,input_407011!L:R,7,FALSE),VLOOKUP(tables_407011!C57,input_407011!A:H,8,FALSE))</f>
        <v>58200</v>
      </c>
      <c r="P57" s="46">
        <f t="shared" ca="1" si="1"/>
        <v>5.5113636363636363E-3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input_407011!A$2</f>
        <v>407011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IFERROR(VLOOKUP(B58,input_407011!L:R,7,FALSE),VLOOKUP(tables_407011!C58,input_407011!A:H,8,FALSE))</f>
        <v>52553.07692</v>
      </c>
      <c r="P58" s="46">
        <f t="shared" ca="1" si="1"/>
        <v>4.9766171325757577E-3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input_407011!A$2</f>
        <v>407011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IFERROR(VLOOKUP(B59,input_407011!L:R,7,FALSE),VLOOKUP(tables_407011!C59,input_407011!A:H,8,FALSE))</f>
        <v>5646.9230799999996</v>
      </c>
      <c r="P59" s="46">
        <f t="shared" ca="1" si="1"/>
        <v>5.3474650378787872E-4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input_407011!A$2</f>
        <v>407011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IFERROR(VLOOKUP(B60,input_407011!L:R,7,FALSE),VLOOKUP(tables_407011!C60,input_407011!A:H,8,FALSE))</f>
        <v>58200</v>
      </c>
      <c r="P60" s="46">
        <f t="shared" ca="1" si="1"/>
        <v>5.5113636363636363E-3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input_407011!A$2</f>
        <v>407011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IFERROR(VLOOKUP(B61,input_407011!L:R,7,FALSE),VLOOKUP(tables_407011!C61,input_407011!A:H,8,FALSE))</f>
        <v>52553.07692</v>
      </c>
      <c r="P61" s="46">
        <f t="shared" ca="1" si="1"/>
        <v>4.9766171325757577E-3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input_407011!A$2</f>
        <v>407011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IFERROR(VLOOKUP(B62,input_407011!L:R,7,FALSE),VLOOKUP(tables_407011!C62,input_407011!A:H,8,FALSE))</f>
        <v>5646.9230799999996</v>
      </c>
      <c r="P62" s="46">
        <f t="shared" ca="1" si="1"/>
        <v>5.3474650378787872E-4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input_407011!A$2</f>
        <v>407011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IFERROR(VLOOKUP(B63,input_407011!L:R,7,FALSE),VLOOKUP(tables_407011!C63,input_407011!A:H,8,FALSE))</f>
        <v>58200</v>
      </c>
      <c r="P63" s="46">
        <f t="shared" ca="1" si="1"/>
        <v>5.5113636363636363E-3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input_407011!A$2</f>
        <v>407011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IFERROR(VLOOKUP(B64,input_407011!L:R,7,FALSE),VLOOKUP(tables_407011!C64,input_407011!A:H,8,FALSE))</f>
        <v>52553.07692</v>
      </c>
      <c r="P64" s="46">
        <f t="shared" ca="1" si="1"/>
        <v>4.9766171325757577E-3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input_407011!A$2</f>
        <v>407011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IFERROR(VLOOKUP(B65,input_407011!L:R,7,FALSE),VLOOKUP(tables_407011!C65,input_407011!A:H,8,FALSE))</f>
        <v>5646.9230799999996</v>
      </c>
      <c r="P65" s="46">
        <f t="shared" ca="1" si="1"/>
        <v>5.3474650378787872E-4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input_407011!A$2</f>
        <v>407011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IFERROR(VLOOKUP(B66,input_407011!L:R,7,FALSE),VLOOKUP(tables_407011!C66,input_407011!A:H,8,FALSE))</f>
        <v>58200</v>
      </c>
      <c r="P66" s="46">
        <f t="shared" ref="P66:P129" ca="1" si="4">O66/SUM(O:O)</f>
        <v>5.5113636363636363E-3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input_407011!A$2</f>
        <v>407011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IFERROR(VLOOKUP(B67,input_407011!L:R,7,FALSE),VLOOKUP(tables_407011!C67,input_407011!A:H,8,FALSE))</f>
        <v>52553.07692</v>
      </c>
      <c r="P67" s="46">
        <f t="shared" ca="1" si="4"/>
        <v>4.9766171325757577E-3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input_407011!A$2</f>
        <v>407011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IFERROR(VLOOKUP(B68,input_407011!L:R,7,FALSE),VLOOKUP(tables_407011!C68,input_407011!A:H,8,FALSE))</f>
        <v>5646.9230799999996</v>
      </c>
      <c r="P68" s="46">
        <f t="shared" ca="1" si="4"/>
        <v>5.3474650378787872E-4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input_407011!A$2</f>
        <v>407011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IFERROR(VLOOKUP(B69,input_407011!L:R,7,FALSE),VLOOKUP(tables_407011!C69,input_407011!A:H,8,FALSE))</f>
        <v>58200</v>
      </c>
      <c r="P69" s="46">
        <f t="shared" ca="1" si="4"/>
        <v>5.5113636363636363E-3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input_407011!A$2</f>
        <v>407011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IFERROR(VLOOKUP(B70,input_407011!L:R,7,FALSE),VLOOKUP(tables_407011!C70,input_407011!A:H,8,FALSE))</f>
        <v>52553.07692</v>
      </c>
      <c r="P70" s="46">
        <f t="shared" ca="1" si="4"/>
        <v>4.9766171325757577E-3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input_407011!A$2</f>
        <v>407011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IFERROR(VLOOKUP(B71,input_407011!L:R,7,FALSE),VLOOKUP(tables_407011!C71,input_407011!A:H,8,FALSE))</f>
        <v>5646.9230799999996</v>
      </c>
      <c r="P71" s="46">
        <f t="shared" ca="1" si="4"/>
        <v>5.3474650378787872E-4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input_407011!A$2</f>
        <v>407011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IFERROR(VLOOKUP(B72,input_407011!L:R,7,FALSE),VLOOKUP(tables_407011!C72,input_407011!A:H,8,FALSE))</f>
        <v>58200</v>
      </c>
      <c r="P72" s="46">
        <f t="shared" ca="1" si="4"/>
        <v>5.5113636363636363E-3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input_407011!A$2</f>
        <v>407011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IFERROR(VLOOKUP(B73,input_407011!L:R,7,FALSE),VLOOKUP(tables_407011!C73,input_407011!A:H,8,FALSE))</f>
        <v>52553.07692</v>
      </c>
      <c r="P73" s="46">
        <f t="shared" ca="1" si="4"/>
        <v>4.9766171325757577E-3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input_407011!A$2</f>
        <v>407011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IFERROR(VLOOKUP(B74,input_407011!L:R,7,FALSE),VLOOKUP(tables_407011!C74,input_407011!A:H,8,FALSE))</f>
        <v>5646.9230799999996</v>
      </c>
      <c r="P74" s="46">
        <f t="shared" ca="1" si="4"/>
        <v>5.3474650378787872E-4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input_407011!A$2</f>
        <v>407011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IFERROR(VLOOKUP(B75,input_407011!L:R,7,FALSE),VLOOKUP(tables_407011!C75,input_407011!A:H,8,FALSE))</f>
        <v>58200</v>
      </c>
      <c r="P75" s="46">
        <f t="shared" ca="1" si="4"/>
        <v>5.5113636363636363E-3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input_407011!A$2</f>
        <v>407011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IFERROR(VLOOKUP(B76,input_407011!L:R,7,FALSE),VLOOKUP(tables_407011!C76,input_407011!A:H,8,FALSE))</f>
        <v>52553.07692</v>
      </c>
      <c r="P76" s="46">
        <f t="shared" ca="1" si="4"/>
        <v>4.9766171325757577E-3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input_407011!A$2</f>
        <v>407011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IFERROR(VLOOKUP(B77,input_407011!L:R,7,FALSE),VLOOKUP(tables_407011!C77,input_407011!A:H,8,FALSE))</f>
        <v>5646.9230799999996</v>
      </c>
      <c r="P77" s="46">
        <f t="shared" ca="1" si="4"/>
        <v>5.3474650378787872E-4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input_407011!A$2</f>
        <v>407011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IFERROR(VLOOKUP(B78,input_407011!L:R,7,FALSE),VLOOKUP(tables_407011!C78,input_407011!A:H,8,FALSE))</f>
        <v>58200</v>
      </c>
      <c r="P78" s="46">
        <f t="shared" ca="1" si="4"/>
        <v>5.5113636363636363E-3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input_407011!A$2</f>
        <v>407011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IFERROR(VLOOKUP(B79,input_407011!L:R,7,FALSE),VLOOKUP(tables_407011!C79,input_407011!A:H,8,FALSE))</f>
        <v>52553.07692</v>
      </c>
      <c r="P79" s="46">
        <f t="shared" ca="1" si="4"/>
        <v>4.9766171325757577E-3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input_407011!A$2</f>
        <v>407011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IFERROR(VLOOKUP(B80,input_407011!L:R,7,FALSE),VLOOKUP(tables_407011!C80,input_407011!A:H,8,FALSE))</f>
        <v>5646.9230799999996</v>
      </c>
      <c r="P80" s="46">
        <f t="shared" ca="1" si="4"/>
        <v>5.3474650378787872E-4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input_407011!A$2</f>
        <v>407011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IFERROR(VLOOKUP(B81,input_407011!L:R,7,FALSE),VLOOKUP(tables_407011!C81,input_407011!A:H,8,FALSE))</f>
        <v>58200</v>
      </c>
      <c r="P81" s="46">
        <f t="shared" ca="1" si="4"/>
        <v>5.5113636363636363E-3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input_407011!A$2</f>
        <v>407011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IFERROR(VLOOKUP(B82,input_407011!L:R,7,FALSE),VLOOKUP(tables_407011!C82,input_407011!A:H,8,FALSE))</f>
        <v>52553.07692</v>
      </c>
      <c r="P82" s="46">
        <f t="shared" ca="1" si="4"/>
        <v>4.9766171325757577E-3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input_407011!A$2</f>
        <v>407011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IFERROR(VLOOKUP(B83,input_407011!L:R,7,FALSE),VLOOKUP(tables_407011!C83,input_407011!A:H,8,FALSE))</f>
        <v>5646.9230799999996</v>
      </c>
      <c r="P83" s="46">
        <f t="shared" ca="1" si="4"/>
        <v>5.3474650378787872E-4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input_407011!A$2</f>
        <v>407011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IFERROR(VLOOKUP(B84,input_407011!L:R,7,FALSE),VLOOKUP(tables_407011!C84,input_407011!A:H,8,FALSE))</f>
        <v>58200</v>
      </c>
      <c r="P84" s="46">
        <f t="shared" ca="1" si="4"/>
        <v>5.5113636363636363E-3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input_407011!A$2</f>
        <v>407011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IFERROR(VLOOKUP(B85,input_407011!L:R,7,FALSE),VLOOKUP(tables_407011!C85,input_407011!A:H,8,FALSE))</f>
        <v>52553.07692</v>
      </c>
      <c r="P85" s="46">
        <f t="shared" ca="1" si="4"/>
        <v>4.9766171325757577E-3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input_407011!A$2</f>
        <v>407011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IFERROR(VLOOKUP(B86,input_407011!L:R,7,FALSE),VLOOKUP(tables_407011!C86,input_407011!A:H,8,FALSE))</f>
        <v>5646.9230799999996</v>
      </c>
      <c r="P86" s="46">
        <f t="shared" ca="1" si="4"/>
        <v>5.3474650378787872E-4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input_407011!A$2</f>
        <v>407011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IFERROR(VLOOKUP(B87,input_407011!L:R,7,FALSE),VLOOKUP(tables_407011!C87,input_407011!A:H,8,FALSE))</f>
        <v>58200</v>
      </c>
      <c r="P87" s="46">
        <f t="shared" ca="1" si="4"/>
        <v>5.5113636363636363E-3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input_407011!A$2</f>
        <v>407011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IFERROR(VLOOKUP(B88,input_407011!L:R,7,FALSE),VLOOKUP(tables_407011!C88,input_407011!A:H,8,FALSE))</f>
        <v>52553.07692</v>
      </c>
      <c r="P88" s="46">
        <f t="shared" ca="1" si="4"/>
        <v>4.9766171325757577E-3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input_407011!A$2</f>
        <v>407011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IFERROR(VLOOKUP(B89,input_407011!L:R,7,FALSE),VLOOKUP(tables_407011!C89,input_407011!A:H,8,FALSE))</f>
        <v>5646.9230799999996</v>
      </c>
      <c r="P89" s="46">
        <f t="shared" ca="1" si="4"/>
        <v>5.3474650378787872E-4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input_407011!A$2</f>
        <v>407011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IFERROR(VLOOKUP(B90,input_407011!L:R,7,FALSE),VLOOKUP(tables_407011!C90,input_407011!A:H,8,FALSE))</f>
        <v>58200</v>
      </c>
      <c r="P90" s="46">
        <f t="shared" ca="1" si="4"/>
        <v>5.5113636363636363E-3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input_407011!A$2</f>
        <v>407011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IFERROR(VLOOKUP(B91,input_407011!L:R,7,FALSE),VLOOKUP(tables_407011!C91,input_407011!A:H,8,FALSE))</f>
        <v>52553.07692</v>
      </c>
      <c r="P91" s="46">
        <f t="shared" ca="1" si="4"/>
        <v>4.9766171325757577E-3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input_407011!A$2</f>
        <v>407011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IFERROR(VLOOKUP(B92,input_407011!L:R,7,FALSE),VLOOKUP(tables_407011!C92,input_407011!A:H,8,FALSE))</f>
        <v>5646.9230799999996</v>
      </c>
      <c r="P92" s="46">
        <f t="shared" ca="1" si="4"/>
        <v>5.3474650378787872E-4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input_407011!A$2</f>
        <v>407011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IFERROR(VLOOKUP(B93,input_407011!L:R,7,FALSE),VLOOKUP(tables_407011!C93,input_407011!A:H,8,FALSE))</f>
        <v>58200</v>
      </c>
      <c r="P93" s="46">
        <f t="shared" ca="1" si="4"/>
        <v>5.5113636363636363E-3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input_407011!A$2</f>
        <v>407011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IFERROR(VLOOKUP(B94,input_407011!L:R,7,FALSE),VLOOKUP(tables_407011!C94,input_407011!A:H,8,FALSE))</f>
        <v>52553.07692</v>
      </c>
      <c r="P94" s="46">
        <f t="shared" ca="1" si="4"/>
        <v>4.9766171325757577E-3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input_407011!A$2</f>
        <v>407011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IFERROR(VLOOKUP(B95,input_407011!L:R,7,FALSE),VLOOKUP(tables_407011!C95,input_407011!A:H,8,FALSE))</f>
        <v>5646.9230799999996</v>
      </c>
      <c r="P95" s="46">
        <f t="shared" ca="1" si="4"/>
        <v>5.3474650378787872E-4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input_407011!A$2</f>
        <v>407011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IFERROR(VLOOKUP(B96,input_407011!L:R,7,FALSE),VLOOKUP(tables_407011!C96,input_407011!A:H,8,FALSE))</f>
        <v>58200</v>
      </c>
      <c r="P96" s="46">
        <f t="shared" ca="1" si="4"/>
        <v>5.5113636363636363E-3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input_407011!A$2</f>
        <v>407011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IFERROR(VLOOKUP(B97,input_407011!L:R,7,FALSE),VLOOKUP(tables_407011!C97,input_407011!A:H,8,FALSE))</f>
        <v>52553.07692</v>
      </c>
      <c r="P97" s="46">
        <f t="shared" ca="1" si="4"/>
        <v>4.9766171325757577E-3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input_407011!A$2</f>
        <v>407011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IFERROR(VLOOKUP(B98,input_407011!L:R,7,FALSE),VLOOKUP(tables_407011!C98,input_407011!A:H,8,FALSE))</f>
        <v>5646.9230799999996</v>
      </c>
      <c r="P98" s="46">
        <f t="shared" ca="1" si="4"/>
        <v>5.3474650378787872E-4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input_407011!A$2</f>
        <v>407011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IFERROR(VLOOKUP(B99,input_407011!L:R,7,FALSE),VLOOKUP(tables_407011!C99,input_407011!A:H,8,FALSE))</f>
        <v>58200</v>
      </c>
      <c r="P99" s="46">
        <f t="shared" ca="1" si="4"/>
        <v>5.5113636363636363E-3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input_407011!A$2</f>
        <v>407011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IFERROR(VLOOKUP(B100,input_407011!L:R,7,FALSE),VLOOKUP(tables_407011!C100,input_407011!A:H,8,FALSE))</f>
        <v>52553.07692</v>
      </c>
      <c r="P100" s="46">
        <f t="shared" ca="1" si="4"/>
        <v>4.9766171325757577E-3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input_407011!A$2</f>
        <v>407011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IFERROR(VLOOKUP(B101,input_407011!L:R,7,FALSE),VLOOKUP(tables_407011!C101,input_407011!A:H,8,FALSE))</f>
        <v>5646.9230799999996</v>
      </c>
      <c r="P101" s="46">
        <f t="shared" ca="1" si="4"/>
        <v>5.3474650378787872E-4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input_407011!A$2</f>
        <v>407011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IFERROR(VLOOKUP(B102,input_407011!L:R,7,FALSE),VLOOKUP(tables_407011!C102,input_407011!A:H,8,FALSE))</f>
        <v>58200</v>
      </c>
      <c r="P102" s="46">
        <f t="shared" ca="1" si="4"/>
        <v>5.5113636363636363E-3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input_407011!A$2</f>
        <v>407011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IFERROR(VLOOKUP(B103,input_407011!L:R,7,FALSE),VLOOKUP(tables_407011!C103,input_407011!A:H,8,FALSE))</f>
        <v>52553.07692</v>
      </c>
      <c r="P103" s="46">
        <f t="shared" ca="1" si="4"/>
        <v>4.9766171325757577E-3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input_407011!A$2</f>
        <v>407011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IFERROR(VLOOKUP(B104,input_407011!L:R,7,FALSE),VLOOKUP(tables_407011!C104,input_407011!A:H,8,FALSE))</f>
        <v>5646.9230799999996</v>
      </c>
      <c r="P104" s="46">
        <f t="shared" ca="1" si="4"/>
        <v>5.3474650378787872E-4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input_407011!A$2</f>
        <v>407011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IFERROR(VLOOKUP(B105,input_407011!L:R,7,FALSE),VLOOKUP(tables_407011!C105,input_407011!A:H,8,FALSE))</f>
        <v>58200</v>
      </c>
      <c r="P105" s="46">
        <f t="shared" ca="1" si="4"/>
        <v>5.5113636363636363E-3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input_407011!A$2</f>
        <v>407011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IFERROR(VLOOKUP(B106,input_407011!L:R,7,FALSE),VLOOKUP(tables_407011!C106,input_407011!A:H,8,FALSE))</f>
        <v>52553.07692</v>
      </c>
      <c r="P106" s="46">
        <f t="shared" ca="1" si="4"/>
        <v>4.9766171325757577E-3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input_407011!A$2</f>
        <v>407011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IFERROR(VLOOKUP(B107,input_407011!L:R,7,FALSE),VLOOKUP(tables_407011!C107,input_407011!A:H,8,FALSE))</f>
        <v>5646.9230799999996</v>
      </c>
      <c r="P107" s="46">
        <f t="shared" ca="1" si="4"/>
        <v>5.3474650378787872E-4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input_407011!A$2</f>
        <v>407011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IFERROR(VLOOKUP(B108,input_407011!L:R,7,FALSE),VLOOKUP(tables_407011!C108,input_407011!A:H,8,FALSE))</f>
        <v>58200</v>
      </c>
      <c r="P108" s="46">
        <f t="shared" ca="1" si="4"/>
        <v>5.5113636363636363E-3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input_407011!A$2</f>
        <v>407011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IFERROR(VLOOKUP(B109,input_407011!L:R,7,FALSE),VLOOKUP(tables_407011!C109,input_407011!A:H,8,FALSE))</f>
        <v>52553.07692</v>
      </c>
      <c r="P109" s="46">
        <f t="shared" ca="1" si="4"/>
        <v>4.9766171325757577E-3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input_407011!A$2</f>
        <v>407011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IFERROR(VLOOKUP(B110,input_407011!L:R,7,FALSE),VLOOKUP(tables_407011!C110,input_407011!A:H,8,FALSE))</f>
        <v>5646.9230799999996</v>
      </c>
      <c r="P110" s="46">
        <f t="shared" ca="1" si="4"/>
        <v>5.3474650378787872E-4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input_407011!A$2</f>
        <v>407011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IFERROR(VLOOKUP(B111,input_407011!L:R,7,FALSE),VLOOKUP(tables_407011!C111,input_407011!A:H,8,FALSE))</f>
        <v>58200</v>
      </c>
      <c r="P111" s="46">
        <f t="shared" ca="1" si="4"/>
        <v>5.5113636363636363E-3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input_407011!A$2</f>
        <v>407011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IFERROR(VLOOKUP(B112,input_407011!L:R,7,FALSE),VLOOKUP(tables_407011!C112,input_407011!A:H,8,FALSE))</f>
        <v>52380</v>
      </c>
      <c r="P112" s="46">
        <f t="shared" ca="1" si="4"/>
        <v>4.9602272727272724E-3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input_407011!A$2</f>
        <v>407011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IFERROR(VLOOKUP(B113,input_407011!L:R,7,FALSE),VLOOKUP(tables_407011!C113,input_407011!A:H,8,FALSE))</f>
        <v>5820</v>
      </c>
      <c r="P113" s="46">
        <f t="shared" ca="1" si="4"/>
        <v>5.5113636363636367E-4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input_407011!A$2</f>
        <v>407011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IFERROR(VLOOKUP(B114,input_407011!L:R,7,FALSE),VLOOKUP(tables_407011!C114,input_407011!A:H,8,FALSE))</f>
        <v>58200</v>
      </c>
      <c r="P114" s="46">
        <f t="shared" ca="1" si="4"/>
        <v>5.5113636363636363E-3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input_407011!A$2</f>
        <v>407011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IFERROR(VLOOKUP(B115,input_407011!L:R,7,FALSE),VLOOKUP(tables_407011!C115,input_407011!A:H,8,FALSE))</f>
        <v>52553.07692</v>
      </c>
      <c r="P115" s="46">
        <f t="shared" ca="1" si="4"/>
        <v>4.9766171325757577E-3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input_407011!A$2</f>
        <v>407011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IFERROR(VLOOKUP(B116,input_407011!L:R,7,FALSE),VLOOKUP(tables_407011!C116,input_407011!A:H,8,FALSE))</f>
        <v>5646.9230799999996</v>
      </c>
      <c r="P116" s="46">
        <f t="shared" ca="1" si="4"/>
        <v>5.3474650378787872E-4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input_407011!A$2</f>
        <v>407011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IFERROR(VLOOKUP(B117,input_407011!L:R,7,FALSE),VLOOKUP(tables_407011!C117,input_407011!A:H,8,FALSE))</f>
        <v>58200</v>
      </c>
      <c r="P117" s="46">
        <f t="shared" ca="1" si="4"/>
        <v>5.5113636363636363E-3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input_407011!A$2</f>
        <v>407011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IFERROR(VLOOKUP(B118,input_407011!L:R,7,FALSE),VLOOKUP(tables_407011!C118,input_407011!A:H,8,FALSE))</f>
        <v>52553.07692</v>
      </c>
      <c r="P118" s="46">
        <f t="shared" ca="1" si="4"/>
        <v>4.9766171325757577E-3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input_407011!A$2</f>
        <v>407011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IFERROR(VLOOKUP(B119,input_407011!L:R,7,FALSE),VLOOKUP(tables_407011!C119,input_407011!A:H,8,FALSE))</f>
        <v>5646.9230799999996</v>
      </c>
      <c r="P119" s="46">
        <f t="shared" ca="1" si="4"/>
        <v>5.3474650378787872E-4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input_407011!A$2</f>
        <v>407011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IFERROR(VLOOKUP(B120,input_407011!L:R,7,FALSE),VLOOKUP(tables_407011!C120,input_407011!A:H,8,FALSE))</f>
        <v>58200</v>
      </c>
      <c r="P120" s="46">
        <f t="shared" ca="1" si="4"/>
        <v>5.5113636363636363E-3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input_407011!A$2</f>
        <v>407011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IFERROR(VLOOKUP(B121,input_407011!L:R,7,FALSE),VLOOKUP(tables_407011!C121,input_407011!A:H,8,FALSE))</f>
        <v>52553.07692</v>
      </c>
      <c r="P121" s="46">
        <f t="shared" ca="1" si="4"/>
        <v>4.9766171325757577E-3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input_407011!A$2</f>
        <v>407011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IFERROR(VLOOKUP(B122,input_407011!L:R,7,FALSE),VLOOKUP(tables_407011!C122,input_407011!A:H,8,FALSE))</f>
        <v>5646.9230799999996</v>
      </c>
      <c r="P122" s="46">
        <f t="shared" ca="1" si="4"/>
        <v>5.3474650378787872E-4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input_407011!A$2</f>
        <v>407011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IFERROR(VLOOKUP(B123,input_407011!L:R,7,FALSE),VLOOKUP(tables_407011!C123,input_407011!A:H,8,FALSE))</f>
        <v>58200</v>
      </c>
      <c r="P123" s="46">
        <f t="shared" ca="1" si="4"/>
        <v>5.5113636363636363E-3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input_407011!A$2</f>
        <v>407011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IFERROR(VLOOKUP(B124,input_407011!L:R,7,FALSE),VLOOKUP(tables_407011!C124,input_407011!A:H,8,FALSE))</f>
        <v>52553.07692</v>
      </c>
      <c r="P124" s="46">
        <f t="shared" ca="1" si="4"/>
        <v>4.9766171325757577E-3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input_407011!A$2</f>
        <v>407011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IFERROR(VLOOKUP(B125,input_407011!L:R,7,FALSE),VLOOKUP(tables_407011!C125,input_407011!A:H,8,FALSE))</f>
        <v>5646.9230799999996</v>
      </c>
      <c r="P125" s="46">
        <f t="shared" ca="1" si="4"/>
        <v>5.3474650378787872E-4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input_407011!A$2</f>
        <v>407011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IFERROR(VLOOKUP(B126,input_407011!L:R,7,FALSE),VLOOKUP(tables_407011!C126,input_407011!A:H,8,FALSE))</f>
        <v>58200</v>
      </c>
      <c r="P126" s="46">
        <f t="shared" ca="1" si="4"/>
        <v>5.5113636363636363E-3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input_407011!A$2</f>
        <v>407011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IFERROR(VLOOKUP(B127,input_407011!L:R,7,FALSE),VLOOKUP(tables_407011!C127,input_407011!A:H,8,FALSE))</f>
        <v>52553.07692</v>
      </c>
      <c r="P127" s="46">
        <f t="shared" ca="1" si="4"/>
        <v>4.9766171325757577E-3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input_407011!A$2</f>
        <v>407011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IFERROR(VLOOKUP(B128,input_407011!L:R,7,FALSE),VLOOKUP(tables_407011!C128,input_407011!A:H,8,FALSE))</f>
        <v>5646.9230799999996</v>
      </c>
      <c r="P128" s="46">
        <f t="shared" ca="1" si="4"/>
        <v>5.3474650378787872E-4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input_407011!A$2</f>
        <v>407011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IFERROR(VLOOKUP(B129,input_407011!L:R,7,FALSE),VLOOKUP(tables_407011!C129,input_407011!A:H,8,FALSE))</f>
        <v>58200</v>
      </c>
      <c r="P129" s="46">
        <f t="shared" ca="1" si="4"/>
        <v>5.5113636363636363E-3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input_407011!A$2</f>
        <v>407011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IFERROR(VLOOKUP(B130,input_407011!L:R,7,FALSE),VLOOKUP(tables_407011!C130,input_407011!A:H,8,FALSE))</f>
        <v>52553.07692</v>
      </c>
      <c r="P130" s="46">
        <f t="shared" ref="P130:P193" ca="1" si="7">O130/SUM(O:O)</f>
        <v>4.9766171325757577E-3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input_407011!A$2</f>
        <v>407011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IFERROR(VLOOKUP(B131,input_407011!L:R,7,FALSE),VLOOKUP(tables_407011!C131,input_407011!A:H,8,FALSE))</f>
        <v>5646.9230799999996</v>
      </c>
      <c r="P131" s="46">
        <f t="shared" ca="1" si="7"/>
        <v>5.3474650378787872E-4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input_407011!A$2</f>
        <v>407011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IFERROR(VLOOKUP(B132,input_407011!L:R,7,FALSE),VLOOKUP(tables_407011!C132,input_407011!A:H,8,FALSE))</f>
        <v>58200</v>
      </c>
      <c r="P132" s="46">
        <f t="shared" ca="1" si="7"/>
        <v>5.5113636363636363E-3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input_407011!A$2</f>
        <v>407011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IFERROR(VLOOKUP(B133,input_407011!L:R,7,FALSE),VLOOKUP(tables_407011!C133,input_407011!A:H,8,FALSE))</f>
        <v>52553.07692</v>
      </c>
      <c r="P133" s="46">
        <f t="shared" ca="1" si="7"/>
        <v>4.9766171325757577E-3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input_407011!A$2</f>
        <v>407011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IFERROR(VLOOKUP(B134,input_407011!L:R,7,FALSE),VLOOKUP(tables_407011!C134,input_407011!A:H,8,FALSE))</f>
        <v>5646.9230799999996</v>
      </c>
      <c r="P134" s="46">
        <f t="shared" ca="1" si="7"/>
        <v>5.3474650378787872E-4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input_407011!A$2</f>
        <v>407011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IFERROR(VLOOKUP(B135,input_407011!L:R,7,FALSE),VLOOKUP(tables_407011!C135,input_407011!A:H,8,FALSE))</f>
        <v>58200</v>
      </c>
      <c r="P135" s="46">
        <f t="shared" ca="1" si="7"/>
        <v>5.5113636363636363E-3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input_407011!A$2</f>
        <v>407011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IFERROR(VLOOKUP(B136,input_407011!L:R,7,FALSE),VLOOKUP(tables_407011!C136,input_407011!A:H,8,FALSE))</f>
        <v>52553.07692</v>
      </c>
      <c r="P136" s="46">
        <f t="shared" ca="1" si="7"/>
        <v>4.9766171325757577E-3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input_407011!A$2</f>
        <v>407011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IFERROR(VLOOKUP(B137,input_407011!L:R,7,FALSE),VLOOKUP(tables_407011!C137,input_407011!A:H,8,FALSE))</f>
        <v>5646.9230799999996</v>
      </c>
      <c r="P137" s="46">
        <f t="shared" ca="1" si="7"/>
        <v>5.3474650378787872E-4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input_407011!A$2</f>
        <v>407011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IFERROR(VLOOKUP(B138,input_407011!L:R,7,FALSE),VLOOKUP(tables_407011!C138,input_407011!A:H,8,FALSE))</f>
        <v>6270</v>
      </c>
      <c r="P138" s="46">
        <f t="shared" ca="1" si="7"/>
        <v>5.9374999999999999E-4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input_407011!A$2</f>
        <v>407011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IFERROR(VLOOKUP(B139,input_407011!L:R,7,FALSE),VLOOKUP(tables_407011!C139,input_407011!A:H,8,FALSE))</f>
        <v>330</v>
      </c>
      <c r="P139" s="46">
        <f t="shared" ca="1" si="7"/>
        <v>3.1250000000000001E-5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input_407011!A$2</f>
        <v>407011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IFERROR(VLOOKUP(B140,input_407011!L:R,7,FALSE),VLOOKUP(tables_407011!C140,input_407011!A:H,8,FALSE))</f>
        <v>6270</v>
      </c>
      <c r="P140" s="46">
        <f t="shared" ca="1" si="7"/>
        <v>5.9374999999999999E-4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input_407011!A$2</f>
        <v>407011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IFERROR(VLOOKUP(B141,input_407011!L:R,7,FALSE),VLOOKUP(tables_407011!C141,input_407011!A:H,8,FALSE))</f>
        <v>330</v>
      </c>
      <c r="P141" s="46">
        <f t="shared" ca="1" si="7"/>
        <v>3.1250000000000001E-5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input_407011!A$2</f>
        <v>407011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IFERROR(VLOOKUP(B142,input_407011!L:R,7,FALSE),VLOOKUP(tables_407011!C142,input_407011!A:H,8,FALSE))</f>
        <v>6270</v>
      </c>
      <c r="P142" s="46">
        <f t="shared" ca="1" si="7"/>
        <v>5.9374999999999999E-4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input_407011!A$2</f>
        <v>407011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IFERROR(VLOOKUP(B143,input_407011!L:R,7,FALSE),VLOOKUP(tables_407011!C143,input_407011!A:H,8,FALSE))</f>
        <v>330</v>
      </c>
      <c r="P143" s="46">
        <f t="shared" ca="1" si="7"/>
        <v>3.1250000000000001E-5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input_407011!A$2</f>
        <v>407011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IFERROR(VLOOKUP(B144,input_407011!L:R,7,FALSE),VLOOKUP(tables_407011!C144,input_407011!A:H,8,FALSE))</f>
        <v>6270</v>
      </c>
      <c r="P144" s="46">
        <f t="shared" ca="1" si="7"/>
        <v>5.9374999999999999E-4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input_407011!A$2</f>
        <v>407011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IFERROR(VLOOKUP(B145,input_407011!L:R,7,FALSE),VLOOKUP(tables_407011!C145,input_407011!A:H,8,FALSE))</f>
        <v>330</v>
      </c>
      <c r="P145" s="46">
        <f t="shared" ca="1" si="7"/>
        <v>3.1250000000000001E-5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input_407011!A$2</f>
        <v>407011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IFERROR(VLOOKUP(B146,input_407011!L:R,7,FALSE),VLOOKUP(tables_407011!C146,input_407011!A:H,8,FALSE))</f>
        <v>58200</v>
      </c>
      <c r="P146" s="46">
        <f t="shared" ca="1" si="7"/>
        <v>5.5113636363636363E-3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input_407011!A$2</f>
        <v>407011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IFERROR(VLOOKUP(B147,input_407011!L:R,7,FALSE),VLOOKUP(tables_407011!C147,input_407011!A:H,8,FALSE))</f>
        <v>52553.07692</v>
      </c>
      <c r="P147" s="46">
        <f t="shared" ca="1" si="7"/>
        <v>4.9766171325757577E-3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input_407011!A$2</f>
        <v>407011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IFERROR(VLOOKUP(B148,input_407011!L:R,7,FALSE),VLOOKUP(tables_407011!C148,input_407011!A:H,8,FALSE))</f>
        <v>5646.9230799999996</v>
      </c>
      <c r="P148" s="46">
        <f t="shared" ca="1" si="7"/>
        <v>5.3474650378787872E-4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input_407011!A$2</f>
        <v>407011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IFERROR(VLOOKUP(B149,input_407011!L:R,7,FALSE),VLOOKUP(tables_407011!C149,input_407011!A:H,8,FALSE))</f>
        <v>6270</v>
      </c>
      <c r="P149" s="46">
        <f t="shared" ca="1" si="7"/>
        <v>5.9374999999999999E-4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input_407011!A$2</f>
        <v>407011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IFERROR(VLOOKUP(B150,input_407011!L:R,7,FALSE),VLOOKUP(tables_407011!C150,input_407011!A:H,8,FALSE))</f>
        <v>330</v>
      </c>
      <c r="P150" s="46">
        <f t="shared" ca="1" si="7"/>
        <v>3.1250000000000001E-5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input_407011!A$2</f>
        <v>407011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IFERROR(VLOOKUP(B151,input_407011!L:R,7,FALSE),VLOOKUP(tables_407011!C151,input_407011!A:H,8,FALSE))</f>
        <v>6270</v>
      </c>
      <c r="P151" s="46">
        <f t="shared" ca="1" si="7"/>
        <v>5.9374999999999999E-4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input_407011!A$2</f>
        <v>407011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IFERROR(VLOOKUP(B152,input_407011!L:R,7,FALSE),VLOOKUP(tables_407011!C152,input_407011!A:H,8,FALSE))</f>
        <v>330</v>
      </c>
      <c r="P152" s="46">
        <f t="shared" ca="1" si="7"/>
        <v>3.1250000000000001E-5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input_407011!A$2</f>
        <v>407011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IFERROR(VLOOKUP(B153,input_407011!L:R,7,FALSE),VLOOKUP(tables_407011!C153,input_407011!A:H,8,FALSE))</f>
        <v>58200</v>
      </c>
      <c r="P153" s="46">
        <f t="shared" ca="1" si="7"/>
        <v>5.5113636363636363E-3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input_407011!A$2</f>
        <v>407011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IFERROR(VLOOKUP(B154,input_407011!L:R,7,FALSE),VLOOKUP(tables_407011!C154,input_407011!A:H,8,FALSE))</f>
        <v>52553.07692</v>
      </c>
      <c r="P154" s="46">
        <f t="shared" ca="1" si="7"/>
        <v>4.9766171325757577E-3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input_407011!A$2</f>
        <v>407011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IFERROR(VLOOKUP(B155,input_407011!L:R,7,FALSE),VLOOKUP(tables_407011!C155,input_407011!A:H,8,FALSE))</f>
        <v>5646.9230799999996</v>
      </c>
      <c r="P155" s="46">
        <f t="shared" ca="1" si="7"/>
        <v>5.3474650378787872E-4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input_407011!A$2</f>
        <v>407011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IFERROR(VLOOKUP(B156,input_407011!L:R,7,FALSE),VLOOKUP(tables_407011!C156,input_407011!A:H,8,FALSE))</f>
        <v>6270</v>
      </c>
      <c r="P156" s="46">
        <f t="shared" ca="1" si="7"/>
        <v>5.9374999999999999E-4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input_407011!A$2</f>
        <v>407011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IFERROR(VLOOKUP(B157,input_407011!L:R,7,FALSE),VLOOKUP(tables_407011!C157,input_407011!A:H,8,FALSE))</f>
        <v>330</v>
      </c>
      <c r="P157" s="46">
        <f t="shared" ca="1" si="7"/>
        <v>3.1250000000000001E-5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input_407011!A$2</f>
        <v>407011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IFERROR(VLOOKUP(B158,input_407011!L:R,7,FALSE),VLOOKUP(tables_407011!C158,input_407011!A:H,8,FALSE))</f>
        <v>58200</v>
      </c>
      <c r="P158" s="46">
        <f t="shared" ca="1" si="7"/>
        <v>5.5113636363636363E-3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input_407011!A$2</f>
        <v>407011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IFERROR(VLOOKUP(B159,input_407011!L:R,7,FALSE),VLOOKUP(tables_407011!C159,input_407011!A:H,8,FALSE))</f>
        <v>52553.07692</v>
      </c>
      <c r="P159" s="46">
        <f t="shared" ca="1" si="7"/>
        <v>4.9766171325757577E-3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input_407011!A$2</f>
        <v>407011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IFERROR(VLOOKUP(B160,input_407011!L:R,7,FALSE),VLOOKUP(tables_407011!C160,input_407011!A:H,8,FALSE))</f>
        <v>5646.9230799999996</v>
      </c>
      <c r="P160" s="46">
        <f t="shared" ca="1" si="7"/>
        <v>5.3474650378787872E-4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input_407011!A$2</f>
        <v>407011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IFERROR(VLOOKUP(B161,input_407011!L:R,7,FALSE),VLOOKUP(tables_407011!C161,input_407011!A:H,8,FALSE))</f>
        <v>58200</v>
      </c>
      <c r="P161" s="46">
        <f t="shared" ca="1" si="7"/>
        <v>5.5113636363636363E-3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input_407011!A$2</f>
        <v>407011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IFERROR(VLOOKUP(B162,input_407011!L:R,7,FALSE),VLOOKUP(tables_407011!C162,input_407011!A:H,8,FALSE))</f>
        <v>52553.07692</v>
      </c>
      <c r="P162" s="46">
        <f t="shared" ca="1" si="7"/>
        <v>4.9766171325757577E-3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input_407011!A$2</f>
        <v>407011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IFERROR(VLOOKUP(B163,input_407011!L:R,7,FALSE),VLOOKUP(tables_407011!C163,input_407011!A:H,8,FALSE))</f>
        <v>5646.9230799999996</v>
      </c>
      <c r="P163" s="46">
        <f t="shared" ca="1" si="7"/>
        <v>5.3474650378787872E-4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input_407011!A$2</f>
        <v>407011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IFERROR(VLOOKUP(B164,input_407011!L:R,7,FALSE),VLOOKUP(tables_407011!C164,input_407011!A:H,8,FALSE))</f>
        <v>6270</v>
      </c>
      <c r="P164" s="46">
        <f t="shared" ca="1" si="7"/>
        <v>5.9374999999999999E-4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input_407011!A$2</f>
        <v>407011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IFERROR(VLOOKUP(B165,input_407011!L:R,7,FALSE),VLOOKUP(tables_407011!C165,input_407011!A:H,8,FALSE))</f>
        <v>330</v>
      </c>
      <c r="P165" s="46">
        <f t="shared" ca="1" si="7"/>
        <v>3.1250000000000001E-5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input_407011!A$2</f>
        <v>407011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IFERROR(VLOOKUP(B166,input_407011!L:R,7,FALSE),VLOOKUP(tables_407011!C166,input_407011!A:H,8,FALSE))</f>
        <v>58200</v>
      </c>
      <c r="P166" s="46">
        <f t="shared" ca="1" si="7"/>
        <v>5.5113636363636363E-3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input_407011!A$2</f>
        <v>407011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IFERROR(VLOOKUP(B167,input_407011!L:R,7,FALSE),VLOOKUP(tables_407011!C167,input_407011!A:H,8,FALSE))</f>
        <v>52553.07692</v>
      </c>
      <c r="P167" s="46">
        <f t="shared" ca="1" si="7"/>
        <v>4.9766171325757577E-3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input_407011!A$2</f>
        <v>407011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IFERROR(VLOOKUP(B168,input_407011!L:R,7,FALSE),VLOOKUP(tables_407011!C168,input_407011!A:H,8,FALSE))</f>
        <v>5646.9230799999996</v>
      </c>
      <c r="P168" s="46">
        <f t="shared" ca="1" si="7"/>
        <v>5.3474650378787872E-4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input_407011!A$2</f>
        <v>407011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IFERROR(VLOOKUP(B169,input_407011!L:R,7,FALSE),VLOOKUP(tables_407011!C169,input_407011!A:H,8,FALSE))</f>
        <v>6270</v>
      </c>
      <c r="P169" s="46">
        <f t="shared" ca="1" si="7"/>
        <v>5.9374999999999999E-4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input_407011!A$2</f>
        <v>407011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IFERROR(VLOOKUP(B170,input_407011!L:R,7,FALSE),VLOOKUP(tables_407011!C170,input_407011!A:H,8,FALSE))</f>
        <v>330</v>
      </c>
      <c r="P170" s="46">
        <f t="shared" ca="1" si="7"/>
        <v>3.1250000000000001E-5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input_407011!A$2</f>
        <v>407011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IFERROR(VLOOKUP(B171,input_407011!L:R,7,FALSE),VLOOKUP(tables_407011!C171,input_407011!A:H,8,FALSE))</f>
        <v>58200</v>
      </c>
      <c r="P171" s="46">
        <f t="shared" ca="1" si="7"/>
        <v>5.5113636363636363E-3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input_407011!A$2</f>
        <v>407011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IFERROR(VLOOKUP(B172,input_407011!L:R,7,FALSE),VLOOKUP(tables_407011!C172,input_407011!A:H,8,FALSE))</f>
        <v>52553.07692</v>
      </c>
      <c r="P172" s="46">
        <f t="shared" ca="1" si="7"/>
        <v>4.9766171325757577E-3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input_407011!A$2</f>
        <v>407011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IFERROR(VLOOKUP(B173,input_407011!L:R,7,FALSE),VLOOKUP(tables_407011!C173,input_407011!A:H,8,FALSE))</f>
        <v>5646.9230799999996</v>
      </c>
      <c r="P173" s="46">
        <f t="shared" ca="1" si="7"/>
        <v>5.3474650378787872E-4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input_407011!A$2</f>
        <v>407011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IFERROR(VLOOKUP(B174,input_407011!L:R,7,FALSE),VLOOKUP(tables_407011!C174,input_407011!A:H,8,FALSE))</f>
        <v>6270</v>
      </c>
      <c r="P174" s="46">
        <f t="shared" ca="1" si="7"/>
        <v>5.9374999999999999E-4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input_407011!A$2</f>
        <v>407011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IFERROR(VLOOKUP(B175,input_407011!L:R,7,FALSE),VLOOKUP(tables_407011!C175,input_407011!A:H,8,FALSE))</f>
        <v>330</v>
      </c>
      <c r="P175" s="46">
        <f t="shared" ca="1" si="7"/>
        <v>3.1250000000000001E-5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input_407011!A$2</f>
        <v>407011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IFERROR(VLOOKUP(B176,input_407011!L:R,7,FALSE),VLOOKUP(tables_407011!C176,input_407011!A:H,8,FALSE))</f>
        <v>6270</v>
      </c>
      <c r="P176" s="46">
        <f t="shared" ca="1" si="7"/>
        <v>5.9374999999999999E-4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input_407011!A$2</f>
        <v>407011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IFERROR(VLOOKUP(B177,input_407011!L:R,7,FALSE),VLOOKUP(tables_407011!C177,input_407011!A:H,8,FALSE))</f>
        <v>330</v>
      </c>
      <c r="P177" s="46">
        <f t="shared" ca="1" si="7"/>
        <v>3.1250000000000001E-5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input_407011!A$2</f>
        <v>407011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IFERROR(VLOOKUP(B178,input_407011!L:R,7,FALSE),VLOOKUP(tables_407011!C178,input_407011!A:H,8,FALSE))</f>
        <v>58200</v>
      </c>
      <c r="P178" s="46">
        <f t="shared" ca="1" si="7"/>
        <v>5.5113636363636363E-3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input_407011!A$2</f>
        <v>407011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IFERROR(VLOOKUP(B179,input_407011!L:R,7,FALSE),VLOOKUP(tables_407011!C179,input_407011!A:H,8,FALSE))</f>
        <v>52553.07692</v>
      </c>
      <c r="P179" s="46">
        <f t="shared" ca="1" si="7"/>
        <v>4.9766171325757577E-3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input_407011!A$2</f>
        <v>407011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IFERROR(VLOOKUP(B180,input_407011!L:R,7,FALSE),VLOOKUP(tables_407011!C180,input_407011!A:H,8,FALSE))</f>
        <v>5646.9230799999996</v>
      </c>
      <c r="P180" s="46">
        <f t="shared" ca="1" si="7"/>
        <v>5.3474650378787872E-4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input_407011!A$2</f>
        <v>407011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IFERROR(VLOOKUP(B181,input_407011!L:R,7,FALSE),VLOOKUP(tables_407011!C181,input_407011!A:H,8,FALSE))</f>
        <v>58200</v>
      </c>
      <c r="P181" s="46">
        <f t="shared" ca="1" si="7"/>
        <v>5.5113636363636363E-3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input_407011!A$2</f>
        <v>407011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IFERROR(VLOOKUP(B182,input_407011!L:R,7,FALSE),VLOOKUP(tables_407011!C182,input_407011!A:H,8,FALSE))</f>
        <v>52553.07692</v>
      </c>
      <c r="P182" s="46">
        <f t="shared" ca="1" si="7"/>
        <v>4.9766171325757577E-3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input_407011!A$2</f>
        <v>407011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IFERROR(VLOOKUP(B183,input_407011!L:R,7,FALSE),VLOOKUP(tables_407011!C183,input_407011!A:H,8,FALSE))</f>
        <v>5646.9230799999996</v>
      </c>
      <c r="P183" s="46">
        <f t="shared" ca="1" si="7"/>
        <v>5.3474650378787872E-4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input_407011!A$2</f>
        <v>407011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IFERROR(VLOOKUP(B184,input_407011!L:R,7,FALSE),VLOOKUP(tables_407011!C184,input_407011!A:H,8,FALSE))</f>
        <v>6270</v>
      </c>
      <c r="P184" s="46">
        <f t="shared" ca="1" si="7"/>
        <v>5.9374999999999999E-4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input_407011!A$2</f>
        <v>407011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IFERROR(VLOOKUP(B185,input_407011!L:R,7,FALSE),VLOOKUP(tables_407011!C185,input_407011!A:H,8,FALSE))</f>
        <v>330</v>
      </c>
      <c r="P185" s="46">
        <f t="shared" ca="1" si="7"/>
        <v>3.1250000000000001E-5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input_407011!A$2</f>
        <v>407011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IFERROR(VLOOKUP(B186,input_407011!L:R,7,FALSE),VLOOKUP(tables_407011!C186,input_407011!A:H,8,FALSE))</f>
        <v>58200</v>
      </c>
      <c r="P186" s="46">
        <f t="shared" ca="1" si="7"/>
        <v>5.5113636363636363E-3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input_407011!A$2</f>
        <v>407011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IFERROR(VLOOKUP(B187,input_407011!L:R,7,FALSE),VLOOKUP(tables_407011!C187,input_407011!A:H,8,FALSE))</f>
        <v>52553.07692</v>
      </c>
      <c r="P187" s="46">
        <f t="shared" ca="1" si="7"/>
        <v>4.9766171325757577E-3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input_407011!A$2</f>
        <v>407011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IFERROR(VLOOKUP(B188,input_407011!L:R,7,FALSE),VLOOKUP(tables_407011!C188,input_407011!A:H,8,FALSE))</f>
        <v>5646.9230799999996</v>
      </c>
      <c r="P188" s="46">
        <f t="shared" ca="1" si="7"/>
        <v>5.3474650378787872E-4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input_407011!A$2</f>
        <v>407011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IFERROR(VLOOKUP(B189,input_407011!L:R,7,FALSE),VLOOKUP(tables_407011!C189,input_407011!A:H,8,FALSE))</f>
        <v>6270</v>
      </c>
      <c r="P189" s="46">
        <f t="shared" ca="1" si="7"/>
        <v>5.9374999999999999E-4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input_407011!A$2</f>
        <v>407011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IFERROR(VLOOKUP(B190,input_407011!L:R,7,FALSE),VLOOKUP(tables_407011!C190,input_407011!A:H,8,FALSE))</f>
        <v>330</v>
      </c>
      <c r="P190" s="46">
        <f t="shared" ca="1" si="7"/>
        <v>3.1250000000000001E-5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input_407011!A$2</f>
        <v>407011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IFERROR(VLOOKUP(B191,input_407011!L:R,7,FALSE),VLOOKUP(tables_407011!C191,input_407011!A:H,8,FALSE))</f>
        <v>6270</v>
      </c>
      <c r="P191" s="46">
        <f t="shared" ca="1" si="7"/>
        <v>5.9374999999999999E-4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input_407011!A$2</f>
        <v>407011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IFERROR(VLOOKUP(B192,input_407011!L:R,7,FALSE),VLOOKUP(tables_407011!C192,input_407011!A:H,8,FALSE))</f>
        <v>330</v>
      </c>
      <c r="P192" s="46">
        <f t="shared" ca="1" si="7"/>
        <v>3.1250000000000001E-5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input_407011!A$2</f>
        <v>407011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IFERROR(VLOOKUP(B193,input_407011!L:R,7,FALSE),VLOOKUP(tables_407011!C193,input_407011!A:H,8,FALSE))</f>
        <v>58200</v>
      </c>
      <c r="P193" s="46">
        <f t="shared" ca="1" si="7"/>
        <v>5.5113636363636363E-3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input_407011!A$2</f>
        <v>407011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IFERROR(VLOOKUP(B194,input_407011!L:R,7,FALSE),VLOOKUP(tables_407011!C194,input_407011!A:H,8,FALSE))</f>
        <v>52553.07692</v>
      </c>
      <c r="P194" s="46">
        <f t="shared" ref="P194:P257" ca="1" si="10">O194/SUM(O:O)</f>
        <v>4.9766171325757577E-3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input_407011!A$2</f>
        <v>407011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IFERROR(VLOOKUP(B195,input_407011!L:R,7,FALSE),VLOOKUP(tables_407011!C195,input_407011!A:H,8,FALSE))</f>
        <v>5646.9230799999996</v>
      </c>
      <c r="P195" s="46">
        <f t="shared" ca="1" si="10"/>
        <v>5.3474650378787872E-4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input_407011!A$2</f>
        <v>407011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IFERROR(VLOOKUP(B196,input_407011!L:R,7,FALSE),VLOOKUP(tables_407011!C196,input_407011!A:H,8,FALSE))</f>
        <v>6270</v>
      </c>
      <c r="P196" s="46">
        <f t="shared" ca="1" si="10"/>
        <v>5.9374999999999999E-4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input_407011!A$2</f>
        <v>407011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IFERROR(VLOOKUP(B197,input_407011!L:R,7,FALSE),VLOOKUP(tables_407011!C197,input_407011!A:H,8,FALSE))</f>
        <v>330</v>
      </c>
      <c r="P197" s="46">
        <f t="shared" ca="1" si="10"/>
        <v>3.1250000000000001E-5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input_407011!A$2</f>
        <v>407011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IFERROR(VLOOKUP(B198,input_407011!L:R,7,FALSE),VLOOKUP(tables_407011!C198,input_407011!A:H,8,FALSE))</f>
        <v>58200</v>
      </c>
      <c r="P198" s="46">
        <f t="shared" ca="1" si="10"/>
        <v>5.5113636363636363E-3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input_407011!A$2</f>
        <v>407011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IFERROR(VLOOKUP(B199,input_407011!L:R,7,FALSE),VLOOKUP(tables_407011!C199,input_407011!A:H,8,FALSE))</f>
        <v>52553.07692</v>
      </c>
      <c r="P199" s="46">
        <f t="shared" ca="1" si="10"/>
        <v>4.9766171325757577E-3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input_407011!A$2</f>
        <v>407011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IFERROR(VLOOKUP(B200,input_407011!L:R,7,FALSE),VLOOKUP(tables_407011!C200,input_407011!A:H,8,FALSE))</f>
        <v>5646.9230799999996</v>
      </c>
      <c r="P200" s="46">
        <f t="shared" ca="1" si="10"/>
        <v>5.3474650378787872E-4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input_407011!A$2</f>
        <v>407011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IFERROR(VLOOKUP(B201,input_407011!L:R,7,FALSE),VLOOKUP(tables_407011!C201,input_407011!A:H,8,FALSE))</f>
        <v>6270</v>
      </c>
      <c r="P201" s="46">
        <f t="shared" ca="1" si="10"/>
        <v>5.9374999999999999E-4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input_407011!A$2</f>
        <v>407011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IFERROR(VLOOKUP(B202,input_407011!L:R,7,FALSE),VLOOKUP(tables_407011!C202,input_407011!A:H,8,FALSE))</f>
        <v>330</v>
      </c>
      <c r="P202" s="46">
        <f t="shared" ca="1" si="10"/>
        <v>3.1250000000000001E-5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input_407011!A$2</f>
        <v>407011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IFERROR(VLOOKUP(B203,input_407011!L:R,7,FALSE),VLOOKUP(tables_407011!C203,input_407011!A:H,8,FALSE))</f>
        <v>58200</v>
      </c>
      <c r="P203" s="46">
        <f t="shared" ca="1" si="10"/>
        <v>5.5113636363636363E-3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input_407011!A$2</f>
        <v>407011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IFERROR(VLOOKUP(B204,input_407011!L:R,7,FALSE),VLOOKUP(tables_407011!C204,input_407011!A:H,8,FALSE))</f>
        <v>52553.07692</v>
      </c>
      <c r="P204" s="46">
        <f t="shared" ca="1" si="10"/>
        <v>4.9766171325757577E-3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input_407011!A$2</f>
        <v>407011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IFERROR(VLOOKUP(B205,input_407011!L:R,7,FALSE),VLOOKUP(tables_407011!C205,input_407011!A:H,8,FALSE))</f>
        <v>5646.9230799999996</v>
      </c>
      <c r="P205" s="46">
        <f t="shared" ca="1" si="10"/>
        <v>5.3474650378787872E-4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input_407011!A$2</f>
        <v>407011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IFERROR(VLOOKUP(B206,input_407011!L:R,7,FALSE),VLOOKUP(tables_407011!C206,input_407011!A:H,8,FALSE))</f>
        <v>6270</v>
      </c>
      <c r="P206" s="46">
        <f t="shared" ca="1" si="10"/>
        <v>5.9374999999999999E-4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input_407011!A$2</f>
        <v>407011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IFERROR(VLOOKUP(B207,input_407011!L:R,7,FALSE),VLOOKUP(tables_407011!C207,input_407011!A:H,8,FALSE))</f>
        <v>330</v>
      </c>
      <c r="P207" s="46">
        <f t="shared" ca="1" si="10"/>
        <v>3.1250000000000001E-5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input_407011!A$2</f>
        <v>407011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IFERROR(VLOOKUP(B208,input_407011!L:R,7,FALSE),VLOOKUP(tables_407011!C208,input_407011!A:H,8,FALSE))</f>
        <v>6270</v>
      </c>
      <c r="P208" s="46">
        <f t="shared" ca="1" si="10"/>
        <v>5.9374999999999999E-4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input_407011!A$2</f>
        <v>407011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IFERROR(VLOOKUP(B209,input_407011!L:R,7,FALSE),VLOOKUP(tables_407011!C209,input_407011!A:H,8,FALSE))</f>
        <v>330</v>
      </c>
      <c r="P209" s="46">
        <f t="shared" ca="1" si="10"/>
        <v>3.1250000000000001E-5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input_407011!A$2</f>
        <v>407011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IFERROR(VLOOKUP(B210,input_407011!L:R,7,FALSE),VLOOKUP(tables_407011!C210,input_407011!A:H,8,FALSE))</f>
        <v>58200</v>
      </c>
      <c r="P210" s="46">
        <f t="shared" ca="1" si="10"/>
        <v>5.5113636363636363E-3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input_407011!A$2</f>
        <v>407011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IFERROR(VLOOKUP(B211,input_407011!L:R,7,FALSE),VLOOKUP(tables_407011!C211,input_407011!A:H,8,FALSE))</f>
        <v>52553.07692</v>
      </c>
      <c r="P211" s="46">
        <f t="shared" ca="1" si="10"/>
        <v>4.9766171325757577E-3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input_407011!A$2</f>
        <v>407011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IFERROR(VLOOKUP(B212,input_407011!L:R,7,FALSE),VLOOKUP(tables_407011!C212,input_407011!A:H,8,FALSE))</f>
        <v>5646.9230799999996</v>
      </c>
      <c r="P212" s="46">
        <f t="shared" ca="1" si="10"/>
        <v>5.3474650378787872E-4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input_407011!A$2</f>
        <v>407011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IFERROR(VLOOKUP(B213,input_407011!L:R,7,FALSE),VLOOKUP(tables_407011!C213,input_407011!A:H,8,FALSE))</f>
        <v>6270</v>
      </c>
      <c r="P213" s="46">
        <f t="shared" ca="1" si="10"/>
        <v>5.9374999999999999E-4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input_407011!A$2</f>
        <v>407011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IFERROR(VLOOKUP(B214,input_407011!L:R,7,FALSE),VLOOKUP(tables_407011!C214,input_407011!A:H,8,FALSE))</f>
        <v>330</v>
      </c>
      <c r="P214" s="46">
        <f t="shared" ca="1" si="10"/>
        <v>3.1250000000000001E-5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input_407011!A$2</f>
        <v>407011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IFERROR(VLOOKUP(B215,input_407011!L:R,7,FALSE),VLOOKUP(tables_407011!C215,input_407011!A:H,8,FALSE))</f>
        <v>6270</v>
      </c>
      <c r="P215" s="46">
        <f t="shared" ca="1" si="10"/>
        <v>5.9374999999999999E-4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input_407011!A$2</f>
        <v>407011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IFERROR(VLOOKUP(B216,input_407011!L:R,7,FALSE),VLOOKUP(tables_407011!C216,input_407011!A:H,8,FALSE))</f>
        <v>330</v>
      </c>
      <c r="P216" s="46">
        <f t="shared" ca="1" si="10"/>
        <v>3.1250000000000001E-5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input_407011!A$2</f>
        <v>407011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IFERROR(VLOOKUP(B217,input_407011!L:R,7,FALSE),VLOOKUP(tables_407011!C217,input_407011!A:H,8,FALSE))</f>
        <v>58200</v>
      </c>
      <c r="P217" s="46">
        <f t="shared" ca="1" si="10"/>
        <v>5.5113636363636363E-3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input_407011!A$2</f>
        <v>407011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IFERROR(VLOOKUP(B218,input_407011!L:R,7,FALSE),VLOOKUP(tables_407011!C218,input_407011!A:H,8,FALSE))</f>
        <v>52553.07692</v>
      </c>
      <c r="P218" s="46">
        <f t="shared" ca="1" si="10"/>
        <v>4.9766171325757577E-3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input_407011!A$2</f>
        <v>407011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IFERROR(VLOOKUP(B219,input_407011!L:R,7,FALSE),VLOOKUP(tables_407011!C219,input_407011!A:H,8,FALSE))</f>
        <v>5646.9230799999996</v>
      </c>
      <c r="P219" s="46">
        <f t="shared" ca="1" si="10"/>
        <v>5.3474650378787872E-4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input_407011!A$2</f>
        <v>407011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IFERROR(VLOOKUP(B220,input_407011!L:R,7,FALSE),VLOOKUP(tables_407011!C220,input_407011!A:H,8,FALSE))</f>
        <v>58200</v>
      </c>
      <c r="P220" s="46">
        <f t="shared" ca="1" si="10"/>
        <v>5.5113636363636363E-3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input_407011!A$2</f>
        <v>407011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IFERROR(VLOOKUP(B221,input_407011!L:R,7,FALSE),VLOOKUP(tables_407011!C221,input_407011!A:H,8,FALSE))</f>
        <v>52553.07692</v>
      </c>
      <c r="P221" s="46">
        <f t="shared" ca="1" si="10"/>
        <v>4.9766171325757577E-3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input_407011!A$2</f>
        <v>407011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IFERROR(VLOOKUP(B222,input_407011!L:R,7,FALSE),VLOOKUP(tables_407011!C222,input_407011!A:H,8,FALSE))</f>
        <v>5646.9230799999996</v>
      </c>
      <c r="P222" s="46">
        <f t="shared" ca="1" si="10"/>
        <v>5.3474650378787872E-4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input_407011!A$2</f>
        <v>407011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IFERROR(VLOOKUP(B223,input_407011!L:R,7,FALSE),VLOOKUP(tables_407011!C223,input_407011!A:H,8,FALSE))</f>
        <v>6270</v>
      </c>
      <c r="P223" s="46">
        <f t="shared" ca="1" si="10"/>
        <v>5.9374999999999999E-4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input_407011!A$2</f>
        <v>407011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IFERROR(VLOOKUP(B224,input_407011!L:R,7,FALSE),VLOOKUP(tables_407011!C224,input_407011!A:H,8,FALSE))</f>
        <v>330</v>
      </c>
      <c r="P224" s="46">
        <f t="shared" ca="1" si="10"/>
        <v>3.1250000000000001E-5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input_407011!A$2</f>
        <v>407011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IFERROR(VLOOKUP(B225,input_407011!L:R,7,FALSE),VLOOKUP(tables_407011!C225,input_407011!A:H,8,FALSE))</f>
        <v>58200</v>
      </c>
      <c r="P225" s="46">
        <f t="shared" ca="1" si="10"/>
        <v>5.5113636363636363E-3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input_407011!A$2</f>
        <v>407011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IFERROR(VLOOKUP(B226,input_407011!L:R,7,FALSE),VLOOKUP(tables_407011!C226,input_407011!A:H,8,FALSE))</f>
        <v>52553.07692</v>
      </c>
      <c r="P226" s="46">
        <f t="shared" ca="1" si="10"/>
        <v>4.9766171325757577E-3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input_407011!A$2</f>
        <v>407011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IFERROR(VLOOKUP(B227,input_407011!L:R,7,FALSE),VLOOKUP(tables_407011!C227,input_407011!A:H,8,FALSE))</f>
        <v>5646.9230799999996</v>
      </c>
      <c r="P227" s="46">
        <f t="shared" ca="1" si="10"/>
        <v>5.3474650378787872E-4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input_407011!A$2</f>
        <v>407011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IFERROR(VLOOKUP(B228,input_407011!L:R,7,FALSE),VLOOKUP(tables_407011!C228,input_407011!A:H,8,FALSE))</f>
        <v>58200</v>
      </c>
      <c r="P228" s="46">
        <f t="shared" ca="1" si="10"/>
        <v>5.5113636363636363E-3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input_407011!A$2</f>
        <v>407011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IFERROR(VLOOKUP(B229,input_407011!L:R,7,FALSE),VLOOKUP(tables_407011!C229,input_407011!A:H,8,FALSE))</f>
        <v>52553.07692</v>
      </c>
      <c r="P229" s="46">
        <f t="shared" ca="1" si="10"/>
        <v>4.9766171325757577E-3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input_407011!A$2</f>
        <v>407011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IFERROR(VLOOKUP(B230,input_407011!L:R,7,FALSE),VLOOKUP(tables_407011!C230,input_407011!A:H,8,FALSE))</f>
        <v>5646.9230799999996</v>
      </c>
      <c r="P230" s="46">
        <f t="shared" ca="1" si="10"/>
        <v>5.3474650378787872E-4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input_407011!A$2</f>
        <v>407011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IFERROR(VLOOKUP(B231,input_407011!L:R,7,FALSE),VLOOKUP(tables_407011!C231,input_407011!A:H,8,FALSE))</f>
        <v>6270</v>
      </c>
      <c r="P231" s="46">
        <f t="shared" ca="1" si="10"/>
        <v>5.9374999999999999E-4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input_407011!A$2</f>
        <v>407011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IFERROR(VLOOKUP(B232,input_407011!L:R,7,FALSE),VLOOKUP(tables_407011!C232,input_407011!A:H,8,FALSE))</f>
        <v>330</v>
      </c>
      <c r="P232" s="46">
        <f t="shared" ca="1" si="10"/>
        <v>3.1250000000000001E-5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input_407011!A$2</f>
        <v>407011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IFERROR(VLOOKUP(B233,input_407011!L:R,7,FALSE),VLOOKUP(tables_407011!C233,input_407011!A:H,8,FALSE))</f>
        <v>58200</v>
      </c>
      <c r="P233" s="46">
        <f t="shared" ca="1" si="10"/>
        <v>5.5113636363636363E-3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input_407011!A$2</f>
        <v>407011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IFERROR(VLOOKUP(B234,input_407011!L:R,7,FALSE),VLOOKUP(tables_407011!C234,input_407011!A:H,8,FALSE))</f>
        <v>52553.07692</v>
      </c>
      <c r="P234" s="46">
        <f t="shared" ca="1" si="10"/>
        <v>4.9766171325757577E-3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input_407011!A$2</f>
        <v>407011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IFERROR(VLOOKUP(B235,input_407011!L:R,7,FALSE),VLOOKUP(tables_407011!C235,input_407011!A:H,8,FALSE))</f>
        <v>5646.9230799999996</v>
      </c>
      <c r="P235" s="46">
        <f t="shared" ca="1" si="10"/>
        <v>5.3474650378787872E-4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input_407011!A$2</f>
        <v>407011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IFERROR(VLOOKUP(B236,input_407011!L:R,7,FALSE),VLOOKUP(tables_407011!C236,input_407011!A:H,8,FALSE))</f>
        <v>6270</v>
      </c>
      <c r="P236" s="46">
        <f t="shared" ca="1" si="10"/>
        <v>5.9374999999999999E-4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input_407011!A$2</f>
        <v>407011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IFERROR(VLOOKUP(B237,input_407011!L:R,7,FALSE),VLOOKUP(tables_407011!C237,input_407011!A:H,8,FALSE))</f>
        <v>330</v>
      </c>
      <c r="P237" s="46">
        <f t="shared" ca="1" si="10"/>
        <v>3.1250000000000001E-5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input_407011!A$2</f>
        <v>407011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IFERROR(VLOOKUP(B238,input_407011!L:R,7,FALSE),VLOOKUP(tables_407011!C238,input_407011!A:H,8,FALSE))</f>
        <v>6270</v>
      </c>
      <c r="P238" s="46">
        <f t="shared" ca="1" si="10"/>
        <v>5.9374999999999999E-4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input_407011!A$2</f>
        <v>407011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IFERROR(VLOOKUP(B239,input_407011!L:R,7,FALSE),VLOOKUP(tables_407011!C239,input_407011!A:H,8,FALSE))</f>
        <v>330</v>
      </c>
      <c r="P239" s="46">
        <f t="shared" ca="1" si="10"/>
        <v>3.1250000000000001E-5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input_407011!A$2</f>
        <v>407011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IFERROR(VLOOKUP(B240,input_407011!L:R,7,FALSE),VLOOKUP(tables_407011!C240,input_407011!A:H,8,FALSE))</f>
        <v>58200</v>
      </c>
      <c r="P240" s="46">
        <f t="shared" ca="1" si="10"/>
        <v>5.5113636363636363E-3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input_407011!A$2</f>
        <v>407011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IFERROR(VLOOKUP(B241,input_407011!L:R,7,FALSE),VLOOKUP(tables_407011!C241,input_407011!A:H,8,FALSE))</f>
        <v>52553.07692</v>
      </c>
      <c r="P241" s="46">
        <f t="shared" ca="1" si="10"/>
        <v>4.9766171325757577E-3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input_407011!A$2</f>
        <v>407011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IFERROR(VLOOKUP(B242,input_407011!L:R,7,FALSE),VLOOKUP(tables_407011!C242,input_407011!A:H,8,FALSE))</f>
        <v>5646.9230799999996</v>
      </c>
      <c r="P242" s="46">
        <f t="shared" ca="1" si="10"/>
        <v>5.3474650378787872E-4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input_407011!A$2</f>
        <v>407011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IFERROR(VLOOKUP(B243,input_407011!L:R,7,FALSE),VLOOKUP(tables_407011!C243,input_407011!A:H,8,FALSE))</f>
        <v>58200</v>
      </c>
      <c r="P243" s="46">
        <f t="shared" ca="1" si="10"/>
        <v>5.5113636363636363E-3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input_407011!A$2</f>
        <v>407011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IFERROR(VLOOKUP(B244,input_407011!L:R,7,FALSE),VLOOKUP(tables_407011!C244,input_407011!A:H,8,FALSE))</f>
        <v>52553.07692</v>
      </c>
      <c r="P244" s="46">
        <f t="shared" ca="1" si="10"/>
        <v>4.9766171325757577E-3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input_407011!A$2</f>
        <v>407011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IFERROR(VLOOKUP(B245,input_407011!L:R,7,FALSE),VLOOKUP(tables_407011!C245,input_407011!A:H,8,FALSE))</f>
        <v>5646.9230799999996</v>
      </c>
      <c r="P245" s="46">
        <f t="shared" ca="1" si="10"/>
        <v>5.3474650378787872E-4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input_407011!A$2</f>
        <v>407011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IFERROR(VLOOKUP(B246,input_407011!L:R,7,FALSE),VLOOKUP(tables_407011!C246,input_407011!A:H,8,FALSE))</f>
        <v>58200</v>
      </c>
      <c r="P246" s="46">
        <f t="shared" ca="1" si="10"/>
        <v>5.5113636363636363E-3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input_407011!A$2</f>
        <v>407011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IFERROR(VLOOKUP(B247,input_407011!L:R,7,FALSE),VLOOKUP(tables_407011!C247,input_407011!A:H,8,FALSE))</f>
        <v>52553.07692</v>
      </c>
      <c r="P247" s="46">
        <f t="shared" ca="1" si="10"/>
        <v>4.9766171325757577E-3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input_407011!A$2</f>
        <v>407011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IFERROR(VLOOKUP(B248,input_407011!L:R,7,FALSE),VLOOKUP(tables_407011!C248,input_407011!A:H,8,FALSE))</f>
        <v>5646.9230799999996</v>
      </c>
      <c r="P248" s="46">
        <f t="shared" ca="1" si="10"/>
        <v>5.3474650378787872E-4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input_407011!A$2</f>
        <v>407011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IFERROR(VLOOKUP(B249,input_407011!L:R,7,FALSE),VLOOKUP(tables_407011!C249,input_407011!A:H,8,FALSE))</f>
        <v>58200</v>
      </c>
      <c r="P249" s="46">
        <f t="shared" ca="1" si="10"/>
        <v>5.5113636363636363E-3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input_407011!A$2</f>
        <v>407011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IFERROR(VLOOKUP(B250,input_407011!L:R,7,FALSE),VLOOKUP(tables_407011!C250,input_407011!A:H,8,FALSE))</f>
        <v>52553.07692</v>
      </c>
      <c r="P250" s="46">
        <f t="shared" ca="1" si="10"/>
        <v>4.9766171325757577E-3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input_407011!A$2</f>
        <v>407011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IFERROR(VLOOKUP(B251,input_407011!L:R,7,FALSE),VLOOKUP(tables_407011!C251,input_407011!A:H,8,FALSE))</f>
        <v>5646.9230799999996</v>
      </c>
      <c r="P251" s="46">
        <f t="shared" ca="1" si="10"/>
        <v>5.3474650378787872E-4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input_407011!A$2</f>
        <v>407011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IFERROR(VLOOKUP(B252,input_407011!L:R,7,FALSE),VLOOKUP(tables_407011!C252,input_407011!A:H,8,FALSE))</f>
        <v>6270</v>
      </c>
      <c r="P252" s="46">
        <f t="shared" ca="1" si="10"/>
        <v>5.9374999999999999E-4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input_407011!A$2</f>
        <v>407011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IFERROR(VLOOKUP(B253,input_407011!L:R,7,FALSE),VLOOKUP(tables_407011!C253,input_407011!A:H,8,FALSE))</f>
        <v>330</v>
      </c>
      <c r="P253" s="46">
        <f t="shared" ca="1" si="10"/>
        <v>3.1250000000000001E-5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input_407011!A$2</f>
        <v>407011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IFERROR(VLOOKUP(B254,input_407011!L:R,7,FALSE),VLOOKUP(tables_407011!C254,input_407011!A:H,8,FALSE))</f>
        <v>6270</v>
      </c>
      <c r="P254" s="46">
        <f t="shared" ca="1" si="10"/>
        <v>5.9374999999999999E-4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input_407011!A$2</f>
        <v>407011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IFERROR(VLOOKUP(B255,input_407011!L:R,7,FALSE),VLOOKUP(tables_407011!C255,input_407011!A:H,8,FALSE))</f>
        <v>330</v>
      </c>
      <c r="P255" s="46">
        <f t="shared" ca="1" si="10"/>
        <v>3.1250000000000001E-5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input_407011!A$2</f>
        <v>407011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IFERROR(VLOOKUP(B256,input_407011!L:R,7,FALSE),VLOOKUP(tables_407011!C256,input_407011!A:H,8,FALSE))</f>
        <v>110580</v>
      </c>
      <c r="P256" s="46">
        <f t="shared" ca="1" si="10"/>
        <v>1.047159090909091E-2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input_407011!A$2</f>
        <v>407011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IFERROR(VLOOKUP(B257,input_407011!L:R,7,FALSE),VLOOKUP(tables_407011!C257,input_407011!A:H,8,FALSE))</f>
        <v>5820</v>
      </c>
      <c r="P257" s="46">
        <f t="shared" ca="1" si="10"/>
        <v>5.5113636363636367E-4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input_407011!A$2</f>
        <v>407011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IFERROR(VLOOKUP(B258,input_407011!L:R,7,FALSE),VLOOKUP(tables_407011!C258,input_407011!A:H,8,FALSE))</f>
        <v>110580</v>
      </c>
      <c r="P258" s="46">
        <f t="shared" ref="P258:P304" ca="1" si="13">O258/SUM(O:O)</f>
        <v>1.047159090909091E-2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input_407011!A$2</f>
        <v>407011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IFERROR(VLOOKUP(B259,input_407011!L:R,7,FALSE),VLOOKUP(tables_407011!C259,input_407011!A:H,8,FALSE))</f>
        <v>5820</v>
      </c>
      <c r="P259" s="46">
        <f t="shared" ca="1" si="13"/>
        <v>5.5113636363636367E-4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input_407011!A$2</f>
        <v>407011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IFERROR(VLOOKUP(B260,input_407011!L:R,7,FALSE),VLOOKUP(tables_407011!C260,input_407011!A:H,8,FALSE))</f>
        <v>6600</v>
      </c>
      <c r="P260" s="46">
        <f t="shared" ca="1" si="13"/>
        <v>6.2500000000000001E-4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input_407011!A$2</f>
        <v>407011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IFERROR(VLOOKUP(B261,input_407011!L:R,7,FALSE),VLOOKUP(tables_407011!C261,input_407011!A:H,8,FALSE))</f>
        <v>6600</v>
      </c>
      <c r="P261" s="46">
        <f t="shared" ca="1" si="13"/>
        <v>6.2500000000000001E-4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input_407011!A$2</f>
        <v>407011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IFERROR(VLOOKUP(B262,input_407011!L:R,7,FALSE),VLOOKUP(tables_407011!C262,input_407011!A:H,8,FALSE))</f>
        <v>6270</v>
      </c>
      <c r="P262" s="46">
        <f t="shared" ca="1" si="13"/>
        <v>5.9374999999999999E-4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input_407011!A$2</f>
        <v>407011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IFERROR(VLOOKUP(B263,input_407011!L:R,7,FALSE),VLOOKUP(tables_407011!C263,input_407011!A:H,8,FALSE))</f>
        <v>330</v>
      </c>
      <c r="P263" s="46">
        <f t="shared" ca="1" si="13"/>
        <v>3.1250000000000001E-5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input_407011!A$2</f>
        <v>407011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IFERROR(VLOOKUP(B264,input_407011!L:R,7,FALSE),VLOOKUP(tables_407011!C264,input_407011!A:H,8,FALSE))</f>
        <v>6270</v>
      </c>
      <c r="P264" s="46">
        <f t="shared" ca="1" si="13"/>
        <v>5.9374999999999999E-4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input_407011!A$2</f>
        <v>407011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IFERROR(VLOOKUP(B265,input_407011!L:R,7,FALSE),VLOOKUP(tables_407011!C265,input_407011!A:H,8,FALSE))</f>
        <v>330</v>
      </c>
      <c r="P265" s="46">
        <f t="shared" ca="1" si="13"/>
        <v>3.1250000000000001E-5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input_407011!A$2</f>
        <v>407011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IFERROR(VLOOKUP(B266,input_407011!L:R,7,FALSE),VLOOKUP(tables_407011!C266,input_407011!A:H,8,FALSE))</f>
        <v>58200</v>
      </c>
      <c r="P266" s="46">
        <f t="shared" ca="1" si="13"/>
        <v>5.5113636363636363E-3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input_407011!A$2</f>
        <v>407011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IFERROR(VLOOKUP(B267,input_407011!L:R,7,FALSE),VLOOKUP(tables_407011!C267,input_407011!A:H,8,FALSE))</f>
        <v>52553.07692</v>
      </c>
      <c r="P267" s="46">
        <f t="shared" ca="1" si="13"/>
        <v>4.9766171325757577E-3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input_407011!A$2</f>
        <v>407011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IFERROR(VLOOKUP(B268,input_407011!L:R,7,FALSE),VLOOKUP(tables_407011!C268,input_407011!A:H,8,FALSE))</f>
        <v>5646.9230799999996</v>
      </c>
      <c r="P268" s="46">
        <f t="shared" ca="1" si="13"/>
        <v>5.3474650378787872E-4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input_407011!A$2</f>
        <v>407011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IFERROR(VLOOKUP(B269,input_407011!L:R,7,FALSE),VLOOKUP(tables_407011!C269,input_407011!A:H,8,FALSE))</f>
        <v>58200</v>
      </c>
      <c r="P269" s="46">
        <f t="shared" ca="1" si="13"/>
        <v>5.5113636363636363E-3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input_407011!A$2</f>
        <v>407011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IFERROR(VLOOKUP(B270,input_407011!L:R,7,FALSE),VLOOKUP(tables_407011!C270,input_407011!A:H,8,FALSE))</f>
        <v>52553.07692</v>
      </c>
      <c r="P270" s="46">
        <f t="shared" ca="1" si="13"/>
        <v>4.9766171325757577E-3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input_407011!A$2</f>
        <v>407011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IFERROR(VLOOKUP(B271,input_407011!L:R,7,FALSE),VLOOKUP(tables_407011!C271,input_407011!A:H,8,FALSE))</f>
        <v>5646.9230799999996</v>
      </c>
      <c r="P271" s="46">
        <f t="shared" ca="1" si="13"/>
        <v>5.3474650378787872E-4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input_407011!A$2</f>
        <v>407011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IFERROR(VLOOKUP(B272,input_407011!L:R,7,FALSE),VLOOKUP(tables_407011!C272,input_407011!A:H,8,FALSE))</f>
        <v>6600</v>
      </c>
      <c r="P272" s="46">
        <f t="shared" ca="1" si="13"/>
        <v>6.2500000000000001E-4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input_407011!A$2</f>
        <v>407011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IFERROR(VLOOKUP(B273,input_407011!L:R,7,FALSE),VLOOKUP(tables_407011!C273,input_407011!A:H,8,FALSE))</f>
        <v>6600</v>
      </c>
      <c r="P273" s="46">
        <f t="shared" ca="1" si="13"/>
        <v>6.2500000000000001E-4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input_407011!A$2</f>
        <v>407011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IFERROR(VLOOKUP(B274,input_407011!L:R,7,FALSE),VLOOKUP(tables_407011!C274,input_407011!A:H,8,FALSE))</f>
        <v>110580</v>
      </c>
      <c r="P274" s="46">
        <f t="shared" ca="1" si="13"/>
        <v>1.047159090909091E-2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input_407011!A$2</f>
        <v>407011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IFERROR(VLOOKUP(B275,input_407011!L:R,7,FALSE),VLOOKUP(tables_407011!C275,input_407011!A:H,8,FALSE))</f>
        <v>5820</v>
      </c>
      <c r="P275" s="46">
        <f t="shared" ca="1" si="13"/>
        <v>5.5113636363636367E-4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input_407011!A$2</f>
        <v>407011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IFERROR(VLOOKUP(B276,input_407011!L:R,7,FALSE),VLOOKUP(tables_407011!C276,input_407011!A:H,8,FALSE))</f>
        <v>110580</v>
      </c>
      <c r="P276" s="46">
        <f t="shared" ca="1" si="13"/>
        <v>1.047159090909091E-2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input_407011!A$2</f>
        <v>407011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IFERROR(VLOOKUP(B277,input_407011!L:R,7,FALSE),VLOOKUP(tables_407011!C277,input_407011!A:H,8,FALSE))</f>
        <v>5820</v>
      </c>
      <c r="P277" s="46">
        <f t="shared" ca="1" si="13"/>
        <v>5.5113636363636367E-4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input_407011!A$2</f>
        <v>407011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IFERROR(VLOOKUP(B278,input_407011!L:R,7,FALSE),VLOOKUP(tables_407011!C278,input_407011!A:H,8,FALSE))</f>
        <v>110580</v>
      </c>
      <c r="P278" s="46">
        <f t="shared" ca="1" si="13"/>
        <v>1.047159090909091E-2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input_407011!A$2</f>
        <v>407011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IFERROR(VLOOKUP(B279,input_407011!L:R,7,FALSE),VLOOKUP(tables_407011!C279,input_407011!A:H,8,FALSE))</f>
        <v>5820</v>
      </c>
      <c r="P279" s="46">
        <f t="shared" ca="1" si="13"/>
        <v>5.5113636363636367E-4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input_407011!A$2</f>
        <v>407011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IFERROR(VLOOKUP(B280,input_407011!L:R,7,FALSE),VLOOKUP(tables_407011!C280,input_407011!A:H,8,FALSE))</f>
        <v>110580</v>
      </c>
      <c r="P280" s="46">
        <f t="shared" ca="1" si="13"/>
        <v>1.047159090909091E-2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input_407011!A$2</f>
        <v>407011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IFERROR(VLOOKUP(B281,input_407011!L:R,7,FALSE),VLOOKUP(tables_407011!C281,input_407011!A:H,8,FALSE))</f>
        <v>5820</v>
      </c>
      <c r="P281" s="46">
        <f t="shared" ca="1" si="13"/>
        <v>5.5113636363636367E-4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input_407011!A$2</f>
        <v>407011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IFERROR(VLOOKUP(B282,input_407011!L:R,7,FALSE),VLOOKUP(tables_407011!C282,input_407011!A:H,8,FALSE))</f>
        <v>6600</v>
      </c>
      <c r="P282" s="46">
        <f t="shared" ca="1" si="13"/>
        <v>6.2500000000000001E-4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input_407011!A$2</f>
        <v>407011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IFERROR(VLOOKUP(B283,input_407011!L:R,7,FALSE),VLOOKUP(tables_407011!C283,input_407011!A:H,8,FALSE))</f>
        <v>6600</v>
      </c>
      <c r="P283" s="46">
        <f t="shared" ca="1" si="13"/>
        <v>6.2500000000000001E-4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input_407011!A$2</f>
        <v>407011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IFERROR(VLOOKUP(B284,input_407011!L:R,7,FALSE),VLOOKUP(tables_407011!C284,input_407011!A:H,8,FALSE))</f>
        <v>6600</v>
      </c>
      <c r="P284" s="46">
        <f t="shared" ca="1" si="13"/>
        <v>6.2500000000000001E-4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input_407011!A$2</f>
        <v>407011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IFERROR(VLOOKUP(B285,input_407011!L:R,7,FALSE),VLOOKUP(tables_407011!C285,input_407011!A:H,8,FALSE))</f>
        <v>6600</v>
      </c>
      <c r="P285" s="46">
        <f t="shared" ca="1" si="13"/>
        <v>6.2500000000000001E-4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input_407011!A$2</f>
        <v>407011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IFERROR(VLOOKUP(B286,input_407011!L:R,7,FALSE),VLOOKUP(tables_407011!C286,input_407011!A:H,8,FALSE))</f>
        <v>110580</v>
      </c>
      <c r="P286" s="46">
        <f t="shared" ca="1" si="13"/>
        <v>1.047159090909091E-2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input_407011!A$2</f>
        <v>407011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IFERROR(VLOOKUP(B287,input_407011!L:R,7,FALSE),VLOOKUP(tables_407011!C287,input_407011!A:H,8,FALSE))</f>
        <v>5820</v>
      </c>
      <c r="P287" s="46">
        <f t="shared" ca="1" si="13"/>
        <v>5.5113636363636367E-4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input_407011!A$2</f>
        <v>407011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IFERROR(VLOOKUP(B288,input_407011!L:R,7,FALSE),VLOOKUP(tables_407011!C288,input_407011!A:H,8,FALSE))</f>
        <v>110580</v>
      </c>
      <c r="P288" s="46">
        <f t="shared" ca="1" si="13"/>
        <v>1.047159090909091E-2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input_407011!A$2</f>
        <v>407011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IFERROR(VLOOKUP(B289,input_407011!L:R,7,FALSE),VLOOKUP(tables_407011!C289,input_407011!A:H,8,FALSE))</f>
        <v>5820</v>
      </c>
      <c r="P289" s="46">
        <f t="shared" ca="1" si="13"/>
        <v>5.5113636363636367E-4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input_407011!A$2</f>
        <v>407011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IFERROR(VLOOKUP(B290,input_407011!L:R,7,FALSE),VLOOKUP(tables_407011!C290,input_407011!A:H,8,FALSE))</f>
        <v>6600</v>
      </c>
      <c r="P290" s="46">
        <f t="shared" ca="1" si="13"/>
        <v>6.2500000000000001E-4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input_407011!A$2</f>
        <v>407011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IFERROR(VLOOKUP(B291,input_407011!L:R,7,FALSE),VLOOKUP(tables_407011!C291,input_407011!A:H,8,FALSE))</f>
        <v>110580</v>
      </c>
      <c r="P291" s="46">
        <f t="shared" ca="1" si="13"/>
        <v>1.047159090909091E-2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input_407011!A$2</f>
        <v>407011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IFERROR(VLOOKUP(B292,input_407011!L:R,7,FALSE),VLOOKUP(tables_407011!C292,input_407011!A:H,8,FALSE))</f>
        <v>5820</v>
      </c>
      <c r="P292" s="46">
        <f t="shared" ca="1" si="13"/>
        <v>5.5113636363636367E-4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input_407011!A$2</f>
        <v>407011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IFERROR(VLOOKUP(B293,input_407011!L:R,7,FALSE),VLOOKUP(tables_407011!C293,input_407011!A:H,8,FALSE))</f>
        <v>6600</v>
      </c>
      <c r="P293" s="46">
        <f t="shared" ca="1" si="13"/>
        <v>6.2500000000000001E-4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input_407011!A$2</f>
        <v>407011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IFERROR(VLOOKUP(B294,input_407011!L:R,7,FALSE),VLOOKUP(tables_407011!C294,input_407011!A:H,8,FALSE))</f>
        <v>6600</v>
      </c>
      <c r="P294" s="46">
        <f t="shared" ca="1" si="13"/>
        <v>6.2500000000000001E-4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input_407011!A$2</f>
        <v>407011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IFERROR(VLOOKUP(B295,input_407011!L:R,7,FALSE),VLOOKUP(tables_407011!C295,input_407011!A:H,8,FALSE))</f>
        <v>6600</v>
      </c>
      <c r="P295" s="46">
        <f t="shared" ca="1" si="13"/>
        <v>6.2500000000000001E-4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input_407011!A$2</f>
        <v>407011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IFERROR(VLOOKUP(B296,input_407011!L:R,7,FALSE),VLOOKUP(tables_407011!C296,input_407011!A:H,8,FALSE))</f>
        <v>6600</v>
      </c>
      <c r="P296" s="46">
        <f t="shared" ca="1" si="13"/>
        <v>6.2500000000000001E-4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input_407011!A$2</f>
        <v>407011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IFERROR(VLOOKUP(B297,input_407011!L:R,7,FALSE),VLOOKUP(tables_407011!C297,input_407011!A:H,8,FALSE))</f>
        <v>110580</v>
      </c>
      <c r="P297" s="46">
        <f t="shared" ca="1" si="13"/>
        <v>1.047159090909091E-2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input_407011!A$2</f>
        <v>407011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IFERROR(VLOOKUP(B298,input_407011!L:R,7,FALSE),VLOOKUP(tables_407011!C298,input_407011!A:H,8,FALSE))</f>
        <v>5820</v>
      </c>
      <c r="P298" s="46">
        <f t="shared" ca="1" si="13"/>
        <v>5.5113636363636367E-4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input_407011!A$2</f>
        <v>407011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IFERROR(VLOOKUP(B299,input_407011!L:R,7,FALSE),VLOOKUP(tables_407011!C299,input_407011!A:H,8,FALSE))</f>
        <v>6600</v>
      </c>
      <c r="P299" s="46">
        <f t="shared" ca="1" si="13"/>
        <v>6.2500000000000001E-4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input_407011!A$2</f>
        <v>407011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IFERROR(VLOOKUP(B300,input_407011!L:R,7,FALSE),VLOOKUP(tables_407011!C300,input_407011!A:H,8,FALSE))</f>
        <v>110580</v>
      </c>
      <c r="P300" s="46">
        <f t="shared" ca="1" si="13"/>
        <v>1.047159090909091E-2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input_407011!A$2</f>
        <v>407011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IFERROR(VLOOKUP(B301,input_407011!L:R,7,FALSE),VLOOKUP(tables_407011!C301,input_407011!A:H,8,FALSE))</f>
        <v>5820</v>
      </c>
      <c r="P301" s="46">
        <f t="shared" ca="1" si="13"/>
        <v>5.5113636363636367E-4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input_407011!A$2</f>
        <v>407011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IFERROR(VLOOKUP(B302,input_407011!L:R,7,FALSE),VLOOKUP(tables_407011!C302,input_407011!A:H,8,FALSE))</f>
        <v>6600</v>
      </c>
      <c r="P302" s="46">
        <f t="shared" ca="1" si="13"/>
        <v>6.2500000000000001E-4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input_407011!A$2</f>
        <v>407011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IFERROR(VLOOKUP(B303,input_407011!L:R,7,FALSE),VLOOKUP(tables_407011!C303,input_407011!A:H,8,FALSE))</f>
        <v>6600</v>
      </c>
      <c r="P303" s="46">
        <f t="shared" ca="1" si="13"/>
        <v>6.2500000000000001E-4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input_407011!A$2</f>
        <v>407011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IFERROR(VLOOKUP(B304,input_407011!L:R,7,FALSE),VLOOKUP(tables_407011!C304,input_407011!A:H,8,FALSE))</f>
        <v>6600</v>
      </c>
      <c r="P304" s="46">
        <f t="shared" ca="1" si="13"/>
        <v>6.2500000000000001E-4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input_407011!A$2</f>
        <v>407011</v>
      </c>
      <c r="B305" s="5">
        <v>1067</v>
      </c>
      <c r="C305" s="7" t="str">
        <f t="shared" ref="C305:C309" si="15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IFERROR(VLOOKUP(B305,input_407011!L:R,7,FALSE),VLOOKUP(tables_407011!C305,input_407011!A:H,8,FALSE))</f>
        <v>110580</v>
      </c>
      <c r="P305" s="46">
        <f t="shared" ref="P305:P309" ca="1" si="16">O305/SUM(O:O)</f>
        <v>1.047159090909091E-2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input_407011!A$2</f>
        <v>407011</v>
      </c>
      <c r="B306" s="5">
        <v>1068</v>
      </c>
      <c r="C306" s="7" t="str">
        <f t="shared" si="15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IFERROR(VLOOKUP(B306,input_407011!L:R,7,FALSE),VLOOKUP(tables_407011!C306,input_407011!A:H,8,FALSE))</f>
        <v>5820</v>
      </c>
      <c r="P306" s="46">
        <f t="shared" ca="1" si="16"/>
        <v>5.5113636363636367E-4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input_407011!A$2</f>
        <v>407011</v>
      </c>
      <c r="B307" s="5">
        <v>1069</v>
      </c>
      <c r="C307" s="7" t="str">
        <f t="shared" si="15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IFERROR(VLOOKUP(B307,input_407011!L:R,7,FALSE),VLOOKUP(tables_407011!C307,input_407011!A:H,8,FALSE))</f>
        <v>6600</v>
      </c>
      <c r="P307" s="46">
        <f t="shared" ca="1" si="16"/>
        <v>6.2500000000000001E-4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input_407011!A$2</f>
        <v>407011</v>
      </c>
      <c r="B308" s="5">
        <v>1072</v>
      </c>
      <c r="C308" s="7" t="str">
        <f t="shared" si="15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IFERROR(VLOOKUP(B308,input_407011!L:R,7,FALSE),VLOOKUP(tables_407011!C308,input_407011!A:H,8,FALSE))</f>
        <v>6600</v>
      </c>
      <c r="P308" s="46">
        <f t="shared" ca="1" si="16"/>
        <v>6.2500000000000001E-4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input_407011!A$2</f>
        <v>407011</v>
      </c>
      <c r="B309" s="5">
        <v>1074</v>
      </c>
      <c r="C309" s="7" t="str">
        <f t="shared" si="15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IFERROR(VLOOKUP(B309,input_407011!L:R,7,FALSE),VLOOKUP(tables_407011!C309,input_407011!A:H,8,FALSE))</f>
        <v>6600</v>
      </c>
      <c r="P309" s="46">
        <f t="shared" ca="1" si="16"/>
        <v>6.2500000000000001E-4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(COUNTIF(tables_407100!C:C,input_407100!A28)+COUNTIF(tables_407100!C:C,input_407100!A29))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1.0795454545454546E-2</v>
      </c>
      <c r="F6">
        <f>(COUNTIF(tables_407100!C:C,input_407100!A25)+COUNTIF(tables_407100!C:C,input_407100!A18)+COUNTIF(tables_407100!C:C,input_407100!A20)+COUNTIF(tables_407100!C:C,input_407100!A22))</f>
        <v>88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COUNTIF(tables_407100!C:C,input_407100!A17)-COUNTIF(Q:Q,A17)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COUNTIF(tables_407100!C:C,input_407100!A18)-COUNTIF(Q:Q,A18)</f>
        <v>20</v>
      </c>
      <c r="F18" s="43">
        <f>IFERROR(B18/E18,0)</f>
        <v>1.0795454545454546E-2</v>
      </c>
      <c r="G18">
        <f t="shared" si="4"/>
        <v>2280000</v>
      </c>
      <c r="H18">
        <f t="shared" si="5"/>
        <v>114000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COUNTIF(tables_407100!C:C,input_407100!A19)-COUNTIF(Q:Q,A19)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0.54229166666666673</v>
      </c>
      <c r="C20" s="85">
        <f t="shared" si="2"/>
        <v>0</v>
      </c>
      <c r="D20" s="74">
        <f t="shared" si="3"/>
        <v>0.54229166666666673</v>
      </c>
      <c r="E20">
        <f>COUNTIF(tables_407100!C:C,input_407100!A20)-COUNTIF(Q:Q,A20)</f>
        <v>52</v>
      </c>
      <c r="F20" s="43">
        <f t="shared" si="8"/>
        <v>1.0428685897435898E-2</v>
      </c>
      <c r="G20">
        <f t="shared" si="4"/>
        <v>5726600.0000000009</v>
      </c>
      <c r="H20">
        <f t="shared" si="5"/>
        <v>110126.92307999999</v>
      </c>
      <c r="I20">
        <f t="shared" si="6"/>
        <v>0.923079999993206</v>
      </c>
      <c r="J20">
        <f t="shared" si="7"/>
        <v>1.0833297222422327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1.9071969696969702E-2</v>
      </c>
      <c r="C21" s="85">
        <f t="shared" si="2"/>
        <v>0</v>
      </c>
      <c r="D21" s="74">
        <f t="shared" si="3"/>
        <v>1.9071969696969702E-2</v>
      </c>
      <c r="E21">
        <f>COUNTIF(tables_407100!C:C,input_407100!A21)-COUNTIF(Q:Q,A21)</f>
        <v>52</v>
      </c>
      <c r="F21" s="43">
        <f t="shared" si="8"/>
        <v>3.6676864801864814E-4</v>
      </c>
      <c r="G21">
        <f t="shared" si="4"/>
        <v>201400.00000000006</v>
      </c>
      <c r="H21">
        <f t="shared" si="5"/>
        <v>3873.07692</v>
      </c>
      <c r="I21">
        <f t="shared" si="6"/>
        <v>7.6919999999972788E-2</v>
      </c>
      <c r="J21">
        <f t="shared" si="7"/>
        <v>13.000520020805432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COUNTIF(tables_407100!C:C,input_407100!A22)-COUNTIF(Q:Q,A22)</f>
        <v>12</v>
      </c>
      <c r="F22" s="43">
        <f t="shared" si="8"/>
        <v>1.0255681818181818E-2</v>
      </c>
      <c r="G22">
        <f t="shared" si="4"/>
        <v>1299600</v>
      </c>
      <c r="H22">
        <f t="shared" si="5"/>
        <v>108300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COUNTIF(tables_407100!C:C,input_407100!A23)-COUNTIF(Q:Q,A23)</f>
        <v>12</v>
      </c>
      <c r="F23" s="43">
        <f t="shared" si="8"/>
        <v>5.3977272727272728E-4</v>
      </c>
      <c r="G23">
        <f t="shared" si="4"/>
        <v>68400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COUNTIF(tables_407100!C:C,input_407100!A24)-COUNTIF(Q:Q,A24)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COUNTIF(tables_407100!C:C,input_407100!A25)-COUNTIF(Q:Q,A25)</f>
        <v>4</v>
      </c>
      <c r="F25" s="43">
        <f t="shared" si="8"/>
        <v>1.0255681818181818E-2</v>
      </c>
      <c r="G25">
        <f t="shared" si="4"/>
        <v>433200</v>
      </c>
      <c r="H25">
        <f t="shared" si="5"/>
        <v>108300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COUNTIF(tables_407100!C:C,input_407100!A26)-COUNTIF(Q:Q,A26)</f>
        <v>4</v>
      </c>
      <c r="F26" s="43">
        <f t="shared" si="8"/>
        <v>5.3977272727272728E-4</v>
      </c>
      <c r="G26">
        <f t="shared" si="4"/>
        <v>22800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2.7708333333333331E-2</v>
      </c>
      <c r="C27" s="85">
        <f t="shared" si="2"/>
        <v>0</v>
      </c>
      <c r="D27" s="74">
        <f t="shared" si="3"/>
        <v>2.7708333333333331E-2</v>
      </c>
      <c r="E27">
        <f>COUNTIF(tables_407100!C:C,input_407100!A27)-COUNTIF(Q:Q,A27)</f>
        <v>28</v>
      </c>
      <c r="F27" s="43">
        <f>IFERROR(B27/E27,0)</f>
        <v>9.895833333333332E-4</v>
      </c>
      <c r="G27">
        <f t="shared" si="4"/>
        <v>292600</v>
      </c>
      <c r="H27">
        <f t="shared" si="5"/>
        <v>10450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1.4583333333333334E-3</v>
      </c>
      <c r="C28" s="85">
        <f t="shared" si="2"/>
        <v>0</v>
      </c>
      <c r="D28" s="74">
        <f t="shared" si="3"/>
        <v>1.4583333333333334E-3</v>
      </c>
      <c r="E28">
        <f>COUNTIF(tables_407100!C:C,input_407100!A28)-COUNTIF(Q:Q,A28)</f>
        <v>28</v>
      </c>
      <c r="F28" s="43">
        <f t="shared" si="8"/>
        <v>5.2083333333333337E-5</v>
      </c>
      <c r="G28">
        <f t="shared" si="4"/>
        <v>15400</v>
      </c>
      <c r="H28">
        <f t="shared" si="5"/>
        <v>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2.0833333333333332E-2</v>
      </c>
      <c r="C29" s="85">
        <f t="shared" si="2"/>
        <v>0</v>
      </c>
      <c r="D29" s="74">
        <f t="shared" si="3"/>
        <v>2.0833333333333332E-2</v>
      </c>
      <c r="E29">
        <f>COUNTIF(tables_407100!C:C,input_407100!A29)-COUNTIF(Q:Q,A29)</f>
        <v>20</v>
      </c>
      <c r="F29" s="43">
        <f t="shared" si="8"/>
        <v>1.0416666666666667E-3</v>
      </c>
      <c r="G29">
        <f t="shared" si="4"/>
        <v>220000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COUNTIF(tables_407100!C:C,input_407100!A30)-COUNTIF(Q:Q,A30)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COUNTIF(tables_407100!C:C,input_407100!A31)-COUNTIF(Q:Q,A31)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8.9962121212121549E-3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SUMIF(tables_407100!C:C,input_407100!A40,tables_407100!O:O)</f>
        <v>0</v>
      </c>
      <c r="C40" s="54">
        <f t="shared" ref="C40:C46" ca="1" si="9">B40/B$47</f>
        <v>0</v>
      </c>
      <c r="E40">
        <v>3</v>
      </c>
      <c r="F40">
        <f ca="1">SUMIF(tables_407100!J:J,input_407100!E40,tables_407100!O:O)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SUMIF(tables_407100!C:C,input_407100!A41,tables_407100!O:O)</f>
        <v>5726600.000160004</v>
      </c>
      <c r="C41" s="54">
        <f t="shared" ca="1" si="9"/>
        <v>0.91831302119307257</v>
      </c>
      <c r="E41">
        <v>4</v>
      </c>
      <c r="F41">
        <f ca="1">SUMIF(tables_407100!J:J,input_407100!E41,tables_407100!O:O)</f>
        <v>10032000.000160003</v>
      </c>
      <c r="G41">
        <f ca="1">F41/A36</f>
        <v>0.95000000001515184</v>
      </c>
    </row>
    <row r="42" spans="1:7" x14ac:dyDescent="0.15">
      <c r="A42" s="33" t="s">
        <v>106</v>
      </c>
      <c r="B42">
        <f ca="1">SUMIF(tables_407100!C:C,input_407100!A42,tables_407100!O:O)</f>
        <v>292600</v>
      </c>
      <c r="C42" s="54">
        <f t="shared" ca="1" si="9"/>
        <v>4.6921103271327744E-2</v>
      </c>
      <c r="E42">
        <v>5</v>
      </c>
      <c r="F42">
        <f ca="1">SUMIF(tables_407100!J:J,input_407100!E42,tables_407100!O:O)</f>
        <v>527999.99983999995</v>
      </c>
      <c r="G42">
        <f ca="1">F42/A36</f>
        <v>4.9999999984848477E-2</v>
      </c>
    </row>
    <row r="43" spans="1:7" x14ac:dyDescent="0.15">
      <c r="A43" s="33" t="s">
        <v>109</v>
      </c>
      <c r="B43">
        <f>SUMIF(tables_407100!C:C,input_407100!A43,tables_407100!O:O)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SUMIF(tables_407100!C:C,input_407100!A44,tables_407100!O:O)</f>
        <v>201399.99983999997</v>
      </c>
      <c r="C44" s="54">
        <f t="shared" ca="1" si="9"/>
        <v>3.2296343784477204E-2</v>
      </c>
      <c r="E44" t="s">
        <v>54</v>
      </c>
      <c r="F44" s="55"/>
    </row>
    <row r="45" spans="1:7" x14ac:dyDescent="0.15">
      <c r="A45" s="33" t="s">
        <v>107</v>
      </c>
      <c r="B45">
        <f ca="1">SUMIF(tables_407100!C:C,input_407100!A45,tables_407100!O:O)</f>
        <v>15400</v>
      </c>
      <c r="C45" s="54">
        <f t="shared" ca="1" si="9"/>
        <v>2.4695317511225128E-3</v>
      </c>
      <c r="E45" t="s">
        <v>204</v>
      </c>
      <c r="F45" s="55">
        <f ca="1">SUMIF(tables_407100!I:I,input_407100!E45,tables_407100!P:P)</f>
        <v>0.21590909090909099</v>
      </c>
    </row>
    <row r="46" spans="1:7" x14ac:dyDescent="0.15">
      <c r="A46" s="33" t="s">
        <v>108</v>
      </c>
      <c r="B46">
        <f>SUMIF(tables_407100!C:C,input_407100!A46,tables_407100!O:O)</f>
        <v>0</v>
      </c>
      <c r="C46" s="54">
        <f t="shared" ca="1" si="9"/>
        <v>0</v>
      </c>
      <c r="E46" t="s">
        <v>205</v>
      </c>
      <c r="F46" s="55">
        <f ca="1">SUMIF(tables_407100!I:I,input_407100!E46,tables_407100!P:P)</f>
        <v>0.21590909090909099</v>
      </c>
    </row>
    <row r="47" spans="1:7" x14ac:dyDescent="0.15">
      <c r="A47" s="39" t="s">
        <v>59</v>
      </c>
      <c r="B47">
        <f ca="1">SUM(B40:B46)</f>
        <v>6236000.0000000037</v>
      </c>
      <c r="C47" s="55">
        <f ca="1">SUM(C40:C46)</f>
        <v>1</v>
      </c>
      <c r="E47" t="s">
        <v>206</v>
      </c>
      <c r="F47" s="55">
        <f ca="1">SUMIF(tables_407100!I:I,input_407100!E47,tables_407100!P:P)</f>
        <v>0.51818181818181841</v>
      </c>
    </row>
    <row r="48" spans="1:7" x14ac:dyDescent="0.15">
      <c r="E48" t="s">
        <v>207</v>
      </c>
      <c r="F48" s="55">
        <f ca="1">SUMIF(tables_407100!I:I,input_407100!E48,tables_407100!P:P)</f>
        <v>4.8958333333333381E-2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61" activePane="bottomLeft" state="frozen"/>
      <selection activeCell="D34" sqref="D34"/>
      <selection pane="bottomLeft" activeCell="H272" sqref="H2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input_407100!A$2</f>
        <v>407100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IFERROR(VLOOKUP(B2,input_407100!L:R,7,FALSE),VLOOKUP(tables_407100!C2,input_407100!A:H,8,FALSE))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input_407100!A$2</f>
        <v>407100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IFERROR(VLOOKUP(B3,input_407100!L:R,7,FALSE),VLOOKUP(tables_407100!C3,input_407100!A:H,8,FALSE))</f>
        <v>114000</v>
      </c>
      <c r="P3" s="46">
        <f t="shared" ca="1" si="1"/>
        <v>1.0795454545454546E-2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input_407100!A$2</f>
        <v>407100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IFERROR(VLOOKUP(B4,input_407100!L:R,7,FALSE),VLOOKUP(tables_407100!C4,input_407100!A:H,8,FALSE))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input_407100!A$2</f>
        <v>407100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IFERROR(VLOOKUP(B5,input_407100!L:R,7,FALSE),VLOOKUP(tables_407100!C5,input_407100!A:H,8,FALSE))</f>
        <v>114000</v>
      </c>
      <c r="P5" s="46">
        <f t="shared" ca="1" si="1"/>
        <v>1.0795454545454546E-2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input_407100!A$2</f>
        <v>407100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IFERROR(VLOOKUP(B6,input_407100!L:R,7,FALSE),VLOOKUP(tables_407100!C6,input_407100!A:H,8,FALSE))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input_407100!A$2</f>
        <v>407100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IFERROR(VLOOKUP(B7,input_407100!L:R,7,FALSE),VLOOKUP(tables_407100!C7,input_407100!A:H,8,FALSE))</f>
        <v>114000</v>
      </c>
      <c r="P7" s="46">
        <f t="shared" ca="1" si="1"/>
        <v>1.0795454545454546E-2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input_407100!A$2</f>
        <v>407100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IFERROR(VLOOKUP(B8,input_407100!L:R,7,FALSE),VLOOKUP(tables_407100!C8,input_407100!A:H,8,FALSE))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input_407100!A$2</f>
        <v>407100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IFERROR(VLOOKUP(B9,input_407100!L:R,7,FALSE),VLOOKUP(tables_407100!C9,input_407100!A:H,8,FALSE))</f>
        <v>114000</v>
      </c>
      <c r="P9" s="46">
        <f t="shared" ca="1" si="1"/>
        <v>1.0795454545454546E-2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input_407100!A$2</f>
        <v>407100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IFERROR(VLOOKUP(B10,input_407100!L:R,7,FALSE),VLOOKUP(tables_407100!C10,input_407100!A:H,8,FALSE))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input_407100!A$2</f>
        <v>407100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IFERROR(VLOOKUP(B11,input_407100!L:R,7,FALSE),VLOOKUP(tables_407100!C11,input_407100!A:H,8,FALSE))</f>
        <v>114000</v>
      </c>
      <c r="P11" s="46">
        <f t="shared" ca="1" si="1"/>
        <v>1.0795454545454546E-2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input_407100!A$2</f>
        <v>407100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IFERROR(VLOOKUP(B12,input_407100!L:R,7,FALSE),VLOOKUP(tables_407100!C12,input_407100!A:H,8,FALSE))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input_407100!A$2</f>
        <v>407100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IFERROR(VLOOKUP(B13,input_407100!L:R,7,FALSE),VLOOKUP(tables_407100!C13,input_407100!A:H,8,FALSE))</f>
        <v>114000</v>
      </c>
      <c r="P13" s="46">
        <f t="shared" ca="1" si="1"/>
        <v>1.0795454545454546E-2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input_407100!A$2</f>
        <v>407100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IFERROR(VLOOKUP(B14,input_407100!L:R,7,FALSE),VLOOKUP(tables_407100!C14,input_407100!A:H,8,FALSE))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input_407100!A$2</f>
        <v>407100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IFERROR(VLOOKUP(B15,input_407100!L:R,7,FALSE),VLOOKUP(tables_407100!C15,input_407100!A:H,8,FALSE))</f>
        <v>114000</v>
      </c>
      <c r="P15" s="46">
        <f t="shared" ca="1" si="1"/>
        <v>1.0795454545454546E-2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input_407100!A$2</f>
        <v>407100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IFERROR(VLOOKUP(B16,input_407100!L:R,7,FALSE),VLOOKUP(tables_407100!C16,input_407100!A:H,8,FALSE))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input_407100!A$2</f>
        <v>407100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IFERROR(VLOOKUP(B17,input_407100!L:R,7,FALSE),VLOOKUP(tables_407100!C17,input_407100!A:H,8,FALSE))</f>
        <v>114000</v>
      </c>
      <c r="P17" s="46">
        <f t="shared" ca="1" si="1"/>
        <v>1.0795454545454546E-2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input_407100!A$2</f>
        <v>407100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IFERROR(VLOOKUP(B18,input_407100!L:R,7,FALSE),VLOOKUP(tables_407100!C18,input_407100!A:H,8,FALSE))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input_407100!A$2</f>
        <v>407100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IFERROR(VLOOKUP(B19,input_407100!L:R,7,FALSE),VLOOKUP(tables_407100!C19,input_407100!A:H,8,FALSE))</f>
        <v>114000</v>
      </c>
      <c r="P19" s="46">
        <f t="shared" ca="1" si="1"/>
        <v>1.0795454545454546E-2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input_407100!A$2</f>
        <v>407100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IFERROR(VLOOKUP(B20,input_407100!L:R,7,FALSE),VLOOKUP(tables_407100!C20,input_407100!A:H,8,FALSE))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input_407100!A$2</f>
        <v>407100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IFERROR(VLOOKUP(B21,input_407100!L:R,7,FALSE),VLOOKUP(tables_407100!C21,input_407100!A:H,8,FALSE))</f>
        <v>114000</v>
      </c>
      <c r="P21" s="46">
        <f t="shared" ca="1" si="1"/>
        <v>1.0795454545454546E-2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input_407100!A$2</f>
        <v>407100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IFERROR(VLOOKUP(B22,input_407100!L:R,7,FALSE),VLOOKUP(tables_407100!C22,input_407100!A:H,8,FALSE))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input_407100!A$2</f>
        <v>407100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IFERROR(VLOOKUP(B23,input_407100!L:R,7,FALSE),VLOOKUP(tables_407100!C23,input_407100!A:H,8,FALSE))</f>
        <v>114000</v>
      </c>
      <c r="P23" s="46">
        <f t="shared" ca="1" si="1"/>
        <v>1.0795454545454546E-2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input_407100!A$2</f>
        <v>407100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IFERROR(VLOOKUP(B24,input_407100!L:R,7,FALSE),VLOOKUP(tables_407100!C24,input_407100!A:H,8,FALSE))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input_407100!A$2</f>
        <v>407100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IFERROR(VLOOKUP(B25,input_407100!L:R,7,FALSE),VLOOKUP(tables_407100!C25,input_407100!A:H,8,FALSE))</f>
        <v>114000</v>
      </c>
      <c r="P25" s="46">
        <f t="shared" ca="1" si="1"/>
        <v>1.0795454545454546E-2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input_407100!A$2</f>
        <v>407100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IFERROR(VLOOKUP(B26,input_407100!L:R,7,FALSE),VLOOKUP(tables_407100!C26,input_407100!A:H,8,FALSE))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input_407100!A$2</f>
        <v>407100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IFERROR(VLOOKUP(B27,input_407100!L:R,7,FALSE),VLOOKUP(tables_407100!C27,input_407100!A:H,8,FALSE))</f>
        <v>114000</v>
      </c>
      <c r="P27" s="46">
        <f t="shared" ca="1" si="1"/>
        <v>1.0795454545454546E-2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input_407100!A$2</f>
        <v>407100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IFERROR(VLOOKUP(B28,input_407100!L:R,7,FALSE),VLOOKUP(tables_407100!C28,input_407100!A:H,8,FALSE))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input_407100!A$2</f>
        <v>407100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IFERROR(VLOOKUP(B29,input_407100!L:R,7,FALSE),VLOOKUP(tables_407100!C29,input_407100!A:H,8,FALSE))</f>
        <v>114000</v>
      </c>
      <c r="P29" s="46">
        <f t="shared" ca="1" si="1"/>
        <v>1.0795454545454546E-2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input_407100!A$2</f>
        <v>407100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IFERROR(VLOOKUP(B30,input_407100!L:R,7,FALSE),VLOOKUP(tables_407100!C30,input_407100!A:H,8,FALSE))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input_407100!A$2</f>
        <v>407100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IFERROR(VLOOKUP(B31,input_407100!L:R,7,FALSE),VLOOKUP(tables_407100!C31,input_407100!A:H,8,FALSE))</f>
        <v>114000</v>
      </c>
      <c r="P31" s="46">
        <f t="shared" ca="1" si="1"/>
        <v>1.0795454545454546E-2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input_407100!A$2</f>
        <v>407100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IFERROR(VLOOKUP(B32,input_407100!L:R,7,FALSE),VLOOKUP(tables_407100!C32,input_407100!A:H,8,FALSE))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input_407100!A$2</f>
        <v>407100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IFERROR(VLOOKUP(B33,input_407100!L:R,7,FALSE),VLOOKUP(tables_407100!C33,input_407100!A:H,8,FALSE))</f>
        <v>114000</v>
      </c>
      <c r="P33" s="46">
        <f t="shared" ca="1" si="1"/>
        <v>1.0795454545454546E-2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input_407100!A$2</f>
        <v>407100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IFERROR(VLOOKUP(B34,input_407100!L:R,7,FALSE),VLOOKUP(tables_407100!C34,input_407100!A:H,8,FALSE))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input_407100!A$2</f>
        <v>407100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IFERROR(VLOOKUP(B35,input_407100!L:R,7,FALSE),VLOOKUP(tables_407100!C35,input_407100!A:H,8,FALSE))</f>
        <v>114000</v>
      </c>
      <c r="P35" s="46">
        <f t="shared" ca="1" si="1"/>
        <v>1.0795454545454546E-2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input_407100!A$2</f>
        <v>407100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IFERROR(VLOOKUP(B36,input_407100!L:R,7,FALSE),VLOOKUP(tables_407100!C36,input_407100!A:H,8,FALSE))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input_407100!A$2</f>
        <v>407100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IFERROR(VLOOKUP(B37,input_407100!L:R,7,FALSE),VLOOKUP(tables_407100!C37,input_407100!A:H,8,FALSE))</f>
        <v>114000</v>
      </c>
      <c r="P37" s="46">
        <f t="shared" ca="1" si="1"/>
        <v>1.0795454545454546E-2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input_407100!A$2</f>
        <v>407100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IFERROR(VLOOKUP(B38,input_407100!L:R,7,FALSE),VLOOKUP(tables_407100!C38,input_407100!A:H,8,FALSE))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input_407100!A$2</f>
        <v>407100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IFERROR(VLOOKUP(B39,input_407100!L:R,7,FALSE),VLOOKUP(tables_407100!C39,input_407100!A:H,8,FALSE))</f>
        <v>114000</v>
      </c>
      <c r="P39" s="46">
        <f t="shared" ca="1" si="1"/>
        <v>1.0795454545454546E-2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input_407100!A$2</f>
        <v>407100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IFERROR(VLOOKUP(B40,input_407100!L:R,7,FALSE),VLOOKUP(tables_407100!C40,input_407100!A:H,8,FALSE))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input_407100!A$2</f>
        <v>407100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IFERROR(VLOOKUP(B41,input_407100!L:R,7,FALSE),VLOOKUP(tables_407100!C41,input_407100!A:H,8,FALSE))</f>
        <v>114000</v>
      </c>
      <c r="P41" s="46">
        <f t="shared" ca="1" si="1"/>
        <v>1.0795454545454546E-2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input_407100!A$2</f>
        <v>407100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IFERROR(VLOOKUP(B42,input_407100!L:R,7,FALSE),VLOOKUP(tables_407100!C42,input_407100!A:H,8,FALSE))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input_407100!A$2</f>
        <v>407100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IFERROR(VLOOKUP(B43,input_407100!L:R,7,FALSE),VLOOKUP(tables_407100!C43,input_407100!A:H,8,FALSE))</f>
        <v>108300</v>
      </c>
      <c r="P43" s="46">
        <f t="shared" ca="1" si="1"/>
        <v>1.0255681818181818E-2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input_407100!A$2</f>
        <v>407100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IFERROR(VLOOKUP(B44,input_407100!L:R,7,FALSE),VLOOKUP(tables_407100!C44,input_407100!A:H,8,FALSE))</f>
        <v>5700</v>
      </c>
      <c r="P44" s="46">
        <f t="shared" ca="1" si="1"/>
        <v>5.3977272727272728E-4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input_407100!A$2</f>
        <v>407100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IFERROR(VLOOKUP(B45,input_407100!L:R,7,FALSE),VLOOKUP(tables_407100!C45,input_407100!A:H,8,FALSE))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input_407100!A$2</f>
        <v>407100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IFERROR(VLOOKUP(B46,input_407100!L:R,7,FALSE),VLOOKUP(tables_407100!C46,input_407100!A:H,8,FALSE))</f>
        <v>108300</v>
      </c>
      <c r="P46" s="46">
        <f t="shared" ca="1" si="1"/>
        <v>1.0255681818181818E-2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input_407100!A$2</f>
        <v>407100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IFERROR(VLOOKUP(B47,input_407100!L:R,7,FALSE),VLOOKUP(tables_407100!C47,input_407100!A:H,8,FALSE))</f>
        <v>5700</v>
      </c>
      <c r="P47" s="46">
        <f t="shared" ca="1" si="1"/>
        <v>5.3977272727272728E-4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input_407100!A$2</f>
        <v>407100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IFERROR(VLOOKUP(B48,input_407100!L:R,7,FALSE),VLOOKUP(tables_407100!C48,input_407100!A:H,8,FALSE))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input_407100!A$2</f>
        <v>407100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IFERROR(VLOOKUP(B49,input_407100!L:R,7,FALSE),VLOOKUP(tables_407100!C49,input_407100!A:H,8,FALSE))</f>
        <v>108300</v>
      </c>
      <c r="P49" s="46">
        <f t="shared" ca="1" si="1"/>
        <v>1.0255681818181818E-2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input_407100!A$2</f>
        <v>407100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IFERROR(VLOOKUP(B50,input_407100!L:R,7,FALSE),VLOOKUP(tables_407100!C50,input_407100!A:H,8,FALSE))</f>
        <v>5700</v>
      </c>
      <c r="P50" s="46">
        <f t="shared" ca="1" si="1"/>
        <v>5.3977272727272728E-4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input_407100!A$2</f>
        <v>407100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IFERROR(VLOOKUP(B51,input_407100!L:R,7,FALSE),VLOOKUP(tables_407100!C51,input_407100!A:H,8,FALSE))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input_407100!A$2</f>
        <v>407100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IFERROR(VLOOKUP(B52,input_407100!L:R,7,FALSE),VLOOKUP(tables_407100!C52,input_407100!A:H,8,FALSE))</f>
        <v>110126.92307999999</v>
      </c>
      <c r="P52" s="46">
        <f t="shared" ca="1" si="1"/>
        <v>1.0428685897727273E-2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input_407100!A$2</f>
        <v>407100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IFERROR(VLOOKUP(B53,input_407100!L:R,7,FALSE),VLOOKUP(tables_407100!C53,input_407100!A:H,8,FALSE))</f>
        <v>3873.07692</v>
      </c>
      <c r="P53" s="46">
        <f t="shared" ca="1" si="1"/>
        <v>3.6676864772727271E-4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input_407100!A$2</f>
        <v>407100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IFERROR(VLOOKUP(B54,input_407100!L:R,7,FALSE),VLOOKUP(tables_407100!C54,input_407100!A:H,8,FALSE))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input_407100!A$2</f>
        <v>407100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IFERROR(VLOOKUP(B55,input_407100!L:R,7,FALSE),VLOOKUP(tables_407100!C55,input_407100!A:H,8,FALSE))</f>
        <v>110126.92307999999</v>
      </c>
      <c r="P55" s="46">
        <f t="shared" ca="1" si="1"/>
        <v>1.0428685897727273E-2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input_407100!A$2</f>
        <v>407100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IFERROR(VLOOKUP(B56,input_407100!L:R,7,FALSE),VLOOKUP(tables_407100!C56,input_407100!A:H,8,FALSE))</f>
        <v>3873.07692</v>
      </c>
      <c r="P56" s="46">
        <f t="shared" ca="1" si="1"/>
        <v>3.6676864772727271E-4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input_407100!A$2</f>
        <v>407100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IFERROR(VLOOKUP(B57,input_407100!L:R,7,FALSE),VLOOKUP(tables_407100!C57,input_407100!A:H,8,FALSE))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input_407100!A$2</f>
        <v>407100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IFERROR(VLOOKUP(B58,input_407100!L:R,7,FALSE),VLOOKUP(tables_407100!C58,input_407100!A:H,8,FALSE))</f>
        <v>110126.92307999999</v>
      </c>
      <c r="P58" s="46">
        <f t="shared" ca="1" si="1"/>
        <v>1.0428685897727273E-2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input_407100!A$2</f>
        <v>407100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IFERROR(VLOOKUP(B59,input_407100!L:R,7,FALSE),VLOOKUP(tables_407100!C59,input_407100!A:H,8,FALSE))</f>
        <v>3873.07692</v>
      </c>
      <c r="P59" s="46">
        <f t="shared" ca="1" si="1"/>
        <v>3.6676864772727271E-4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input_407100!A$2</f>
        <v>407100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IFERROR(VLOOKUP(B60,input_407100!L:R,7,FALSE),VLOOKUP(tables_407100!C60,input_407100!A:H,8,FALSE))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input_407100!A$2</f>
        <v>407100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IFERROR(VLOOKUP(B61,input_407100!L:R,7,FALSE),VLOOKUP(tables_407100!C61,input_407100!A:H,8,FALSE))</f>
        <v>110126.92307999999</v>
      </c>
      <c r="P61" s="46">
        <f t="shared" ca="1" si="1"/>
        <v>1.0428685897727273E-2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input_407100!A$2</f>
        <v>407100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IFERROR(VLOOKUP(B62,input_407100!L:R,7,FALSE),VLOOKUP(tables_407100!C62,input_407100!A:H,8,FALSE))</f>
        <v>3873.07692</v>
      </c>
      <c r="P62" s="46">
        <f t="shared" ca="1" si="1"/>
        <v>3.6676864772727271E-4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input_407100!A$2</f>
        <v>407100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IFERROR(VLOOKUP(B63,input_407100!L:R,7,FALSE),VLOOKUP(tables_407100!C63,input_407100!A:H,8,FALSE))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input_407100!A$2</f>
        <v>407100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IFERROR(VLOOKUP(B64,input_407100!L:R,7,FALSE),VLOOKUP(tables_407100!C64,input_407100!A:H,8,FALSE))</f>
        <v>110126.92307999999</v>
      </c>
      <c r="P64" s="46">
        <f t="shared" ca="1" si="1"/>
        <v>1.0428685897727273E-2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input_407100!A$2</f>
        <v>407100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IFERROR(VLOOKUP(B65,input_407100!L:R,7,FALSE),VLOOKUP(tables_407100!C65,input_407100!A:H,8,FALSE))</f>
        <v>3873.07692</v>
      </c>
      <c r="P65" s="46">
        <f t="shared" ca="1" si="1"/>
        <v>3.6676864772727271E-4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input_407100!A$2</f>
        <v>407100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IFERROR(VLOOKUP(B66,input_407100!L:R,7,FALSE),VLOOKUP(tables_407100!C66,input_407100!A:H,8,FALSE))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input_407100!A$2</f>
        <v>407100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IFERROR(VLOOKUP(B67,input_407100!L:R,7,FALSE),VLOOKUP(tables_407100!C67,input_407100!A:H,8,FALSE))</f>
        <v>110126.92307999999</v>
      </c>
      <c r="P67" s="46">
        <f t="shared" ca="1" si="4"/>
        <v>1.0428685897727273E-2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input_407100!A$2</f>
        <v>407100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IFERROR(VLOOKUP(B68,input_407100!L:R,7,FALSE),VLOOKUP(tables_407100!C68,input_407100!A:H,8,FALSE))</f>
        <v>3873.07692</v>
      </c>
      <c r="P68" s="46">
        <f t="shared" ca="1" si="4"/>
        <v>3.6676864772727271E-4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input_407100!A$2</f>
        <v>407100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IFERROR(VLOOKUP(B69,input_407100!L:R,7,FALSE),VLOOKUP(tables_407100!C69,input_407100!A:H,8,FALSE))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input_407100!A$2</f>
        <v>407100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IFERROR(VLOOKUP(B70,input_407100!L:R,7,FALSE),VLOOKUP(tables_407100!C70,input_407100!A:H,8,FALSE))</f>
        <v>110126.92307999999</v>
      </c>
      <c r="P70" s="46">
        <f t="shared" ca="1" si="4"/>
        <v>1.0428685897727273E-2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input_407100!A$2</f>
        <v>407100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IFERROR(VLOOKUP(B71,input_407100!L:R,7,FALSE),VLOOKUP(tables_407100!C71,input_407100!A:H,8,FALSE))</f>
        <v>3873.07692</v>
      </c>
      <c r="P71" s="46">
        <f t="shared" ca="1" si="4"/>
        <v>3.6676864772727271E-4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input_407100!A$2</f>
        <v>407100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IFERROR(VLOOKUP(B72,input_407100!L:R,7,FALSE),VLOOKUP(tables_407100!C72,input_407100!A:H,8,FALSE))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input_407100!A$2</f>
        <v>407100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IFERROR(VLOOKUP(B73,input_407100!L:R,7,FALSE),VLOOKUP(tables_407100!C73,input_407100!A:H,8,FALSE))</f>
        <v>110126.92307999999</v>
      </c>
      <c r="P73" s="46">
        <f t="shared" ca="1" si="4"/>
        <v>1.0428685897727273E-2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input_407100!A$2</f>
        <v>407100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IFERROR(VLOOKUP(B74,input_407100!L:R,7,FALSE),VLOOKUP(tables_407100!C74,input_407100!A:H,8,FALSE))</f>
        <v>3873.07692</v>
      </c>
      <c r="P74" s="46">
        <f t="shared" ca="1" si="4"/>
        <v>3.6676864772727271E-4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input_407100!A$2</f>
        <v>407100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IFERROR(VLOOKUP(B75,input_407100!L:R,7,FALSE),VLOOKUP(tables_407100!C75,input_407100!A:H,8,FALSE))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input_407100!A$2</f>
        <v>407100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IFERROR(VLOOKUP(B76,input_407100!L:R,7,FALSE),VLOOKUP(tables_407100!C76,input_407100!A:H,8,FALSE))</f>
        <v>110126.92307999999</v>
      </c>
      <c r="P76" s="46">
        <f t="shared" ca="1" si="4"/>
        <v>1.0428685897727273E-2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input_407100!A$2</f>
        <v>407100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IFERROR(VLOOKUP(B77,input_407100!L:R,7,FALSE),VLOOKUP(tables_407100!C77,input_407100!A:H,8,FALSE))</f>
        <v>3873.07692</v>
      </c>
      <c r="P77" s="46">
        <f t="shared" ca="1" si="4"/>
        <v>3.6676864772727271E-4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input_407100!A$2</f>
        <v>407100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IFERROR(VLOOKUP(B78,input_407100!L:R,7,FALSE),VLOOKUP(tables_407100!C78,input_407100!A:H,8,FALSE))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input_407100!A$2</f>
        <v>407100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IFERROR(VLOOKUP(B79,input_407100!L:R,7,FALSE),VLOOKUP(tables_407100!C79,input_407100!A:H,8,FALSE))</f>
        <v>110126.92307999999</v>
      </c>
      <c r="P79" s="46">
        <f t="shared" ca="1" si="4"/>
        <v>1.0428685897727273E-2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input_407100!A$2</f>
        <v>407100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IFERROR(VLOOKUP(B80,input_407100!L:R,7,FALSE),VLOOKUP(tables_407100!C80,input_407100!A:H,8,FALSE))</f>
        <v>3873.07692</v>
      </c>
      <c r="P80" s="46">
        <f t="shared" ca="1" si="4"/>
        <v>3.6676864772727271E-4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input_407100!A$2</f>
        <v>407100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IFERROR(VLOOKUP(B81,input_407100!L:R,7,FALSE),VLOOKUP(tables_407100!C81,input_407100!A:H,8,FALSE))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input_407100!A$2</f>
        <v>407100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IFERROR(VLOOKUP(B82,input_407100!L:R,7,FALSE),VLOOKUP(tables_407100!C82,input_407100!A:H,8,FALSE))</f>
        <v>110126.92307999999</v>
      </c>
      <c r="P82" s="46">
        <f t="shared" ca="1" si="4"/>
        <v>1.0428685897727273E-2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input_407100!A$2</f>
        <v>407100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IFERROR(VLOOKUP(B83,input_407100!L:R,7,FALSE),VLOOKUP(tables_407100!C83,input_407100!A:H,8,FALSE))</f>
        <v>3873.07692</v>
      </c>
      <c r="P83" s="46">
        <f t="shared" ca="1" si="4"/>
        <v>3.6676864772727271E-4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input_407100!A$2</f>
        <v>407100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IFERROR(VLOOKUP(B84,input_407100!L:R,7,FALSE),VLOOKUP(tables_407100!C84,input_407100!A:H,8,FALSE))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input_407100!A$2</f>
        <v>407100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IFERROR(VLOOKUP(B85,input_407100!L:R,7,FALSE),VLOOKUP(tables_407100!C85,input_407100!A:H,8,FALSE))</f>
        <v>110126.92307999999</v>
      </c>
      <c r="P85" s="46">
        <f t="shared" ca="1" si="4"/>
        <v>1.0428685897727273E-2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input_407100!A$2</f>
        <v>407100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IFERROR(VLOOKUP(B86,input_407100!L:R,7,FALSE),VLOOKUP(tables_407100!C86,input_407100!A:H,8,FALSE))</f>
        <v>3873.07692</v>
      </c>
      <c r="P86" s="46">
        <f t="shared" ca="1" si="4"/>
        <v>3.6676864772727271E-4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input_407100!A$2</f>
        <v>407100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IFERROR(VLOOKUP(B87,input_407100!L:R,7,FALSE),VLOOKUP(tables_407100!C87,input_407100!A:H,8,FALSE))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input_407100!A$2</f>
        <v>407100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IFERROR(VLOOKUP(B88,input_407100!L:R,7,FALSE),VLOOKUP(tables_407100!C88,input_407100!A:H,8,FALSE))</f>
        <v>110126.92307999999</v>
      </c>
      <c r="P88" s="46">
        <f t="shared" ca="1" si="4"/>
        <v>1.0428685897727273E-2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input_407100!A$2</f>
        <v>407100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IFERROR(VLOOKUP(B89,input_407100!L:R,7,FALSE),VLOOKUP(tables_407100!C89,input_407100!A:H,8,FALSE))</f>
        <v>3873.07692</v>
      </c>
      <c r="P89" s="46">
        <f t="shared" ca="1" si="4"/>
        <v>3.6676864772727271E-4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input_407100!A$2</f>
        <v>407100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IFERROR(VLOOKUP(B90,input_407100!L:R,7,FALSE),VLOOKUP(tables_407100!C90,input_407100!A:H,8,FALSE))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input_407100!A$2</f>
        <v>407100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IFERROR(VLOOKUP(B91,input_407100!L:R,7,FALSE),VLOOKUP(tables_407100!C91,input_407100!A:H,8,FALSE))</f>
        <v>110126.92307999999</v>
      </c>
      <c r="P91" s="46">
        <f t="shared" ca="1" si="4"/>
        <v>1.0428685897727273E-2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input_407100!A$2</f>
        <v>407100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IFERROR(VLOOKUP(B92,input_407100!L:R,7,FALSE),VLOOKUP(tables_407100!C92,input_407100!A:H,8,FALSE))</f>
        <v>3873.07692</v>
      </c>
      <c r="P92" s="46">
        <f t="shared" ca="1" si="4"/>
        <v>3.6676864772727271E-4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input_407100!A$2</f>
        <v>407100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IFERROR(VLOOKUP(B93,input_407100!L:R,7,FALSE),VLOOKUP(tables_407100!C93,input_407100!A:H,8,FALSE))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input_407100!A$2</f>
        <v>407100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IFERROR(VLOOKUP(B94,input_407100!L:R,7,FALSE),VLOOKUP(tables_407100!C94,input_407100!A:H,8,FALSE))</f>
        <v>110126.92307999999</v>
      </c>
      <c r="P94" s="46">
        <f t="shared" ca="1" si="4"/>
        <v>1.0428685897727273E-2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input_407100!A$2</f>
        <v>407100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IFERROR(VLOOKUP(B95,input_407100!L:R,7,FALSE),VLOOKUP(tables_407100!C95,input_407100!A:H,8,FALSE))</f>
        <v>3873.07692</v>
      </c>
      <c r="P95" s="46">
        <f t="shared" ca="1" si="4"/>
        <v>3.6676864772727271E-4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input_407100!A$2</f>
        <v>407100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IFERROR(VLOOKUP(B96,input_407100!L:R,7,FALSE),VLOOKUP(tables_407100!C96,input_407100!A:H,8,FALSE))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input_407100!A$2</f>
        <v>407100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IFERROR(VLOOKUP(B97,input_407100!L:R,7,FALSE),VLOOKUP(tables_407100!C97,input_407100!A:H,8,FALSE))</f>
        <v>110126.92307999999</v>
      </c>
      <c r="P97" s="46">
        <f t="shared" ca="1" si="4"/>
        <v>1.0428685897727273E-2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input_407100!A$2</f>
        <v>407100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IFERROR(VLOOKUP(B98,input_407100!L:R,7,FALSE),VLOOKUP(tables_407100!C98,input_407100!A:H,8,FALSE))</f>
        <v>3873.07692</v>
      </c>
      <c r="P98" s="46">
        <f t="shared" ca="1" si="4"/>
        <v>3.6676864772727271E-4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input_407100!A$2</f>
        <v>407100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IFERROR(VLOOKUP(B99,input_407100!L:R,7,FALSE),VLOOKUP(tables_407100!C99,input_407100!A:H,8,FALSE))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input_407100!A$2</f>
        <v>407100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IFERROR(VLOOKUP(B100,input_407100!L:R,7,FALSE),VLOOKUP(tables_407100!C100,input_407100!A:H,8,FALSE))</f>
        <v>110126.92307999999</v>
      </c>
      <c r="P100" s="46">
        <f t="shared" ca="1" si="4"/>
        <v>1.0428685897727273E-2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input_407100!A$2</f>
        <v>407100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IFERROR(VLOOKUP(B101,input_407100!L:R,7,FALSE),VLOOKUP(tables_407100!C101,input_407100!A:H,8,FALSE))</f>
        <v>3873.07692</v>
      </c>
      <c r="P101" s="46">
        <f t="shared" ca="1" si="4"/>
        <v>3.6676864772727271E-4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input_407100!A$2</f>
        <v>407100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IFERROR(VLOOKUP(B102,input_407100!L:R,7,FALSE),VLOOKUP(tables_407100!C102,input_407100!A:H,8,FALSE))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input_407100!A$2</f>
        <v>407100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IFERROR(VLOOKUP(B103,input_407100!L:R,7,FALSE),VLOOKUP(tables_407100!C103,input_407100!A:H,8,FALSE))</f>
        <v>110126.92307999999</v>
      </c>
      <c r="P103" s="46">
        <f t="shared" ca="1" si="4"/>
        <v>1.0428685897727273E-2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input_407100!A$2</f>
        <v>407100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IFERROR(VLOOKUP(B104,input_407100!L:R,7,FALSE),VLOOKUP(tables_407100!C104,input_407100!A:H,8,FALSE))</f>
        <v>3873.07692</v>
      </c>
      <c r="P104" s="46">
        <f t="shared" ca="1" si="4"/>
        <v>3.6676864772727271E-4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input_407100!A$2</f>
        <v>407100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IFERROR(VLOOKUP(B105,input_407100!L:R,7,FALSE),VLOOKUP(tables_407100!C105,input_407100!A:H,8,FALSE))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input_407100!A$2</f>
        <v>407100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IFERROR(VLOOKUP(B106,input_407100!L:R,7,FALSE),VLOOKUP(tables_407100!C106,input_407100!A:H,8,FALSE))</f>
        <v>110126.92307999999</v>
      </c>
      <c r="P106" s="46">
        <f t="shared" ca="1" si="4"/>
        <v>1.0428685897727273E-2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input_407100!A$2</f>
        <v>407100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IFERROR(VLOOKUP(B107,input_407100!L:R,7,FALSE),VLOOKUP(tables_407100!C107,input_407100!A:H,8,FALSE))</f>
        <v>3873.07692</v>
      </c>
      <c r="P107" s="46">
        <f t="shared" ca="1" si="4"/>
        <v>3.6676864772727271E-4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input_407100!A$2</f>
        <v>407100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IFERROR(VLOOKUP(B108,input_407100!L:R,7,FALSE),VLOOKUP(tables_407100!C108,input_407100!A:H,8,FALSE))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input_407100!A$2</f>
        <v>407100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IFERROR(VLOOKUP(B109,input_407100!L:R,7,FALSE),VLOOKUP(tables_407100!C109,input_407100!A:H,8,FALSE))</f>
        <v>110126.92307999999</v>
      </c>
      <c r="P109" s="46">
        <f t="shared" ca="1" si="4"/>
        <v>1.0428685897727273E-2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input_407100!A$2</f>
        <v>407100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IFERROR(VLOOKUP(B110,input_407100!L:R,7,FALSE),VLOOKUP(tables_407100!C110,input_407100!A:H,8,FALSE))</f>
        <v>3873.07692</v>
      </c>
      <c r="P110" s="46">
        <f t="shared" ca="1" si="4"/>
        <v>3.6676864772727271E-4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input_407100!A$2</f>
        <v>407100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IFERROR(VLOOKUP(B111,input_407100!L:R,7,FALSE),VLOOKUP(tables_407100!C111,input_407100!A:H,8,FALSE))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input_407100!A$2</f>
        <v>407100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IFERROR(VLOOKUP(B112,input_407100!L:R,7,FALSE),VLOOKUP(tables_407100!C112,input_407100!A:H,8,FALSE))</f>
        <v>108300</v>
      </c>
      <c r="P112" s="46">
        <f t="shared" ca="1" si="4"/>
        <v>1.0255681818181818E-2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input_407100!A$2</f>
        <v>407100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IFERROR(VLOOKUP(B113,input_407100!L:R,7,FALSE),VLOOKUP(tables_407100!C113,input_407100!A:H,8,FALSE))</f>
        <v>5700</v>
      </c>
      <c r="P113" s="46">
        <f t="shared" ca="1" si="4"/>
        <v>5.3977272727272728E-4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input_407100!A$2</f>
        <v>407100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IFERROR(VLOOKUP(B114,input_407100!L:R,7,FALSE),VLOOKUP(tables_407100!C114,input_407100!A:H,8,FALSE))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input_407100!A$2</f>
        <v>407100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IFERROR(VLOOKUP(B115,input_407100!L:R,7,FALSE),VLOOKUP(tables_407100!C115,input_407100!A:H,8,FALSE))</f>
        <v>110126.92307999999</v>
      </c>
      <c r="P115" s="46">
        <f t="shared" ca="1" si="4"/>
        <v>1.0428685897727273E-2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input_407100!A$2</f>
        <v>407100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IFERROR(VLOOKUP(B116,input_407100!L:R,7,FALSE),VLOOKUP(tables_407100!C116,input_407100!A:H,8,FALSE))</f>
        <v>3873.07692</v>
      </c>
      <c r="P116" s="46">
        <f t="shared" ca="1" si="4"/>
        <v>3.6676864772727271E-4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input_407100!A$2</f>
        <v>407100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IFERROR(VLOOKUP(B117,input_407100!L:R,7,FALSE),VLOOKUP(tables_407100!C117,input_407100!A:H,8,FALSE))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input_407100!A$2</f>
        <v>407100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IFERROR(VLOOKUP(B118,input_407100!L:R,7,FALSE),VLOOKUP(tables_407100!C118,input_407100!A:H,8,FALSE))</f>
        <v>110126.92307999999</v>
      </c>
      <c r="P118" s="46">
        <f t="shared" ca="1" si="4"/>
        <v>1.0428685897727273E-2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input_407100!A$2</f>
        <v>407100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IFERROR(VLOOKUP(B119,input_407100!L:R,7,FALSE),VLOOKUP(tables_407100!C119,input_407100!A:H,8,FALSE))</f>
        <v>3873.07692</v>
      </c>
      <c r="P119" s="46">
        <f t="shared" ca="1" si="4"/>
        <v>3.6676864772727271E-4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input_407100!A$2</f>
        <v>407100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IFERROR(VLOOKUP(B120,input_407100!L:R,7,FALSE),VLOOKUP(tables_407100!C120,input_407100!A:H,8,FALSE))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input_407100!A$2</f>
        <v>407100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IFERROR(VLOOKUP(B121,input_407100!L:R,7,FALSE),VLOOKUP(tables_407100!C121,input_407100!A:H,8,FALSE))</f>
        <v>110126.92307999999</v>
      </c>
      <c r="P121" s="46">
        <f t="shared" ca="1" si="4"/>
        <v>1.0428685897727273E-2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input_407100!A$2</f>
        <v>407100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IFERROR(VLOOKUP(B122,input_407100!L:R,7,FALSE),VLOOKUP(tables_407100!C122,input_407100!A:H,8,FALSE))</f>
        <v>3873.07692</v>
      </c>
      <c r="P122" s="46">
        <f t="shared" ca="1" si="4"/>
        <v>3.6676864772727271E-4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input_407100!A$2</f>
        <v>407100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IFERROR(VLOOKUP(B123,input_407100!L:R,7,FALSE),VLOOKUP(tables_407100!C123,input_407100!A:H,8,FALSE))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input_407100!A$2</f>
        <v>407100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IFERROR(VLOOKUP(B124,input_407100!L:R,7,FALSE),VLOOKUP(tables_407100!C124,input_407100!A:H,8,FALSE))</f>
        <v>110126.92307999999</v>
      </c>
      <c r="P124" s="46">
        <f t="shared" ca="1" si="4"/>
        <v>1.0428685897727273E-2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input_407100!A$2</f>
        <v>407100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IFERROR(VLOOKUP(B125,input_407100!L:R,7,FALSE),VLOOKUP(tables_407100!C125,input_407100!A:H,8,FALSE))</f>
        <v>3873.07692</v>
      </c>
      <c r="P125" s="46">
        <f t="shared" ca="1" si="4"/>
        <v>3.6676864772727271E-4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input_407100!A$2</f>
        <v>407100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IFERROR(VLOOKUP(B126,input_407100!L:R,7,FALSE),VLOOKUP(tables_407100!C126,input_407100!A:H,8,FALSE))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input_407100!A$2</f>
        <v>407100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IFERROR(VLOOKUP(B127,input_407100!L:R,7,FALSE),VLOOKUP(tables_407100!C127,input_407100!A:H,8,FALSE))</f>
        <v>110126.92307999999</v>
      </c>
      <c r="P127" s="46">
        <f t="shared" ca="1" si="4"/>
        <v>1.0428685897727273E-2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input_407100!A$2</f>
        <v>407100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IFERROR(VLOOKUP(B128,input_407100!L:R,7,FALSE),VLOOKUP(tables_407100!C128,input_407100!A:H,8,FALSE))</f>
        <v>3873.07692</v>
      </c>
      <c r="P128" s="46">
        <f t="shared" ca="1" si="4"/>
        <v>3.6676864772727271E-4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input_407100!A$2</f>
        <v>407100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IFERROR(VLOOKUP(B129,input_407100!L:R,7,FALSE),VLOOKUP(tables_407100!C129,input_407100!A:H,8,FALSE))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input_407100!A$2</f>
        <v>407100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IFERROR(VLOOKUP(B130,input_407100!L:R,7,FALSE),VLOOKUP(tables_407100!C130,input_407100!A:H,8,FALSE))</f>
        <v>110126.92307999999</v>
      </c>
      <c r="P130" s="46">
        <f t="shared" ref="P130:P193" ca="1" si="7">O130/SUM(O:O)</f>
        <v>1.0428685897727273E-2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input_407100!A$2</f>
        <v>407100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IFERROR(VLOOKUP(B131,input_407100!L:R,7,FALSE),VLOOKUP(tables_407100!C131,input_407100!A:H,8,FALSE))</f>
        <v>3873.07692</v>
      </c>
      <c r="P131" s="46">
        <f t="shared" ca="1" si="7"/>
        <v>3.6676864772727271E-4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input_407100!A$2</f>
        <v>407100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IFERROR(VLOOKUP(B132,input_407100!L:R,7,FALSE),VLOOKUP(tables_407100!C132,input_407100!A:H,8,FALSE))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input_407100!A$2</f>
        <v>407100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IFERROR(VLOOKUP(B133,input_407100!L:R,7,FALSE),VLOOKUP(tables_407100!C133,input_407100!A:H,8,FALSE))</f>
        <v>110126.92307999999</v>
      </c>
      <c r="P133" s="46">
        <f t="shared" ca="1" si="7"/>
        <v>1.0428685897727273E-2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input_407100!A$2</f>
        <v>407100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IFERROR(VLOOKUP(B134,input_407100!L:R,7,FALSE),VLOOKUP(tables_407100!C134,input_407100!A:H,8,FALSE))</f>
        <v>3873.07692</v>
      </c>
      <c r="P134" s="46">
        <f t="shared" ca="1" si="7"/>
        <v>3.6676864772727271E-4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input_407100!A$2</f>
        <v>407100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IFERROR(VLOOKUP(B135,input_407100!L:R,7,FALSE),VLOOKUP(tables_407100!C135,input_407100!A:H,8,FALSE))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input_407100!A$2</f>
        <v>407100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IFERROR(VLOOKUP(B136,input_407100!L:R,7,FALSE),VLOOKUP(tables_407100!C136,input_407100!A:H,8,FALSE))</f>
        <v>110126.92307999999</v>
      </c>
      <c r="P136" s="46">
        <f t="shared" ca="1" si="7"/>
        <v>1.0428685897727273E-2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input_407100!A$2</f>
        <v>407100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IFERROR(VLOOKUP(B137,input_407100!L:R,7,FALSE),VLOOKUP(tables_407100!C137,input_407100!A:H,8,FALSE))</f>
        <v>3873.07692</v>
      </c>
      <c r="P137" s="46">
        <f t="shared" ca="1" si="7"/>
        <v>3.6676864772727271E-4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input_407100!A$2</f>
        <v>407100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IFERROR(VLOOKUP(B138,input_407100!L:R,7,FALSE),VLOOKUP(tables_407100!C138,input_407100!A:H,8,FALSE))</f>
        <v>10450</v>
      </c>
      <c r="P138" s="46">
        <f t="shared" ca="1" si="7"/>
        <v>9.8958333333333342E-4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input_407100!A$2</f>
        <v>407100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IFERROR(VLOOKUP(B139,input_407100!L:R,7,FALSE),VLOOKUP(tables_407100!C139,input_407100!A:H,8,FALSE))</f>
        <v>550</v>
      </c>
      <c r="P139" s="46">
        <f t="shared" ca="1" si="7"/>
        <v>5.2083333333333337E-5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input_407100!A$2</f>
        <v>407100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IFERROR(VLOOKUP(B140,input_407100!L:R,7,FALSE),VLOOKUP(tables_407100!C140,input_407100!A:H,8,FALSE))</f>
        <v>10450</v>
      </c>
      <c r="P140" s="46">
        <f t="shared" ca="1" si="7"/>
        <v>9.8958333333333342E-4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input_407100!A$2</f>
        <v>407100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IFERROR(VLOOKUP(B141,input_407100!L:R,7,FALSE),VLOOKUP(tables_407100!C141,input_407100!A:H,8,FALSE))</f>
        <v>550</v>
      </c>
      <c r="P141" s="46">
        <f t="shared" ca="1" si="7"/>
        <v>5.2083333333333337E-5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input_407100!A$2</f>
        <v>407100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IFERROR(VLOOKUP(B142,input_407100!L:R,7,FALSE),VLOOKUP(tables_407100!C142,input_407100!A:H,8,FALSE))</f>
        <v>10450</v>
      </c>
      <c r="P142" s="46">
        <f t="shared" ca="1" si="7"/>
        <v>9.8958333333333342E-4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input_407100!A$2</f>
        <v>407100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IFERROR(VLOOKUP(B143,input_407100!L:R,7,FALSE),VLOOKUP(tables_407100!C143,input_407100!A:H,8,FALSE))</f>
        <v>550</v>
      </c>
      <c r="P143" s="46">
        <f t="shared" ca="1" si="7"/>
        <v>5.2083333333333337E-5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input_407100!A$2</f>
        <v>407100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IFERROR(VLOOKUP(B144,input_407100!L:R,7,FALSE),VLOOKUP(tables_407100!C144,input_407100!A:H,8,FALSE))</f>
        <v>10450</v>
      </c>
      <c r="P144" s="46">
        <f t="shared" ca="1" si="7"/>
        <v>9.8958333333333342E-4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input_407100!A$2</f>
        <v>407100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IFERROR(VLOOKUP(B145,input_407100!L:R,7,FALSE),VLOOKUP(tables_407100!C145,input_407100!A:H,8,FALSE))</f>
        <v>550</v>
      </c>
      <c r="P145" s="46">
        <f t="shared" ca="1" si="7"/>
        <v>5.2083333333333337E-5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input_407100!A$2</f>
        <v>407100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IFERROR(VLOOKUP(B146,input_407100!L:R,7,FALSE),VLOOKUP(tables_407100!C146,input_407100!A:H,8,FALSE))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input_407100!A$2</f>
        <v>407100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IFERROR(VLOOKUP(B147,input_407100!L:R,7,FALSE),VLOOKUP(tables_407100!C147,input_407100!A:H,8,FALSE))</f>
        <v>110126.92307999999</v>
      </c>
      <c r="P147" s="46">
        <f t="shared" ca="1" si="7"/>
        <v>1.0428685897727273E-2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input_407100!A$2</f>
        <v>407100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IFERROR(VLOOKUP(B148,input_407100!L:R,7,FALSE),VLOOKUP(tables_407100!C148,input_407100!A:H,8,FALSE))</f>
        <v>3873.07692</v>
      </c>
      <c r="P148" s="46">
        <f t="shared" ca="1" si="7"/>
        <v>3.6676864772727271E-4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input_407100!A$2</f>
        <v>407100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IFERROR(VLOOKUP(B149,input_407100!L:R,7,FALSE),VLOOKUP(tables_407100!C149,input_407100!A:H,8,FALSE))</f>
        <v>10450</v>
      </c>
      <c r="P149" s="46">
        <f t="shared" ca="1" si="7"/>
        <v>9.8958333333333342E-4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input_407100!A$2</f>
        <v>407100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IFERROR(VLOOKUP(B150,input_407100!L:R,7,FALSE),VLOOKUP(tables_407100!C150,input_407100!A:H,8,FALSE))</f>
        <v>550</v>
      </c>
      <c r="P150" s="46">
        <f t="shared" ca="1" si="7"/>
        <v>5.2083333333333337E-5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input_407100!A$2</f>
        <v>407100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IFERROR(VLOOKUP(B151,input_407100!L:R,7,FALSE),VLOOKUP(tables_407100!C151,input_407100!A:H,8,FALSE))</f>
        <v>10450</v>
      </c>
      <c r="P151" s="46">
        <f t="shared" ca="1" si="7"/>
        <v>9.8958333333333342E-4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input_407100!A$2</f>
        <v>407100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IFERROR(VLOOKUP(B152,input_407100!L:R,7,FALSE),VLOOKUP(tables_407100!C152,input_407100!A:H,8,FALSE))</f>
        <v>550</v>
      </c>
      <c r="P152" s="46">
        <f t="shared" ca="1" si="7"/>
        <v>5.2083333333333337E-5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input_407100!A$2</f>
        <v>407100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IFERROR(VLOOKUP(B153,input_407100!L:R,7,FALSE),VLOOKUP(tables_407100!C153,input_407100!A:H,8,FALSE))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input_407100!A$2</f>
        <v>407100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IFERROR(VLOOKUP(B154,input_407100!L:R,7,FALSE),VLOOKUP(tables_407100!C154,input_407100!A:H,8,FALSE))</f>
        <v>110126.92307999999</v>
      </c>
      <c r="P154" s="46">
        <f t="shared" ca="1" si="7"/>
        <v>1.0428685897727273E-2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input_407100!A$2</f>
        <v>407100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IFERROR(VLOOKUP(B155,input_407100!L:R,7,FALSE),VLOOKUP(tables_407100!C155,input_407100!A:H,8,FALSE))</f>
        <v>3873.07692</v>
      </c>
      <c r="P155" s="46">
        <f t="shared" ca="1" si="7"/>
        <v>3.6676864772727271E-4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input_407100!A$2</f>
        <v>407100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IFERROR(VLOOKUP(B156,input_407100!L:R,7,FALSE),VLOOKUP(tables_407100!C156,input_407100!A:H,8,FALSE))</f>
        <v>10450</v>
      </c>
      <c r="P156" s="46">
        <f t="shared" ca="1" si="7"/>
        <v>9.8958333333333342E-4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input_407100!A$2</f>
        <v>407100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IFERROR(VLOOKUP(B157,input_407100!L:R,7,FALSE),VLOOKUP(tables_407100!C157,input_407100!A:H,8,FALSE))</f>
        <v>550</v>
      </c>
      <c r="P157" s="46">
        <f t="shared" ca="1" si="7"/>
        <v>5.2083333333333337E-5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input_407100!A$2</f>
        <v>407100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IFERROR(VLOOKUP(B158,input_407100!L:R,7,FALSE),VLOOKUP(tables_407100!C158,input_407100!A:H,8,FALSE))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input_407100!A$2</f>
        <v>407100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IFERROR(VLOOKUP(B159,input_407100!L:R,7,FALSE),VLOOKUP(tables_407100!C159,input_407100!A:H,8,FALSE))</f>
        <v>110126.92307999999</v>
      </c>
      <c r="P159" s="46">
        <f t="shared" ca="1" si="7"/>
        <v>1.0428685897727273E-2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input_407100!A$2</f>
        <v>407100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IFERROR(VLOOKUP(B160,input_407100!L:R,7,FALSE),VLOOKUP(tables_407100!C160,input_407100!A:H,8,FALSE))</f>
        <v>3873.07692</v>
      </c>
      <c r="P160" s="46">
        <f t="shared" ca="1" si="7"/>
        <v>3.6676864772727271E-4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input_407100!A$2</f>
        <v>407100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IFERROR(VLOOKUP(B161,input_407100!L:R,7,FALSE),VLOOKUP(tables_407100!C161,input_407100!A:H,8,FALSE))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input_407100!A$2</f>
        <v>407100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IFERROR(VLOOKUP(B162,input_407100!L:R,7,FALSE),VLOOKUP(tables_407100!C162,input_407100!A:H,8,FALSE))</f>
        <v>110126.92307999999</v>
      </c>
      <c r="P162" s="46">
        <f t="shared" ca="1" si="7"/>
        <v>1.0428685897727273E-2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input_407100!A$2</f>
        <v>407100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IFERROR(VLOOKUP(B163,input_407100!L:R,7,FALSE),VLOOKUP(tables_407100!C163,input_407100!A:H,8,FALSE))</f>
        <v>3873.07692</v>
      </c>
      <c r="P163" s="46">
        <f t="shared" ca="1" si="7"/>
        <v>3.6676864772727271E-4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input_407100!A$2</f>
        <v>407100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IFERROR(VLOOKUP(B164,input_407100!L:R,7,FALSE),VLOOKUP(tables_407100!C164,input_407100!A:H,8,FALSE))</f>
        <v>10450</v>
      </c>
      <c r="P164" s="46">
        <f t="shared" ca="1" si="7"/>
        <v>9.8958333333333342E-4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input_407100!A$2</f>
        <v>407100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IFERROR(VLOOKUP(B165,input_407100!L:R,7,FALSE),VLOOKUP(tables_407100!C165,input_407100!A:H,8,FALSE))</f>
        <v>550</v>
      </c>
      <c r="P165" s="46">
        <f t="shared" ca="1" si="7"/>
        <v>5.2083333333333337E-5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input_407100!A$2</f>
        <v>407100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IFERROR(VLOOKUP(B166,input_407100!L:R,7,FALSE),VLOOKUP(tables_407100!C166,input_407100!A:H,8,FALSE))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input_407100!A$2</f>
        <v>407100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IFERROR(VLOOKUP(B167,input_407100!L:R,7,FALSE),VLOOKUP(tables_407100!C167,input_407100!A:H,8,FALSE))</f>
        <v>110126.92307999999</v>
      </c>
      <c r="P167" s="46">
        <f t="shared" ca="1" si="7"/>
        <v>1.0428685897727273E-2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input_407100!A$2</f>
        <v>407100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IFERROR(VLOOKUP(B168,input_407100!L:R,7,FALSE),VLOOKUP(tables_407100!C168,input_407100!A:H,8,FALSE))</f>
        <v>3873.07692</v>
      </c>
      <c r="P168" s="46">
        <f t="shared" ca="1" si="7"/>
        <v>3.6676864772727271E-4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input_407100!A$2</f>
        <v>407100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IFERROR(VLOOKUP(B169,input_407100!L:R,7,FALSE),VLOOKUP(tables_407100!C169,input_407100!A:H,8,FALSE))</f>
        <v>10450</v>
      </c>
      <c r="P169" s="46">
        <f t="shared" ca="1" si="7"/>
        <v>9.8958333333333342E-4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input_407100!A$2</f>
        <v>407100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IFERROR(VLOOKUP(B170,input_407100!L:R,7,FALSE),VLOOKUP(tables_407100!C170,input_407100!A:H,8,FALSE))</f>
        <v>550</v>
      </c>
      <c r="P170" s="46">
        <f t="shared" ca="1" si="7"/>
        <v>5.2083333333333337E-5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input_407100!A$2</f>
        <v>407100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IFERROR(VLOOKUP(B171,input_407100!L:R,7,FALSE),VLOOKUP(tables_407100!C171,input_407100!A:H,8,FALSE))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input_407100!A$2</f>
        <v>407100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IFERROR(VLOOKUP(B172,input_407100!L:R,7,FALSE),VLOOKUP(tables_407100!C172,input_407100!A:H,8,FALSE))</f>
        <v>110126.92307999999</v>
      </c>
      <c r="P172" s="46">
        <f t="shared" ca="1" si="7"/>
        <v>1.0428685897727273E-2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input_407100!A$2</f>
        <v>407100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IFERROR(VLOOKUP(B173,input_407100!L:R,7,FALSE),VLOOKUP(tables_407100!C173,input_407100!A:H,8,FALSE))</f>
        <v>3873.07692</v>
      </c>
      <c r="P173" s="46">
        <f t="shared" ca="1" si="7"/>
        <v>3.6676864772727271E-4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input_407100!A$2</f>
        <v>407100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IFERROR(VLOOKUP(B174,input_407100!L:R,7,FALSE),VLOOKUP(tables_407100!C174,input_407100!A:H,8,FALSE))</f>
        <v>10450</v>
      </c>
      <c r="P174" s="46">
        <f t="shared" ca="1" si="7"/>
        <v>9.8958333333333342E-4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input_407100!A$2</f>
        <v>407100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IFERROR(VLOOKUP(B175,input_407100!L:R,7,FALSE),VLOOKUP(tables_407100!C175,input_407100!A:H,8,FALSE))</f>
        <v>550</v>
      </c>
      <c r="P175" s="46">
        <f t="shared" ca="1" si="7"/>
        <v>5.2083333333333337E-5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input_407100!A$2</f>
        <v>407100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IFERROR(VLOOKUP(B176,input_407100!L:R,7,FALSE),VLOOKUP(tables_407100!C176,input_407100!A:H,8,FALSE))</f>
        <v>10450</v>
      </c>
      <c r="P176" s="46">
        <f t="shared" ca="1" si="7"/>
        <v>9.8958333333333342E-4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input_407100!A$2</f>
        <v>407100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IFERROR(VLOOKUP(B177,input_407100!L:R,7,FALSE),VLOOKUP(tables_407100!C177,input_407100!A:H,8,FALSE))</f>
        <v>550</v>
      </c>
      <c r="P177" s="46">
        <f t="shared" ca="1" si="7"/>
        <v>5.2083333333333337E-5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input_407100!A$2</f>
        <v>407100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IFERROR(VLOOKUP(B178,input_407100!L:R,7,FALSE),VLOOKUP(tables_407100!C178,input_407100!A:H,8,FALSE))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input_407100!A$2</f>
        <v>407100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IFERROR(VLOOKUP(B179,input_407100!L:R,7,FALSE),VLOOKUP(tables_407100!C179,input_407100!A:H,8,FALSE))</f>
        <v>110126.92307999999</v>
      </c>
      <c r="P179" s="46">
        <f t="shared" ca="1" si="7"/>
        <v>1.0428685897727273E-2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input_407100!A$2</f>
        <v>407100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IFERROR(VLOOKUP(B180,input_407100!L:R,7,FALSE),VLOOKUP(tables_407100!C180,input_407100!A:H,8,FALSE))</f>
        <v>3873.07692</v>
      </c>
      <c r="P180" s="46">
        <f t="shared" ca="1" si="7"/>
        <v>3.6676864772727271E-4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input_407100!A$2</f>
        <v>407100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IFERROR(VLOOKUP(B181,input_407100!L:R,7,FALSE),VLOOKUP(tables_407100!C181,input_407100!A:H,8,FALSE))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input_407100!A$2</f>
        <v>407100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IFERROR(VLOOKUP(B182,input_407100!L:R,7,FALSE),VLOOKUP(tables_407100!C182,input_407100!A:H,8,FALSE))</f>
        <v>110126.92307999999</v>
      </c>
      <c r="P182" s="46">
        <f t="shared" ca="1" si="7"/>
        <v>1.0428685897727273E-2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input_407100!A$2</f>
        <v>407100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IFERROR(VLOOKUP(B183,input_407100!L:R,7,FALSE),VLOOKUP(tables_407100!C183,input_407100!A:H,8,FALSE))</f>
        <v>3873.07692</v>
      </c>
      <c r="P183" s="46">
        <f t="shared" ca="1" si="7"/>
        <v>3.6676864772727271E-4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input_407100!A$2</f>
        <v>407100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IFERROR(VLOOKUP(B184,input_407100!L:R,7,FALSE),VLOOKUP(tables_407100!C184,input_407100!A:H,8,FALSE))</f>
        <v>10450</v>
      </c>
      <c r="P184" s="46">
        <f t="shared" ca="1" si="7"/>
        <v>9.8958333333333342E-4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input_407100!A$2</f>
        <v>407100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IFERROR(VLOOKUP(B185,input_407100!L:R,7,FALSE),VLOOKUP(tables_407100!C185,input_407100!A:H,8,FALSE))</f>
        <v>550</v>
      </c>
      <c r="P185" s="46">
        <f t="shared" ca="1" si="7"/>
        <v>5.2083333333333337E-5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input_407100!A$2</f>
        <v>407100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IFERROR(VLOOKUP(B186,input_407100!L:R,7,FALSE),VLOOKUP(tables_407100!C186,input_407100!A:H,8,FALSE))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input_407100!A$2</f>
        <v>407100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IFERROR(VLOOKUP(B187,input_407100!L:R,7,FALSE),VLOOKUP(tables_407100!C187,input_407100!A:H,8,FALSE))</f>
        <v>110126.92307999999</v>
      </c>
      <c r="P187" s="46">
        <f t="shared" ca="1" si="7"/>
        <v>1.0428685897727273E-2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input_407100!A$2</f>
        <v>407100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IFERROR(VLOOKUP(B188,input_407100!L:R,7,FALSE),VLOOKUP(tables_407100!C188,input_407100!A:H,8,FALSE))</f>
        <v>3873.07692</v>
      </c>
      <c r="P188" s="46">
        <f t="shared" ca="1" si="7"/>
        <v>3.6676864772727271E-4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input_407100!A$2</f>
        <v>407100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IFERROR(VLOOKUP(B189,input_407100!L:R,7,FALSE),VLOOKUP(tables_407100!C189,input_407100!A:H,8,FALSE))</f>
        <v>10450</v>
      </c>
      <c r="P189" s="46">
        <f t="shared" ca="1" si="7"/>
        <v>9.8958333333333342E-4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input_407100!A$2</f>
        <v>407100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IFERROR(VLOOKUP(B190,input_407100!L:R,7,FALSE),VLOOKUP(tables_407100!C190,input_407100!A:H,8,FALSE))</f>
        <v>550</v>
      </c>
      <c r="P190" s="46">
        <f t="shared" ca="1" si="7"/>
        <v>5.2083333333333337E-5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input_407100!A$2</f>
        <v>407100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IFERROR(VLOOKUP(B191,input_407100!L:R,7,FALSE),VLOOKUP(tables_407100!C191,input_407100!A:H,8,FALSE))</f>
        <v>10450</v>
      </c>
      <c r="P191" s="46">
        <f t="shared" ca="1" si="7"/>
        <v>9.8958333333333342E-4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input_407100!A$2</f>
        <v>407100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IFERROR(VLOOKUP(B192,input_407100!L:R,7,FALSE),VLOOKUP(tables_407100!C192,input_407100!A:H,8,FALSE))</f>
        <v>550</v>
      </c>
      <c r="P192" s="46">
        <f t="shared" ca="1" si="7"/>
        <v>5.2083333333333337E-5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input_407100!A$2</f>
        <v>407100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IFERROR(VLOOKUP(B193,input_407100!L:R,7,FALSE),VLOOKUP(tables_407100!C193,input_407100!A:H,8,FALSE))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input_407100!A$2</f>
        <v>407100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IFERROR(VLOOKUP(B194,input_407100!L:R,7,FALSE),VLOOKUP(tables_407100!C194,input_407100!A:H,8,FALSE))</f>
        <v>110126.92307999999</v>
      </c>
      <c r="P194" s="46">
        <f t="shared" ref="P194:P257" ca="1" si="10">O194/SUM(O:O)</f>
        <v>1.0428685897727273E-2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input_407100!A$2</f>
        <v>407100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IFERROR(VLOOKUP(B195,input_407100!L:R,7,FALSE),VLOOKUP(tables_407100!C195,input_407100!A:H,8,FALSE))</f>
        <v>3873.07692</v>
      </c>
      <c r="P195" s="46">
        <f t="shared" ca="1" si="10"/>
        <v>3.6676864772727271E-4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input_407100!A$2</f>
        <v>407100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IFERROR(VLOOKUP(B196,input_407100!L:R,7,FALSE),VLOOKUP(tables_407100!C196,input_407100!A:H,8,FALSE))</f>
        <v>10450</v>
      </c>
      <c r="P196" s="46">
        <f t="shared" ca="1" si="10"/>
        <v>9.8958333333333342E-4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input_407100!A$2</f>
        <v>407100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IFERROR(VLOOKUP(B197,input_407100!L:R,7,FALSE),VLOOKUP(tables_407100!C197,input_407100!A:H,8,FALSE))</f>
        <v>550</v>
      </c>
      <c r="P197" s="46">
        <f t="shared" ca="1" si="10"/>
        <v>5.2083333333333337E-5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input_407100!A$2</f>
        <v>407100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IFERROR(VLOOKUP(B198,input_407100!L:R,7,FALSE),VLOOKUP(tables_407100!C198,input_407100!A:H,8,FALSE))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input_407100!A$2</f>
        <v>407100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IFERROR(VLOOKUP(B199,input_407100!L:R,7,FALSE),VLOOKUP(tables_407100!C199,input_407100!A:H,8,FALSE))</f>
        <v>110126.92307999999</v>
      </c>
      <c r="P199" s="46">
        <f t="shared" ca="1" si="10"/>
        <v>1.0428685897727273E-2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input_407100!A$2</f>
        <v>407100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IFERROR(VLOOKUP(B200,input_407100!L:R,7,FALSE),VLOOKUP(tables_407100!C200,input_407100!A:H,8,FALSE))</f>
        <v>3873.07692</v>
      </c>
      <c r="P200" s="46">
        <f t="shared" ca="1" si="10"/>
        <v>3.6676864772727271E-4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input_407100!A$2</f>
        <v>407100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IFERROR(VLOOKUP(B201,input_407100!L:R,7,FALSE),VLOOKUP(tables_407100!C201,input_407100!A:H,8,FALSE))</f>
        <v>10450</v>
      </c>
      <c r="P201" s="46">
        <f t="shared" ca="1" si="10"/>
        <v>9.8958333333333342E-4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input_407100!A$2</f>
        <v>407100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IFERROR(VLOOKUP(B202,input_407100!L:R,7,FALSE),VLOOKUP(tables_407100!C202,input_407100!A:H,8,FALSE))</f>
        <v>550</v>
      </c>
      <c r="P202" s="46">
        <f t="shared" ca="1" si="10"/>
        <v>5.2083333333333337E-5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input_407100!A$2</f>
        <v>407100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IFERROR(VLOOKUP(B203,input_407100!L:R,7,FALSE),VLOOKUP(tables_407100!C203,input_407100!A:H,8,FALSE))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input_407100!A$2</f>
        <v>407100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IFERROR(VLOOKUP(B204,input_407100!L:R,7,FALSE),VLOOKUP(tables_407100!C204,input_407100!A:H,8,FALSE))</f>
        <v>110126.92307999999</v>
      </c>
      <c r="P204" s="46">
        <f t="shared" ca="1" si="10"/>
        <v>1.0428685897727273E-2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input_407100!A$2</f>
        <v>407100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IFERROR(VLOOKUP(B205,input_407100!L:R,7,FALSE),VLOOKUP(tables_407100!C205,input_407100!A:H,8,FALSE))</f>
        <v>3873.07692</v>
      </c>
      <c r="P205" s="46">
        <f t="shared" ca="1" si="10"/>
        <v>3.6676864772727271E-4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input_407100!A$2</f>
        <v>407100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IFERROR(VLOOKUP(B206,input_407100!L:R,7,FALSE),VLOOKUP(tables_407100!C206,input_407100!A:H,8,FALSE))</f>
        <v>10450</v>
      </c>
      <c r="P206" s="46">
        <f t="shared" ca="1" si="10"/>
        <v>9.8958333333333342E-4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input_407100!A$2</f>
        <v>407100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IFERROR(VLOOKUP(B207,input_407100!L:R,7,FALSE),VLOOKUP(tables_407100!C207,input_407100!A:H,8,FALSE))</f>
        <v>550</v>
      </c>
      <c r="P207" s="46">
        <f t="shared" ca="1" si="10"/>
        <v>5.2083333333333337E-5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input_407100!A$2</f>
        <v>407100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IFERROR(VLOOKUP(B208,input_407100!L:R,7,FALSE),VLOOKUP(tables_407100!C208,input_407100!A:H,8,FALSE))</f>
        <v>10450</v>
      </c>
      <c r="P208" s="46">
        <f t="shared" ca="1" si="10"/>
        <v>9.8958333333333342E-4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input_407100!A$2</f>
        <v>407100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IFERROR(VLOOKUP(B209,input_407100!L:R,7,FALSE),VLOOKUP(tables_407100!C209,input_407100!A:H,8,FALSE))</f>
        <v>550</v>
      </c>
      <c r="P209" s="46">
        <f t="shared" ca="1" si="10"/>
        <v>5.2083333333333337E-5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input_407100!A$2</f>
        <v>407100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IFERROR(VLOOKUP(B210,input_407100!L:R,7,FALSE),VLOOKUP(tables_407100!C210,input_407100!A:H,8,FALSE))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input_407100!A$2</f>
        <v>407100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IFERROR(VLOOKUP(B211,input_407100!L:R,7,FALSE),VLOOKUP(tables_407100!C211,input_407100!A:H,8,FALSE))</f>
        <v>110126.92307999999</v>
      </c>
      <c r="P211" s="46">
        <f t="shared" ca="1" si="10"/>
        <v>1.0428685897727273E-2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input_407100!A$2</f>
        <v>407100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IFERROR(VLOOKUP(B212,input_407100!L:R,7,FALSE),VLOOKUP(tables_407100!C212,input_407100!A:H,8,FALSE))</f>
        <v>3873.07692</v>
      </c>
      <c r="P212" s="46">
        <f t="shared" ca="1" si="10"/>
        <v>3.6676864772727271E-4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input_407100!A$2</f>
        <v>407100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IFERROR(VLOOKUP(B213,input_407100!L:R,7,FALSE),VLOOKUP(tables_407100!C213,input_407100!A:H,8,FALSE))</f>
        <v>10450</v>
      </c>
      <c r="P213" s="46">
        <f t="shared" ca="1" si="10"/>
        <v>9.8958333333333342E-4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input_407100!A$2</f>
        <v>407100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IFERROR(VLOOKUP(B214,input_407100!L:R,7,FALSE),VLOOKUP(tables_407100!C214,input_407100!A:H,8,FALSE))</f>
        <v>550</v>
      </c>
      <c r="P214" s="46">
        <f t="shared" ca="1" si="10"/>
        <v>5.2083333333333337E-5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input_407100!A$2</f>
        <v>407100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IFERROR(VLOOKUP(B215,input_407100!L:R,7,FALSE),VLOOKUP(tables_407100!C215,input_407100!A:H,8,FALSE))</f>
        <v>10450</v>
      </c>
      <c r="P215" s="46">
        <f t="shared" ca="1" si="10"/>
        <v>9.8958333333333342E-4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input_407100!A$2</f>
        <v>407100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IFERROR(VLOOKUP(B216,input_407100!L:R,7,FALSE),VLOOKUP(tables_407100!C216,input_407100!A:H,8,FALSE))</f>
        <v>550</v>
      </c>
      <c r="P216" s="46">
        <f t="shared" ca="1" si="10"/>
        <v>5.2083333333333337E-5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input_407100!A$2</f>
        <v>407100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IFERROR(VLOOKUP(B217,input_407100!L:R,7,FALSE),VLOOKUP(tables_407100!C217,input_407100!A:H,8,FALSE))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input_407100!A$2</f>
        <v>407100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IFERROR(VLOOKUP(B218,input_407100!L:R,7,FALSE),VLOOKUP(tables_407100!C218,input_407100!A:H,8,FALSE))</f>
        <v>110126.92307999999</v>
      </c>
      <c r="P218" s="46">
        <f t="shared" ca="1" si="10"/>
        <v>1.0428685897727273E-2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input_407100!A$2</f>
        <v>407100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IFERROR(VLOOKUP(B219,input_407100!L:R,7,FALSE),VLOOKUP(tables_407100!C219,input_407100!A:H,8,FALSE))</f>
        <v>3873.07692</v>
      </c>
      <c r="P219" s="46">
        <f t="shared" ca="1" si="10"/>
        <v>3.6676864772727271E-4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input_407100!A$2</f>
        <v>407100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IFERROR(VLOOKUP(B220,input_407100!L:R,7,FALSE),VLOOKUP(tables_407100!C220,input_407100!A:H,8,FALSE))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input_407100!A$2</f>
        <v>407100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IFERROR(VLOOKUP(B221,input_407100!L:R,7,FALSE),VLOOKUP(tables_407100!C221,input_407100!A:H,8,FALSE))</f>
        <v>110126.92307999999</v>
      </c>
      <c r="P221" s="46">
        <f t="shared" ca="1" si="10"/>
        <v>1.0428685897727273E-2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input_407100!A$2</f>
        <v>407100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IFERROR(VLOOKUP(B222,input_407100!L:R,7,FALSE),VLOOKUP(tables_407100!C222,input_407100!A:H,8,FALSE))</f>
        <v>3873.07692</v>
      </c>
      <c r="P222" s="46">
        <f t="shared" ca="1" si="10"/>
        <v>3.6676864772727271E-4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input_407100!A$2</f>
        <v>407100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IFERROR(VLOOKUP(B223,input_407100!L:R,7,FALSE),VLOOKUP(tables_407100!C223,input_407100!A:H,8,FALSE))</f>
        <v>10450</v>
      </c>
      <c r="P223" s="46">
        <f t="shared" ca="1" si="10"/>
        <v>9.8958333333333342E-4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input_407100!A$2</f>
        <v>407100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IFERROR(VLOOKUP(B224,input_407100!L:R,7,FALSE),VLOOKUP(tables_407100!C224,input_407100!A:H,8,FALSE))</f>
        <v>550</v>
      </c>
      <c r="P224" s="46">
        <f t="shared" ca="1" si="10"/>
        <v>5.2083333333333337E-5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input_407100!A$2</f>
        <v>407100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IFERROR(VLOOKUP(B225,input_407100!L:R,7,FALSE),VLOOKUP(tables_407100!C225,input_407100!A:H,8,FALSE))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input_407100!A$2</f>
        <v>407100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IFERROR(VLOOKUP(B226,input_407100!L:R,7,FALSE),VLOOKUP(tables_407100!C226,input_407100!A:H,8,FALSE))</f>
        <v>110126.92307999999</v>
      </c>
      <c r="P226" s="46">
        <f t="shared" ca="1" si="10"/>
        <v>1.0428685897727273E-2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input_407100!A$2</f>
        <v>407100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IFERROR(VLOOKUP(B227,input_407100!L:R,7,FALSE),VLOOKUP(tables_407100!C227,input_407100!A:H,8,FALSE))</f>
        <v>3873.07692</v>
      </c>
      <c r="P227" s="46">
        <f t="shared" ca="1" si="10"/>
        <v>3.6676864772727271E-4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input_407100!A$2</f>
        <v>407100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IFERROR(VLOOKUP(B228,input_407100!L:R,7,FALSE),VLOOKUP(tables_407100!C228,input_407100!A:H,8,FALSE))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input_407100!A$2</f>
        <v>407100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IFERROR(VLOOKUP(B229,input_407100!L:R,7,FALSE),VLOOKUP(tables_407100!C229,input_407100!A:H,8,FALSE))</f>
        <v>110126.92307999999</v>
      </c>
      <c r="P229" s="46">
        <f t="shared" ca="1" si="10"/>
        <v>1.0428685897727273E-2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input_407100!A$2</f>
        <v>407100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IFERROR(VLOOKUP(B230,input_407100!L:R,7,FALSE),VLOOKUP(tables_407100!C230,input_407100!A:H,8,FALSE))</f>
        <v>3873.07692</v>
      </c>
      <c r="P230" s="46">
        <f t="shared" ca="1" si="10"/>
        <v>3.6676864772727271E-4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input_407100!A$2</f>
        <v>407100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IFERROR(VLOOKUP(B231,input_407100!L:R,7,FALSE),VLOOKUP(tables_407100!C231,input_407100!A:H,8,FALSE))</f>
        <v>10450</v>
      </c>
      <c r="P231" s="46">
        <f t="shared" ca="1" si="10"/>
        <v>9.8958333333333342E-4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input_407100!A$2</f>
        <v>407100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IFERROR(VLOOKUP(B232,input_407100!L:R,7,FALSE),VLOOKUP(tables_407100!C232,input_407100!A:H,8,FALSE))</f>
        <v>550</v>
      </c>
      <c r="P232" s="46">
        <f t="shared" ca="1" si="10"/>
        <v>5.2083333333333337E-5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input_407100!A$2</f>
        <v>407100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IFERROR(VLOOKUP(B233,input_407100!L:R,7,FALSE),VLOOKUP(tables_407100!C233,input_407100!A:H,8,FALSE))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input_407100!A$2</f>
        <v>407100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IFERROR(VLOOKUP(B234,input_407100!L:R,7,FALSE),VLOOKUP(tables_407100!C234,input_407100!A:H,8,FALSE))</f>
        <v>110126.92307999999</v>
      </c>
      <c r="P234" s="46">
        <f t="shared" ca="1" si="10"/>
        <v>1.0428685897727273E-2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input_407100!A$2</f>
        <v>407100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IFERROR(VLOOKUP(B235,input_407100!L:R,7,FALSE),VLOOKUP(tables_407100!C235,input_407100!A:H,8,FALSE))</f>
        <v>3873.07692</v>
      </c>
      <c r="P235" s="46">
        <f t="shared" ca="1" si="10"/>
        <v>3.6676864772727271E-4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input_407100!A$2</f>
        <v>407100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IFERROR(VLOOKUP(B236,input_407100!L:R,7,FALSE),VLOOKUP(tables_407100!C236,input_407100!A:H,8,FALSE))</f>
        <v>10450</v>
      </c>
      <c r="P236" s="46">
        <f t="shared" ca="1" si="10"/>
        <v>9.8958333333333342E-4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input_407100!A$2</f>
        <v>407100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IFERROR(VLOOKUP(B237,input_407100!L:R,7,FALSE),VLOOKUP(tables_407100!C237,input_407100!A:H,8,FALSE))</f>
        <v>550</v>
      </c>
      <c r="P237" s="46">
        <f t="shared" ca="1" si="10"/>
        <v>5.2083333333333337E-5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input_407100!A$2</f>
        <v>407100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IFERROR(VLOOKUP(B238,input_407100!L:R,7,FALSE),VLOOKUP(tables_407100!C238,input_407100!A:H,8,FALSE))</f>
        <v>10450</v>
      </c>
      <c r="P238" s="46">
        <f t="shared" ca="1" si="10"/>
        <v>9.8958333333333342E-4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input_407100!A$2</f>
        <v>407100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IFERROR(VLOOKUP(B239,input_407100!L:R,7,FALSE),VLOOKUP(tables_407100!C239,input_407100!A:H,8,FALSE))</f>
        <v>550</v>
      </c>
      <c r="P239" s="46">
        <f t="shared" ca="1" si="10"/>
        <v>5.2083333333333337E-5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input_407100!A$2</f>
        <v>407100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IFERROR(VLOOKUP(B240,input_407100!L:R,7,FALSE),VLOOKUP(tables_407100!C240,input_407100!A:H,8,FALSE))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input_407100!A$2</f>
        <v>407100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IFERROR(VLOOKUP(B241,input_407100!L:R,7,FALSE),VLOOKUP(tables_407100!C241,input_407100!A:H,8,FALSE))</f>
        <v>110126.92307999999</v>
      </c>
      <c r="P241" s="46">
        <f t="shared" ca="1" si="10"/>
        <v>1.0428685897727273E-2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input_407100!A$2</f>
        <v>407100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IFERROR(VLOOKUP(B242,input_407100!L:R,7,FALSE),VLOOKUP(tables_407100!C242,input_407100!A:H,8,FALSE))</f>
        <v>3873.07692</v>
      </c>
      <c r="P242" s="46">
        <f t="shared" ca="1" si="10"/>
        <v>3.6676864772727271E-4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input_407100!A$2</f>
        <v>407100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IFERROR(VLOOKUP(B243,input_407100!L:R,7,FALSE),VLOOKUP(tables_407100!C243,input_407100!A:H,8,FALSE))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input_407100!A$2</f>
        <v>407100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IFERROR(VLOOKUP(B244,input_407100!L:R,7,FALSE),VLOOKUP(tables_407100!C244,input_407100!A:H,8,FALSE))</f>
        <v>110126.92307999999</v>
      </c>
      <c r="P244" s="46">
        <f t="shared" ca="1" si="10"/>
        <v>1.0428685897727273E-2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input_407100!A$2</f>
        <v>407100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IFERROR(VLOOKUP(B245,input_407100!L:R,7,FALSE),VLOOKUP(tables_407100!C245,input_407100!A:H,8,FALSE))</f>
        <v>3873.07692</v>
      </c>
      <c r="P245" s="46">
        <f t="shared" ca="1" si="10"/>
        <v>3.6676864772727271E-4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input_407100!A$2</f>
        <v>407100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IFERROR(VLOOKUP(B246,input_407100!L:R,7,FALSE),VLOOKUP(tables_407100!C246,input_407100!A:H,8,FALSE))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input_407100!A$2</f>
        <v>407100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IFERROR(VLOOKUP(B247,input_407100!L:R,7,FALSE),VLOOKUP(tables_407100!C247,input_407100!A:H,8,FALSE))</f>
        <v>110126.92307999999</v>
      </c>
      <c r="P247" s="46">
        <f t="shared" ca="1" si="10"/>
        <v>1.0428685897727273E-2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input_407100!A$2</f>
        <v>407100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IFERROR(VLOOKUP(B248,input_407100!L:R,7,FALSE),VLOOKUP(tables_407100!C248,input_407100!A:H,8,FALSE))</f>
        <v>3873.07692</v>
      </c>
      <c r="P248" s="46">
        <f t="shared" ca="1" si="10"/>
        <v>3.6676864772727271E-4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input_407100!A$2</f>
        <v>407100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IFERROR(VLOOKUP(B249,input_407100!L:R,7,FALSE),VLOOKUP(tables_407100!C249,input_407100!A:H,8,FALSE))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input_407100!A$2</f>
        <v>407100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IFERROR(VLOOKUP(B250,input_407100!L:R,7,FALSE),VLOOKUP(tables_407100!C250,input_407100!A:H,8,FALSE))</f>
        <v>110126.92307999999</v>
      </c>
      <c r="P250" s="46">
        <f t="shared" ca="1" si="10"/>
        <v>1.0428685897727273E-2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input_407100!A$2</f>
        <v>407100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IFERROR(VLOOKUP(B251,input_407100!L:R,7,FALSE),VLOOKUP(tables_407100!C251,input_407100!A:H,8,FALSE))</f>
        <v>3873.07692</v>
      </c>
      <c r="P251" s="46">
        <f t="shared" ca="1" si="10"/>
        <v>3.6676864772727271E-4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input_407100!A$2</f>
        <v>407100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IFERROR(VLOOKUP(B252,input_407100!L:R,7,FALSE),VLOOKUP(tables_407100!C252,input_407100!A:H,8,FALSE))</f>
        <v>10450</v>
      </c>
      <c r="P252" s="46">
        <f t="shared" ca="1" si="10"/>
        <v>9.8958333333333342E-4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input_407100!A$2</f>
        <v>407100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IFERROR(VLOOKUP(B253,input_407100!L:R,7,FALSE),VLOOKUP(tables_407100!C253,input_407100!A:H,8,FALSE))</f>
        <v>550</v>
      </c>
      <c r="P253" s="46">
        <f t="shared" ca="1" si="10"/>
        <v>5.2083333333333337E-5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input_407100!A$2</f>
        <v>407100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IFERROR(VLOOKUP(B254,input_407100!L:R,7,FALSE),VLOOKUP(tables_407100!C254,input_407100!A:H,8,FALSE))</f>
        <v>10450</v>
      </c>
      <c r="P254" s="46">
        <f t="shared" ca="1" si="10"/>
        <v>9.8958333333333342E-4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input_407100!A$2</f>
        <v>407100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IFERROR(VLOOKUP(B255,input_407100!L:R,7,FALSE),VLOOKUP(tables_407100!C255,input_407100!A:H,8,FALSE))</f>
        <v>550</v>
      </c>
      <c r="P255" s="46">
        <f t="shared" ca="1" si="10"/>
        <v>5.2083333333333337E-5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input_407100!A$2</f>
        <v>407100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IFERROR(VLOOKUP(B256,input_407100!L:R,7,FALSE),VLOOKUP(tables_407100!C256,input_407100!A:H,8,FALSE))</f>
        <v>108300</v>
      </c>
      <c r="P256" s="46">
        <f t="shared" ca="1" si="10"/>
        <v>1.0255681818181818E-2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input_407100!A$2</f>
        <v>407100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IFERROR(VLOOKUP(B257,input_407100!L:R,7,FALSE),VLOOKUP(tables_407100!C257,input_407100!A:H,8,FALSE))</f>
        <v>5700</v>
      </c>
      <c r="P257" s="46">
        <f t="shared" ca="1" si="10"/>
        <v>5.3977272727272728E-4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input_407100!A$2</f>
        <v>407100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IFERROR(VLOOKUP(B258,input_407100!L:R,7,FALSE),VLOOKUP(tables_407100!C258,input_407100!A:H,8,FALSE))</f>
        <v>108300</v>
      </c>
      <c r="P258" s="46">
        <f t="shared" ref="P258:P294" ca="1" si="13">O258/SUM(O:O)</f>
        <v>1.0255681818181818E-2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input_407100!A$2</f>
        <v>407100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IFERROR(VLOOKUP(B259,input_407100!L:R,7,FALSE),VLOOKUP(tables_407100!C259,input_407100!A:H,8,FALSE))</f>
        <v>5700</v>
      </c>
      <c r="P259" s="46">
        <f t="shared" ca="1" si="13"/>
        <v>5.3977272727272728E-4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input_407100!A$2</f>
        <v>407100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IFERROR(VLOOKUP(B260,input_407100!L:R,7,FALSE),VLOOKUP(tables_407100!C260,input_407100!A:H,8,FALSE))</f>
        <v>11000</v>
      </c>
      <c r="P260" s="46">
        <f t="shared" ca="1" si="13"/>
        <v>1.0416666666666667E-3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input_407100!A$2</f>
        <v>407100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IFERROR(VLOOKUP(B261,input_407100!L:R,7,FALSE),VLOOKUP(tables_407100!C261,input_407100!A:H,8,FALSE))</f>
        <v>11000</v>
      </c>
      <c r="P261" s="46">
        <f t="shared" ca="1" si="13"/>
        <v>1.0416666666666667E-3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input_407100!A$2</f>
        <v>407100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IFERROR(VLOOKUP(B262,input_407100!L:R,7,FALSE),VLOOKUP(tables_407100!C262,input_407100!A:H,8,FALSE))</f>
        <v>10450</v>
      </c>
      <c r="P262" s="46">
        <f t="shared" ca="1" si="13"/>
        <v>9.8958333333333342E-4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input_407100!A$2</f>
        <v>407100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IFERROR(VLOOKUP(B263,input_407100!L:R,7,FALSE),VLOOKUP(tables_407100!C263,input_407100!A:H,8,FALSE))</f>
        <v>550</v>
      </c>
      <c r="P263" s="46">
        <f t="shared" ca="1" si="13"/>
        <v>5.2083333333333337E-5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input_407100!A$2</f>
        <v>407100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IFERROR(VLOOKUP(B264,input_407100!L:R,7,FALSE),VLOOKUP(tables_407100!C264,input_407100!A:H,8,FALSE))</f>
        <v>10450</v>
      </c>
      <c r="P264" s="46">
        <f t="shared" ca="1" si="13"/>
        <v>9.8958333333333342E-4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input_407100!A$2</f>
        <v>407100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IFERROR(VLOOKUP(B265,input_407100!L:R,7,FALSE),VLOOKUP(tables_407100!C265,input_407100!A:H,8,FALSE))</f>
        <v>550</v>
      </c>
      <c r="P265" s="46">
        <f t="shared" ca="1" si="13"/>
        <v>5.2083333333333337E-5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input_407100!A$2</f>
        <v>407100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IFERROR(VLOOKUP(B266,input_407100!L:R,7,FALSE),VLOOKUP(tables_407100!C266,input_407100!A:H,8,FALSE))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input_407100!A$2</f>
        <v>407100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IFERROR(VLOOKUP(B267,input_407100!L:R,7,FALSE),VLOOKUP(tables_407100!C267,input_407100!A:H,8,FALSE))</f>
        <v>110126.92307999999</v>
      </c>
      <c r="P267" s="46">
        <f t="shared" ca="1" si="13"/>
        <v>1.0428685897727273E-2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input_407100!A$2</f>
        <v>407100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IFERROR(VLOOKUP(B268,input_407100!L:R,7,FALSE),VLOOKUP(tables_407100!C268,input_407100!A:H,8,FALSE))</f>
        <v>3873.07692</v>
      </c>
      <c r="P268" s="46">
        <f t="shared" ca="1" si="13"/>
        <v>3.6676864772727271E-4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input_407100!A$2</f>
        <v>407100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IFERROR(VLOOKUP(B269,input_407100!L:R,7,FALSE),VLOOKUP(tables_407100!C269,input_407100!A:H,8,FALSE))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input_407100!A$2</f>
        <v>407100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IFERROR(VLOOKUP(B270,input_407100!L:R,7,FALSE),VLOOKUP(tables_407100!C270,input_407100!A:H,8,FALSE))</f>
        <v>110126.92307999999</v>
      </c>
      <c r="P270" s="46">
        <f t="shared" ca="1" si="13"/>
        <v>1.0428685897727273E-2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input_407100!A$2</f>
        <v>407100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IFERROR(VLOOKUP(B271,input_407100!L:R,7,FALSE),VLOOKUP(tables_407100!C271,input_407100!A:H,8,FALSE))</f>
        <v>3873.07692</v>
      </c>
      <c r="P271" s="46">
        <f t="shared" ca="1" si="13"/>
        <v>3.6676864772727271E-4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input_407100!A$2</f>
        <v>407100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IFERROR(VLOOKUP(B272,input_407100!L:R,7,FALSE),VLOOKUP(tables_407100!C272,input_407100!A:H,8,FALSE))</f>
        <v>11000</v>
      </c>
      <c r="P272" s="46">
        <f t="shared" ca="1" si="13"/>
        <v>1.0416666666666667E-3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input_407100!A$2</f>
        <v>407100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IFERROR(VLOOKUP(B273,input_407100!L:R,7,FALSE),VLOOKUP(tables_407100!C273,input_407100!A:H,8,FALSE))</f>
        <v>11000</v>
      </c>
      <c r="P273" s="46">
        <f t="shared" ca="1" si="13"/>
        <v>1.0416666666666667E-3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input_407100!A$2</f>
        <v>407100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IFERROR(VLOOKUP(B274,input_407100!L:R,7,FALSE),VLOOKUP(tables_407100!C274,input_407100!A:H,8,FALSE))</f>
        <v>108300</v>
      </c>
      <c r="P274" s="46">
        <f t="shared" ca="1" si="13"/>
        <v>1.0255681818181818E-2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input_407100!A$2</f>
        <v>407100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IFERROR(VLOOKUP(B275,input_407100!L:R,7,FALSE),VLOOKUP(tables_407100!C275,input_407100!A:H,8,FALSE))</f>
        <v>5700</v>
      </c>
      <c r="P275" s="46">
        <f t="shared" ca="1" si="13"/>
        <v>5.3977272727272728E-4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input_407100!A$2</f>
        <v>407100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IFERROR(VLOOKUP(B276,input_407100!L:R,7,FALSE),VLOOKUP(tables_407100!C276,input_407100!A:H,8,FALSE))</f>
        <v>108300</v>
      </c>
      <c r="P276" s="46">
        <f t="shared" ca="1" si="13"/>
        <v>1.0255681818181818E-2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input_407100!A$2</f>
        <v>407100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IFERROR(VLOOKUP(B277,input_407100!L:R,7,FALSE),VLOOKUP(tables_407100!C277,input_407100!A:H,8,FALSE))</f>
        <v>5700</v>
      </c>
      <c r="P277" s="46">
        <f t="shared" ca="1" si="13"/>
        <v>5.3977272727272728E-4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input_407100!A$2</f>
        <v>407100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IFERROR(VLOOKUP(B278,input_407100!L:R,7,FALSE),VLOOKUP(tables_407100!C278,input_407100!A:H,8,FALSE))</f>
        <v>108300</v>
      </c>
      <c r="P278" s="46">
        <f t="shared" ca="1" si="13"/>
        <v>1.0255681818181818E-2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input_407100!A$2</f>
        <v>407100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IFERROR(VLOOKUP(B279,input_407100!L:R,7,FALSE),VLOOKUP(tables_407100!C279,input_407100!A:H,8,FALSE))</f>
        <v>5700</v>
      </c>
      <c r="P279" s="46">
        <f t="shared" ca="1" si="13"/>
        <v>5.3977272727272728E-4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input_407100!A$2</f>
        <v>407100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IFERROR(VLOOKUP(B280,input_407100!L:R,7,FALSE),VLOOKUP(tables_407100!C280,input_407100!A:H,8,FALSE))</f>
        <v>108300</v>
      </c>
      <c r="P280" s="46">
        <f t="shared" ca="1" si="13"/>
        <v>1.0255681818181818E-2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input_407100!A$2</f>
        <v>407100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IFERROR(VLOOKUP(B281,input_407100!L:R,7,FALSE),VLOOKUP(tables_407100!C281,input_407100!A:H,8,FALSE))</f>
        <v>5700</v>
      </c>
      <c r="P281" s="46">
        <f t="shared" ca="1" si="13"/>
        <v>5.3977272727272728E-4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input_407100!A$2</f>
        <v>407100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IFERROR(VLOOKUP(B282,input_407100!L:R,7,FALSE),VLOOKUP(tables_407100!C282,input_407100!A:H,8,FALSE))</f>
        <v>11000</v>
      </c>
      <c r="P282" s="46">
        <f t="shared" ca="1" si="13"/>
        <v>1.0416666666666667E-3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input_407100!A$2</f>
        <v>407100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IFERROR(VLOOKUP(B283,input_407100!L:R,7,FALSE),VLOOKUP(tables_407100!C283,input_407100!A:H,8,FALSE))</f>
        <v>11000</v>
      </c>
      <c r="P283" s="46">
        <f t="shared" ca="1" si="13"/>
        <v>1.0416666666666667E-3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input_407100!A$2</f>
        <v>407100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IFERROR(VLOOKUP(B284,input_407100!L:R,7,FALSE),VLOOKUP(tables_407100!C284,input_407100!A:H,8,FALSE))</f>
        <v>11000</v>
      </c>
      <c r="P284" s="46">
        <f t="shared" ca="1" si="13"/>
        <v>1.0416666666666667E-3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input_407100!A$2</f>
        <v>407100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IFERROR(VLOOKUP(B285,input_407100!L:R,7,FALSE),VLOOKUP(tables_407100!C285,input_407100!A:H,8,FALSE))</f>
        <v>11000</v>
      </c>
      <c r="P285" s="46">
        <f t="shared" ca="1" si="13"/>
        <v>1.0416666666666667E-3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input_407100!A$2</f>
        <v>407100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IFERROR(VLOOKUP(B286,input_407100!L:R,7,FALSE),VLOOKUP(tables_407100!C286,input_407100!A:H,8,FALSE))</f>
        <v>108300</v>
      </c>
      <c r="P286" s="46">
        <f t="shared" ca="1" si="13"/>
        <v>1.0255681818181818E-2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input_407100!A$2</f>
        <v>407100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IFERROR(VLOOKUP(B287,input_407100!L:R,7,FALSE),VLOOKUP(tables_407100!C287,input_407100!A:H,8,FALSE))</f>
        <v>5700</v>
      </c>
      <c r="P287" s="46">
        <f t="shared" ca="1" si="13"/>
        <v>5.3977272727272728E-4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input_407100!A$2</f>
        <v>407100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IFERROR(VLOOKUP(B288,input_407100!L:R,7,FALSE),VLOOKUP(tables_407100!C288,input_407100!A:H,8,FALSE))</f>
        <v>108300</v>
      </c>
      <c r="P288" s="46">
        <f t="shared" ca="1" si="13"/>
        <v>1.0255681818181818E-2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input_407100!A$2</f>
        <v>407100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IFERROR(VLOOKUP(B289,input_407100!L:R,7,FALSE),VLOOKUP(tables_407100!C289,input_407100!A:H,8,FALSE))</f>
        <v>5700</v>
      </c>
      <c r="P289" s="46">
        <f t="shared" ca="1" si="13"/>
        <v>5.3977272727272728E-4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input_407100!A$2</f>
        <v>407100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IFERROR(VLOOKUP(B290,input_407100!L:R,7,FALSE),VLOOKUP(tables_407100!C290,input_407100!A:H,8,FALSE))</f>
        <v>11000</v>
      </c>
      <c r="P290" s="46">
        <f t="shared" ca="1" si="13"/>
        <v>1.0416666666666667E-3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input_407100!A$2</f>
        <v>407100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IFERROR(VLOOKUP(B291,input_407100!L:R,7,FALSE),VLOOKUP(tables_407100!C291,input_407100!A:H,8,FALSE))</f>
        <v>108300</v>
      </c>
      <c r="P291" s="46">
        <f t="shared" ca="1" si="13"/>
        <v>1.0255681818181818E-2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input_407100!A$2</f>
        <v>407100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IFERROR(VLOOKUP(B292,input_407100!L:R,7,FALSE),VLOOKUP(tables_407100!C292,input_407100!A:H,8,FALSE))</f>
        <v>5700</v>
      </c>
      <c r="P292" s="46">
        <f t="shared" ca="1" si="13"/>
        <v>5.3977272727272728E-4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input_407100!A$2</f>
        <v>407100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IFERROR(VLOOKUP(B293,input_407100!L:R,7,FALSE),VLOOKUP(tables_407100!C293,input_407100!A:H,8,FALSE))</f>
        <v>11000</v>
      </c>
      <c r="P293" s="46">
        <f t="shared" ca="1" si="13"/>
        <v>1.0416666666666667E-3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input_407100!A$2</f>
        <v>407100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IFERROR(VLOOKUP(B294,input_407100!L:R,7,FALSE),VLOOKUP(tables_407100!C294,input_407100!A:H,8,FALSE))</f>
        <v>11000</v>
      </c>
      <c r="P294" s="46">
        <f t="shared" ca="1" si="13"/>
        <v>1.0416666666666667E-3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input_407100!A$2</f>
        <v>407100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IFERROR(VLOOKUP(B295,input_407100!L:R,7,FALSE),VLOOKUP(tables_407100!C295,input_407100!A:H,8,FALSE))</f>
        <v>11000</v>
      </c>
      <c r="P295" s="46">
        <f t="shared" ref="P295:P299" ca="1" si="20">O295/SUM(O:O)</f>
        <v>1.0416666666666667E-3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input_407100!A$2</f>
        <v>407100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IFERROR(VLOOKUP(B296,input_407100!L:R,7,FALSE),VLOOKUP(tables_407100!C296,input_407100!A:H,8,FALSE))</f>
        <v>11000</v>
      </c>
      <c r="P296" s="46">
        <f t="shared" ca="1" si="20"/>
        <v>1.0416666666666667E-3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input_407100!A$2</f>
        <v>407100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IFERROR(VLOOKUP(B297,input_407100!L:R,7,FALSE),VLOOKUP(tables_407100!C297,input_407100!A:H,8,FALSE))</f>
        <v>108300</v>
      </c>
      <c r="P297" s="46">
        <f t="shared" ca="1" si="20"/>
        <v>1.0255681818181818E-2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input_407100!A$2</f>
        <v>407100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IFERROR(VLOOKUP(B298,input_407100!L:R,7,FALSE),VLOOKUP(tables_407100!C298,input_407100!A:H,8,FALSE))</f>
        <v>5700</v>
      </c>
      <c r="P298" s="46">
        <f t="shared" ca="1" si="20"/>
        <v>5.3977272727272728E-4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input_407100!A$2</f>
        <v>407100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IFERROR(VLOOKUP(B299,input_407100!L:R,7,FALSE),VLOOKUP(tables_407100!C299,input_407100!A:H,8,FALSE))</f>
        <v>11000</v>
      </c>
      <c r="P299" s="46">
        <f t="shared" ca="1" si="20"/>
        <v>1.0416666666666667E-3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input_407100!A$2</f>
        <v>407100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IFERROR(VLOOKUP(B300,input_407100!L:R,7,FALSE),VLOOKUP(tables_407100!C300,input_407100!A:H,8,FALSE))</f>
        <v>108300</v>
      </c>
      <c r="P300" s="46">
        <f t="shared" ref="P300:P304" ca="1" si="22">O300/SUM(O:O)</f>
        <v>1.0255681818181818E-2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input_407100!A$2</f>
        <v>407100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IFERROR(VLOOKUP(B301,input_407100!L:R,7,FALSE),VLOOKUP(tables_407100!C301,input_407100!A:H,8,FALSE))</f>
        <v>5700</v>
      </c>
      <c r="P301" s="46">
        <f t="shared" ca="1" si="22"/>
        <v>5.3977272727272728E-4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input_407100!A$2</f>
        <v>407100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IFERROR(VLOOKUP(B302,input_407100!L:R,7,FALSE),VLOOKUP(tables_407100!C302,input_407100!A:H,8,FALSE))</f>
        <v>11000</v>
      </c>
      <c r="P302" s="46">
        <f t="shared" ca="1" si="22"/>
        <v>1.0416666666666667E-3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input_407100!A$2</f>
        <v>407100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IFERROR(VLOOKUP(B303,input_407100!L:R,7,FALSE),VLOOKUP(tables_407100!C303,input_407100!A:H,8,FALSE))</f>
        <v>11000</v>
      </c>
      <c r="P303" s="46">
        <f t="shared" ca="1" si="22"/>
        <v>1.0416666666666667E-3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input_407100!A$2</f>
        <v>407100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IFERROR(VLOOKUP(B304,input_407100!L:R,7,FALSE),VLOOKUP(tables_407100!C304,input_407100!A:H,8,FALSE))</f>
        <v>11000</v>
      </c>
      <c r="P304" s="46">
        <f t="shared" ca="1" si="22"/>
        <v>1.0416666666666667E-3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input_407100!A$2</f>
        <v>407100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IFERROR(VLOOKUP(B305,input_407100!L:R,7,FALSE),VLOOKUP(tables_407100!C305,input_407100!A:H,8,FALSE))</f>
        <v>108300</v>
      </c>
      <c r="P305" s="46">
        <f t="shared" ref="P305:P308" ca="1" si="24">O305/SUM(O:O)</f>
        <v>1.0255681818181818E-2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input_407100!A$2</f>
        <v>407100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IFERROR(VLOOKUP(B306,input_407100!L:R,7,FALSE),VLOOKUP(tables_407100!C306,input_407100!A:H,8,FALSE))</f>
        <v>5700</v>
      </c>
      <c r="P306" s="46">
        <f t="shared" ca="1" si="24"/>
        <v>5.3977272727272728E-4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input_407100!A$2</f>
        <v>407100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IFERROR(VLOOKUP(B307,input_407100!L:R,7,FALSE),VLOOKUP(tables_407100!C307,input_407100!A:H,8,FALSE))</f>
        <v>11000</v>
      </c>
      <c r="P307" s="46">
        <f t="shared" ca="1" si="24"/>
        <v>1.0416666666666667E-3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input_407100!A$2</f>
        <v>407100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IFERROR(VLOOKUP(B308,input_407100!L:R,7,FALSE),VLOOKUP(tables_407100!C308,input_407100!A:H,8,FALSE))</f>
        <v>11000</v>
      </c>
      <c r="P308" s="46">
        <f t="shared" ca="1" si="24"/>
        <v>1.0416666666666667E-3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input_407100!A$2</f>
        <v>407100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IFERROR(VLOOKUP(B309,input_407100!L:R,7,FALSE),VLOOKUP(tables_407100!C309,input_407100!A:H,8,FALSE))</f>
        <v>11000</v>
      </c>
      <c r="P309" s="46">
        <f t="shared" ref="P309" ca="1" si="26">O309/SUM(O:O)</f>
        <v>1.0416666666666667E-3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2" sqref="D2: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input_407100!A$2</f>
        <v>407100</v>
      </c>
      <c r="B2" s="5">
        <v>1067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ウシュムガル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dragon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input_407100!A$2</f>
        <v>407100</v>
      </c>
      <c r="B3" s="5">
        <v>1068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想母の羽龍 ウシュムガル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input_407100!A$2</f>
        <v>407100</v>
      </c>
      <c r="B4" s="5">
        <v>1069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イシュタル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input_407100!A$2</f>
        <v>407100</v>
      </c>
      <c r="B5" s="5">
        <v>1072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エンキドゥ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input_407100!A$2</f>
        <v>407100</v>
      </c>
      <c r="B6" s="5">
        <v>1074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マルドゥク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N2" sqref="N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407100</v>
      </c>
      <c r="B2" s="100">
        <v>4071001</v>
      </c>
      <c r="C2" s="79" t="s">
        <v>251</v>
      </c>
      <c r="D2" s="79">
        <v>837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252</v>
      </c>
      <c r="O2" s="79" t="s">
        <v>253</v>
      </c>
      <c r="P2" s="79" t="s">
        <v>257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input_407010</vt:lpstr>
      <vt:lpstr>input_407011</vt:lpstr>
      <vt:lpstr>tables_407010</vt:lpstr>
      <vt:lpstr>tables_407011</vt:lpstr>
      <vt:lpstr>input_407100</vt:lpstr>
      <vt:lpstr>tables_407100</vt:lpstr>
      <vt:lpstr>tables_settle_407100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2016-09-18T10:08:00Z</dcterms:modified>
</cp:coreProperties>
</file>