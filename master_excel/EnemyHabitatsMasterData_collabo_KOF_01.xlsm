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100" yWindow="3520" windowWidth="25880" windowHeight="1744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2" i="21" l="1"/>
  <c r="P32" i="21"/>
  <c r="B32" i="21"/>
  <c r="I32" i="21"/>
  <c r="J32" i="21"/>
  <c r="G32" i="21"/>
  <c r="F32" i="21"/>
  <c r="D32" i="21"/>
  <c r="C32" i="21"/>
  <c r="Q31" i="21"/>
  <c r="P31" i="21"/>
  <c r="B31" i="21"/>
  <c r="I31" i="21"/>
  <c r="J31" i="21"/>
  <c r="G31" i="21"/>
  <c r="F31" i="21"/>
  <c r="D31" i="21"/>
  <c r="C31" i="21"/>
  <c r="Q30" i="21"/>
  <c r="P30" i="21"/>
  <c r="B30" i="21"/>
  <c r="I30" i="21"/>
  <c r="J30" i="21"/>
  <c r="G30" i="21"/>
  <c r="F30" i="21"/>
  <c r="D30" i="21"/>
  <c r="C30" i="21"/>
  <c r="Q29" i="21"/>
  <c r="P29" i="21"/>
  <c r="B29" i="21"/>
  <c r="I29" i="21"/>
  <c r="J29" i="21"/>
  <c r="G29" i="21"/>
  <c r="F29" i="21"/>
  <c r="D29" i="21"/>
  <c r="C29" i="21"/>
  <c r="Q28" i="21"/>
  <c r="P28" i="21"/>
  <c r="B28" i="21"/>
  <c r="I28" i="21"/>
  <c r="J28" i="21"/>
  <c r="G28" i="21"/>
  <c r="F28" i="21"/>
  <c r="D28" i="21"/>
  <c r="C28" i="21"/>
  <c r="Q27" i="21"/>
  <c r="P27" i="21"/>
  <c r="B27" i="21"/>
  <c r="I27" i="21"/>
  <c r="J27" i="21"/>
  <c r="G27" i="21"/>
  <c r="F27" i="21"/>
  <c r="D27" i="21"/>
  <c r="C27" i="21"/>
  <c r="Q26" i="21"/>
  <c r="P26" i="21"/>
  <c r="B26" i="21"/>
  <c r="I26" i="21"/>
  <c r="J26" i="21"/>
  <c r="G26" i="21"/>
  <c r="F26" i="21"/>
  <c r="D26" i="21"/>
  <c r="C26" i="21"/>
  <c r="Q25" i="21"/>
  <c r="P25" i="21"/>
  <c r="B25" i="21"/>
  <c r="I25" i="21"/>
  <c r="J25" i="21"/>
  <c r="G25" i="21"/>
  <c r="F25" i="21"/>
  <c r="D25" i="21"/>
  <c r="C25" i="21"/>
  <c r="Q24" i="21"/>
  <c r="P24" i="21"/>
  <c r="B24" i="21"/>
  <c r="I24" i="21"/>
  <c r="J24" i="21"/>
  <c r="G24" i="21"/>
  <c r="F24" i="21"/>
  <c r="D24" i="21"/>
  <c r="C24" i="21"/>
  <c r="Q23" i="21"/>
  <c r="P23" i="21"/>
  <c r="B23" i="21"/>
  <c r="I23" i="21"/>
  <c r="J23" i="21"/>
  <c r="G23" i="21"/>
  <c r="F23" i="21"/>
  <c r="D23" i="21"/>
  <c r="C23" i="21"/>
  <c r="Q22" i="21"/>
  <c r="P22" i="21"/>
  <c r="B22" i="21"/>
  <c r="I22" i="21"/>
  <c r="J22" i="21"/>
  <c r="G22" i="21"/>
  <c r="F22" i="21"/>
  <c r="D22" i="21"/>
  <c r="C22" i="21"/>
  <c r="Q21" i="21"/>
  <c r="P21" i="21"/>
  <c r="B21" i="21"/>
  <c r="I21" i="21"/>
  <c r="J21" i="21"/>
  <c r="G21" i="21"/>
  <c r="F21" i="21"/>
  <c r="D21" i="21"/>
  <c r="C21" i="21"/>
  <c r="Q20" i="21"/>
  <c r="P20" i="21"/>
  <c r="B20" i="21"/>
  <c r="I20" i="21"/>
  <c r="J20" i="21"/>
  <c r="G20" i="21"/>
  <c r="F20" i="21"/>
  <c r="D20" i="21"/>
  <c r="C20" i="21"/>
  <c r="Q19" i="21"/>
  <c r="P19" i="21"/>
  <c r="B19" i="21"/>
  <c r="I19" i="21"/>
  <c r="J19" i="21"/>
  <c r="G19" i="21"/>
  <c r="F19" i="21"/>
  <c r="D19" i="21"/>
  <c r="C19" i="21"/>
  <c r="Q18" i="21"/>
  <c r="P18" i="21"/>
  <c r="B18" i="21"/>
  <c r="I18" i="21"/>
  <c r="J18" i="21"/>
  <c r="G18" i="21"/>
  <c r="F18" i="21"/>
  <c r="D18" i="21"/>
  <c r="C18" i="21"/>
  <c r="Q17" i="21"/>
  <c r="P17" i="21"/>
  <c r="B17" i="21"/>
  <c r="I17" i="21"/>
  <c r="J17" i="21"/>
  <c r="G17" i="21"/>
  <c r="F17" i="21"/>
  <c r="D17" i="21"/>
  <c r="C17" i="21"/>
  <c r="Q16" i="21"/>
  <c r="P16" i="21"/>
  <c r="B16" i="21"/>
  <c r="I16" i="21"/>
  <c r="J16" i="21"/>
  <c r="G16" i="21"/>
  <c r="F16" i="21"/>
  <c r="D16" i="21"/>
  <c r="C16" i="21"/>
  <c r="Q15" i="21"/>
  <c r="P15" i="21"/>
  <c r="B15" i="21"/>
  <c r="I15" i="21"/>
  <c r="J15" i="21"/>
  <c r="G15" i="21"/>
  <c r="F15" i="21"/>
  <c r="D15" i="21"/>
  <c r="C15" i="21"/>
  <c r="Q14" i="21"/>
  <c r="P14" i="21"/>
  <c r="B14" i="21"/>
  <c r="I14" i="21"/>
  <c r="J14" i="21"/>
  <c r="G14" i="21"/>
  <c r="F14" i="21"/>
  <c r="D14" i="21"/>
  <c r="C14" i="21"/>
  <c r="Q13" i="21"/>
  <c r="P13" i="21"/>
  <c r="B13" i="21"/>
  <c r="I13" i="21"/>
  <c r="J13" i="21"/>
  <c r="G13" i="21"/>
  <c r="F13" i="21"/>
  <c r="D13" i="21"/>
  <c r="C13" i="21"/>
  <c r="Q12" i="21"/>
  <c r="P12" i="21"/>
  <c r="B12" i="21"/>
  <c r="I12" i="21"/>
  <c r="J12" i="21"/>
  <c r="G12" i="21"/>
  <c r="F12" i="21"/>
  <c r="D12" i="21"/>
  <c r="C12" i="21"/>
  <c r="Q11" i="21"/>
  <c r="P11" i="21"/>
  <c r="B11" i="21"/>
  <c r="I11" i="21"/>
  <c r="J11" i="21"/>
  <c r="G11" i="21"/>
  <c r="F11" i="21"/>
  <c r="D11" i="21"/>
  <c r="C11" i="21"/>
  <c r="Q63" i="21"/>
  <c r="P63" i="21"/>
  <c r="B63" i="21"/>
  <c r="I63" i="21"/>
  <c r="J63" i="21"/>
  <c r="G63" i="21"/>
  <c r="F63" i="21"/>
  <c r="D63" i="21"/>
  <c r="C63" i="21"/>
  <c r="Q62" i="21"/>
  <c r="P62" i="21"/>
  <c r="B62" i="21"/>
  <c r="I62" i="21"/>
  <c r="J62" i="21"/>
  <c r="G62" i="21"/>
  <c r="F62" i="21"/>
  <c r="D62" i="21"/>
  <c r="C62" i="21"/>
  <c r="Q61" i="21"/>
  <c r="P61" i="21"/>
  <c r="B61" i="21"/>
  <c r="I61" i="21"/>
  <c r="J61" i="21"/>
  <c r="G61" i="21"/>
  <c r="F61" i="21"/>
  <c r="D61" i="21"/>
  <c r="C61" i="21"/>
  <c r="Q60" i="21"/>
  <c r="P60" i="21"/>
  <c r="B60" i="21"/>
  <c r="I60" i="21"/>
  <c r="J60" i="21"/>
  <c r="G60" i="21"/>
  <c r="F60" i="21"/>
  <c r="D60" i="21"/>
  <c r="C60" i="21"/>
  <c r="Q59" i="21"/>
  <c r="P59" i="21"/>
  <c r="B59" i="21"/>
  <c r="I59" i="21"/>
  <c r="J59" i="21"/>
  <c r="G59" i="21"/>
  <c r="F59" i="21"/>
  <c r="D59" i="21"/>
  <c r="C59" i="21"/>
  <c r="Q58" i="21"/>
  <c r="P58" i="21"/>
  <c r="B58" i="21"/>
  <c r="I58" i="21"/>
  <c r="J58" i="21"/>
  <c r="G58" i="21"/>
  <c r="F58" i="21"/>
  <c r="D58" i="21"/>
  <c r="C58" i="21"/>
  <c r="Q57" i="21"/>
  <c r="P57" i="21"/>
  <c r="B57" i="21"/>
  <c r="I57" i="21"/>
  <c r="J57" i="21"/>
  <c r="G57" i="21"/>
  <c r="F57" i="21"/>
  <c r="D57" i="21"/>
  <c r="C57" i="21"/>
  <c r="Q56" i="21"/>
  <c r="P56" i="21"/>
  <c r="B56" i="21"/>
  <c r="I56" i="21"/>
  <c r="J56" i="21"/>
  <c r="G56" i="21"/>
  <c r="F56" i="21"/>
  <c r="D56" i="21"/>
  <c r="C56" i="21"/>
  <c r="Q55" i="21"/>
  <c r="P55" i="21"/>
  <c r="B55" i="21"/>
  <c r="I55" i="21"/>
  <c r="J55" i="21"/>
  <c r="G55" i="21"/>
  <c r="F55" i="21"/>
  <c r="D55" i="21"/>
  <c r="C55" i="21"/>
  <c r="Q54" i="21"/>
  <c r="P54" i="21"/>
  <c r="B54" i="21"/>
  <c r="I54" i="21"/>
  <c r="J54" i="21"/>
  <c r="G54" i="21"/>
  <c r="F54" i="21"/>
  <c r="D54" i="21"/>
  <c r="C54" i="21"/>
  <c r="Q53" i="21"/>
  <c r="P53" i="21"/>
  <c r="B53" i="21"/>
  <c r="I53" i="21"/>
  <c r="J53" i="21"/>
  <c r="G53" i="21"/>
  <c r="F53" i="21"/>
  <c r="D53" i="21"/>
  <c r="C53" i="21"/>
  <c r="Q52" i="21"/>
  <c r="P52" i="21"/>
  <c r="B52" i="21"/>
  <c r="I52" i="21"/>
  <c r="J52" i="21"/>
  <c r="G52" i="21"/>
  <c r="F52" i="21"/>
  <c r="D52" i="21"/>
  <c r="C52" i="21"/>
  <c r="Q51" i="21"/>
  <c r="P51" i="21"/>
  <c r="B51" i="21"/>
  <c r="I51" i="21"/>
  <c r="J51" i="21"/>
  <c r="G51" i="21"/>
  <c r="F51" i="21"/>
  <c r="D51" i="21"/>
  <c r="C51" i="21"/>
  <c r="Q50" i="21"/>
  <c r="P50" i="21"/>
  <c r="B50" i="21"/>
  <c r="I50" i="21"/>
  <c r="J50" i="21"/>
  <c r="G50" i="21"/>
  <c r="F50" i="21"/>
  <c r="D50" i="21"/>
  <c r="C50" i="21"/>
  <c r="Q49" i="21"/>
  <c r="P49" i="21"/>
  <c r="B49" i="21"/>
  <c r="I49" i="21"/>
  <c r="J49" i="21"/>
  <c r="G49" i="21"/>
  <c r="F49" i="21"/>
  <c r="D49" i="21"/>
  <c r="C49" i="21"/>
  <c r="Q48" i="21"/>
  <c r="P48" i="21"/>
  <c r="B48" i="21"/>
  <c r="I48" i="21"/>
  <c r="J48" i="21"/>
  <c r="G48" i="21"/>
  <c r="F48" i="21"/>
  <c r="D48" i="21"/>
  <c r="C48" i="21"/>
  <c r="Q47" i="21"/>
  <c r="P47" i="21"/>
  <c r="B47" i="21"/>
  <c r="I47" i="21"/>
  <c r="J47" i="21"/>
  <c r="G47" i="21"/>
  <c r="F47" i="21"/>
  <c r="D47" i="21"/>
  <c r="C47" i="21"/>
  <c r="Q46" i="21"/>
  <c r="P46" i="21"/>
  <c r="B46" i="21"/>
  <c r="I46" i="21"/>
  <c r="J46" i="21"/>
  <c r="G46" i="21"/>
  <c r="F46" i="21"/>
  <c r="D46" i="21"/>
  <c r="C46" i="21"/>
  <c r="Q45" i="21"/>
  <c r="P45" i="21"/>
  <c r="B45" i="21"/>
  <c r="I45" i="21"/>
  <c r="J45" i="21"/>
  <c r="G45" i="21"/>
  <c r="F45" i="21"/>
  <c r="D45" i="21"/>
  <c r="C45" i="21"/>
  <c r="Q44" i="21"/>
  <c r="P44" i="21"/>
  <c r="B44" i="21"/>
  <c r="I44" i="21"/>
  <c r="J44" i="21"/>
  <c r="G44" i="21"/>
  <c r="F44" i="21"/>
  <c r="D44" i="21"/>
  <c r="C44" i="21"/>
  <c r="Q43" i="21"/>
  <c r="P43" i="21"/>
  <c r="B43" i="21"/>
  <c r="I43" i="21"/>
  <c r="J43" i="21"/>
  <c r="G43" i="21"/>
  <c r="F43" i="21"/>
  <c r="D43" i="21"/>
  <c r="C43" i="21"/>
  <c r="Q42" i="21"/>
  <c r="P42" i="21"/>
  <c r="B42" i="21"/>
  <c r="I42" i="21"/>
  <c r="J42" i="21"/>
  <c r="G42" i="21"/>
  <c r="F42" i="21"/>
  <c r="D42" i="21"/>
  <c r="C42" i="21"/>
  <c r="Q94" i="21"/>
  <c r="P94" i="21"/>
  <c r="B94" i="21"/>
  <c r="I94" i="21"/>
  <c r="J94" i="21"/>
  <c r="G94" i="21"/>
  <c r="F94" i="21"/>
  <c r="D94" i="21"/>
  <c r="C94" i="21"/>
  <c r="Q93" i="21"/>
  <c r="P93" i="21"/>
  <c r="B93" i="21"/>
  <c r="I93" i="21"/>
  <c r="J93" i="21"/>
  <c r="G93" i="21"/>
  <c r="F93" i="21"/>
  <c r="D93" i="21"/>
  <c r="C93" i="21"/>
  <c r="Q92" i="21"/>
  <c r="P92" i="21"/>
  <c r="B92" i="21"/>
  <c r="I92" i="21"/>
  <c r="J92" i="21"/>
  <c r="G92" i="21"/>
  <c r="F92" i="21"/>
  <c r="D92" i="21"/>
  <c r="C92" i="21"/>
  <c r="Q91" i="21"/>
  <c r="P91" i="21"/>
  <c r="B91" i="21"/>
  <c r="I91" i="21"/>
  <c r="J91" i="21"/>
  <c r="G91" i="21"/>
  <c r="F91" i="21"/>
  <c r="D91" i="21"/>
  <c r="C91" i="21"/>
  <c r="Q90" i="21"/>
  <c r="P90" i="21"/>
  <c r="B90" i="21"/>
  <c r="I90" i="21"/>
  <c r="J90" i="21"/>
  <c r="G90" i="21"/>
  <c r="F90" i="21"/>
  <c r="D90" i="21"/>
  <c r="C90" i="21"/>
  <c r="Q89" i="21"/>
  <c r="P89" i="21"/>
  <c r="B89" i="21"/>
  <c r="I89" i="21"/>
  <c r="J89" i="21"/>
  <c r="G89" i="21"/>
  <c r="F89" i="21"/>
  <c r="D89" i="21"/>
  <c r="C89" i="21"/>
  <c r="Q88" i="21"/>
  <c r="P88" i="21"/>
  <c r="B88" i="21"/>
  <c r="I88" i="21"/>
  <c r="J88" i="21"/>
  <c r="G88" i="21"/>
  <c r="F88" i="21"/>
  <c r="D88" i="21"/>
  <c r="C88" i="21"/>
  <c r="Q87" i="21"/>
  <c r="P87" i="21"/>
  <c r="B87" i="21"/>
  <c r="I87" i="21"/>
  <c r="J87" i="21"/>
  <c r="G87" i="21"/>
  <c r="F87" i="21"/>
  <c r="D87" i="21"/>
  <c r="C87" i="21"/>
  <c r="Q86" i="21"/>
  <c r="P86" i="21"/>
  <c r="B86" i="21"/>
  <c r="I86" i="21"/>
  <c r="J86" i="21"/>
  <c r="G86" i="21"/>
  <c r="F86" i="21"/>
  <c r="D86" i="21"/>
  <c r="C86" i="21"/>
  <c r="Q85" i="21"/>
  <c r="P85" i="21"/>
  <c r="B85" i="21"/>
  <c r="I85" i="21"/>
  <c r="J85" i="21"/>
  <c r="G85" i="21"/>
  <c r="F85" i="21"/>
  <c r="D85" i="21"/>
  <c r="C85" i="21"/>
  <c r="Q84" i="21"/>
  <c r="P84" i="21"/>
  <c r="B84" i="21"/>
  <c r="I84" i="21"/>
  <c r="J84" i="21"/>
  <c r="G84" i="21"/>
  <c r="F84" i="21"/>
  <c r="D84" i="21"/>
  <c r="C84" i="21"/>
  <c r="Q83" i="21"/>
  <c r="P83" i="21"/>
  <c r="B83" i="21"/>
  <c r="I83" i="21"/>
  <c r="J83" i="21"/>
  <c r="G83" i="21"/>
  <c r="F83" i="21"/>
  <c r="D83" i="21"/>
  <c r="C83" i="21"/>
  <c r="Q82" i="21"/>
  <c r="P82" i="21"/>
  <c r="B82" i="21"/>
  <c r="I82" i="21"/>
  <c r="J82" i="21"/>
  <c r="G82" i="21"/>
  <c r="F82" i="21"/>
  <c r="D82" i="21"/>
  <c r="C82" i="21"/>
  <c r="Q81" i="21"/>
  <c r="P81" i="21"/>
  <c r="B81" i="21"/>
  <c r="I81" i="21"/>
  <c r="J81" i="21"/>
  <c r="G81" i="21"/>
  <c r="F81" i="21"/>
  <c r="D81" i="21"/>
  <c r="C81" i="21"/>
  <c r="Q80" i="21"/>
  <c r="P80" i="21"/>
  <c r="B80" i="21"/>
  <c r="I80" i="21"/>
  <c r="J80" i="21"/>
  <c r="G80" i="21"/>
  <c r="F80" i="21"/>
  <c r="D80" i="21"/>
  <c r="C80" i="21"/>
  <c r="Q79" i="21"/>
  <c r="P79" i="21"/>
  <c r="B79" i="21"/>
  <c r="I79" i="21"/>
  <c r="J79" i="21"/>
  <c r="G79" i="21"/>
  <c r="F79" i="21"/>
  <c r="D79" i="21"/>
  <c r="C79" i="21"/>
  <c r="Q78" i="21"/>
  <c r="P78" i="21"/>
  <c r="B78" i="21"/>
  <c r="I78" i="21"/>
  <c r="J78" i="21"/>
  <c r="G78" i="21"/>
  <c r="F78" i="21"/>
  <c r="D78" i="21"/>
  <c r="C78" i="21"/>
  <c r="Q77" i="21"/>
  <c r="P77" i="21"/>
  <c r="B77" i="21"/>
  <c r="I77" i="21"/>
  <c r="J77" i="21"/>
  <c r="G77" i="21"/>
  <c r="F77" i="21"/>
  <c r="D77" i="21"/>
  <c r="C77" i="21"/>
  <c r="Q76" i="21"/>
  <c r="P76" i="21"/>
  <c r="B76" i="21"/>
  <c r="I76" i="21"/>
  <c r="J76" i="21"/>
  <c r="G76" i="21"/>
  <c r="F76" i="21"/>
  <c r="D76" i="21"/>
  <c r="C76" i="21"/>
  <c r="Q75" i="21"/>
  <c r="P75" i="21"/>
  <c r="B75" i="21"/>
  <c r="I75" i="21"/>
  <c r="J75" i="21"/>
  <c r="G75" i="21"/>
  <c r="F75" i="21"/>
  <c r="D75" i="21"/>
  <c r="C75" i="21"/>
  <c r="Q74" i="21"/>
  <c r="P74" i="21"/>
  <c r="B74" i="21"/>
  <c r="I74" i="21"/>
  <c r="J74" i="21"/>
  <c r="G74" i="21"/>
  <c r="F74" i="21"/>
  <c r="D74" i="21"/>
  <c r="C74" i="21"/>
  <c r="Q73" i="21"/>
  <c r="P73" i="21"/>
  <c r="B73" i="21"/>
  <c r="I73" i="21"/>
  <c r="J73" i="21"/>
  <c r="G73" i="21"/>
  <c r="F73" i="21"/>
  <c r="D73" i="21"/>
  <c r="C73" i="21"/>
  <c r="Q125" i="21"/>
  <c r="P125" i="21"/>
  <c r="B125" i="21"/>
  <c r="I125" i="21"/>
  <c r="J125" i="21"/>
  <c r="G125" i="21"/>
  <c r="F125" i="21"/>
  <c r="D125" i="21"/>
  <c r="C125" i="21"/>
  <c r="Q124" i="21"/>
  <c r="P124" i="21"/>
  <c r="B124" i="21"/>
  <c r="I124" i="21"/>
  <c r="J124" i="21"/>
  <c r="G124" i="21"/>
  <c r="F124" i="21"/>
  <c r="D124" i="21"/>
  <c r="C124" i="21"/>
  <c r="Q123" i="21"/>
  <c r="P123" i="21"/>
  <c r="B123" i="21"/>
  <c r="I123" i="21"/>
  <c r="J123" i="21"/>
  <c r="G123" i="21"/>
  <c r="F123" i="21"/>
  <c r="D123" i="21"/>
  <c r="C123" i="21"/>
  <c r="Q122" i="21"/>
  <c r="P122" i="21"/>
  <c r="B122" i="21"/>
  <c r="I122" i="21"/>
  <c r="J122" i="21"/>
  <c r="G122" i="21"/>
  <c r="F122" i="21"/>
  <c r="D122" i="21"/>
  <c r="C122" i="21"/>
  <c r="Q121" i="21"/>
  <c r="P121" i="21"/>
  <c r="B121" i="21"/>
  <c r="I121" i="21"/>
  <c r="J121" i="21"/>
  <c r="G121" i="21"/>
  <c r="F121" i="21"/>
  <c r="D121" i="21"/>
  <c r="C121" i="21"/>
  <c r="Q120" i="21"/>
  <c r="P120" i="21"/>
  <c r="B120" i="21"/>
  <c r="I120" i="21"/>
  <c r="J120" i="21"/>
  <c r="G120" i="21"/>
  <c r="F120" i="21"/>
  <c r="D120" i="21"/>
  <c r="C120" i="21"/>
  <c r="Q119" i="21"/>
  <c r="P119" i="21"/>
  <c r="B119" i="21"/>
  <c r="I119" i="21"/>
  <c r="J119" i="21"/>
  <c r="G119" i="21"/>
  <c r="F119" i="21"/>
  <c r="D119" i="21"/>
  <c r="C119" i="21"/>
  <c r="Q118" i="21"/>
  <c r="P118" i="21"/>
  <c r="B118" i="21"/>
  <c r="I118" i="21"/>
  <c r="J118" i="21"/>
  <c r="G118" i="21"/>
  <c r="F118" i="21"/>
  <c r="D118" i="21"/>
  <c r="C118" i="21"/>
  <c r="Q117" i="21"/>
  <c r="P117" i="21"/>
  <c r="B117" i="21"/>
  <c r="I117" i="21"/>
  <c r="J117" i="21"/>
  <c r="G117" i="21"/>
  <c r="F117" i="21"/>
  <c r="D117" i="21"/>
  <c r="C117" i="21"/>
  <c r="Q116" i="21"/>
  <c r="P116" i="21"/>
  <c r="B116" i="21"/>
  <c r="I116" i="21"/>
  <c r="J116" i="21"/>
  <c r="G116" i="21"/>
  <c r="F116" i="21"/>
  <c r="D116" i="21"/>
  <c r="C116" i="21"/>
  <c r="Q115" i="21"/>
  <c r="P115" i="21"/>
  <c r="B115" i="21"/>
  <c r="I115" i="21"/>
  <c r="J115" i="21"/>
  <c r="G115" i="21"/>
  <c r="F115" i="21"/>
  <c r="D115" i="21"/>
  <c r="C115" i="21"/>
  <c r="Q114" i="21"/>
  <c r="P114" i="21"/>
  <c r="B114" i="21"/>
  <c r="I114" i="21"/>
  <c r="J114" i="21"/>
  <c r="G114" i="21"/>
  <c r="F114" i="21"/>
  <c r="D114" i="21"/>
  <c r="C114" i="21"/>
  <c r="Q113" i="21"/>
  <c r="P113" i="21"/>
  <c r="B113" i="21"/>
  <c r="I113" i="21"/>
  <c r="J113" i="21"/>
  <c r="G113" i="21"/>
  <c r="F113" i="21"/>
  <c r="D113" i="21"/>
  <c r="C113" i="21"/>
  <c r="Q112" i="21"/>
  <c r="P112" i="21"/>
  <c r="B112" i="21"/>
  <c r="I112" i="21"/>
  <c r="J112" i="21"/>
  <c r="G112" i="21"/>
  <c r="F112" i="21"/>
  <c r="D112" i="21"/>
  <c r="C112" i="21"/>
  <c r="Q111" i="21"/>
  <c r="P111" i="21"/>
  <c r="B111" i="21"/>
  <c r="I111" i="21"/>
  <c r="J111" i="21"/>
  <c r="G111" i="21"/>
  <c r="F111" i="21"/>
  <c r="D111" i="21"/>
  <c r="C111" i="21"/>
  <c r="Q110" i="21"/>
  <c r="P110" i="21"/>
  <c r="B110" i="21"/>
  <c r="I110" i="21"/>
  <c r="J110" i="21"/>
  <c r="G110" i="21"/>
  <c r="F110" i="21"/>
  <c r="D110" i="21"/>
  <c r="C110" i="21"/>
  <c r="Q109" i="21"/>
  <c r="P109" i="21"/>
  <c r="B109" i="21"/>
  <c r="I109" i="21"/>
  <c r="J109" i="21"/>
  <c r="G109" i="21"/>
  <c r="F109" i="21"/>
  <c r="D109" i="21"/>
  <c r="C109" i="21"/>
  <c r="Q108" i="21"/>
  <c r="P108" i="21"/>
  <c r="B108" i="21"/>
  <c r="I108" i="21"/>
  <c r="J108" i="21"/>
  <c r="G108" i="21"/>
  <c r="F108" i="21"/>
  <c r="D108" i="21"/>
  <c r="C108" i="21"/>
  <c r="Q107" i="21"/>
  <c r="P107" i="21"/>
  <c r="B107" i="21"/>
  <c r="I107" i="21"/>
  <c r="J107" i="21"/>
  <c r="G107" i="21"/>
  <c r="F107" i="21"/>
  <c r="D107" i="21"/>
  <c r="C107" i="21"/>
  <c r="Q106" i="21"/>
  <c r="P106" i="21"/>
  <c r="B106" i="21"/>
  <c r="I106" i="21"/>
  <c r="J106" i="21"/>
  <c r="G106" i="21"/>
  <c r="F106" i="21"/>
  <c r="D106" i="21"/>
  <c r="C106" i="21"/>
  <c r="Q105" i="21"/>
  <c r="P105" i="21"/>
  <c r="B105" i="21"/>
  <c r="I105" i="21"/>
  <c r="J105" i="21"/>
  <c r="G105" i="21"/>
  <c r="F105" i="21"/>
  <c r="D105" i="21"/>
  <c r="C105" i="21"/>
  <c r="Q104" i="21"/>
  <c r="P104" i="21"/>
  <c r="B104" i="21"/>
  <c r="I104" i="21"/>
  <c r="J104" i="21"/>
  <c r="G104" i="21"/>
  <c r="F104" i="21"/>
  <c r="D104" i="21"/>
  <c r="C104" i="21"/>
  <c r="C43" i="18"/>
  <c r="D43" i="18"/>
  <c r="C42" i="18"/>
  <c r="D42" i="18"/>
  <c r="C41" i="18"/>
  <c r="D41" i="18"/>
  <c r="C40" i="18"/>
  <c r="D40" i="18"/>
  <c r="C39" i="18"/>
  <c r="D39" i="18"/>
  <c r="C38" i="18"/>
  <c r="D38" i="18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138" i="11"/>
  <c r="O233" i="9"/>
  <c r="N233" i="9"/>
  <c r="M233" i="9"/>
  <c r="L233" i="9"/>
  <c r="K233" i="9"/>
  <c r="J233" i="9"/>
  <c r="I233" i="9"/>
  <c r="H233" i="9"/>
  <c r="G233" i="9"/>
  <c r="E233" i="9"/>
  <c r="D233" i="9"/>
  <c r="A233" i="9"/>
  <c r="J137" i="11"/>
  <c r="O232" i="9"/>
  <c r="N232" i="9"/>
  <c r="M232" i="9"/>
  <c r="L232" i="9"/>
  <c r="K232" i="9"/>
  <c r="J232" i="9"/>
  <c r="I232" i="9"/>
  <c r="H232" i="9"/>
  <c r="G232" i="9"/>
  <c r="E232" i="9"/>
  <c r="D232" i="9"/>
  <c r="A232" i="9"/>
  <c r="J136" i="11"/>
  <c r="O231" i="9"/>
  <c r="N231" i="9"/>
  <c r="M231" i="9"/>
  <c r="L231" i="9"/>
  <c r="K231" i="9"/>
  <c r="J231" i="9"/>
  <c r="I231" i="9"/>
  <c r="H231" i="9"/>
  <c r="G231" i="9"/>
  <c r="E231" i="9"/>
  <c r="D231" i="9"/>
  <c r="A231" i="9"/>
  <c r="J135" i="11"/>
  <c r="O230" i="9"/>
  <c r="N230" i="9"/>
  <c r="M230" i="9"/>
  <c r="L230" i="9"/>
  <c r="K230" i="9"/>
  <c r="J230" i="9"/>
  <c r="I230" i="9"/>
  <c r="H230" i="9"/>
  <c r="G230" i="9"/>
  <c r="E230" i="9"/>
  <c r="D230" i="9"/>
  <c r="A230" i="9"/>
  <c r="J134" i="11"/>
  <c r="O229" i="9"/>
  <c r="N229" i="9"/>
  <c r="M229" i="9"/>
  <c r="L229" i="9"/>
  <c r="K229" i="9"/>
  <c r="J229" i="9"/>
  <c r="I229" i="9"/>
  <c r="H229" i="9"/>
  <c r="G229" i="9"/>
  <c r="E229" i="9"/>
  <c r="D229" i="9"/>
  <c r="A229" i="9"/>
  <c r="J133" i="11"/>
  <c r="O228" i="9"/>
  <c r="N228" i="9"/>
  <c r="M228" i="9"/>
  <c r="L228" i="9"/>
  <c r="K228" i="9"/>
  <c r="J228" i="9"/>
  <c r="I228" i="9"/>
  <c r="H228" i="9"/>
  <c r="G228" i="9"/>
  <c r="E228" i="9"/>
  <c r="D228" i="9"/>
  <c r="A228" i="9"/>
  <c r="J132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131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J130" i="11"/>
  <c r="O225" i="9"/>
  <c r="N225" i="9"/>
  <c r="M225" i="9"/>
  <c r="L225" i="9"/>
  <c r="K225" i="9"/>
  <c r="J225" i="9"/>
  <c r="I225" i="9"/>
  <c r="H225" i="9"/>
  <c r="G225" i="9"/>
  <c r="E225" i="9"/>
  <c r="D225" i="9"/>
  <c r="A225" i="9"/>
  <c r="J129" i="11"/>
  <c r="O224" i="9"/>
  <c r="N224" i="9"/>
  <c r="M224" i="9"/>
  <c r="L224" i="9"/>
  <c r="K224" i="9"/>
  <c r="J224" i="9"/>
  <c r="I224" i="9"/>
  <c r="H224" i="9"/>
  <c r="G224" i="9"/>
  <c r="E224" i="9"/>
  <c r="D224" i="9"/>
  <c r="A224" i="9"/>
  <c r="J128" i="11"/>
  <c r="O223" i="9"/>
  <c r="N223" i="9"/>
  <c r="M223" i="9"/>
  <c r="L223" i="9"/>
  <c r="K223" i="9"/>
  <c r="J223" i="9"/>
  <c r="I223" i="9"/>
  <c r="H223" i="9"/>
  <c r="G223" i="9"/>
  <c r="E223" i="9"/>
  <c r="D223" i="9"/>
  <c r="A223" i="9"/>
  <c r="J127" i="11"/>
  <c r="O222" i="9"/>
  <c r="N222" i="9"/>
  <c r="M222" i="9"/>
  <c r="L222" i="9"/>
  <c r="K222" i="9"/>
  <c r="J222" i="9"/>
  <c r="I222" i="9"/>
  <c r="H222" i="9"/>
  <c r="G222" i="9"/>
  <c r="E222" i="9"/>
  <c r="D222" i="9"/>
  <c r="A222" i="9"/>
  <c r="J126" i="11"/>
  <c r="O221" i="9"/>
  <c r="N221" i="9"/>
  <c r="M221" i="9"/>
  <c r="L221" i="9"/>
  <c r="K221" i="9"/>
  <c r="J221" i="9"/>
  <c r="I221" i="9"/>
  <c r="H221" i="9"/>
  <c r="G221" i="9"/>
  <c r="E221" i="9"/>
  <c r="D221" i="9"/>
  <c r="A221" i="9"/>
  <c r="J125" i="11"/>
  <c r="O220" i="9"/>
  <c r="N220" i="9"/>
  <c r="M220" i="9"/>
  <c r="L220" i="9"/>
  <c r="K220" i="9"/>
  <c r="J220" i="9"/>
  <c r="I220" i="9"/>
  <c r="H220" i="9"/>
  <c r="G220" i="9"/>
  <c r="E220" i="9"/>
  <c r="D220" i="9"/>
  <c r="A220" i="9"/>
  <c r="J124" i="11"/>
  <c r="O219" i="9"/>
  <c r="N219" i="9"/>
  <c r="M219" i="9"/>
  <c r="L219" i="9"/>
  <c r="K219" i="9"/>
  <c r="J219" i="9"/>
  <c r="I219" i="9"/>
  <c r="H219" i="9"/>
  <c r="G219" i="9"/>
  <c r="E219" i="9"/>
  <c r="D219" i="9"/>
  <c r="A219" i="9"/>
  <c r="J123" i="11"/>
  <c r="O218" i="9"/>
  <c r="N218" i="9"/>
  <c r="M218" i="9"/>
  <c r="L218" i="9"/>
  <c r="K218" i="9"/>
  <c r="J218" i="9"/>
  <c r="I218" i="9"/>
  <c r="H218" i="9"/>
  <c r="G218" i="9"/>
  <c r="E218" i="9"/>
  <c r="D218" i="9"/>
  <c r="A218" i="9"/>
  <c r="O179" i="9"/>
  <c r="N179" i="9"/>
  <c r="M179" i="9"/>
  <c r="L179" i="9"/>
  <c r="K179" i="9"/>
  <c r="J179" i="9"/>
  <c r="I179" i="9"/>
  <c r="H179" i="9"/>
  <c r="G179" i="9"/>
  <c r="E179" i="9"/>
  <c r="D179" i="9"/>
  <c r="A179" i="9"/>
  <c r="O178" i="9"/>
  <c r="N178" i="9"/>
  <c r="M178" i="9"/>
  <c r="L178" i="9"/>
  <c r="K178" i="9"/>
  <c r="J178" i="9"/>
  <c r="I178" i="9"/>
  <c r="H178" i="9"/>
  <c r="G178" i="9"/>
  <c r="E178" i="9"/>
  <c r="D178" i="9"/>
  <c r="A178" i="9"/>
  <c r="O177" i="9"/>
  <c r="N177" i="9"/>
  <c r="M177" i="9"/>
  <c r="L177" i="9"/>
  <c r="K177" i="9"/>
  <c r="J177" i="9"/>
  <c r="I177" i="9"/>
  <c r="H177" i="9"/>
  <c r="G177" i="9"/>
  <c r="E177" i="9"/>
  <c r="D177" i="9"/>
  <c r="A177" i="9"/>
  <c r="O176" i="9"/>
  <c r="N176" i="9"/>
  <c r="M176" i="9"/>
  <c r="L176" i="9"/>
  <c r="K176" i="9"/>
  <c r="J176" i="9"/>
  <c r="I176" i="9"/>
  <c r="H176" i="9"/>
  <c r="G176" i="9"/>
  <c r="E176" i="9"/>
  <c r="D176" i="9"/>
  <c r="A176" i="9"/>
  <c r="O175" i="9"/>
  <c r="N175" i="9"/>
  <c r="M175" i="9"/>
  <c r="L175" i="9"/>
  <c r="K175" i="9"/>
  <c r="J175" i="9"/>
  <c r="I175" i="9"/>
  <c r="H175" i="9"/>
  <c r="G175" i="9"/>
  <c r="E175" i="9"/>
  <c r="D175" i="9"/>
  <c r="A175" i="9"/>
  <c r="O174" i="9"/>
  <c r="N174" i="9"/>
  <c r="M174" i="9"/>
  <c r="L174" i="9"/>
  <c r="K174" i="9"/>
  <c r="J174" i="9"/>
  <c r="I174" i="9"/>
  <c r="H174" i="9"/>
  <c r="G174" i="9"/>
  <c r="E174" i="9"/>
  <c r="D174" i="9"/>
  <c r="A174" i="9"/>
  <c r="O173" i="9"/>
  <c r="N173" i="9"/>
  <c r="M173" i="9"/>
  <c r="L173" i="9"/>
  <c r="K173" i="9"/>
  <c r="J173" i="9"/>
  <c r="I173" i="9"/>
  <c r="H173" i="9"/>
  <c r="G173" i="9"/>
  <c r="E173" i="9"/>
  <c r="D173" i="9"/>
  <c r="A173" i="9"/>
  <c r="O172" i="9"/>
  <c r="N172" i="9"/>
  <c r="M172" i="9"/>
  <c r="L172" i="9"/>
  <c r="K172" i="9"/>
  <c r="J172" i="9"/>
  <c r="I172" i="9"/>
  <c r="H172" i="9"/>
  <c r="G172" i="9"/>
  <c r="E172" i="9"/>
  <c r="D172" i="9"/>
  <c r="A172" i="9"/>
  <c r="O171" i="9"/>
  <c r="N171" i="9"/>
  <c r="M171" i="9"/>
  <c r="L171" i="9"/>
  <c r="K171" i="9"/>
  <c r="J171" i="9"/>
  <c r="I171" i="9"/>
  <c r="H171" i="9"/>
  <c r="G171" i="9"/>
  <c r="E171" i="9"/>
  <c r="D171" i="9"/>
  <c r="A171" i="9"/>
  <c r="O170" i="9"/>
  <c r="N170" i="9"/>
  <c r="M170" i="9"/>
  <c r="L170" i="9"/>
  <c r="K170" i="9"/>
  <c r="J170" i="9"/>
  <c r="I170" i="9"/>
  <c r="H170" i="9"/>
  <c r="G170" i="9"/>
  <c r="E170" i="9"/>
  <c r="D170" i="9"/>
  <c r="A170" i="9"/>
  <c r="O169" i="9"/>
  <c r="N169" i="9"/>
  <c r="M169" i="9"/>
  <c r="L169" i="9"/>
  <c r="K169" i="9"/>
  <c r="J169" i="9"/>
  <c r="I169" i="9"/>
  <c r="H169" i="9"/>
  <c r="G169" i="9"/>
  <c r="E169" i="9"/>
  <c r="D169" i="9"/>
  <c r="A169" i="9"/>
  <c r="O168" i="9"/>
  <c r="N168" i="9"/>
  <c r="M168" i="9"/>
  <c r="L168" i="9"/>
  <c r="K168" i="9"/>
  <c r="J168" i="9"/>
  <c r="I168" i="9"/>
  <c r="H168" i="9"/>
  <c r="G168" i="9"/>
  <c r="E168" i="9"/>
  <c r="D168" i="9"/>
  <c r="A168" i="9"/>
  <c r="O167" i="9"/>
  <c r="N167" i="9"/>
  <c r="M167" i="9"/>
  <c r="L167" i="9"/>
  <c r="K167" i="9"/>
  <c r="J167" i="9"/>
  <c r="I167" i="9"/>
  <c r="H167" i="9"/>
  <c r="G167" i="9"/>
  <c r="E167" i="9"/>
  <c r="D167" i="9"/>
  <c r="A167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J122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O217" i="9"/>
  <c r="N217" i="9"/>
  <c r="M217" i="9"/>
  <c r="L217" i="9"/>
  <c r="K217" i="9"/>
  <c r="J217" i="9"/>
  <c r="I217" i="9"/>
  <c r="H217" i="9"/>
  <c r="G217" i="9"/>
  <c r="E217" i="9"/>
  <c r="D217" i="9"/>
  <c r="A217" i="9"/>
  <c r="O180" i="9"/>
  <c r="N180" i="9"/>
  <c r="M180" i="9"/>
  <c r="L180" i="9"/>
  <c r="K180" i="9"/>
  <c r="J180" i="9"/>
  <c r="I180" i="9"/>
  <c r="H180" i="9"/>
  <c r="G180" i="9"/>
  <c r="E180" i="9"/>
  <c r="D180" i="9"/>
  <c r="A180" i="9"/>
  <c r="O111" i="9"/>
  <c r="N111" i="9"/>
  <c r="M111" i="9"/>
  <c r="L111" i="9"/>
  <c r="K111" i="9"/>
  <c r="J111" i="9"/>
  <c r="I111" i="9"/>
  <c r="H111" i="9"/>
  <c r="G111" i="9"/>
  <c r="E111" i="9"/>
  <c r="D111" i="9"/>
  <c r="A111" i="9"/>
  <c r="O254" i="9"/>
  <c r="N254" i="9"/>
  <c r="M254" i="9"/>
  <c r="L254" i="9"/>
  <c r="K254" i="9"/>
  <c r="J254" i="9"/>
  <c r="I254" i="9"/>
  <c r="H254" i="9"/>
  <c r="G254" i="9"/>
  <c r="E254" i="9"/>
  <c r="D254" i="9"/>
  <c r="A254" i="9"/>
  <c r="O253" i="9"/>
  <c r="N253" i="9"/>
  <c r="M253" i="9"/>
  <c r="L253" i="9"/>
  <c r="K253" i="9"/>
  <c r="J253" i="9"/>
  <c r="I253" i="9"/>
  <c r="H253" i="9"/>
  <c r="G253" i="9"/>
  <c r="E253" i="9"/>
  <c r="D253" i="9"/>
  <c r="A253" i="9"/>
  <c r="O252" i="9"/>
  <c r="N252" i="9"/>
  <c r="M252" i="9"/>
  <c r="L252" i="9"/>
  <c r="K252" i="9"/>
  <c r="J252" i="9"/>
  <c r="I252" i="9"/>
  <c r="H252" i="9"/>
  <c r="G252" i="9"/>
  <c r="E252" i="9"/>
  <c r="D252" i="9"/>
  <c r="A252" i="9"/>
  <c r="O251" i="9"/>
  <c r="N251" i="9"/>
  <c r="M251" i="9"/>
  <c r="L251" i="9"/>
  <c r="K251" i="9"/>
  <c r="J251" i="9"/>
  <c r="I251" i="9"/>
  <c r="H251" i="9"/>
  <c r="G251" i="9"/>
  <c r="E251" i="9"/>
  <c r="D251" i="9"/>
  <c r="A251" i="9"/>
  <c r="O250" i="9"/>
  <c r="N250" i="9"/>
  <c r="M250" i="9"/>
  <c r="L250" i="9"/>
  <c r="K250" i="9"/>
  <c r="J250" i="9"/>
  <c r="I250" i="9"/>
  <c r="H250" i="9"/>
  <c r="G250" i="9"/>
  <c r="E250" i="9"/>
  <c r="D250" i="9"/>
  <c r="A250" i="9"/>
  <c r="O249" i="9"/>
  <c r="N249" i="9"/>
  <c r="M249" i="9"/>
  <c r="L249" i="9"/>
  <c r="K249" i="9"/>
  <c r="J249" i="9"/>
  <c r="I249" i="9"/>
  <c r="H249" i="9"/>
  <c r="G249" i="9"/>
  <c r="E249" i="9"/>
  <c r="D249" i="9"/>
  <c r="A249" i="9"/>
  <c r="O248" i="9"/>
  <c r="N248" i="9"/>
  <c r="M248" i="9"/>
  <c r="L248" i="9"/>
  <c r="K248" i="9"/>
  <c r="J248" i="9"/>
  <c r="I248" i="9"/>
  <c r="H248" i="9"/>
  <c r="G248" i="9"/>
  <c r="E248" i="9"/>
  <c r="D248" i="9"/>
  <c r="A248" i="9"/>
  <c r="O247" i="9"/>
  <c r="N247" i="9"/>
  <c r="M247" i="9"/>
  <c r="L247" i="9"/>
  <c r="K247" i="9"/>
  <c r="J247" i="9"/>
  <c r="I247" i="9"/>
  <c r="H247" i="9"/>
  <c r="G247" i="9"/>
  <c r="E247" i="9"/>
  <c r="D247" i="9"/>
  <c r="A247" i="9"/>
  <c r="O246" i="9"/>
  <c r="N246" i="9"/>
  <c r="M246" i="9"/>
  <c r="L246" i="9"/>
  <c r="K246" i="9"/>
  <c r="J246" i="9"/>
  <c r="I246" i="9"/>
  <c r="H246" i="9"/>
  <c r="G246" i="9"/>
  <c r="E246" i="9"/>
  <c r="D246" i="9"/>
  <c r="A246" i="9"/>
  <c r="O245" i="9"/>
  <c r="N245" i="9"/>
  <c r="M245" i="9"/>
  <c r="L245" i="9"/>
  <c r="K245" i="9"/>
  <c r="J245" i="9"/>
  <c r="I245" i="9"/>
  <c r="H245" i="9"/>
  <c r="G245" i="9"/>
  <c r="E245" i="9"/>
  <c r="D245" i="9"/>
  <c r="A245" i="9"/>
  <c r="O244" i="9"/>
  <c r="N244" i="9"/>
  <c r="M244" i="9"/>
  <c r="L244" i="9"/>
  <c r="K244" i="9"/>
  <c r="J244" i="9"/>
  <c r="I244" i="9"/>
  <c r="H244" i="9"/>
  <c r="G244" i="9"/>
  <c r="E244" i="9"/>
  <c r="D244" i="9"/>
  <c r="A244" i="9"/>
  <c r="O243" i="9"/>
  <c r="N243" i="9"/>
  <c r="M243" i="9"/>
  <c r="L243" i="9"/>
  <c r="K243" i="9"/>
  <c r="J243" i="9"/>
  <c r="I243" i="9"/>
  <c r="H243" i="9"/>
  <c r="G243" i="9"/>
  <c r="E243" i="9"/>
  <c r="D243" i="9"/>
  <c r="A243" i="9"/>
  <c r="O242" i="9"/>
  <c r="N242" i="9"/>
  <c r="M242" i="9"/>
  <c r="L242" i="9"/>
  <c r="K242" i="9"/>
  <c r="J242" i="9"/>
  <c r="I242" i="9"/>
  <c r="H242" i="9"/>
  <c r="G242" i="9"/>
  <c r="E242" i="9"/>
  <c r="D242" i="9"/>
  <c r="A242" i="9"/>
  <c r="O241" i="9"/>
  <c r="N241" i="9"/>
  <c r="M241" i="9"/>
  <c r="L241" i="9"/>
  <c r="K241" i="9"/>
  <c r="J241" i="9"/>
  <c r="I241" i="9"/>
  <c r="H241" i="9"/>
  <c r="G241" i="9"/>
  <c r="E241" i="9"/>
  <c r="D241" i="9"/>
  <c r="A241" i="9"/>
  <c r="O240" i="9"/>
  <c r="N240" i="9"/>
  <c r="M240" i="9"/>
  <c r="L240" i="9"/>
  <c r="K240" i="9"/>
  <c r="J240" i="9"/>
  <c r="I240" i="9"/>
  <c r="H240" i="9"/>
  <c r="G240" i="9"/>
  <c r="E240" i="9"/>
  <c r="D240" i="9"/>
  <c r="A240" i="9"/>
  <c r="O239" i="9"/>
  <c r="N239" i="9"/>
  <c r="M239" i="9"/>
  <c r="L239" i="9"/>
  <c r="K239" i="9"/>
  <c r="J239" i="9"/>
  <c r="I239" i="9"/>
  <c r="H239" i="9"/>
  <c r="G239" i="9"/>
  <c r="E239" i="9"/>
  <c r="D239" i="9"/>
  <c r="A239" i="9"/>
  <c r="O238" i="9"/>
  <c r="N238" i="9"/>
  <c r="M238" i="9"/>
  <c r="L238" i="9"/>
  <c r="K238" i="9"/>
  <c r="J238" i="9"/>
  <c r="I238" i="9"/>
  <c r="H238" i="9"/>
  <c r="G238" i="9"/>
  <c r="E238" i="9"/>
  <c r="D238" i="9"/>
  <c r="A238" i="9"/>
  <c r="O237" i="9"/>
  <c r="N237" i="9"/>
  <c r="M237" i="9"/>
  <c r="L237" i="9"/>
  <c r="K237" i="9"/>
  <c r="J237" i="9"/>
  <c r="I237" i="9"/>
  <c r="H237" i="9"/>
  <c r="G237" i="9"/>
  <c r="E237" i="9"/>
  <c r="D237" i="9"/>
  <c r="A237" i="9"/>
  <c r="O236" i="9"/>
  <c r="N236" i="9"/>
  <c r="M236" i="9"/>
  <c r="L236" i="9"/>
  <c r="K236" i="9"/>
  <c r="J236" i="9"/>
  <c r="I236" i="9"/>
  <c r="H236" i="9"/>
  <c r="G236" i="9"/>
  <c r="E236" i="9"/>
  <c r="D236" i="9"/>
  <c r="A236" i="9"/>
  <c r="O235" i="9"/>
  <c r="N235" i="9"/>
  <c r="M235" i="9"/>
  <c r="L235" i="9"/>
  <c r="K235" i="9"/>
  <c r="J235" i="9"/>
  <c r="I235" i="9"/>
  <c r="H235" i="9"/>
  <c r="G235" i="9"/>
  <c r="E235" i="9"/>
  <c r="D235" i="9"/>
  <c r="A235" i="9"/>
  <c r="O234" i="9"/>
  <c r="N234" i="9"/>
  <c r="M234" i="9"/>
  <c r="L234" i="9"/>
  <c r="K234" i="9"/>
  <c r="J234" i="9"/>
  <c r="I234" i="9"/>
  <c r="H234" i="9"/>
  <c r="G234" i="9"/>
  <c r="E234" i="9"/>
  <c r="D234" i="9"/>
  <c r="A234" i="9"/>
  <c r="O201" i="9"/>
  <c r="N201" i="9"/>
  <c r="M201" i="9"/>
  <c r="L201" i="9"/>
  <c r="K201" i="9"/>
  <c r="J201" i="9"/>
  <c r="I201" i="9"/>
  <c r="H201" i="9"/>
  <c r="G201" i="9"/>
  <c r="E201" i="9"/>
  <c r="D201" i="9"/>
  <c r="A201" i="9"/>
  <c r="O200" i="9"/>
  <c r="N200" i="9"/>
  <c r="M200" i="9"/>
  <c r="L200" i="9"/>
  <c r="K200" i="9"/>
  <c r="J200" i="9"/>
  <c r="I200" i="9"/>
  <c r="H200" i="9"/>
  <c r="G200" i="9"/>
  <c r="E200" i="9"/>
  <c r="D200" i="9"/>
  <c r="A200" i="9"/>
  <c r="O199" i="9"/>
  <c r="N199" i="9"/>
  <c r="M199" i="9"/>
  <c r="L199" i="9"/>
  <c r="K199" i="9"/>
  <c r="J199" i="9"/>
  <c r="I199" i="9"/>
  <c r="H199" i="9"/>
  <c r="G199" i="9"/>
  <c r="E199" i="9"/>
  <c r="D199" i="9"/>
  <c r="A199" i="9"/>
  <c r="O198" i="9"/>
  <c r="N198" i="9"/>
  <c r="M198" i="9"/>
  <c r="L198" i="9"/>
  <c r="K198" i="9"/>
  <c r="J198" i="9"/>
  <c r="I198" i="9"/>
  <c r="H198" i="9"/>
  <c r="G198" i="9"/>
  <c r="E198" i="9"/>
  <c r="D198" i="9"/>
  <c r="A198" i="9"/>
  <c r="O197" i="9"/>
  <c r="N197" i="9"/>
  <c r="M197" i="9"/>
  <c r="L197" i="9"/>
  <c r="K197" i="9"/>
  <c r="J197" i="9"/>
  <c r="I197" i="9"/>
  <c r="H197" i="9"/>
  <c r="G197" i="9"/>
  <c r="E197" i="9"/>
  <c r="D197" i="9"/>
  <c r="A197" i="9"/>
  <c r="O196" i="9"/>
  <c r="N196" i="9"/>
  <c r="M196" i="9"/>
  <c r="L196" i="9"/>
  <c r="K196" i="9"/>
  <c r="J196" i="9"/>
  <c r="I196" i="9"/>
  <c r="H196" i="9"/>
  <c r="G196" i="9"/>
  <c r="E196" i="9"/>
  <c r="D196" i="9"/>
  <c r="A196" i="9"/>
  <c r="O195" i="9"/>
  <c r="N195" i="9"/>
  <c r="M195" i="9"/>
  <c r="L195" i="9"/>
  <c r="K195" i="9"/>
  <c r="J195" i="9"/>
  <c r="I195" i="9"/>
  <c r="H195" i="9"/>
  <c r="G195" i="9"/>
  <c r="E195" i="9"/>
  <c r="D195" i="9"/>
  <c r="A195" i="9"/>
  <c r="O194" i="9"/>
  <c r="N194" i="9"/>
  <c r="M194" i="9"/>
  <c r="L194" i="9"/>
  <c r="K194" i="9"/>
  <c r="J194" i="9"/>
  <c r="I194" i="9"/>
  <c r="H194" i="9"/>
  <c r="G194" i="9"/>
  <c r="E194" i="9"/>
  <c r="D194" i="9"/>
  <c r="A194" i="9"/>
  <c r="O193" i="9"/>
  <c r="N193" i="9"/>
  <c r="M193" i="9"/>
  <c r="L193" i="9"/>
  <c r="K193" i="9"/>
  <c r="J193" i="9"/>
  <c r="I193" i="9"/>
  <c r="H193" i="9"/>
  <c r="G193" i="9"/>
  <c r="E193" i="9"/>
  <c r="D193" i="9"/>
  <c r="A193" i="9"/>
  <c r="O192" i="9"/>
  <c r="N192" i="9"/>
  <c r="M192" i="9"/>
  <c r="L192" i="9"/>
  <c r="K192" i="9"/>
  <c r="J192" i="9"/>
  <c r="I192" i="9"/>
  <c r="H192" i="9"/>
  <c r="G192" i="9"/>
  <c r="E192" i="9"/>
  <c r="D192" i="9"/>
  <c r="A192" i="9"/>
  <c r="O191" i="9"/>
  <c r="N191" i="9"/>
  <c r="M191" i="9"/>
  <c r="L191" i="9"/>
  <c r="K191" i="9"/>
  <c r="J191" i="9"/>
  <c r="I191" i="9"/>
  <c r="H191" i="9"/>
  <c r="G191" i="9"/>
  <c r="E191" i="9"/>
  <c r="D191" i="9"/>
  <c r="A191" i="9"/>
  <c r="O190" i="9"/>
  <c r="N190" i="9"/>
  <c r="M190" i="9"/>
  <c r="L190" i="9"/>
  <c r="K190" i="9"/>
  <c r="J190" i="9"/>
  <c r="I190" i="9"/>
  <c r="H190" i="9"/>
  <c r="G190" i="9"/>
  <c r="E190" i="9"/>
  <c r="D190" i="9"/>
  <c r="A190" i="9"/>
  <c r="O189" i="9"/>
  <c r="N189" i="9"/>
  <c r="M189" i="9"/>
  <c r="L189" i="9"/>
  <c r="K189" i="9"/>
  <c r="J189" i="9"/>
  <c r="I189" i="9"/>
  <c r="H189" i="9"/>
  <c r="G189" i="9"/>
  <c r="E189" i="9"/>
  <c r="D189" i="9"/>
  <c r="A189" i="9"/>
  <c r="O188" i="9"/>
  <c r="N188" i="9"/>
  <c r="M188" i="9"/>
  <c r="L188" i="9"/>
  <c r="K188" i="9"/>
  <c r="J188" i="9"/>
  <c r="I188" i="9"/>
  <c r="H188" i="9"/>
  <c r="G188" i="9"/>
  <c r="E188" i="9"/>
  <c r="D188" i="9"/>
  <c r="A188" i="9"/>
  <c r="O187" i="9"/>
  <c r="N187" i="9"/>
  <c r="M187" i="9"/>
  <c r="L187" i="9"/>
  <c r="K187" i="9"/>
  <c r="J187" i="9"/>
  <c r="I187" i="9"/>
  <c r="H187" i="9"/>
  <c r="G187" i="9"/>
  <c r="E187" i="9"/>
  <c r="D187" i="9"/>
  <c r="A187" i="9"/>
  <c r="O186" i="9"/>
  <c r="N186" i="9"/>
  <c r="M186" i="9"/>
  <c r="L186" i="9"/>
  <c r="K186" i="9"/>
  <c r="J186" i="9"/>
  <c r="I186" i="9"/>
  <c r="H186" i="9"/>
  <c r="G186" i="9"/>
  <c r="E186" i="9"/>
  <c r="D186" i="9"/>
  <c r="A186" i="9"/>
  <c r="O185" i="9"/>
  <c r="N185" i="9"/>
  <c r="M185" i="9"/>
  <c r="L185" i="9"/>
  <c r="K185" i="9"/>
  <c r="J185" i="9"/>
  <c r="I185" i="9"/>
  <c r="H185" i="9"/>
  <c r="G185" i="9"/>
  <c r="E185" i="9"/>
  <c r="D185" i="9"/>
  <c r="A185" i="9"/>
  <c r="O184" i="9"/>
  <c r="N184" i="9"/>
  <c r="M184" i="9"/>
  <c r="L184" i="9"/>
  <c r="K184" i="9"/>
  <c r="J184" i="9"/>
  <c r="I184" i="9"/>
  <c r="H184" i="9"/>
  <c r="G184" i="9"/>
  <c r="E184" i="9"/>
  <c r="D184" i="9"/>
  <c r="A184" i="9"/>
  <c r="O183" i="9"/>
  <c r="N183" i="9"/>
  <c r="M183" i="9"/>
  <c r="L183" i="9"/>
  <c r="K183" i="9"/>
  <c r="J183" i="9"/>
  <c r="I183" i="9"/>
  <c r="H183" i="9"/>
  <c r="G183" i="9"/>
  <c r="E183" i="9"/>
  <c r="D183" i="9"/>
  <c r="A183" i="9"/>
  <c r="O182" i="9"/>
  <c r="N182" i="9"/>
  <c r="M182" i="9"/>
  <c r="L182" i="9"/>
  <c r="K182" i="9"/>
  <c r="J182" i="9"/>
  <c r="I182" i="9"/>
  <c r="H182" i="9"/>
  <c r="G182" i="9"/>
  <c r="E182" i="9"/>
  <c r="D182" i="9"/>
  <c r="A182" i="9"/>
  <c r="O181" i="9"/>
  <c r="N181" i="9"/>
  <c r="M181" i="9"/>
  <c r="L181" i="9"/>
  <c r="K181" i="9"/>
  <c r="J181" i="9"/>
  <c r="I181" i="9"/>
  <c r="H181" i="9"/>
  <c r="G181" i="9"/>
  <c r="E181" i="9"/>
  <c r="D181" i="9"/>
  <c r="A181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75" i="9"/>
  <c r="N75" i="9"/>
  <c r="M75" i="9"/>
  <c r="L75" i="9"/>
  <c r="K75" i="9"/>
  <c r="J75" i="9"/>
  <c r="I75" i="9"/>
  <c r="H75" i="9"/>
  <c r="G75" i="9"/>
  <c r="E75" i="9"/>
  <c r="D75" i="9"/>
  <c r="A75" i="9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B87" i="10"/>
  <c r="M87" i="10"/>
  <c r="N87" i="10"/>
  <c r="Q87" i="10"/>
  <c r="P87" i="10"/>
  <c r="R87" i="10"/>
  <c r="O87" i="10"/>
  <c r="S87" i="10"/>
  <c r="B86" i="10"/>
  <c r="M86" i="10"/>
  <c r="N86" i="10"/>
  <c r="Q86" i="10"/>
  <c r="P86" i="10"/>
  <c r="R86" i="10"/>
  <c r="O86" i="10"/>
  <c r="S86" i="10"/>
  <c r="B85" i="10"/>
  <c r="M85" i="10"/>
  <c r="N85" i="10"/>
  <c r="Q85" i="10"/>
  <c r="P85" i="10"/>
  <c r="R85" i="10"/>
  <c r="O85" i="10"/>
  <c r="S85" i="10"/>
  <c r="B84" i="10"/>
  <c r="M84" i="10"/>
  <c r="N84" i="10"/>
  <c r="Q84" i="10"/>
  <c r="P84" i="10"/>
  <c r="R84" i="10"/>
  <c r="O84" i="10"/>
  <c r="S84" i="10"/>
  <c r="B83" i="10"/>
  <c r="M83" i="10"/>
  <c r="N83" i="10"/>
  <c r="Q83" i="10"/>
  <c r="P83" i="10"/>
  <c r="R83" i="10"/>
  <c r="O83" i="10"/>
  <c r="S83" i="10"/>
  <c r="B82" i="10"/>
  <c r="M82" i="10"/>
  <c r="N82" i="10"/>
  <c r="Q82" i="10"/>
  <c r="P82" i="10"/>
  <c r="R82" i="10"/>
  <c r="O82" i="10"/>
  <c r="S82" i="10"/>
  <c r="B81" i="10"/>
  <c r="M81" i="10"/>
  <c r="N81" i="10"/>
  <c r="Q81" i="10"/>
  <c r="P81" i="10"/>
  <c r="R81" i="10"/>
  <c r="O81" i="10"/>
  <c r="S81" i="10"/>
  <c r="B80" i="10"/>
  <c r="M80" i="10"/>
  <c r="N80" i="10"/>
  <c r="Q80" i="10"/>
  <c r="P80" i="10"/>
  <c r="R80" i="10"/>
  <c r="O80" i="10"/>
  <c r="S80" i="10"/>
  <c r="B79" i="10"/>
  <c r="M79" i="10"/>
  <c r="N79" i="10"/>
  <c r="Q79" i="10"/>
  <c r="P79" i="10"/>
  <c r="R79" i="10"/>
  <c r="O79" i="10"/>
  <c r="S79" i="10"/>
  <c r="B78" i="10"/>
  <c r="M78" i="10"/>
  <c r="N78" i="10"/>
  <c r="Q78" i="10"/>
  <c r="P78" i="10"/>
  <c r="R78" i="10"/>
  <c r="O78" i="10"/>
  <c r="S78" i="10"/>
  <c r="B77" i="10"/>
  <c r="M77" i="10"/>
  <c r="N77" i="10"/>
  <c r="Q77" i="10"/>
  <c r="P77" i="10"/>
  <c r="R77" i="10"/>
  <c r="O77" i="10"/>
  <c r="S77" i="10"/>
  <c r="B76" i="10"/>
  <c r="M76" i="10"/>
  <c r="N76" i="10"/>
  <c r="Q76" i="10"/>
  <c r="P76" i="10"/>
  <c r="R76" i="10"/>
  <c r="O76" i="10"/>
  <c r="S76" i="10"/>
  <c r="B75" i="10"/>
  <c r="M75" i="10"/>
  <c r="N75" i="10"/>
  <c r="Q75" i="10"/>
  <c r="P75" i="10"/>
  <c r="R75" i="10"/>
  <c r="O75" i="10"/>
  <c r="S75" i="10"/>
  <c r="B74" i="10"/>
  <c r="M74" i="10"/>
  <c r="N74" i="10"/>
  <c r="Q74" i="10"/>
  <c r="P74" i="10"/>
  <c r="R74" i="10"/>
  <c r="O74" i="10"/>
  <c r="S74" i="10"/>
  <c r="B73" i="10"/>
  <c r="M73" i="10"/>
  <c r="N73" i="10"/>
  <c r="Q73" i="10"/>
  <c r="P73" i="10"/>
  <c r="R73" i="10"/>
  <c r="O73" i="10"/>
  <c r="S73" i="10"/>
  <c r="B72" i="10"/>
  <c r="M72" i="10"/>
  <c r="N72" i="10"/>
  <c r="Q72" i="10"/>
  <c r="P72" i="10"/>
  <c r="R72" i="10"/>
  <c r="O72" i="10"/>
  <c r="S72" i="10"/>
  <c r="B71" i="10"/>
  <c r="M71" i="10"/>
  <c r="N71" i="10"/>
  <c r="Q71" i="10"/>
  <c r="P71" i="10"/>
  <c r="R71" i="10"/>
  <c r="O71" i="10"/>
  <c r="S71" i="10"/>
  <c r="B70" i="10"/>
  <c r="M70" i="10"/>
  <c r="N70" i="10"/>
  <c r="Q70" i="10"/>
  <c r="P70" i="10"/>
  <c r="R70" i="10"/>
  <c r="O70" i="10"/>
  <c r="S70" i="10"/>
  <c r="B69" i="10"/>
  <c r="M69" i="10"/>
  <c r="N69" i="10"/>
  <c r="Q69" i="10"/>
  <c r="P69" i="10"/>
  <c r="R69" i="10"/>
  <c r="O69" i="10"/>
  <c r="S69" i="10"/>
  <c r="B68" i="10"/>
  <c r="M68" i="10"/>
  <c r="N68" i="10"/>
  <c r="Q68" i="10"/>
  <c r="P68" i="10"/>
  <c r="R68" i="10"/>
  <c r="O68" i="10"/>
  <c r="S68" i="10"/>
  <c r="B67" i="10"/>
  <c r="M67" i="10"/>
  <c r="N67" i="10"/>
  <c r="Q67" i="10"/>
  <c r="P67" i="10"/>
  <c r="R67" i="10"/>
  <c r="O67" i="10"/>
  <c r="S67" i="10"/>
  <c r="J19" i="11"/>
  <c r="J18" i="11"/>
  <c r="J20" i="11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B95" i="10"/>
  <c r="M95" i="10"/>
  <c r="N95" i="10"/>
  <c r="Q95" i="10"/>
  <c r="P95" i="10"/>
  <c r="R95" i="10"/>
  <c r="O95" i="10"/>
  <c r="S95" i="10"/>
  <c r="B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B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B33" i="21"/>
  <c r="C33" i="21"/>
  <c r="D33" i="21"/>
  <c r="F33" i="21"/>
  <c r="G33" i="21"/>
  <c r="I33" i="21"/>
  <c r="J33" i="21"/>
  <c r="P33" i="21"/>
  <c r="Q33" i="21"/>
  <c r="B34" i="21"/>
  <c r="C34" i="21"/>
  <c r="D34" i="21"/>
  <c r="F34" i="21"/>
  <c r="G34" i="21"/>
  <c r="I34" i="21"/>
  <c r="J34" i="21"/>
  <c r="P34" i="21"/>
  <c r="Q34" i="21"/>
  <c r="B35" i="21"/>
  <c r="C35" i="21"/>
  <c r="D35" i="21"/>
  <c r="F35" i="21"/>
  <c r="G35" i="21"/>
  <c r="I35" i="21"/>
  <c r="J35" i="21"/>
  <c r="P35" i="21"/>
  <c r="Q35" i="21"/>
  <c r="B36" i="21"/>
  <c r="C36" i="21"/>
  <c r="D36" i="21"/>
  <c r="F36" i="21"/>
  <c r="G36" i="21"/>
  <c r="I36" i="21"/>
  <c r="J36" i="21"/>
  <c r="P36" i="21"/>
  <c r="Q36" i="21"/>
  <c r="B37" i="21"/>
  <c r="C37" i="21"/>
  <c r="D37" i="21"/>
  <c r="F37" i="21"/>
  <c r="G37" i="21"/>
  <c r="I37" i="21"/>
  <c r="J37" i="21"/>
  <c r="P37" i="21"/>
  <c r="Q37" i="21"/>
  <c r="B38" i="21"/>
  <c r="C38" i="21"/>
  <c r="D38" i="21"/>
  <c r="F38" i="21"/>
  <c r="G38" i="21"/>
  <c r="I38" i="21"/>
  <c r="J38" i="21"/>
  <c r="P38" i="21"/>
  <c r="Q38" i="21"/>
  <c r="B39" i="21"/>
  <c r="C39" i="21"/>
  <c r="D39" i="21"/>
  <c r="F39" i="21"/>
  <c r="G39" i="21"/>
  <c r="I39" i="21"/>
  <c r="J39" i="21"/>
  <c r="P39" i="21"/>
  <c r="Q39" i="21"/>
  <c r="B40" i="21"/>
  <c r="C40" i="21"/>
  <c r="D40" i="21"/>
  <c r="F40" i="21"/>
  <c r="G40" i="21"/>
  <c r="I40" i="21"/>
  <c r="J40" i="21"/>
  <c r="P40" i="21"/>
  <c r="Q40" i="21"/>
  <c r="B41" i="21"/>
  <c r="C41" i="21"/>
  <c r="D41" i="21"/>
  <c r="F41" i="21"/>
  <c r="G41" i="21"/>
  <c r="I41" i="21"/>
  <c r="J41" i="21"/>
  <c r="P41" i="21"/>
  <c r="Q41" i="21"/>
  <c r="B64" i="21"/>
  <c r="C64" i="21"/>
  <c r="D64" i="21"/>
  <c r="F64" i="21"/>
  <c r="G64" i="21"/>
  <c r="I64" i="21"/>
  <c r="J64" i="21"/>
  <c r="P64" i="21"/>
  <c r="Q64" i="21"/>
  <c r="B65" i="21"/>
  <c r="C65" i="21"/>
  <c r="D65" i="21"/>
  <c r="F65" i="21"/>
  <c r="G65" i="21"/>
  <c r="I65" i="21"/>
  <c r="J65" i="21"/>
  <c r="P65" i="21"/>
  <c r="Q65" i="21"/>
  <c r="B66" i="21"/>
  <c r="C66" i="21"/>
  <c r="D66" i="21"/>
  <c r="F66" i="21"/>
  <c r="G66" i="21"/>
  <c r="I66" i="21"/>
  <c r="J66" i="21"/>
  <c r="P66" i="21"/>
  <c r="Q66" i="21"/>
  <c r="B67" i="21"/>
  <c r="C67" i="21"/>
  <c r="D67" i="21"/>
  <c r="F67" i="21"/>
  <c r="G67" i="21"/>
  <c r="I67" i="21"/>
  <c r="J67" i="21"/>
  <c r="P67" i="21"/>
  <c r="Q67" i="21"/>
  <c r="B68" i="21"/>
  <c r="C68" i="21"/>
  <c r="D68" i="21"/>
  <c r="F68" i="21"/>
  <c r="G68" i="21"/>
  <c r="I68" i="21"/>
  <c r="J68" i="21"/>
  <c r="P68" i="21"/>
  <c r="Q68" i="21"/>
  <c r="B69" i="21"/>
  <c r="C69" i="21"/>
  <c r="D69" i="21"/>
  <c r="F69" i="21"/>
  <c r="G69" i="21"/>
  <c r="I69" i="21"/>
  <c r="J69" i="21"/>
  <c r="P69" i="21"/>
  <c r="Q69" i="21"/>
  <c r="B70" i="21"/>
  <c r="C70" i="21"/>
  <c r="D70" i="21"/>
  <c r="F70" i="21"/>
  <c r="G70" i="21"/>
  <c r="I70" i="21"/>
  <c r="J70" i="21"/>
  <c r="P70" i="21"/>
  <c r="Q70" i="21"/>
  <c r="B71" i="21"/>
  <c r="C71" i="21"/>
  <c r="D71" i="21"/>
  <c r="F71" i="21"/>
  <c r="G71" i="21"/>
  <c r="I71" i="21"/>
  <c r="J71" i="21"/>
  <c r="P71" i="21"/>
  <c r="Q71" i="21"/>
  <c r="B72" i="21"/>
  <c r="C72" i="21"/>
  <c r="D72" i="21"/>
  <c r="F72" i="21"/>
  <c r="G72" i="21"/>
  <c r="I72" i="21"/>
  <c r="J72" i="21"/>
  <c r="P72" i="21"/>
  <c r="Q72" i="21"/>
  <c r="B95" i="21"/>
  <c r="C95" i="21"/>
  <c r="D95" i="21"/>
  <c r="F95" i="21"/>
  <c r="G95" i="21"/>
  <c r="I95" i="21"/>
  <c r="J95" i="21"/>
  <c r="P95" i="21"/>
  <c r="Q95" i="21"/>
  <c r="B96" i="21"/>
  <c r="C96" i="21"/>
  <c r="D96" i="21"/>
  <c r="F96" i="21"/>
  <c r="G96" i="21"/>
  <c r="I96" i="21"/>
  <c r="J96" i="21"/>
  <c r="P96" i="21"/>
  <c r="Q96" i="21"/>
  <c r="B97" i="21"/>
  <c r="C97" i="21"/>
  <c r="D97" i="21"/>
  <c r="F97" i="21"/>
  <c r="G97" i="21"/>
  <c r="I97" i="21"/>
  <c r="J97" i="21"/>
  <c r="P97" i="21"/>
  <c r="Q97" i="21"/>
  <c r="B98" i="21"/>
  <c r="C98" i="21"/>
  <c r="D98" i="21"/>
  <c r="F98" i="21"/>
  <c r="G98" i="21"/>
  <c r="I98" i="21"/>
  <c r="J98" i="21"/>
  <c r="P98" i="21"/>
  <c r="Q98" i="21"/>
  <c r="B99" i="21"/>
  <c r="C99" i="21"/>
  <c r="D99" i="21"/>
  <c r="F99" i="21"/>
  <c r="G99" i="21"/>
  <c r="I99" i="21"/>
  <c r="J99" i="21"/>
  <c r="P99" i="21"/>
  <c r="Q99" i="21"/>
  <c r="B100" i="21"/>
  <c r="C100" i="21"/>
  <c r="D100" i="21"/>
  <c r="F100" i="21"/>
  <c r="G100" i="21"/>
  <c r="I100" i="21"/>
  <c r="J100" i="21"/>
  <c r="P100" i="21"/>
  <c r="Q100" i="21"/>
  <c r="B101" i="21"/>
  <c r="C101" i="21"/>
  <c r="D101" i="21"/>
  <c r="F101" i="21"/>
  <c r="G101" i="21"/>
  <c r="I101" i="21"/>
  <c r="J101" i="21"/>
  <c r="P101" i="21"/>
  <c r="Q101" i="21"/>
  <c r="B102" i="21"/>
  <c r="C102" i="21"/>
  <c r="D102" i="21"/>
  <c r="F102" i="21"/>
  <c r="G102" i="21"/>
  <c r="I102" i="21"/>
  <c r="J102" i="21"/>
  <c r="P102" i="21"/>
  <c r="Q102" i="21"/>
  <c r="B103" i="21"/>
  <c r="C103" i="21"/>
  <c r="D103" i="21"/>
  <c r="F103" i="21"/>
  <c r="G103" i="21"/>
  <c r="I103" i="21"/>
  <c r="J103" i="21"/>
  <c r="P103" i="21"/>
  <c r="Q103" i="21"/>
  <c r="A50" i="9"/>
  <c r="D50" i="9"/>
  <c r="E50" i="9"/>
  <c r="G50" i="9"/>
  <c r="H50" i="9"/>
  <c r="I50" i="9"/>
  <c r="J50" i="9"/>
  <c r="K50" i="9"/>
  <c r="L50" i="9"/>
  <c r="M50" i="9"/>
  <c r="N50" i="9"/>
  <c r="J50" i="11"/>
  <c r="O50" i="9"/>
  <c r="A102" i="9"/>
  <c r="D102" i="9"/>
  <c r="E102" i="9"/>
  <c r="G102" i="9"/>
  <c r="H102" i="9"/>
  <c r="I102" i="9"/>
  <c r="J102" i="9"/>
  <c r="K102" i="9"/>
  <c r="L102" i="9"/>
  <c r="M102" i="9"/>
  <c r="N102" i="9"/>
  <c r="J86" i="11"/>
  <c r="O102" i="9"/>
  <c r="A155" i="9"/>
  <c r="D155" i="9"/>
  <c r="E155" i="9"/>
  <c r="G155" i="9"/>
  <c r="H155" i="9"/>
  <c r="I155" i="9"/>
  <c r="J155" i="9"/>
  <c r="K155" i="9"/>
  <c r="L155" i="9"/>
  <c r="M155" i="9"/>
  <c r="N155" i="9"/>
  <c r="J100" i="11"/>
  <c r="J98" i="11"/>
  <c r="O155" i="9"/>
  <c r="A210" i="9"/>
  <c r="D210" i="9"/>
  <c r="E210" i="9"/>
  <c r="G210" i="9"/>
  <c r="H210" i="9"/>
  <c r="I210" i="9"/>
  <c r="J210" i="9"/>
  <c r="K210" i="9"/>
  <c r="L210" i="9"/>
  <c r="M210" i="9"/>
  <c r="N210" i="9"/>
  <c r="J116" i="11"/>
  <c r="J112" i="11"/>
  <c r="O210" i="9"/>
  <c r="J120" i="11"/>
  <c r="J119" i="11"/>
  <c r="J118" i="11"/>
  <c r="J57" i="11"/>
  <c r="O216" i="9"/>
  <c r="N216" i="9"/>
  <c r="M216" i="9"/>
  <c r="L216" i="9"/>
  <c r="K216" i="9"/>
  <c r="J216" i="9"/>
  <c r="I216" i="9"/>
  <c r="H216" i="9"/>
  <c r="G216" i="9"/>
  <c r="E216" i="9"/>
  <c r="D216" i="9"/>
  <c r="A216" i="9"/>
  <c r="J121" i="11"/>
  <c r="J117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O214" i="9"/>
  <c r="N214" i="9"/>
  <c r="M214" i="9"/>
  <c r="L214" i="9"/>
  <c r="K214" i="9"/>
  <c r="J214" i="9"/>
  <c r="I214" i="9"/>
  <c r="H214" i="9"/>
  <c r="G214" i="9"/>
  <c r="E214" i="9"/>
  <c r="D214" i="9"/>
  <c r="A214" i="9"/>
  <c r="J106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J107" i="11"/>
  <c r="J105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104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103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102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J93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92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91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90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89" i="11"/>
  <c r="B100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B99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B98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B97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B96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T86" i="10"/>
  <c r="W86" i="10"/>
  <c r="V86" i="10"/>
  <c r="X86" i="10"/>
  <c r="U86" i="10"/>
  <c r="Y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T83" i="10"/>
  <c r="W83" i="10"/>
  <c r="V83" i="10"/>
  <c r="X83" i="10"/>
  <c r="U83" i="10"/>
  <c r="Y83" i="10"/>
  <c r="G83" i="10"/>
  <c r="J83" i="10"/>
  <c r="I83" i="10"/>
  <c r="K83" i="10"/>
  <c r="H83" i="10"/>
  <c r="L83" i="10"/>
  <c r="T82" i="10"/>
  <c r="W82" i="10"/>
  <c r="V82" i="10"/>
  <c r="X82" i="10"/>
  <c r="U82" i="10"/>
  <c r="Y82" i="10"/>
  <c r="G82" i="10"/>
  <c r="J82" i="10"/>
  <c r="I82" i="10"/>
  <c r="K82" i="10"/>
  <c r="H82" i="10"/>
  <c r="L82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T71" i="10"/>
  <c r="W71" i="10"/>
  <c r="V71" i="10"/>
  <c r="X71" i="10"/>
  <c r="U71" i="10"/>
  <c r="Y71" i="10"/>
  <c r="G71" i="10"/>
  <c r="J71" i="10"/>
  <c r="I71" i="10"/>
  <c r="K71" i="10"/>
  <c r="H71" i="10"/>
  <c r="L71" i="10"/>
  <c r="T70" i="10"/>
  <c r="W70" i="10"/>
  <c r="V70" i="10"/>
  <c r="X70" i="10"/>
  <c r="U70" i="10"/>
  <c r="Y70" i="10"/>
  <c r="G70" i="10"/>
  <c r="J70" i="10"/>
  <c r="I70" i="10"/>
  <c r="K70" i="10"/>
  <c r="H70" i="10"/>
  <c r="L70" i="10"/>
  <c r="T69" i="10"/>
  <c r="W69" i="10"/>
  <c r="V69" i="10"/>
  <c r="X69" i="10"/>
  <c r="U69" i="10"/>
  <c r="Y69" i="10"/>
  <c r="G69" i="10"/>
  <c r="J69" i="10"/>
  <c r="I69" i="10"/>
  <c r="K69" i="10"/>
  <c r="H69" i="10"/>
  <c r="L69" i="10"/>
  <c r="T68" i="10"/>
  <c r="W68" i="10"/>
  <c r="V68" i="10"/>
  <c r="X68" i="10"/>
  <c r="U68" i="10"/>
  <c r="Y68" i="10"/>
  <c r="G68" i="10"/>
  <c r="J68" i="10"/>
  <c r="I68" i="10"/>
  <c r="K68" i="10"/>
  <c r="H68" i="10"/>
  <c r="L68" i="10"/>
  <c r="J42" i="11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41" i="11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40" i="11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39" i="11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38" i="11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B56" i="10"/>
  <c r="M56" i="10"/>
  <c r="T56" i="10"/>
  <c r="W56" i="10"/>
  <c r="V56" i="10"/>
  <c r="X56" i="10"/>
  <c r="U56" i="10"/>
  <c r="Y56" i="10"/>
  <c r="B59" i="10"/>
  <c r="M59" i="10"/>
  <c r="N59" i="10"/>
  <c r="Q59" i="10"/>
  <c r="P59" i="10"/>
  <c r="R59" i="10"/>
  <c r="O59" i="10"/>
  <c r="S59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B55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B54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B53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B52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B10" i="21"/>
  <c r="I10" i="21"/>
  <c r="J10" i="21"/>
  <c r="P6" i="21"/>
  <c r="J115" i="11"/>
  <c r="O213" i="9"/>
  <c r="N213" i="9"/>
  <c r="M213" i="9"/>
  <c r="L213" i="9"/>
  <c r="K213" i="9"/>
  <c r="J213" i="9"/>
  <c r="I213" i="9"/>
  <c r="H213" i="9"/>
  <c r="G213" i="9"/>
  <c r="E213" i="9"/>
  <c r="D213" i="9"/>
  <c r="A213" i="9"/>
  <c r="J114" i="11"/>
  <c r="O212" i="9"/>
  <c r="N212" i="9"/>
  <c r="M212" i="9"/>
  <c r="L212" i="9"/>
  <c r="K212" i="9"/>
  <c r="J212" i="9"/>
  <c r="I212" i="9"/>
  <c r="H212" i="9"/>
  <c r="G212" i="9"/>
  <c r="E212" i="9"/>
  <c r="D212" i="9"/>
  <c r="A212" i="9"/>
  <c r="J113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111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110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109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108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O205" i="9"/>
  <c r="N205" i="9"/>
  <c r="M205" i="9"/>
  <c r="L205" i="9"/>
  <c r="K205" i="9"/>
  <c r="J205" i="9"/>
  <c r="I205" i="9"/>
  <c r="H205" i="9"/>
  <c r="G205" i="9"/>
  <c r="E205" i="9"/>
  <c r="D205" i="9"/>
  <c r="A205" i="9"/>
  <c r="O204" i="9"/>
  <c r="N204" i="9"/>
  <c r="M204" i="9"/>
  <c r="L204" i="9"/>
  <c r="K204" i="9"/>
  <c r="J204" i="9"/>
  <c r="I204" i="9"/>
  <c r="H204" i="9"/>
  <c r="G204" i="9"/>
  <c r="E204" i="9"/>
  <c r="D204" i="9"/>
  <c r="A204" i="9"/>
  <c r="O203" i="9"/>
  <c r="N203" i="9"/>
  <c r="M203" i="9"/>
  <c r="L203" i="9"/>
  <c r="K203" i="9"/>
  <c r="J203" i="9"/>
  <c r="I203" i="9"/>
  <c r="H203" i="9"/>
  <c r="G203" i="9"/>
  <c r="E203" i="9"/>
  <c r="D203" i="9"/>
  <c r="A203" i="9"/>
  <c r="O202" i="9"/>
  <c r="N202" i="9"/>
  <c r="M202" i="9"/>
  <c r="L202" i="9"/>
  <c r="K202" i="9"/>
  <c r="J202" i="9"/>
  <c r="I202" i="9"/>
  <c r="H202" i="9"/>
  <c r="G202" i="9"/>
  <c r="E202" i="9"/>
  <c r="D202" i="9"/>
  <c r="A202" i="9"/>
  <c r="J101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J99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J97" i="11"/>
  <c r="O154" i="9"/>
  <c r="N154" i="9"/>
  <c r="M154" i="9"/>
  <c r="L154" i="9"/>
  <c r="K154" i="9"/>
  <c r="J154" i="9"/>
  <c r="I154" i="9"/>
  <c r="H154" i="9"/>
  <c r="G154" i="9"/>
  <c r="E154" i="9"/>
  <c r="D154" i="9"/>
  <c r="A154" i="9"/>
  <c r="J96" i="11"/>
  <c r="O153" i="9"/>
  <c r="N153" i="9"/>
  <c r="M153" i="9"/>
  <c r="L153" i="9"/>
  <c r="K153" i="9"/>
  <c r="J153" i="9"/>
  <c r="I153" i="9"/>
  <c r="H153" i="9"/>
  <c r="G153" i="9"/>
  <c r="E153" i="9"/>
  <c r="D153" i="9"/>
  <c r="A153" i="9"/>
  <c r="J95" i="11"/>
  <c r="O152" i="9"/>
  <c r="N152" i="9"/>
  <c r="M152" i="9"/>
  <c r="L152" i="9"/>
  <c r="K152" i="9"/>
  <c r="J152" i="9"/>
  <c r="I152" i="9"/>
  <c r="H152" i="9"/>
  <c r="G152" i="9"/>
  <c r="E152" i="9"/>
  <c r="D152" i="9"/>
  <c r="A152" i="9"/>
  <c r="J94" i="11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J88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87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J85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84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83" i="11"/>
  <c r="O99" i="9"/>
  <c r="N99" i="9"/>
  <c r="M99" i="9"/>
  <c r="L99" i="9"/>
  <c r="K99" i="9"/>
  <c r="J99" i="9"/>
  <c r="I99" i="9"/>
  <c r="H99" i="9"/>
  <c r="G99" i="9"/>
  <c r="E99" i="9"/>
  <c r="D99" i="9"/>
  <c r="A99" i="9"/>
  <c r="J82" i="11"/>
  <c r="O98" i="9"/>
  <c r="N98" i="9"/>
  <c r="M98" i="9"/>
  <c r="L98" i="9"/>
  <c r="K98" i="9"/>
  <c r="J98" i="9"/>
  <c r="I98" i="9"/>
  <c r="H98" i="9"/>
  <c r="G98" i="9"/>
  <c r="E98" i="9"/>
  <c r="D98" i="9"/>
  <c r="A98" i="9"/>
  <c r="J81" i="11"/>
  <c r="O97" i="9"/>
  <c r="N97" i="9"/>
  <c r="M97" i="9"/>
  <c r="L97" i="9"/>
  <c r="K97" i="9"/>
  <c r="J97" i="9"/>
  <c r="I97" i="9"/>
  <c r="H97" i="9"/>
  <c r="G97" i="9"/>
  <c r="E97" i="9"/>
  <c r="D97" i="9"/>
  <c r="A97" i="9"/>
  <c r="J80" i="11"/>
  <c r="O96" i="9"/>
  <c r="N96" i="9"/>
  <c r="M96" i="9"/>
  <c r="L96" i="9"/>
  <c r="K96" i="9"/>
  <c r="J96" i="9"/>
  <c r="I96" i="9"/>
  <c r="H96" i="9"/>
  <c r="G96" i="9"/>
  <c r="E96" i="9"/>
  <c r="D96" i="9"/>
  <c r="A96" i="9"/>
  <c r="T95" i="10"/>
  <c r="W95" i="10"/>
  <c r="V95" i="10"/>
  <c r="X95" i="10"/>
  <c r="U95" i="10"/>
  <c r="Y95" i="10"/>
  <c r="G95" i="10"/>
  <c r="J95" i="10"/>
  <c r="I95" i="10"/>
  <c r="K95" i="10"/>
  <c r="H95" i="10"/>
  <c r="L95" i="10"/>
  <c r="B94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B93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B92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B91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B90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B89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B88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T87" i="10"/>
  <c r="W87" i="10"/>
  <c r="V87" i="10"/>
  <c r="X87" i="10"/>
  <c r="U87" i="10"/>
  <c r="Y87" i="10"/>
  <c r="G87" i="10"/>
  <c r="J87" i="10"/>
  <c r="I87" i="10"/>
  <c r="K87" i="10"/>
  <c r="H87" i="10"/>
  <c r="L87" i="10"/>
  <c r="T81" i="10"/>
  <c r="W81" i="10"/>
  <c r="V81" i="10"/>
  <c r="X81" i="10"/>
  <c r="U81" i="10"/>
  <c r="Y81" i="10"/>
  <c r="G81" i="10"/>
  <c r="J81" i="10"/>
  <c r="I81" i="10"/>
  <c r="K81" i="10"/>
  <c r="H81" i="10"/>
  <c r="L81" i="10"/>
  <c r="T80" i="10"/>
  <c r="W80" i="10"/>
  <c r="V80" i="10"/>
  <c r="X80" i="10"/>
  <c r="U80" i="10"/>
  <c r="Y80" i="10"/>
  <c r="G80" i="10"/>
  <c r="J80" i="10"/>
  <c r="I80" i="10"/>
  <c r="K80" i="10"/>
  <c r="H80" i="10"/>
  <c r="L80" i="10"/>
  <c r="T79" i="10"/>
  <c r="W79" i="10"/>
  <c r="V79" i="10"/>
  <c r="X79" i="10"/>
  <c r="U79" i="10"/>
  <c r="Y79" i="10"/>
  <c r="G79" i="10"/>
  <c r="J79" i="10"/>
  <c r="I79" i="10"/>
  <c r="K79" i="10"/>
  <c r="H79" i="10"/>
  <c r="L79" i="10"/>
  <c r="T78" i="10"/>
  <c r="W78" i="10"/>
  <c r="V78" i="10"/>
  <c r="X78" i="10"/>
  <c r="U78" i="10"/>
  <c r="Y78" i="10"/>
  <c r="G78" i="10"/>
  <c r="J78" i="10"/>
  <c r="I78" i="10"/>
  <c r="K78" i="10"/>
  <c r="H78" i="10"/>
  <c r="L78" i="10"/>
  <c r="T77" i="10"/>
  <c r="W77" i="10"/>
  <c r="V77" i="10"/>
  <c r="X77" i="10"/>
  <c r="U77" i="10"/>
  <c r="Y77" i="10"/>
  <c r="G77" i="10"/>
  <c r="J77" i="10"/>
  <c r="I77" i="10"/>
  <c r="K77" i="10"/>
  <c r="H77" i="10"/>
  <c r="L77" i="10"/>
  <c r="T76" i="10"/>
  <c r="W76" i="10"/>
  <c r="V76" i="10"/>
  <c r="X76" i="10"/>
  <c r="U76" i="10"/>
  <c r="Y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B66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B65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B64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B63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B62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B61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B60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P2" i="21"/>
  <c r="P3" i="21"/>
  <c r="Q3" i="21"/>
  <c r="P4" i="21"/>
  <c r="Q4" i="21"/>
  <c r="P5" i="21"/>
  <c r="Q5" i="21"/>
  <c r="Q6" i="21"/>
  <c r="P7" i="21"/>
  <c r="Q7" i="21"/>
  <c r="P8" i="21"/>
  <c r="Q8" i="21"/>
  <c r="P9" i="21"/>
  <c r="Q9" i="21"/>
  <c r="P10" i="21"/>
  <c r="Q10" i="21"/>
  <c r="Q2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B26" i="10"/>
  <c r="M26" i="10"/>
  <c r="T26" i="10"/>
  <c r="W26" i="10"/>
  <c r="V26" i="10"/>
  <c r="X26" i="10"/>
  <c r="U26" i="10"/>
  <c r="Y26" i="10"/>
  <c r="B47" i="10"/>
  <c r="M47" i="10"/>
  <c r="N47" i="10"/>
  <c r="Q47" i="10"/>
  <c r="P47" i="10"/>
  <c r="R47" i="10"/>
  <c r="O47" i="10"/>
  <c r="S47" i="10"/>
  <c r="B38" i="10"/>
  <c r="M38" i="10"/>
  <c r="N38" i="10"/>
  <c r="Q38" i="10"/>
  <c r="P38" i="10"/>
  <c r="R38" i="10"/>
  <c r="O38" i="10"/>
  <c r="S38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J8" i="11"/>
  <c r="O8" i="9"/>
  <c r="N8" i="9"/>
  <c r="M8" i="9"/>
  <c r="L8" i="9"/>
  <c r="K8" i="9"/>
  <c r="J8" i="9"/>
  <c r="I8" i="9"/>
  <c r="H8" i="9"/>
  <c r="G8" i="9"/>
  <c r="E8" i="9"/>
  <c r="D8" i="9"/>
  <c r="A8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2" i="11"/>
  <c r="O2" i="9"/>
  <c r="N2" i="9"/>
  <c r="M2" i="9"/>
  <c r="L2" i="9"/>
  <c r="K2" i="9"/>
  <c r="J2" i="9"/>
  <c r="I2" i="9"/>
  <c r="H2" i="9"/>
  <c r="G2" i="9"/>
  <c r="E2" i="9"/>
  <c r="D2" i="9"/>
  <c r="A2" i="9"/>
  <c r="B8" i="10"/>
  <c r="M8" i="10"/>
  <c r="T8" i="10"/>
  <c r="W8" i="10"/>
  <c r="V8" i="10"/>
  <c r="X8" i="10"/>
  <c r="U8" i="10"/>
  <c r="Y8" i="10"/>
  <c r="B29" i="10"/>
  <c r="M29" i="10"/>
  <c r="B41" i="10"/>
  <c r="M41" i="10"/>
  <c r="B50" i="10"/>
  <c r="M50" i="10"/>
  <c r="N50" i="10"/>
  <c r="Q50" i="10"/>
  <c r="P50" i="10"/>
  <c r="R50" i="10"/>
  <c r="O50" i="10"/>
  <c r="S50" i="10"/>
  <c r="N41" i="10"/>
  <c r="Q41" i="10"/>
  <c r="P41" i="10"/>
  <c r="R41" i="10"/>
  <c r="O41" i="10"/>
  <c r="S41" i="10"/>
  <c r="N29" i="10"/>
  <c r="Q29" i="10"/>
  <c r="P29" i="10"/>
  <c r="R29" i="10"/>
  <c r="O29" i="10"/>
  <c r="S29" i="10"/>
  <c r="N8" i="10"/>
  <c r="Q8" i="10"/>
  <c r="P8" i="10"/>
  <c r="R8" i="10"/>
  <c r="O8" i="10"/>
  <c r="S8" i="10"/>
  <c r="G8" i="10"/>
  <c r="J8" i="10"/>
  <c r="I8" i="10"/>
  <c r="K8" i="10"/>
  <c r="H8" i="10"/>
  <c r="L8" i="10"/>
  <c r="B6" i="10"/>
  <c r="M6" i="10"/>
  <c r="T6" i="10"/>
  <c r="W6" i="10"/>
  <c r="V6" i="10"/>
  <c r="X6" i="10"/>
  <c r="U6" i="10"/>
  <c r="Y6" i="10"/>
  <c r="B28" i="10"/>
  <c r="M28" i="10"/>
  <c r="B40" i="10"/>
  <c r="M40" i="10"/>
  <c r="B49" i="10"/>
  <c r="M49" i="10"/>
  <c r="N49" i="10"/>
  <c r="Q49" i="10"/>
  <c r="P49" i="10"/>
  <c r="R49" i="10"/>
  <c r="O49" i="10"/>
  <c r="S49" i="10"/>
  <c r="N40" i="10"/>
  <c r="Q40" i="10"/>
  <c r="P40" i="10"/>
  <c r="R40" i="10"/>
  <c r="O40" i="10"/>
  <c r="S40" i="10"/>
  <c r="N28" i="10"/>
  <c r="Q28" i="10"/>
  <c r="P28" i="10"/>
  <c r="R28" i="10"/>
  <c r="O28" i="10"/>
  <c r="S28" i="10"/>
  <c r="N6" i="10"/>
  <c r="Q6" i="10"/>
  <c r="P6" i="10"/>
  <c r="R6" i="10"/>
  <c r="O6" i="10"/>
  <c r="S6" i="10"/>
  <c r="G6" i="10"/>
  <c r="J6" i="10"/>
  <c r="I6" i="10"/>
  <c r="K6" i="10"/>
  <c r="H6" i="10"/>
  <c r="L6" i="10"/>
  <c r="B4" i="10"/>
  <c r="M4" i="10"/>
  <c r="T4" i="10"/>
  <c r="W4" i="10"/>
  <c r="V4" i="10"/>
  <c r="X4" i="10"/>
  <c r="U4" i="10"/>
  <c r="Y4" i="10"/>
  <c r="B39" i="10"/>
  <c r="M39" i="10"/>
  <c r="B48" i="10"/>
  <c r="M48" i="10"/>
  <c r="N48" i="10"/>
  <c r="Q48" i="10"/>
  <c r="P48" i="10"/>
  <c r="R48" i="10"/>
  <c r="O48" i="10"/>
  <c r="S48" i="10"/>
  <c r="N39" i="10"/>
  <c r="Q39" i="10"/>
  <c r="P39" i="10"/>
  <c r="R39" i="10"/>
  <c r="O39" i="10"/>
  <c r="S39" i="10"/>
  <c r="B27" i="10"/>
  <c r="M27" i="10"/>
  <c r="N27" i="10"/>
  <c r="Q27" i="10"/>
  <c r="P27" i="10"/>
  <c r="R27" i="10"/>
  <c r="O27" i="10"/>
  <c r="S27" i="10"/>
  <c r="N4" i="10"/>
  <c r="Q4" i="10"/>
  <c r="P4" i="10"/>
  <c r="R4" i="10"/>
  <c r="O4" i="10"/>
  <c r="S4" i="10"/>
  <c r="G4" i="10"/>
  <c r="J4" i="10"/>
  <c r="I4" i="10"/>
  <c r="K4" i="10"/>
  <c r="H4" i="10"/>
  <c r="L4" i="10"/>
  <c r="B2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38" i="9"/>
  <c r="N38" i="9"/>
  <c r="M38" i="9"/>
  <c r="L38" i="9"/>
  <c r="K38" i="9"/>
  <c r="J38" i="9"/>
  <c r="I38" i="9"/>
  <c r="H38" i="9"/>
  <c r="G38" i="9"/>
  <c r="E38" i="9"/>
  <c r="D38" i="9"/>
  <c r="A3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T38" i="10"/>
  <c r="W38" i="10"/>
  <c r="V38" i="10"/>
  <c r="X38" i="10"/>
  <c r="U38" i="10"/>
  <c r="Y38" i="10"/>
  <c r="G38" i="10"/>
  <c r="J38" i="10"/>
  <c r="I38" i="10"/>
  <c r="K38" i="10"/>
  <c r="H38" i="10"/>
  <c r="L38" i="10"/>
  <c r="T27" i="10"/>
  <c r="W27" i="10"/>
  <c r="V27" i="10"/>
  <c r="X27" i="10"/>
  <c r="U27" i="10"/>
  <c r="Y27" i="10"/>
  <c r="G27" i="10"/>
  <c r="J27" i="10"/>
  <c r="I27" i="10"/>
  <c r="K27" i="10"/>
  <c r="H27" i="10"/>
  <c r="L27" i="10"/>
  <c r="AF2" i="1"/>
  <c r="AI2" i="1"/>
  <c r="J58" i="11"/>
  <c r="J17" i="11"/>
  <c r="J16" i="11"/>
  <c r="J15" i="11"/>
  <c r="J14" i="11"/>
  <c r="J13" i="11"/>
  <c r="J12" i="11"/>
  <c r="O58" i="9"/>
  <c r="N58" i="9"/>
  <c r="M58" i="9"/>
  <c r="L58" i="9"/>
  <c r="K58" i="9"/>
  <c r="J58" i="9"/>
  <c r="I58" i="9"/>
  <c r="H58" i="9"/>
  <c r="G58" i="9"/>
  <c r="E58" i="9"/>
  <c r="D58" i="9"/>
  <c r="A58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B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B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B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B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B14" i="10"/>
  <c r="M14" i="10"/>
  <c r="T14" i="10"/>
  <c r="W14" i="10"/>
  <c r="V14" i="10"/>
  <c r="X14" i="10"/>
  <c r="U14" i="10"/>
  <c r="Y14" i="10"/>
  <c r="B46" i="10"/>
  <c r="M46" i="10"/>
  <c r="N46" i="10"/>
  <c r="Q46" i="10"/>
  <c r="P46" i="10"/>
  <c r="R46" i="10"/>
  <c r="O46" i="10"/>
  <c r="S46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B13" i="10"/>
  <c r="M13" i="10"/>
  <c r="T13" i="10"/>
  <c r="W13" i="10"/>
  <c r="V13" i="10"/>
  <c r="X13" i="10"/>
  <c r="U13" i="10"/>
  <c r="Y13" i="10"/>
  <c r="B45" i="10"/>
  <c r="M45" i="10"/>
  <c r="N45" i="10"/>
  <c r="Q45" i="10"/>
  <c r="P45" i="10"/>
  <c r="R45" i="10"/>
  <c r="O45" i="10"/>
  <c r="S45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B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B12" i="10"/>
  <c r="M12" i="10"/>
  <c r="T12" i="10"/>
  <c r="W12" i="10"/>
  <c r="V12" i="10"/>
  <c r="X12" i="10"/>
  <c r="U12" i="10"/>
  <c r="Y12" i="10"/>
  <c r="B44" i="10"/>
  <c r="M44" i="10"/>
  <c r="N44" i="10"/>
  <c r="Q44" i="10"/>
  <c r="P44" i="10"/>
  <c r="R44" i="10"/>
  <c r="O44" i="10"/>
  <c r="S44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13" i="2"/>
  <c r="H13" i="2"/>
  <c r="E13" i="2"/>
  <c r="D13" i="2"/>
  <c r="A13" i="2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H3" i="1"/>
  <c r="H4" i="1"/>
  <c r="H5" i="1"/>
  <c r="H6" i="1"/>
  <c r="H7" i="1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G7" i="2"/>
  <c r="H7" i="2"/>
  <c r="E7" i="2"/>
  <c r="D7" i="2"/>
  <c r="A7" i="2"/>
  <c r="B7" i="2"/>
  <c r="G6" i="2"/>
  <c r="H6" i="2"/>
  <c r="E6" i="2"/>
  <c r="D6" i="2"/>
  <c r="A6" i="2"/>
  <c r="B6" i="2"/>
  <c r="G5" i="2"/>
  <c r="H5" i="2"/>
  <c r="E5" i="2"/>
  <c r="D5" i="2"/>
  <c r="A5" i="2"/>
  <c r="B5" i="2"/>
  <c r="AF25" i="1"/>
  <c r="AI25" i="1"/>
  <c r="AG25" i="1"/>
  <c r="AE25" i="1"/>
  <c r="E32" i="9"/>
  <c r="X25" i="1"/>
  <c r="V25" i="1"/>
  <c r="T25" i="1"/>
  <c r="Q25" i="1"/>
  <c r="P25" i="1"/>
  <c r="O25" i="1"/>
  <c r="N25" i="1"/>
  <c r="M25" i="1"/>
  <c r="G2" i="2"/>
  <c r="A2" i="2"/>
  <c r="G3" i="2"/>
  <c r="A3" i="2"/>
  <c r="G4" i="2"/>
  <c r="A4" i="2"/>
  <c r="J25" i="1"/>
  <c r="I25" i="1"/>
  <c r="D25" i="1"/>
  <c r="F25" i="1"/>
  <c r="E25" i="1"/>
  <c r="A25" i="1"/>
  <c r="AF24" i="1"/>
  <c r="AI24" i="1"/>
  <c r="AG24" i="1"/>
  <c r="AE24" i="1"/>
  <c r="E11" i="9"/>
  <c r="X24" i="1"/>
  <c r="V24" i="1"/>
  <c r="T24" i="1"/>
  <c r="Q24" i="1"/>
  <c r="P24" i="1"/>
  <c r="O24" i="1"/>
  <c r="N24" i="1"/>
  <c r="M24" i="1"/>
  <c r="J24" i="1"/>
  <c r="I24" i="1"/>
  <c r="D24" i="1"/>
  <c r="F24" i="1"/>
  <c r="E24" i="1"/>
  <c r="A24" i="1"/>
  <c r="AF23" i="1"/>
  <c r="AI23" i="1"/>
  <c r="AG23" i="1"/>
  <c r="AE23" i="1"/>
  <c r="E9" i="9"/>
  <c r="X23" i="1"/>
  <c r="V23" i="1"/>
  <c r="T23" i="1"/>
  <c r="Q23" i="1"/>
  <c r="P23" i="1"/>
  <c r="O23" i="1"/>
  <c r="N23" i="1"/>
  <c r="M23" i="1"/>
  <c r="J23" i="1"/>
  <c r="I23" i="1"/>
  <c r="D23" i="1"/>
  <c r="F23" i="1"/>
  <c r="E23" i="1"/>
  <c r="A23" i="1"/>
  <c r="AF22" i="1"/>
  <c r="AI22" i="1"/>
  <c r="AG22" i="1"/>
  <c r="AE22" i="1"/>
  <c r="E7" i="9"/>
  <c r="X22" i="1"/>
  <c r="V22" i="1"/>
  <c r="T22" i="1"/>
  <c r="Q22" i="1"/>
  <c r="P22" i="1"/>
  <c r="O22" i="1"/>
  <c r="N22" i="1"/>
  <c r="M22" i="1"/>
  <c r="J22" i="1"/>
  <c r="I22" i="1"/>
  <c r="D22" i="1"/>
  <c r="F22" i="1"/>
  <c r="E22" i="1"/>
  <c r="A22" i="1"/>
  <c r="AF21" i="1"/>
  <c r="AI21" i="1"/>
  <c r="AG21" i="1"/>
  <c r="AE21" i="1"/>
  <c r="E5" i="9"/>
  <c r="X21" i="1"/>
  <c r="V21" i="1"/>
  <c r="T21" i="1"/>
  <c r="Q21" i="1"/>
  <c r="P21" i="1"/>
  <c r="O21" i="1"/>
  <c r="N21" i="1"/>
  <c r="M21" i="1"/>
  <c r="J21" i="1"/>
  <c r="I21" i="1"/>
  <c r="D21" i="1"/>
  <c r="F21" i="1"/>
  <c r="E21" i="1"/>
  <c r="A21" i="1"/>
  <c r="AF20" i="1"/>
  <c r="AI20" i="1"/>
  <c r="AG20" i="1"/>
  <c r="AE20" i="1"/>
  <c r="E3" i="9"/>
  <c r="X20" i="1"/>
  <c r="V20" i="1"/>
  <c r="T20" i="1"/>
  <c r="Q20" i="1"/>
  <c r="P20" i="1"/>
  <c r="O20" i="1"/>
  <c r="N20" i="1"/>
  <c r="M20" i="1"/>
  <c r="J20" i="1"/>
  <c r="I20" i="1"/>
  <c r="D20" i="1"/>
  <c r="F20" i="1"/>
  <c r="E20" i="1"/>
  <c r="A20" i="1"/>
  <c r="AF19" i="1"/>
  <c r="AI19" i="1"/>
  <c r="AG19" i="1"/>
  <c r="AE19" i="1"/>
  <c r="X19" i="1"/>
  <c r="V19" i="1"/>
  <c r="T19" i="1"/>
  <c r="Q19" i="1"/>
  <c r="P19" i="1"/>
  <c r="O19" i="1"/>
  <c r="N19" i="1"/>
  <c r="M19" i="1"/>
  <c r="J19" i="1"/>
  <c r="I19" i="1"/>
  <c r="D19" i="1"/>
  <c r="F19" i="1"/>
  <c r="E19" i="1"/>
  <c r="A19" i="1"/>
  <c r="AF18" i="1"/>
  <c r="AI18" i="1"/>
  <c r="AG18" i="1"/>
  <c r="AE18" i="1"/>
  <c r="X18" i="1"/>
  <c r="V18" i="1"/>
  <c r="T18" i="1"/>
  <c r="Q18" i="1"/>
  <c r="P18" i="1"/>
  <c r="O18" i="1"/>
  <c r="N18" i="1"/>
  <c r="M18" i="1"/>
  <c r="J18" i="1"/>
  <c r="I18" i="1"/>
  <c r="D18" i="1"/>
  <c r="F18" i="1"/>
  <c r="E18" i="1"/>
  <c r="A18" i="1"/>
  <c r="AF17" i="1"/>
  <c r="AI17" i="1"/>
  <c r="AG17" i="1"/>
  <c r="AE17" i="1"/>
  <c r="X17" i="1"/>
  <c r="V17" i="1"/>
  <c r="T17" i="1"/>
  <c r="Q17" i="1"/>
  <c r="P17" i="1"/>
  <c r="O17" i="1"/>
  <c r="N17" i="1"/>
  <c r="M17" i="1"/>
  <c r="J17" i="1"/>
  <c r="I17" i="1"/>
  <c r="D17" i="1"/>
  <c r="F17" i="1"/>
  <c r="E17" i="1"/>
  <c r="A17" i="1"/>
  <c r="AF16" i="1"/>
  <c r="AI16" i="1"/>
  <c r="AG16" i="1"/>
  <c r="AE16" i="1"/>
  <c r="X16" i="1"/>
  <c r="V16" i="1"/>
  <c r="T16" i="1"/>
  <c r="Q16" i="1"/>
  <c r="P16" i="1"/>
  <c r="O16" i="1"/>
  <c r="N16" i="1"/>
  <c r="M16" i="1"/>
  <c r="J16" i="1"/>
  <c r="I16" i="1"/>
  <c r="D16" i="1"/>
  <c r="F16" i="1"/>
  <c r="E16" i="1"/>
  <c r="A16" i="1"/>
  <c r="AF15" i="1"/>
  <c r="AI15" i="1"/>
  <c r="AG15" i="1"/>
  <c r="AE15" i="1"/>
  <c r="X15" i="1"/>
  <c r="V15" i="1"/>
  <c r="T15" i="1"/>
  <c r="Q15" i="1"/>
  <c r="P15" i="1"/>
  <c r="O15" i="1"/>
  <c r="N15" i="1"/>
  <c r="M15" i="1"/>
  <c r="J15" i="1"/>
  <c r="I15" i="1"/>
  <c r="D15" i="1"/>
  <c r="F15" i="1"/>
  <c r="E15" i="1"/>
  <c r="A15" i="1"/>
  <c r="AF14" i="1"/>
  <c r="AI14" i="1"/>
  <c r="AG14" i="1"/>
  <c r="AE14" i="1"/>
  <c r="X14" i="1"/>
  <c r="V14" i="1"/>
  <c r="T14" i="1"/>
  <c r="Q14" i="1"/>
  <c r="P14" i="1"/>
  <c r="O14" i="1"/>
  <c r="N14" i="1"/>
  <c r="M14" i="1"/>
  <c r="J14" i="1"/>
  <c r="I14" i="1"/>
  <c r="D14" i="1"/>
  <c r="F14" i="1"/>
  <c r="E14" i="1"/>
  <c r="A14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B51" i="10"/>
  <c r="B43" i="10"/>
  <c r="B42" i="10"/>
  <c r="B37" i="10"/>
  <c r="B36" i="10"/>
  <c r="B35" i="10"/>
  <c r="B34" i="10"/>
  <c r="B33" i="10"/>
  <c r="B32" i="10"/>
  <c r="B31" i="10"/>
  <c r="B30" i="10"/>
  <c r="B25" i="10"/>
  <c r="B24" i="10"/>
  <c r="B23" i="10"/>
  <c r="B22" i="10"/>
  <c r="B11" i="10"/>
  <c r="B10" i="10"/>
  <c r="B9" i="10"/>
  <c r="B7" i="10"/>
  <c r="B5" i="10"/>
  <c r="B3" i="10"/>
  <c r="O57" i="9"/>
  <c r="N57" i="9"/>
  <c r="M57" i="9"/>
  <c r="L57" i="9"/>
  <c r="K57" i="9"/>
  <c r="J57" i="9"/>
  <c r="I57" i="9"/>
  <c r="H57" i="9"/>
  <c r="G57" i="9"/>
  <c r="E57" i="9"/>
  <c r="D57" i="9"/>
  <c r="A57" i="9"/>
  <c r="J51" i="11"/>
  <c r="J49" i="11"/>
  <c r="C4" i="16"/>
  <c r="C3" i="16"/>
  <c r="O51" i="9"/>
  <c r="N51" i="9"/>
  <c r="M51" i="9"/>
  <c r="L51" i="9"/>
  <c r="K51" i="9"/>
  <c r="J51" i="9"/>
  <c r="I51" i="9"/>
  <c r="H51" i="9"/>
  <c r="G51" i="9"/>
  <c r="E51" i="9"/>
  <c r="D51" i="9"/>
  <c r="A51" i="9"/>
  <c r="O49" i="9"/>
  <c r="N49" i="9"/>
  <c r="M49" i="9"/>
  <c r="L49" i="9"/>
  <c r="K49" i="9"/>
  <c r="J49" i="9"/>
  <c r="I49" i="9"/>
  <c r="H49" i="9"/>
  <c r="G49" i="9"/>
  <c r="E49" i="9"/>
  <c r="D49" i="9"/>
  <c r="A49" i="9"/>
  <c r="J37" i="11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36" i="11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35" i="11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34" i="11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33" i="11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32" i="11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T46" i="10"/>
  <c r="W46" i="10"/>
  <c r="V46" i="10"/>
  <c r="X46" i="10"/>
  <c r="U46" i="10"/>
  <c r="Y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9" i="10"/>
  <c r="W39" i="10"/>
  <c r="V39" i="10"/>
  <c r="X39" i="10"/>
  <c r="U39" i="10"/>
  <c r="Y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24" i="11"/>
  <c r="J23" i="11"/>
  <c r="J22" i="11"/>
  <c r="J11" i="11"/>
  <c r="J10" i="11"/>
  <c r="J9" i="11"/>
  <c r="J7" i="11"/>
  <c r="J5" i="11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11" i="9"/>
  <c r="N11" i="9"/>
  <c r="M11" i="9"/>
  <c r="L11" i="9"/>
  <c r="K11" i="9"/>
  <c r="J11" i="9"/>
  <c r="I11" i="9"/>
  <c r="H11" i="9"/>
  <c r="G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O7" i="9"/>
  <c r="N7" i="9"/>
  <c r="M7" i="9"/>
  <c r="L7" i="9"/>
  <c r="K7" i="9"/>
  <c r="J7" i="9"/>
  <c r="I7" i="9"/>
  <c r="H7" i="9"/>
  <c r="G7" i="9"/>
  <c r="D7" i="9"/>
  <c r="A7" i="9"/>
  <c r="O5" i="9"/>
  <c r="N5" i="9"/>
  <c r="M5" i="9"/>
  <c r="L5" i="9"/>
  <c r="K5" i="9"/>
  <c r="J5" i="9"/>
  <c r="I5" i="9"/>
  <c r="H5" i="9"/>
  <c r="G5" i="9"/>
  <c r="D5" i="9"/>
  <c r="A5" i="9"/>
  <c r="H4" i="2"/>
  <c r="E4" i="2"/>
  <c r="D4" i="2"/>
  <c r="B4" i="2"/>
  <c r="H3" i="2"/>
  <c r="E3" i="2"/>
  <c r="D3" i="2"/>
  <c r="B3" i="2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W2" i="7"/>
  <c r="U2" i="7"/>
  <c r="V2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3" i="11"/>
  <c r="O3" i="9"/>
  <c r="N3" i="9"/>
  <c r="M3" i="9"/>
  <c r="L3" i="9"/>
  <c r="K3" i="9"/>
  <c r="J3" i="9"/>
  <c r="I3" i="9"/>
  <c r="H3" i="9"/>
  <c r="G3" i="9"/>
  <c r="D3" i="9"/>
  <c r="C5" i="16"/>
  <c r="C6" i="16"/>
  <c r="C7" i="16"/>
  <c r="C8" i="16"/>
  <c r="C9" i="16"/>
  <c r="E9" i="16"/>
  <c r="Y2" i="7"/>
  <c r="R2" i="7"/>
  <c r="Q2" i="7"/>
  <c r="P2" i="7"/>
  <c r="O2" i="7"/>
  <c r="N2" i="7"/>
  <c r="AG2" i="1"/>
  <c r="AE2" i="1"/>
  <c r="X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2" i="1"/>
  <c r="A3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L11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ユニットごとに勝利時TIPSを出し分ける
KOFコラボ専用(17/05/30)
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<sst xmlns="http://schemas.openxmlformats.org/spreadsheetml/2006/main" count="2420" uniqueCount="515">
  <si>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</si>
  <si>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</si>
  <si>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</si>
  <si>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</si>
  <si>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</si>
  <si>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</si>
  <si>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</si>
  <si>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</si>
  <si>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</si>
  <si>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</si>
  <si>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</si>
  <si>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</si>
  <si>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</si>
  <si>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</si>
  <si>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</si>
  <si>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</si>
  <si>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</si>
  <si>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</si>
  <si>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</si>
  <si>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</si>
  <si>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</si>
  <si>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</si>
  <si>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</si>
  <si>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</si>
  <si>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</si>
  <si>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</si>
  <si>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</si>
  <si>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</si>
  <si>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</si>
  <si>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</si>
  <si>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</si>
  <si>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</si>
  <si>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</si>
  <si>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</si>
  <si>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</si>
  <si>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</si>
  <si>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</si>
  <si>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</si>
  <si>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</si>
  <si>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</si>
  <si>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</si>
  <si>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</si>
  <si>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</si>
  <si>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</si>
  <si>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</si>
  <si>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</si>
  <si>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</si>
  <si>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</si>
  <si>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</si>
  <si>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</si>
  <si>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</si>
  <si>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</si>
  <si>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</si>
  <si>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</si>
  <si>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</si>
  <si>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</si>
  <si>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</si>
  <si>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</si>
  <si>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</si>
  <si>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</si>
  <si>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</si>
  <si>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</si>
  <si>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</si>
  <si>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</si>
  <si>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</si>
  <si>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</si>
  <si>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</si>
  <si>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</si>
  <si>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</si>
  <si>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</si>
  <si>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</si>
  <si>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</si>
  <si>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</si>
  <si>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</si>
  <si>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</si>
  <si>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</si>
  <si>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</si>
  <si>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</si>
  <si>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</si>
  <si>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</si>
  <si>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</si>
  <si>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</si>
  <si>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</si>
  <si>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</si>
  <si>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</si>
  <si>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</si>
  <si>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</si>
  <si>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</si>
  <si>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</si>
  <si>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</si>
  <si>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</si>
  <si>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</si>
  <si>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</si>
  <si>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</si>
  <si>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</si>
  <si>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</si>
  <si>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</si>
  <si>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</si>
  <si>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</si>
  <si>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</si>
  <si>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</si>
  <si>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</si>
  <si>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</si>
  <si>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</si>
  <si>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</si>
  <si>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</si>
  <si>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</si>
  <si>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</si>
  <si>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</si>
  <si>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</si>
  <si>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</si>
  <si>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</si>
  <si>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</si>
  <si>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</si>
  <si>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</si>
  <si>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</si>
  <si>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</si>
  <si>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</si>
  <si>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</si>
  <si>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</si>
  <si>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</si>
  <si>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</si>
  <si>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</si>
  <si>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</si>
  <si>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</si>
  <si>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</si>
  <si>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</si>
  <si>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</si>
  <si>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</si>
  <si>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</si>
  <si>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</si>
  <si>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</si>
  <si>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</si>
  <si>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</si>
  <si>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</si>
  <si>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</si>
  <si>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</si>
  <si>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</si>
  <si>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</si>
  <si>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</si>
  <si>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</si>
  <si>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</si>
  <si>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</si>
  <si>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</si>
  <si>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</si>
  <si>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</si>
  <si>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</si>
  <si>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</si>
  <si>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</si>
  <si>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</si>
  <si>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</si>
  <si>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</si>
  <si>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</si>
  <si>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</si>
  <si>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</si>
  <si>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</si>
  <si>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</si>
  <si>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</si>
  <si>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</si>
  <si>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</si>
  <si>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</si>
  <si>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</si>
  <si>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</si>
  <si>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</si>
  <si>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</si>
  <si>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</si>
  <si>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</si>
  <si>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</si>
  <si>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</si>
  <si>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</si>
  <si>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</si>
  <si>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</si>
  <si>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</si>
  <si>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</si>
  <si>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</si>
  <si>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</si>
  <si>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</si>
  <si>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</si>
  <si>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</si>
  <si>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</si>
  <si>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</si>
  <si>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</si>
  <si>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</si>
  <si>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</si>
  <si>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</si>
  <si>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</si>
  <si>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</si>
  <si>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</si>
  <si>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</si>
  <si>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</si>
  <si>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</si>
  <si>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</si>
  <si>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</si>
  <si>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</si>
  <si>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</si>
  <si>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</si>
  <si>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</si>
  <si>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</si>
  <si>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</si>
  <si>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</si>
  <si>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</si>
  <si>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</si>
  <si>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</si>
  <si>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</si>
  <si>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</si>
  <si>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</si>
  <si>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</si>
  <si>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</si>
  <si>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</si>
  <si>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</si>
  <si>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</si>
  <si>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</si>
  <si>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</si>
  <si>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</si>
  <si>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</si>
  <si>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</si>
  <si>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</si>
  <si>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</si>
  <si>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</si>
  <si>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</si>
  <si>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</si>
  <si>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</si>
  <si>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</si>
  <si>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</si>
  <si>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</si>
  <si>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</si>
  <si>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</si>
  <si>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</si>
  <si>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</si>
  <si>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</si>
  <si>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</si>
  <si>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</si>
  <si>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</si>
  <si>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</si>
  <si>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</si>
  <si>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</si>
  <si>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</si>
  <si>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</si>
  <si>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</si>
  <si>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</si>
  <si>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</si>
  <si>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</si>
  <si>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</si>
  <si>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</si>
  <si>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</si>
  <si>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</si>
  <si>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</si>
  <si>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</si>
  <si>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</si>
  <si>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</si>
  <si>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</si>
  <si>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</si>
  <si>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</si>
  <si>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</si>
  <si>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アグニ３毎</t>
    <rPh sb="4" eb="5">
      <t>ゴト</t>
    </rPh>
    <phoneticPr fontId="5"/>
  </si>
  <si>
    <t>ゆの１毎</t>
    <phoneticPr fontId="5"/>
  </si>
  <si>
    <t>ジーク４毎</t>
    <phoneticPr fontId="5"/>
  </si>
  <si>
    <t>ズンマス２毎</t>
    <phoneticPr fontId="5"/>
  </si>
  <si>
    <t>ズンマス３毎</t>
    <phoneticPr fontId="5"/>
  </si>
  <si>
    <t>山崎開幕</t>
    <rPh sb="0" eb="2">
      <t>ヤマザk</t>
    </rPh>
    <rPh sb="2" eb="4">
      <t>カイマk</t>
    </rPh>
    <phoneticPr fontId="5"/>
  </si>
  <si>
    <t>山崎1目</t>
    <rPh sb="0" eb="2">
      <t>ヤマザk</t>
    </rPh>
    <phoneticPr fontId="5"/>
  </si>
  <si>
    <t>山崎３毎</t>
    <rPh sb="0" eb="2">
      <t>ヤマザk</t>
    </rPh>
    <phoneticPr fontId="5"/>
  </si>
  <si>
    <t>山崎１毎確率20</t>
    <rPh sb="0" eb="2">
      <t>ヤマザk</t>
    </rPh>
    <rPh sb="4" eb="6">
      <t>カクリt</t>
    </rPh>
    <phoneticPr fontId="5"/>
  </si>
  <si>
    <t>山崎１毎低プラ</t>
    <rPh sb="0" eb="2">
      <t>ヤマザk</t>
    </rPh>
    <rPh sb="4" eb="5">
      <t>テイ</t>
    </rPh>
    <phoneticPr fontId="5"/>
  </si>
  <si>
    <t>山崎２毎</t>
    <rPh sb="0" eb="2">
      <t>ヤマザk</t>
    </rPh>
    <phoneticPr fontId="5"/>
  </si>
  <si>
    <t>80-1.1</t>
    <phoneticPr fontId="5"/>
  </si>
  <si>
    <t>山崎４毎</t>
    <rPh sb="0" eb="2">
      <t>ヤマザk</t>
    </rPh>
    <phoneticPr fontId="5"/>
  </si>
  <si>
    <t>山崎１毎確率10</t>
    <rPh sb="0" eb="2">
      <t>ヤマザk</t>
    </rPh>
    <rPh sb="4" eb="6">
      <t>カクリt</t>
    </rPh>
    <phoneticPr fontId="5"/>
  </si>
  <si>
    <t>old</t>
    <phoneticPr fontId="5"/>
  </si>
  <si>
    <t>ここにパラムを入力</t>
    <rPh sb="7" eb="9">
      <t>ニュウry</t>
    </rPh>
    <phoneticPr fontId="5"/>
  </si>
  <si>
    <t>山崎pig</t>
    <rPh sb="0" eb="2">
      <t>ヤマザk</t>
    </rPh>
    <phoneticPr fontId="5"/>
  </si>
  <si>
    <t>山崎1毎分断</t>
    <rPh sb="0" eb="2">
      <t>ヤマザk</t>
    </rPh>
    <rPh sb="3" eb="4">
      <t>ゴt</t>
    </rPh>
    <rPh sb="4" eb="6">
      <t>ブンダn</t>
    </rPh>
    <phoneticPr fontId="5"/>
  </si>
  <si>
    <t>山崎1v1</t>
    <rPh sb="0" eb="2">
      <t>ヤマザk</t>
    </rPh>
    <phoneticPr fontId="5"/>
  </si>
  <si>
    <t>山崎2v1</t>
    <rPh sb="0" eb="2">
      <t>ヤマザk</t>
    </rPh>
    <phoneticPr fontId="5"/>
  </si>
  <si>
    <t>山崎6v2</t>
    <rPh sb="0" eb="1">
      <t>ヤマザk</t>
    </rPh>
    <rPh sb="1" eb="2">
      <t>ザk</t>
    </rPh>
    <phoneticPr fontId="5"/>
  </si>
  <si>
    <t>山崎9v1</t>
    <rPh sb="0" eb="2">
      <t>ヤマザk</t>
    </rPh>
    <phoneticPr fontId="5"/>
  </si>
  <si>
    <t>山崎11v1</t>
    <rPh sb="0" eb="2">
      <t>ヤマザk</t>
    </rPh>
    <phoneticPr fontId="5"/>
  </si>
  <si>
    <t>山崎２毎D</t>
    <rPh sb="0" eb="2">
      <t>ヤマザk</t>
    </rPh>
    <rPh sb="3" eb="4">
      <t>ゴt</t>
    </rPh>
    <phoneticPr fontId="5"/>
  </si>
  <si>
    <t>山崎２毎G</t>
    <rPh sb="0" eb="2">
      <t>ヤマザk</t>
    </rPh>
    <phoneticPr fontId="5"/>
  </si>
  <si>
    <t>[effect:tolerance, target:myself, turn:-1, count:-1, tolerance_effect:sleep, animation:enemy_tolerance]</t>
    <phoneticPr fontId="5"/>
  </si>
  <si>
    <t>[effect:rush, count:1, val:1.1]</t>
    <phoneticPr fontId="5"/>
  </si>
  <si>
    <t>[effect:rush, count:1, val:1.2]</t>
    <phoneticPr fontId="5"/>
  </si>
  <si>
    <t>[effect:rush, count:1, val:1.3]</t>
    <phoneticPr fontId="5"/>
  </si>
  <si>
    <t>[effect:rush, count:1, val:1.4]</t>
    <phoneticPr fontId="5"/>
  </si>
  <si>
    <t>[effect:rush, count:3, val:0.6]</t>
    <phoneticPr fontId="5"/>
  </si>
  <si>
    <t>100-1.0</t>
    <phoneticPr fontId="5"/>
  </si>
  <si>
    <t>[effect:rush, count:1, val:1.0]</t>
    <phoneticPr fontId="5"/>
  </si>
  <si>
    <t>60-1.2</t>
    <phoneticPr fontId="5"/>
  </si>
  <si>
    <t>40-1.3</t>
    <phoneticPr fontId="5"/>
  </si>
  <si>
    <t>20-1.4</t>
    <phoneticPr fontId="5"/>
  </si>
  <si>
    <t>クリティカル！</t>
    <phoneticPr fontId="5"/>
  </si>
  <si>
    <t>山崎３毎サドマゾ</t>
    <rPh sb="0" eb="2">
      <t>ヤマザk</t>
    </rPh>
    <phoneticPr fontId="5"/>
  </si>
  <si>
    <t>山崎１毎確率20砂かけ</t>
    <rPh sb="0" eb="2">
      <t>ヤマザk</t>
    </rPh>
    <rPh sb="4" eb="6">
      <t>カクリt</t>
    </rPh>
    <rPh sb="8" eb="9">
      <t>スn</t>
    </rPh>
    <phoneticPr fontId="5"/>
  </si>
  <si>
    <t>1ターン暗闇+単体攻撃</t>
    <rPh sb="4" eb="6">
      <t>クラヤm</t>
    </rPh>
    <rPh sb="7" eb="9">
      <t>タンタ</t>
    </rPh>
    <rPh sb="9" eb="11">
      <t>コウゲk</t>
    </rPh>
    <phoneticPr fontId="5"/>
  </si>
  <si>
    <t>2ターン全ユニットにウィルス</t>
    <rPh sb="4" eb="5">
      <t>ゼンタ</t>
    </rPh>
    <phoneticPr fontId="5"/>
  </si>
  <si>
    <t>テウス３毎</t>
    <rPh sb="4" eb="5">
      <t>ゴト</t>
    </rPh>
    <phoneticPr fontId="5"/>
  </si>
  <si>
    <t>スリープ耐性</t>
    <rPh sb="4" eb="6">
      <t>タイセ</t>
    </rPh>
    <phoneticPr fontId="5"/>
  </si>
  <si>
    <t>山崎1目攻撃力UP告知</t>
    <rPh sb="0" eb="2">
      <t>ヤマザk</t>
    </rPh>
    <rPh sb="4" eb="7">
      <t>コウゲキリョク</t>
    </rPh>
    <rPh sb="9" eb="11">
      <t>コクt</t>
    </rPh>
    <phoneticPr fontId="5"/>
  </si>
  <si>
    <t>単体攻撃</t>
    <rPh sb="0" eb="4">
      <t>タンタイコ</t>
    </rPh>
    <phoneticPr fontId="5"/>
  </si>
  <si>
    <t>3回連続攻撃</t>
    <rPh sb="2" eb="6">
      <t>レンゾk</t>
    </rPh>
    <phoneticPr fontId="5"/>
  </si>
  <si>
    <t>山崎４毎蛇使い</t>
    <rPh sb="0" eb="2">
      <t>ヤマザk</t>
    </rPh>
    <rPh sb="4" eb="6">
      <t>ヘビツカ</t>
    </rPh>
    <phoneticPr fontId="5"/>
  </si>
  <si>
    <t>1ターン暗闇+単体攻撃</t>
    <phoneticPr fontId="5"/>
  </si>
  <si>
    <t>山崎１毎確率10砂かけ</t>
    <rPh sb="0" eb="2">
      <t>ヤマザk</t>
    </rPh>
    <rPh sb="4" eb="6">
      <t>カクリt</t>
    </rPh>
    <rPh sb="8" eb="9">
      <t>スn</t>
    </rPh>
    <phoneticPr fontId="5"/>
  </si>
  <si>
    <t>山崎1v1コンボ音声1</t>
    <rPh sb="0" eb="2">
      <t>ヤマザk</t>
    </rPh>
    <rPh sb="8" eb="10">
      <t>オンセ</t>
    </rPh>
    <phoneticPr fontId="5"/>
  </si>
  <si>
    <t>山崎2v1コンボ音声2</t>
    <rPh sb="0" eb="2">
      <t>ヤマザk</t>
    </rPh>
    <rPh sb="8" eb="10">
      <t>オンセ</t>
    </rPh>
    <phoneticPr fontId="5"/>
  </si>
  <si>
    <t>山崎6v2蛇使い</t>
    <rPh sb="0" eb="1">
      <t>ヤマザk</t>
    </rPh>
    <rPh sb="1" eb="2">
      <t>ザk</t>
    </rPh>
    <rPh sb="5" eb="7">
      <t>ヘビツカ</t>
    </rPh>
    <phoneticPr fontId="5"/>
  </si>
  <si>
    <t>3回連続攻撃</t>
    <rPh sb="2" eb="4">
      <t>レンゾk</t>
    </rPh>
    <rPh sb="4" eb="6">
      <t>コウゲk</t>
    </rPh>
    <phoneticPr fontId="5"/>
  </si>
  <si>
    <t>山崎9v1匕首</t>
    <rPh sb="0" eb="2">
      <t>ヤマザk</t>
    </rPh>
    <rPh sb="5" eb="7">
      <t>アイクt</t>
    </rPh>
    <phoneticPr fontId="5"/>
  </si>
  <si>
    <t>山崎11v1倍返しとか？</t>
    <rPh sb="0" eb="2">
      <t>ヤマザk</t>
    </rPh>
    <rPh sb="6" eb="8">
      <t>バ</t>
    </rPh>
    <phoneticPr fontId="5"/>
  </si>
  <si>
    <t>[表示しない]</t>
    <rPh sb="1" eb="3">
      <t>ヒョ</t>
    </rPh>
    <phoneticPr fontId="5"/>
  </si>
  <si>
    <t>セリフ</t>
    <phoneticPr fontId="5"/>
  </si>
  <si>
    <t>…あの男には近づくな</t>
    <rPh sb="6" eb="7">
      <t>チカヅk</t>
    </rPh>
    <phoneticPr fontId="5"/>
  </si>
  <si>
    <t>ふさわしいか
試してやる！</t>
    <rPh sb="7" eb="8">
      <t>タメs</t>
    </rPh>
    <phoneticPr fontId="5"/>
  </si>
  <si>
    <t>後悔するぞ！</t>
    <rPh sb="0" eb="2">
      <t>コウカ</t>
    </rPh>
    <phoneticPr fontId="5"/>
  </si>
  <si>
    <t>オラオラァ！</t>
    <phoneticPr fontId="5"/>
  </si>
  <si>
    <t>シャァアッ！</t>
    <phoneticPr fontId="5"/>
  </si>
  <si>
    <t>かかってこいよ…！</t>
    <phoneticPr fontId="5"/>
  </si>
  <si>
    <t>もう泣いても知らないよ</t>
    <rPh sb="2" eb="3">
      <t>ナイt</t>
    </rPh>
    <rPh sb="6" eb="7">
      <t>シラn</t>
    </rPh>
    <phoneticPr fontId="5"/>
  </si>
  <si>
    <t>ひゃーっはははぁっ！</t>
    <phoneticPr fontId="5"/>
  </si>
  <si>
    <t>消し飛びなぁ！</t>
    <rPh sb="0" eb="1">
      <t>ケs</t>
    </rPh>
    <phoneticPr fontId="5"/>
  </si>
  <si>
    <t>そんなもんかぁ！？</t>
    <phoneticPr fontId="5"/>
  </si>
  <si>
    <t>[表示しない]</t>
    <phoneticPr fontId="5"/>
  </si>
  <si>
    <t>このっアマチュアがぁ！！</t>
    <phoneticPr fontId="5"/>
  </si>
  <si>
    <t>いっぺん死んでこぉい！！</t>
    <rPh sb="4" eb="5">
      <t>シンd</t>
    </rPh>
    <phoneticPr fontId="5"/>
  </si>
  <si>
    <t>あぁ？なんだてめぇは…</t>
    <phoneticPr fontId="5"/>
  </si>
  <si>
    <t>ひゃははっ！</t>
    <phoneticPr fontId="5"/>
  </si>
  <si>
    <t>ここは外道の巣窟だ…</t>
    <rPh sb="3" eb="5">
      <t>ゲド</t>
    </rPh>
    <rPh sb="6" eb="8">
      <t>ソウクt</t>
    </rPh>
    <phoneticPr fontId="5"/>
  </si>
  <si>
    <t>物足りねぇな…！</t>
    <phoneticPr fontId="5"/>
  </si>
  <si>
    <t>オラオラァ！</t>
    <phoneticPr fontId="5"/>
  </si>
  <si>
    <t>ガキは帰んな！</t>
    <rPh sb="3" eb="4">
      <t>カエn</t>
    </rPh>
    <phoneticPr fontId="5"/>
  </si>
  <si>
    <t>てめェみたいのが
来るとこじゃないよ！</t>
    <rPh sb="9" eb="10">
      <t>クr</t>
    </rPh>
    <phoneticPr fontId="5"/>
  </si>
  <si>
    <t>[effect:enemy_counter, target:myself, invoke_condition:unit_all, counter_target:attacker, turn:1, val:1.2, animation:enemy_counter]</t>
    <phoneticPr fontId="5"/>
  </si>
  <si>
    <t>オラオラァ！！</t>
    <phoneticPr fontId="5"/>
  </si>
  <si>
    <t>オラオラァ！！！</t>
    <phoneticPr fontId="5"/>
  </si>
  <si>
    <t>[effect:enemy_counter, target:myself, invoke_condition:unit_all, counter_target:attacker, turn:1, val:0.6, animation:enemy_counter],
[effect:drop_block, block_type:crack_bomb, color:block_all, val:16, rate:0.2, turn:1, animation:bomb_influence04]</t>
    <phoneticPr fontId="5"/>
  </si>
  <si>
    <t>[effect:damage_abnormal, target:unit_all, val:0.2, status:virus, turn:2, val_abnormal:0.05, animation:enemy_virus]</t>
    <phoneticPr fontId="5"/>
  </si>
  <si>
    <t>[effect:virus, turn:2, rate:1, val:0.05, animation:enemy_virus]</t>
    <phoneticPr fontId="5"/>
  </si>
  <si>
    <t>[effect:enemy_counter, target:myself, invoke_condition:unit_all, counter_target:attacker, turn:1, val:0.9, animation:enemy_counter],
[effect:drop_block, block_type:crack_bomb, color:block_all, val:16, rate:0.2, turn:1, animation:bomb_influence04]</t>
    <phoneticPr fontId="5"/>
  </si>
  <si>
    <t>[effect:damage_abnormal, target:unit_one, val:1.0, status:virus, turn:3, val_abnormal:0.4, animation:enemy_virus]</t>
    <phoneticPr fontId="5"/>
  </si>
  <si>
    <t>[effect:critical, val:1.4, animation:enemy_critical]</t>
    <phoneticPr fontId="5"/>
  </si>
  <si>
    <t>[effect:damage_abnormal, target:unit_one, val:1.0, status:virus, turn:2, val_abnormal:0.2, animation:enemy_virus]</t>
    <phoneticPr fontId="5"/>
  </si>
  <si>
    <t>[effect:damage_abnormal, target:unit_one, val:1.2, status:virus, turn:2, val_abnormal:0.2, animation:enemy_virus]</t>
    <phoneticPr fontId="5"/>
  </si>
  <si>
    <t>[effect:damage_abnormal, target:unit_one, val:1.3, status:virus, turn:2, val_abnormal:0.2, animation:enemy_virus]</t>
    <phoneticPr fontId="5"/>
  </si>
  <si>
    <t>[effect:damage_abnormal, target:unit_one, val:1.4, status:virus, turn:2, val_abnormal:0.2, animation:enemy_virus]</t>
    <phoneticPr fontId="5"/>
  </si>
  <si>
    <t>[effect:damage_abnormal, target:unit_one, val:1.5, status:virus, turn:2, val_abnormal:0.2, animation:enemy_virus]</t>
    <phoneticPr fontId="5"/>
  </si>
  <si>
    <t>[effect:critical, val:1.5, animation:enemy_critical]</t>
    <phoneticPr fontId="5"/>
  </si>
  <si>
    <t>pig</t>
    <phoneticPr fontId="5"/>
  </si>
  <si>
    <t>かかってこいよ…！！</t>
    <phoneticPr fontId="5"/>
  </si>
  <si>
    <t>ケッ…ブチのめされなきゃ
わかんねぇみてぇだなぁ…！</t>
    <phoneticPr fontId="5"/>
  </si>
  <si>
    <t>[effect:damage_abnormal, target:unit_one, val:0.9, status:virus, turn:3, val_abnormal:0.3, animation:enemy_virus]</t>
    <phoneticPr fontId="5"/>
  </si>
  <si>
    <t>[effect:damage_abnormal, target:unit_one, val:1.6, status:virus, turn:2, val_abnormal:0.2, animation:enemy_virus]</t>
    <phoneticPr fontId="5"/>
  </si>
  <si>
    <t>表示確認欄</t>
    <rPh sb="0" eb="2">
      <t>ヒョ</t>
    </rPh>
    <rPh sb="2" eb="4">
      <t>カクニn</t>
    </rPh>
    <rPh sb="4" eb="5">
      <t>ラン</t>
    </rPh>
    <phoneticPr fontId="5"/>
  </si>
  <si>
    <t>文字数</t>
    <rPh sb="0" eb="3">
      <t>モジス</t>
    </rPh>
    <phoneticPr fontId="5"/>
  </si>
  <si>
    <t>old</t>
    <phoneticPr fontId="7"/>
  </si>
  <si>
    <t>[effect:damage_abnormal, target:unit_one, val:1.0, status:virus, turn:2, val_abnormal:0.2, animation:enemy_virus]</t>
    <phoneticPr fontId="5"/>
  </si>
  <si>
    <t>奥に進むのは
やめとくんだね</t>
    <rPh sb="0" eb="1">
      <t>オクn</t>
    </rPh>
    <rPh sb="2" eb="3">
      <t>ススm</t>
    </rPh>
    <phoneticPr fontId="5"/>
  </si>
  <si>
    <t>[effect:enemy_counter, target:myself, invoke_condition:unit_all, counter_target:attacker, turn:1, val:1.0, animation:enemy_counter]</t>
    <phoneticPr fontId="5"/>
  </si>
  <si>
    <t>[effect:damage_anti_abnormal, target:unit_all, target_effect01:virus, val1:0.5, val2:0.2]</t>
    <phoneticPr fontId="5"/>
  </si>
  <si>
    <t>[effect:rush, count:1, val:0.5],
[effect:dark, target:unit_all, turn:1, animation:enemy_dark]</t>
    <phoneticPr fontId="5"/>
  </si>
  <si>
    <t>[effect:rush, count:3, val:0.52]</t>
    <phoneticPr fontId="5"/>
  </si>
  <si>
    <t>[effect:rush, count:1, val:0.5],
[effect:dark, target:unit_all, turn:1, animation:enemy_dark]</t>
    <phoneticPr fontId="5"/>
  </si>
  <si>
    <t>百年早ぇんだよ、
この雑魚がぁ！！</t>
    <rPh sb="0" eb="2">
      <t>100ネn</t>
    </rPh>
    <rPh sb="2" eb="3">
      <t>ハヤ</t>
    </rPh>
    <rPh sb="11" eb="13">
      <t>ザk</t>
    </rPh>
    <phoneticPr fontId="5"/>
  </si>
  <si>
    <t>KOFXIV、餓狼3</t>
  </si>
  <si>
    <t>山崎開幕</t>
  </si>
  <si>
    <t>山崎1毎分断</t>
  </si>
  <si>
    <t>作成</t>
    <rPh sb="0" eb="2">
      <t>サクセ</t>
    </rPh>
    <phoneticPr fontId="5"/>
  </si>
  <si>
    <t>山崎1毎分断</t>
    <phoneticPr fontId="5"/>
  </si>
  <si>
    <t>オラァッ！</t>
  </si>
  <si>
    <t>オラァッ！</t>
    <phoneticPr fontId="5"/>
  </si>
  <si>
    <t>クソがぁっ！</t>
  </si>
  <si>
    <t>クソがぁっ！</t>
    <phoneticPr fontId="5"/>
  </si>
  <si>
    <t>KOFXIV、98なら「ぐへぁ…っ！」とか
「ギィヤァー…ッ」みたいな</t>
    <phoneticPr fontId="5"/>
  </si>
  <si>
    <t>KOFXIV
作成代案だと「逃げ回れやぁッ！」
「避けてみやがれぇっ！」みたいな</t>
    <rPh sb="7" eb="9">
      <t>サクセ</t>
    </rPh>
    <rPh sb="9" eb="11">
      <t>ダイアn</t>
    </rPh>
    <rPh sb="14" eb="15">
      <t>ニゲマワr</t>
    </rPh>
    <rPh sb="25" eb="26">
      <t>ヨケt</t>
    </rPh>
    <phoneticPr fontId="5"/>
  </si>
  <si>
    <t>地獄行きだぁあっ！</t>
  </si>
  <si>
    <t>地獄行きだぁあっ！</t>
    <rPh sb="0" eb="2">
      <t>ジゴk</t>
    </rPh>
    <rPh sb="2" eb="3">
      <t>イk</t>
    </rPh>
    <phoneticPr fontId="5"/>
  </si>
  <si>
    <t>返すぜぇ！</t>
  </si>
  <si>
    <t>返すぜぇ！</t>
    <rPh sb="0" eb="1">
      <t>カ</t>
    </rPh>
    <phoneticPr fontId="5"/>
  </si>
  <si>
    <t>このっアマチュアがぁ！！</t>
  </si>
  <si>
    <t>いっぺん死んでこぉい！！</t>
  </si>
  <si>
    <t>シャァアッ！</t>
  </si>
  <si>
    <t>ウィルスの餌食に
なりたいの？</t>
    <phoneticPr fontId="5"/>
  </si>
  <si>
    <t>本気にさせた、
てめぇが悪ぃんだぜぇ！？</t>
    <rPh sb="0" eb="2">
      <t>ホn</t>
    </rPh>
    <rPh sb="12" eb="13">
      <t>ワル</t>
    </rPh>
    <phoneticPr fontId="5"/>
  </si>
  <si>
    <t>[effect:enhance_enemy, target:myself, turn:-1, status:attack, val:0.9, calc:mul, animation:enemy_enhance_attack]</t>
    <phoneticPr fontId="5"/>
  </si>
  <si>
    <t>倍返し</t>
    <rPh sb="0" eb="2">
      <t>バイガエs</t>
    </rPh>
    <phoneticPr fontId="5"/>
  </si>
  <si>
    <t>ドリル</t>
    <phoneticPr fontId="5"/>
  </si>
  <si>
    <t>ギロチン</t>
    <phoneticPr fontId="5"/>
  </si>
  <si>
    <t>サドマゾ</t>
    <phoneticPr fontId="5"/>
  </si>
  <si>
    <t>砂かけ</t>
    <rPh sb="0" eb="1">
      <t>スナk</t>
    </rPh>
    <phoneticPr fontId="5"/>
  </si>
  <si>
    <t>挑発セリフ</t>
    <rPh sb="0" eb="2">
      <t>チョ</t>
    </rPh>
    <phoneticPr fontId="5"/>
  </si>
  <si>
    <t>砂かけ</t>
    <rPh sb="0" eb="1">
      <t>スn</t>
    </rPh>
    <phoneticPr fontId="5"/>
  </si>
  <si>
    <t>蛇使い</t>
    <rPh sb="0" eb="2">
      <t>ヘビツカ</t>
    </rPh>
    <phoneticPr fontId="5"/>
  </si>
  <si>
    <t>ウィルス状態のユニットに
大ダメージの全体攻撃</t>
    <rPh sb="4" eb="6">
      <t>ジョ</t>
    </rPh>
    <rPh sb="13" eb="14">
      <t>ダ</t>
    </rPh>
    <rPh sb="19" eb="21">
      <t>ゼンタ</t>
    </rPh>
    <rPh sb="21" eb="23">
      <t>コウゲk</t>
    </rPh>
    <phoneticPr fontId="5"/>
  </si>
  <si>
    <t>1ターン全属性の攻撃をカウンター+
1ターン高確率でボムパネルがドロップ</t>
    <rPh sb="4" eb="7">
      <t>ゼn</t>
    </rPh>
    <rPh sb="8" eb="10">
      <t>コウゲk</t>
    </rPh>
    <rPh sb="22" eb="23">
      <t>コ</t>
    </rPh>
    <rPh sb="23" eb="25">
      <t>カクr</t>
    </rPh>
    <phoneticPr fontId="5"/>
  </si>
  <si>
    <t>1ターン全属性の攻撃をカウンター+
1ターン高確率でボムパネルがドロップ</t>
    <phoneticPr fontId="5"/>
  </si>
  <si>
    <t>全体攻撃+
2ターン全ユニットにウィルス</t>
    <rPh sb="0" eb="2">
      <t>ゼンタ</t>
    </rPh>
    <rPh sb="2" eb="4">
      <t>コウゲk</t>
    </rPh>
    <phoneticPr fontId="5"/>
  </si>
  <si>
    <t>特定エリアを青&amp;赤パネルに変換+
1ターン青&amp;赤パネルが出現しない+
タップ回数を1にする+単体攻撃
【次のターン青か赤のパネル吸収攻撃！】</t>
    <rPh sb="0" eb="2">
      <t>トクテ</t>
    </rPh>
    <rPh sb="6" eb="7">
      <t>ア</t>
    </rPh>
    <rPh sb="8" eb="9">
      <t>アk</t>
    </rPh>
    <rPh sb="13" eb="15">
      <t>ヘンk</t>
    </rPh>
    <rPh sb="21" eb="22">
      <t>ア</t>
    </rPh>
    <rPh sb="23" eb="24">
      <t>アカ</t>
    </rPh>
    <rPh sb="28" eb="30">
      <t>シュt</t>
    </rPh>
    <rPh sb="38" eb="40">
      <t>カイス</t>
    </rPh>
    <rPh sb="46" eb="50">
      <t>タンタ</t>
    </rPh>
    <rPh sb="52" eb="53">
      <t>ツg</t>
    </rPh>
    <rPh sb="57" eb="58">
      <t>ア</t>
    </rPh>
    <rPh sb="59" eb="60">
      <t>アk</t>
    </rPh>
    <rPh sb="64" eb="66">
      <t>キュウシュ</t>
    </rPh>
    <rPh sb="66" eb="68">
      <t>コウゲk</t>
    </rPh>
    <phoneticPr fontId="5"/>
  </si>
  <si>
    <t>消し飛びなぁ！</t>
    <rPh sb="0" eb="1">
      <t>ケシトb</t>
    </rPh>
    <phoneticPr fontId="5"/>
  </si>
  <si>
    <t>特定エリアを青&amp;赤パネルに変換+
1ターン青&amp;赤パネルが出現しない+
タップ回数を1にする+単体攻撃
【次のターン青か赤のパネル吸収攻撃！】</t>
  </si>
  <si>
    <t>赤パネルを吸収して攻撃(最大24個)</t>
  </si>
  <si>
    <t>赤パネルを吸収して攻撃(最大24個)</t>
    <rPh sb="0" eb="1">
      <t>アk</t>
    </rPh>
    <rPh sb="5" eb="7">
      <t>キュウシュ</t>
    </rPh>
    <rPh sb="9" eb="11">
      <t>タンタ</t>
    </rPh>
    <rPh sb="12" eb="14">
      <t>サイダ</t>
    </rPh>
    <rPh sb="16" eb="17">
      <t>コ</t>
    </rPh>
    <phoneticPr fontId="5"/>
  </si>
  <si>
    <t>青パネルを吸収して攻撃(最大24個)</t>
  </si>
  <si>
    <t>青パネルを吸収して攻撃(最大24個)</t>
    <rPh sb="0" eb="1">
      <t>ア</t>
    </rPh>
    <rPh sb="5" eb="7">
      <t>キュウシュ</t>
    </rPh>
    <rPh sb="9" eb="11">
      <t>コウゲk</t>
    </rPh>
    <phoneticPr fontId="5"/>
  </si>
  <si>
    <t>[effect:break_attack_fix, target:unit_one, val:360, lowest_val:1, count:24, color:yellow, block01:block_blue]</t>
    <phoneticPr fontId="5"/>
  </si>
  <si>
    <t>[effect:break_attack_fix, target:unit_one, val:300, lowest_val:1, count:24, color:yellow, block01:block_red]</t>
    <phoneticPr fontId="5"/>
  </si>
  <si>
    <t>[effect:break_attack_fix, target:unit_one, val:300, lowest_val:1, count:24, color:yellow, block01:block_blue]</t>
    <phoneticPr fontId="5"/>
  </si>
  <si>
    <t>[effect:break_attack_fix, target:unit_one, val:130, lowest_val:1, count:24, color:yellow, block01:block_red]</t>
    <phoneticPr fontId="5"/>
  </si>
  <si>
    <t>[effect:break_attack_fix, target:unit_one, val:130, lowest_val:1, count:24, color:yellow, block01:block_blue]</t>
    <phoneticPr fontId="5"/>
  </si>
  <si>
    <t>本気にさせた、
てめぇが悪ぃんだぜぇ！？</t>
  </si>
  <si>
    <t>スリープ耐性</t>
  </si>
  <si>
    <t>クリティカル！</t>
  </si>
  <si>
    <t>3回連続攻撃</t>
  </si>
  <si>
    <t>消し飛びなぁ！</t>
  </si>
  <si>
    <t>オラオラァ！</t>
  </si>
  <si>
    <t>オラオラァ！！</t>
  </si>
  <si>
    <t>オラオラァ！！！</t>
  </si>
  <si>
    <t>[effect:change_range_block, block_change:1, base_type:0, square_count:2, position01:0, value_h01:1, value_w01:2, new_block:block_blue, target:block_all, ignore01:block_positive, count:0, val:0, animation:change_range_block],
[effect:change_range_block, block_change:1, base_type:0, square_count:2, position01:2, value_h01:1, value_w01:2, new_block:block_red, target:block_all, ignore01:block_positive, count:0, val:0, animation:change_range_block],
[effect:degrade_unit, target:unit_all, turn:1, status:action, val:2, calc:add, animation:enemy_tap_down],
[effect:rush, count:1, val:0.6],
[effect:change_panel_ratio, turn:1, block_type:blue, val:0],
[effect:change_panel_ratio, turn:1, block_type:red, val:0]</t>
  </si>
  <si>
    <t>[effect:change_range_block, block_change:1, base_type:0, square_count:2, position01:0, value_h01:1, value_w01:2, new_block:block_blue, target:block_all, ignore01:block_positive, count:0, val:0, animation:change_range_block],
[effect:change_range_block, block_change:1, base_type:0, square_count:2, position01:2, value_h01:1, value_w01:2, new_block:block_red, target:block_all, ignore01:block_positive, count:0, val:0, animation:change_range_block],
[effect:degrade_unit, target:unit_all, turn:1, status:action, val:2, calc:add, animation:enemy_tap_down],
[effect:rush, count:1, val:0.6],
[effect:change_panel_ratio, turn:1, block_type:blue, val:0],
[effect:change_panel_ratio, turn:1, block_type:red, val:0]</t>
    <phoneticPr fontId="5"/>
  </si>
  <si>
    <t>[effect:break_attack_fix, target:unit_one, val:360, lowest_val:1, count:24, color:yellow, block01:block_red]</t>
    <phoneticPr fontId="5"/>
  </si>
  <si>
    <t>1ターン全属性の攻撃をカウンター</t>
    <rPh sb="4" eb="7">
      <t>ゼn</t>
    </rPh>
    <rPh sb="8" eb="10">
      <t>コウゲk</t>
    </rPh>
    <phoneticPr fontId="5"/>
  </si>
  <si>
    <t>complete</t>
    <phoneticPr fontId="5"/>
  </si>
  <si>
    <t>[effect:break_attack_fix, target:unit_one, val:250, lowest_val:1, count:24, color:yellow, block01:block_red]</t>
    <phoneticPr fontId="5"/>
  </si>
  <si>
    <t>[effect:break_attack_fix, target:unit_one, val:250, lowest_val:1, count:24, color:yellow, block01:block_blue]</t>
    <phoneticPr fontId="5"/>
  </si>
  <si>
    <t>failure</t>
    <phoneticPr fontId="5"/>
  </si>
  <si>
    <t>ド素人が邪魔しようってのか…？</t>
    <rPh sb="4" eb="6">
      <t>ジャm</t>
    </rPh>
    <phoneticPr fontId="5"/>
  </si>
  <si>
    <t>攻撃力大UP
【山崎はHPが減るほど強くなる！】</t>
    <rPh sb="0" eb="3">
      <t>コウゲk</t>
    </rPh>
    <rPh sb="3" eb="4">
      <t>ダ</t>
    </rPh>
    <rPh sb="8" eb="10">
      <t>ヤマザk</t>
    </rPh>
    <rPh sb="14" eb="15">
      <t>ヘr</t>
    </rPh>
    <rPh sb="18" eb="19">
      <t>ツヨk</t>
    </rPh>
    <phoneticPr fontId="5"/>
  </si>
  <si>
    <t>1ターン全属性の攻撃をカウンター</t>
  </si>
  <si>
    <t>京6</t>
  </si>
  <si>
    <t>京6</t>
    <rPh sb="0" eb="1">
      <t>キョウ</t>
    </rPh>
    <phoneticPr fontId="5"/>
  </si>
  <si>
    <t>京5</t>
    <rPh sb="0" eb="1">
      <t>キョ</t>
    </rPh>
    <phoneticPr fontId="5"/>
  </si>
  <si>
    <t>舞6</t>
    <rPh sb="0" eb="1">
      <t>マイ</t>
    </rPh>
    <phoneticPr fontId="5"/>
  </si>
  <si>
    <t>舞5</t>
    <rPh sb="0" eb="1">
      <t>マ</t>
    </rPh>
    <phoneticPr fontId="5"/>
  </si>
  <si>
    <t>テリー6</t>
    <phoneticPr fontId="5"/>
  </si>
  <si>
    <t>テリー5</t>
    <phoneticPr fontId="5"/>
  </si>
  <si>
    <t>アテナ6</t>
    <phoneticPr fontId="5"/>
  </si>
  <si>
    <t>アテナ5</t>
    <phoneticPr fontId="5"/>
  </si>
  <si>
    <t>95京6</t>
    <phoneticPr fontId="5"/>
  </si>
  <si>
    <t>95京5</t>
    <rPh sb="2" eb="3">
      <t>キョウ</t>
    </rPh>
    <phoneticPr fontId="5"/>
  </si>
  <si>
    <t>ハンデだ、使えよ……
…後悔するぞ、コラァッ！</t>
    <rPh sb="5" eb="6">
      <t>ツカエ</t>
    </rPh>
    <rPh sb="12" eb="14">
      <t>コウk</t>
    </rPh>
    <phoneticPr fontId="5"/>
  </si>
  <si>
    <t>なんだ姉ちゃんよぉ…
酌でもしてくれるってのか！？</t>
    <rPh sb="3" eb="4">
      <t>ネエチャn</t>
    </rPh>
    <rPh sb="11" eb="12">
      <t>syakudemo</t>
    </rPh>
    <phoneticPr fontId="5"/>
  </si>
  <si>
    <t>相変わらず使い捨てライターなみの
ショボさだな、その火はよ！</t>
    <rPh sb="0" eb="2">
      <t>アイカワラz</t>
    </rPh>
    <rPh sb="5" eb="6">
      <t>ツカ</t>
    </rPh>
    <rPh sb="26" eb="27">
      <t>ヒ</t>
    </rPh>
    <phoneticPr fontId="5"/>
  </si>
  <si>
    <t>あぁ？火遊びなら他所でやれ
このタコがっ！</t>
    <rPh sb="3" eb="5">
      <t>ヒアソb</t>
    </rPh>
    <rPh sb="8" eb="10">
      <t>ヨソd</t>
    </rPh>
    <phoneticPr fontId="5"/>
  </si>
  <si>
    <t>そのツラ忘れねぇぞぉおっ…！！</t>
    <rPh sb="4" eb="5">
      <t>ワスr</t>
    </rPh>
    <phoneticPr fontId="5"/>
  </si>
  <si>
    <t>覚えてやがれぇええっ…！！</t>
    <phoneticPr fontId="5"/>
  </si>
  <si>
    <t>KOF専用</t>
    <rPh sb="3" eb="5">
      <t>センヨ</t>
    </rPh>
    <phoneticPr fontId="5"/>
  </si>
  <si>
    <t>あぁ？なんだクソアマ…
ブッさされてぇか！？</t>
    <phoneticPr fontId="5"/>
  </si>
  <si>
    <t xml:space="preserve">山崎はその凶暴性から
ALICEのアンダーグラウンドでも
恐れられていました
</t>
  </si>
  <si>
    <t>攻略のヒント</t>
  </si>
  <si>
    <t>犯行計画</t>
  </si>
  <si>
    <t>極悪外道</t>
  </si>
  <si>
    <t>蔓延するウィルス</t>
  </si>
  <si>
    <t>KOF専用2</t>
    <rPh sb="3" eb="5">
      <t>センヨ</t>
    </rPh>
    <phoneticPr fontId="5"/>
  </si>
  <si>
    <t>[effect:enemy_message, val1:1.8, val2:0.0]</t>
    <phoneticPr fontId="5"/>
  </si>
  <si>
    <t>[effect:enemy_message, val1:2.0, val2:0.0]</t>
    <phoneticPr fontId="5"/>
  </si>
  <si>
    <t>単体攻撃+
2ターンユニット1体にウィルス</t>
    <rPh sb="0" eb="4">
      <t>タンタ</t>
    </rPh>
    <rPh sb="15" eb="16">
      <t>taini</t>
    </rPh>
    <phoneticPr fontId="5"/>
  </si>
  <si>
    <t>単体攻撃+
3ターンユニット1体にウィルス</t>
    <rPh sb="15" eb="16">
      <t>タ</t>
    </rPh>
    <phoneticPr fontId="5"/>
  </si>
  <si>
    <t>単体攻撃+
2ターンユニット1体にウィルス</t>
    <rPh sb="15" eb="16">
      <t>タ</t>
    </rPh>
    <phoneticPr fontId="5"/>
  </si>
  <si>
    <t>単体攻撃+
3ターンユニット1体にウィルス</t>
    <phoneticPr fontId="5"/>
  </si>
  <si>
    <t>単体攻撃+
2ターンユニット1体にウィルス</t>
    <phoneticPr fontId="5"/>
  </si>
  <si>
    <t>full_member</t>
    <phoneticPr fontId="5"/>
  </si>
  <si>
    <t>link</t>
    <phoneticPr fontId="5"/>
  </si>
  <si>
    <t>base_character_id</t>
    <phoneticPr fontId="5"/>
  </si>
  <si>
    <t>base_character_id</t>
    <phoneticPr fontId="5"/>
  </si>
  <si>
    <t>NULL</t>
  </si>
  <si>
    <t>'95 草薙京</t>
  </si>
  <si>
    <t>俺の炎で燃えつきちまいな！
弱い奴に用はねえぜ！</t>
  </si>
  <si>
    <t>麻宮アテナ</t>
  </si>
  <si>
    <t>全身全霊をかけた試合、楽しかったです。
ありがとうございました！</t>
  </si>
  <si>
    <t>クリス</t>
  </si>
  <si>
    <t>おしまいですか？ふふっ、つまんないの！</t>
  </si>
  <si>
    <t>キング</t>
  </si>
  <si>
    <t>戦いに性別は関係ない。
最後に立っていた奴が、強者だ！
わかるだろ！</t>
  </si>
  <si>
    <t>神楽ちづる</t>
  </si>
  <si>
    <t>遊びがすぎます。それでは勝つ事はおろか、
私に触れる事も出来ませんね</t>
  </si>
  <si>
    <t>二階堂紅丸</t>
  </si>
  <si>
    <t>いったい何にしびれてる？
電撃か？それとも俺の美貌にかい？</t>
  </si>
  <si>
    <t>不知火舞</t>
  </si>
  <si>
    <t>ナイスバディで最強の格闘家の
私に勝とうなんてやっぱ、無謀って感じぃ！</t>
  </si>
  <si>
    <t>草薙京</t>
  </si>
  <si>
    <t>何が足りねえかわかったろ？
へこんでる暇はないはずだぜ！</t>
  </si>
  <si>
    <t>大門五郎</t>
  </si>
  <si>
    <t>これが答えだ…！</t>
  </si>
  <si>
    <t>リョウ・サカザキ</t>
  </si>
  <si>
    <t>絶対無比の空手！
それが極限流だ！覚えておく事だぜ！</t>
  </si>
  <si>
    <t>ユリ・サカザキ</t>
  </si>
  <si>
    <t>勝負は勝負！
負けたからってスネちゃダメよ！</t>
  </si>
  <si>
    <t>ロバート・ガルシア</t>
  </si>
  <si>
    <t>ワイの力みくびるなんて
まだまだ、ひよっこって事やな！</t>
  </si>
  <si>
    <t>テリー・ボガード</t>
  </si>
  <si>
    <t>甘い夢を見続けるなら、
夢の中だけで十分だぜ！
現実は厳しいって事だ！</t>
  </si>
  <si>
    <t>アンディ・ボガード</t>
  </si>
  <si>
    <t>相手の力量を見誤ると大怪我するよ。
気をつけるんだ！</t>
  </si>
  <si>
    <t>ジョー・東</t>
  </si>
  <si>
    <t>勝利者はいつもこの俺！ジョー東様よ！
そこんとこ勘違いしちゃいけねーぜ！</t>
  </si>
  <si>
    <t>八神庵</t>
  </si>
  <si>
    <t>失せろ！キサマ等にくれてやるのは
痛み、苦しみという名の慈悲だけだ！！！</t>
  </si>
  <si>
    <t>バイス</t>
  </si>
  <si>
    <t>意識が無くなるまでしばらくあるよ。
好きな歌でも口ずさんで待つんだね</t>
  </si>
  <si>
    <t>マチュア</t>
  </si>
  <si>
    <t>おやすみなさい。百万回のごきげんよう…</t>
  </si>
  <si>
    <t>キム・カッファン</t>
  </si>
  <si>
    <t>いい試合でした。
私もつい本気になってしまったようです！
ハッハッハ！！</t>
  </si>
  <si>
    <t>チョイ・ボンゲ</t>
  </si>
  <si>
    <t>ってゆっかー、じぶんらよわすぎぃー、
みたいなぁーでヤンスぅー</t>
  </si>
  <si>
    <t>チャン・コーハン</t>
  </si>
  <si>
    <t>なんでぇ。
もう、オレのオモチャが壊れちまったぜ！！
面白くねえな！</t>
  </si>
  <si>
    <t>山崎竜二</t>
  </si>
  <si>
    <t>いちいちシャクに触る野郎だなぁ！
沈めるぞ！！</t>
  </si>
  <si>
    <t>アンダーグラウンドのエネミーたちは
連携すると強力です
強い敵を見極めて1体ずつ倒しましょう</t>
  </si>
  <si>
    <t>敵のカウンター攻撃に対しては
ハートパネルだけを割ったり
スキルやフィーバーで倒しきると
反撃によるダメージを避けられます</t>
  </si>
  <si>
    <t>山崎はHPが減るほど
単体攻撃の威力が上がり危険になります
タイミングを見極めてフィーバーやスキルで
一気に押し切りましょう</t>
  </si>
  <si>
    <t>パネルを青と赤に分断された後には
どちらかを吸収する超必殺技がきます
それを読みうまく消せると
反撃のチャンスです</t>
  </si>
  <si>
    <t>青か赤のパネルを吸収する超必殺技は
受けてしまうと大ダメージになります
ピンチの時にはフィーバーを使って
避けてしまいましょう</t>
  </si>
  <si>
    <t>山崎が2ゲージ目に使用する
ウィルス攻撃は強力です
解除するスキルを準備して挑むと
安心して戦えます</t>
  </si>
  <si>
    <t>大会に乗り込んだ山崎は
大会賞金の奪取を計画していたようです</t>
  </si>
  <si>
    <t>ウィルスは闇マーケットで
山崎が入手したとも噂されています
真偽を確かめるために
事件を追う必要がありそうです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</si>
</sst>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b/>
      <sz val="12"/>
      <color theme="1"/>
      <name val="ＭＳ ゴシック"/>
      <family val="3"/>
      <charset val="128"/>
    </font>
    <font>
      <b/>
      <sz val="12"/>
      <color rgb="FF000000"/>
      <name val="HiraKakuProN-W3"/>
      <charset val="128"/>
    </font>
    <font>
      <sz val="7.5"/>
      <color theme="1"/>
      <name val="Hiragino Kaku Gothic ProN"/>
      <family val="3"/>
      <charset val="128"/>
    </font>
    <font>
      <b/>
      <sz val="11"/>
      <color indexed="81"/>
      <name val="ＭＳ Ｐゴシック"/>
      <family val="3"/>
      <charset val="128"/>
    </font>
  </fonts>
  <fills count="4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D5F7"/>
        <bgColor indexed="64"/>
      </patternFill>
    </fill>
    <fill>
      <patternFill patternType="solid">
        <fgColor rgb="FFFF6E87"/>
        <bgColor indexed="64"/>
      </patternFill>
    </fill>
    <fill>
      <patternFill patternType="solid">
        <fgColor rgb="FFFFE241"/>
        <bgColor indexed="64"/>
      </patternFill>
    </fill>
    <fill>
      <patternFill patternType="solid">
        <fgColor rgb="FFF7C8E4"/>
        <bgColor indexed="64"/>
      </patternFill>
    </fill>
    <fill>
      <patternFill patternType="solid">
        <fgColor rgb="FFFFE9FC"/>
        <bgColor indexed="64"/>
      </patternFill>
    </fill>
    <fill>
      <patternFill patternType="solid">
        <fgColor rgb="FFE6F7F6"/>
        <bgColor indexed="64"/>
      </patternFill>
    </fill>
    <fill>
      <patternFill patternType="solid">
        <fgColor rgb="FFF8FFAD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</borders>
  <cellStyleXfs count="71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5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14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vertical="center" wrapText="1"/>
    </xf>
    <xf numFmtId="0" fontId="16" fillId="36" borderId="7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 wrapText="1"/>
    </xf>
    <xf numFmtId="0" fontId="16" fillId="33" borderId="7" xfId="0" applyFont="1" applyFill="1" applyBorder="1" applyAlignment="1">
      <alignment vertical="center" wrapText="1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2" xfId="0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1" fontId="32" fillId="31" borderId="25" xfId="0" applyNumberFormat="1" applyFont="1" applyFill="1" applyBorder="1" applyAlignment="1">
      <alignment vertical="center"/>
    </xf>
    <xf numFmtId="0" fontId="6" fillId="5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4" fillId="0" borderId="31" xfId="0" applyFont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" fontId="32" fillId="31" borderId="31" xfId="0" applyNumberFormat="1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3" borderId="25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4" fillId="0" borderId="25" xfId="0" applyFont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6" fillId="3" borderId="11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0" fontId="16" fillId="39" borderId="7" xfId="0" applyFont="1" applyFill="1" applyBorder="1" applyAlignment="1">
      <alignment horizontal="left" vertical="center" wrapText="1"/>
    </xf>
    <xf numFmtId="0" fontId="8" fillId="0" borderId="36" xfId="0" applyFont="1" applyBorder="1" applyAlignment="1">
      <alignment vertical="center"/>
    </xf>
    <xf numFmtId="0" fontId="8" fillId="0" borderId="24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0" fontId="53" fillId="3" borderId="7" xfId="0" applyFont="1" applyFill="1" applyBorder="1" applyAlignment="1">
      <alignment wrapText="1"/>
    </xf>
    <xf numFmtId="0" fontId="54" fillId="3" borderId="7" xfId="0" applyFont="1" applyFill="1" applyBorder="1"/>
    <xf numFmtId="0" fontId="6" fillId="0" borderId="24" xfId="0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16" fillId="38" borderId="25" xfId="0" applyFont="1" applyFill="1" applyBorder="1" applyAlignment="1">
      <alignment vertical="center"/>
    </xf>
    <xf numFmtId="0" fontId="16" fillId="33" borderId="25" xfId="0" applyFont="1" applyFill="1" applyBorder="1" applyAlignment="1">
      <alignment vertical="center" wrapText="1"/>
    </xf>
    <xf numFmtId="0" fontId="16" fillId="38" borderId="25" xfId="0" applyFont="1" applyFill="1" applyBorder="1" applyAlignment="1">
      <alignment horizontal="left" vertical="center"/>
    </xf>
    <xf numFmtId="0" fontId="16" fillId="38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0" fontId="16" fillId="0" borderId="25" xfId="0" applyFont="1" applyFill="1" applyBorder="1" applyAlignment="1">
      <alignment horizontal="left" vertical="center"/>
    </xf>
    <xf numFmtId="14" fontId="16" fillId="0" borderId="25" xfId="0" applyNumberFormat="1" applyFont="1" applyFill="1" applyBorder="1" applyAlignment="1">
      <alignment horizontal="left" vertical="center"/>
    </xf>
    <xf numFmtId="0" fontId="16" fillId="40" borderId="7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3" borderId="11" xfId="0" applyFont="1" applyFill="1" applyBorder="1" applyAlignment="1">
      <alignment vertical="center"/>
    </xf>
    <xf numFmtId="0" fontId="16" fillId="37" borderId="11" xfId="0" applyFont="1" applyFill="1" applyBorder="1" applyAlignment="1">
      <alignment horizontal="left" vertical="center" wrapText="1"/>
    </xf>
    <xf numFmtId="0" fontId="14" fillId="7" borderId="23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horizontal="left" vertical="center"/>
    </xf>
    <xf numFmtId="0" fontId="16" fillId="40" borderId="7" xfId="0" applyFont="1" applyFill="1" applyBorder="1" applyAlignment="1">
      <alignment horizontal="left" vertical="center" wrapText="1"/>
    </xf>
    <xf numFmtId="0" fontId="16" fillId="41" borderId="7" xfId="0" applyFont="1" applyFill="1" applyBorder="1" applyAlignment="1">
      <alignment horizontal="left" vertical="center" wrapText="1"/>
    </xf>
    <xf numFmtId="0" fontId="16" fillId="41" borderId="7" xfId="0" applyFont="1" applyFill="1" applyBorder="1" applyAlignment="1">
      <alignment vertical="center" wrapText="1"/>
    </xf>
    <xf numFmtId="0" fontId="16" fillId="40" borderId="7" xfId="0" applyFont="1" applyFill="1" applyBorder="1" applyAlignment="1">
      <alignment vertical="center" wrapText="1"/>
    </xf>
    <xf numFmtId="0" fontId="16" fillId="42" borderId="7" xfId="0" applyFont="1" applyFill="1" applyBorder="1" applyAlignment="1">
      <alignment horizontal="left" vertical="center" wrapText="1"/>
    </xf>
    <xf numFmtId="0" fontId="16" fillId="42" borderId="7" xfId="0" applyFont="1" applyFill="1" applyBorder="1" applyAlignment="1">
      <alignment vertical="center" wrapText="1"/>
    </xf>
    <xf numFmtId="0" fontId="16" fillId="43" borderId="7" xfId="0" applyFont="1" applyFill="1" applyBorder="1" applyAlignment="1">
      <alignment horizontal="left" vertical="center" wrapText="1"/>
    </xf>
    <xf numFmtId="0" fontId="16" fillId="43" borderId="7" xfId="0" applyFont="1" applyFill="1" applyBorder="1" applyAlignment="1">
      <alignment vertical="center" wrapText="1"/>
    </xf>
    <xf numFmtId="56" fontId="16" fillId="14" borderId="7" xfId="0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52" fillId="0" borderId="7" xfId="0" applyFont="1" applyBorder="1" applyAlignment="1">
      <alignment wrapText="1"/>
    </xf>
    <xf numFmtId="0" fontId="53" fillId="0" borderId="0" xfId="0" applyFont="1" applyAlignment="1">
      <alignment wrapText="1"/>
    </xf>
    <xf numFmtId="0" fontId="16" fillId="37" borderId="11" xfId="0" applyFont="1" applyFill="1" applyBorder="1" applyAlignment="1">
      <alignment horizontal="left" vertical="center"/>
    </xf>
    <xf numFmtId="0" fontId="16" fillId="40" borderId="11" xfId="0" applyFont="1" applyFill="1" applyBorder="1" applyAlignment="1">
      <alignment horizontal="left" vertical="center" wrapText="1"/>
    </xf>
    <xf numFmtId="38" fontId="16" fillId="43" borderId="7" xfId="628" applyFont="1" applyFill="1" applyBorder="1" applyAlignment="1">
      <alignment wrapText="1"/>
    </xf>
    <xf numFmtId="0" fontId="30" fillId="42" borderId="7" xfId="0" applyFont="1" applyFill="1" applyBorder="1"/>
    <xf numFmtId="0" fontId="31" fillId="42" borderId="7" xfId="0" applyFont="1" applyFill="1" applyBorder="1"/>
    <xf numFmtId="38" fontId="16" fillId="42" borderId="7" xfId="628" applyFont="1" applyFill="1" applyBorder="1" applyAlignment="1">
      <alignment wrapText="1"/>
    </xf>
    <xf numFmtId="0" fontId="0" fillId="42" borderId="7" xfId="0" applyFill="1" applyBorder="1"/>
    <xf numFmtId="0" fontId="30" fillId="41" borderId="7" xfId="0" applyFont="1" applyFill="1" applyBorder="1"/>
    <xf numFmtId="0" fontId="31" fillId="41" borderId="7" xfId="0" applyFont="1" applyFill="1" applyBorder="1"/>
    <xf numFmtId="38" fontId="16" fillId="41" borderId="7" xfId="628" applyFont="1" applyFill="1" applyBorder="1" applyAlignment="1">
      <alignment wrapText="1"/>
    </xf>
    <xf numFmtId="0" fontId="0" fillId="41" borderId="7" xfId="0" applyFill="1" applyBorder="1"/>
    <xf numFmtId="0" fontId="30" fillId="43" borderId="7" xfId="0" applyFont="1" applyFill="1" applyBorder="1"/>
    <xf numFmtId="0" fontId="31" fillId="43" borderId="7" xfId="0" applyFont="1" applyFill="1" applyBorder="1"/>
    <xf numFmtId="0" fontId="0" fillId="43" borderId="7" xfId="0" applyFill="1" applyBorder="1"/>
    <xf numFmtId="0" fontId="30" fillId="32" borderId="7" xfId="0" applyFont="1" applyFill="1" applyBorder="1"/>
    <xf numFmtId="0" fontId="31" fillId="32" borderId="7" xfId="0" applyFont="1" applyFill="1" applyBorder="1"/>
    <xf numFmtId="38" fontId="16" fillId="32" borderId="7" xfId="628" applyFont="1" applyFill="1" applyBorder="1" applyAlignment="1">
      <alignment wrapText="1"/>
    </xf>
    <xf numFmtId="0" fontId="0" fillId="32" borderId="7" xfId="0" applyFill="1" applyBorder="1"/>
    <xf numFmtId="0" fontId="16" fillId="0" borderId="7" xfId="0" applyFont="1" applyFill="1" applyBorder="1" applyAlignment="1">
      <alignment vertical="center" wrapText="1"/>
    </xf>
    <xf numFmtId="0" fontId="16" fillId="42" borderId="7" xfId="0" applyFont="1" applyFill="1" applyBorder="1" applyAlignment="1">
      <alignment vertical="center"/>
    </xf>
    <xf numFmtId="0" fontId="16" fillId="41" borderId="7" xfId="0" applyFont="1" applyFill="1" applyBorder="1" applyAlignment="1">
      <alignment vertical="center"/>
    </xf>
    <xf numFmtId="0" fontId="16" fillId="41" borderId="11" xfId="0" applyFont="1" applyFill="1" applyBorder="1" applyAlignment="1">
      <alignment vertical="center"/>
    </xf>
    <xf numFmtId="0" fontId="16" fillId="40" borderId="11" xfId="0" applyFont="1" applyFill="1" applyBorder="1" applyAlignment="1">
      <alignment vertical="center"/>
    </xf>
    <xf numFmtId="0" fontId="16" fillId="42" borderId="11" xfId="0" applyFont="1" applyFill="1" applyBorder="1" applyAlignment="1">
      <alignment vertical="center"/>
    </xf>
    <xf numFmtId="0" fontId="16" fillId="42" borderId="25" xfId="0" applyFont="1" applyFill="1" applyBorder="1" applyAlignment="1">
      <alignment vertical="center"/>
    </xf>
    <xf numFmtId="0" fontId="16" fillId="40" borderId="25" xfId="0" applyFont="1" applyFill="1" applyBorder="1" applyAlignment="1">
      <alignment vertical="center"/>
    </xf>
    <xf numFmtId="0" fontId="54" fillId="3" borderId="11" xfId="0" applyFont="1" applyFill="1" applyBorder="1"/>
    <xf numFmtId="0" fontId="54" fillId="3" borderId="25" xfId="0" applyFont="1" applyFill="1" applyBorder="1"/>
    <xf numFmtId="0" fontId="55" fillId="0" borderId="0" xfId="0" applyFont="1"/>
    <xf numFmtId="0" fontId="16" fillId="33" borderId="11" xfId="0" applyFont="1" applyFill="1" applyBorder="1" applyAlignment="1">
      <alignment vertical="center" wrapText="1"/>
    </xf>
    <xf numFmtId="0" fontId="16" fillId="42" borderId="11" xfId="0" applyFont="1" applyFill="1" applyBorder="1" applyAlignment="1">
      <alignment horizontal="left" vertical="center" wrapText="1"/>
    </xf>
    <xf numFmtId="0" fontId="16" fillId="3" borderId="11" xfId="0" applyFont="1" applyFill="1" applyBorder="1" applyAlignment="1">
      <alignment horizontal="left" vertical="center" wrapText="1"/>
    </xf>
    <xf numFmtId="0" fontId="16" fillId="0" borderId="11" xfId="0" applyFont="1" applyFill="1" applyBorder="1" applyAlignment="1">
      <alignment horizontal="left" vertical="center"/>
    </xf>
    <xf numFmtId="14" fontId="16" fillId="0" borderId="11" xfId="0" applyNumberFormat="1" applyFont="1" applyFill="1" applyBorder="1" applyAlignment="1">
      <alignment horizontal="left" vertical="center"/>
    </xf>
    <xf numFmtId="0" fontId="16" fillId="42" borderId="11" xfId="0" applyFont="1" applyFill="1" applyBorder="1" applyAlignment="1">
      <alignment vertical="center" wrapText="1"/>
    </xf>
    <xf numFmtId="0" fontId="16" fillId="36" borderId="25" xfId="0" applyFont="1" applyFill="1" applyBorder="1" applyAlignment="1">
      <alignment horizontal="left" vertical="center"/>
    </xf>
    <xf numFmtId="0" fontId="16" fillId="36" borderId="25" xfId="0" applyFont="1" applyFill="1" applyBorder="1" applyAlignment="1">
      <alignment horizontal="left" vertical="center" wrapText="1"/>
    </xf>
    <xf numFmtId="0" fontId="16" fillId="36" borderId="25" xfId="0" applyFont="1" applyFill="1" applyBorder="1" applyAlignment="1">
      <alignment vertical="center" wrapText="1"/>
    </xf>
    <xf numFmtId="0" fontId="16" fillId="41" borderId="11" xfId="0" applyFont="1" applyFill="1" applyBorder="1" applyAlignment="1">
      <alignment horizontal="left" vertical="center" wrapText="1"/>
    </xf>
    <xf numFmtId="0" fontId="16" fillId="41" borderId="11" xfId="0" applyFont="1" applyFill="1" applyBorder="1" applyAlignment="1">
      <alignment vertical="center" wrapText="1"/>
    </xf>
    <xf numFmtId="0" fontId="16" fillId="41" borderId="25" xfId="0" applyFont="1" applyFill="1" applyBorder="1" applyAlignment="1">
      <alignment vertical="center"/>
    </xf>
    <xf numFmtId="0" fontId="16" fillId="40" borderId="11" xfId="0" applyFont="1" applyFill="1" applyBorder="1" applyAlignment="1">
      <alignment vertical="center" wrapText="1"/>
    </xf>
    <xf numFmtId="0" fontId="16" fillId="38" borderId="25" xfId="0" applyFont="1" applyFill="1" applyBorder="1" applyAlignment="1">
      <alignment vertical="center" wrapText="1"/>
    </xf>
    <xf numFmtId="0" fontId="16" fillId="0" borderId="7" xfId="0" applyFont="1" applyBorder="1" applyAlignment="1">
      <alignment vertical="center"/>
    </xf>
    <xf numFmtId="0" fontId="16" fillId="0" borderId="25" xfId="0" applyFont="1" applyBorder="1" applyAlignment="1">
      <alignment vertical="center"/>
    </xf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0" fillId="44" borderId="7" xfId="615" applyFont="1" applyFill="1" applyBorder="1"/>
  </cellXfs>
  <cellStyles count="71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赤字強調" xfId="431"/>
    <cellStyle name="青字強調" xfId="43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6F7F6"/>
      <color rgb="FFFFE9FC"/>
      <color rgb="FFF8FFAD"/>
      <color rgb="FFB7F4F7"/>
      <color rgb="FFFFE241"/>
      <color rgb="FFF7E3EC"/>
      <color rgb="FFF7C8E4"/>
      <color rgb="FFEBD5F7"/>
      <color rgb="FFFF6E87"/>
      <color rgb="FFFF6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48701</v>
          </cell>
        </row>
        <row r="263">
          <cell r="A263">
            <v>48702</v>
          </cell>
        </row>
        <row r="264">
          <cell r="A264">
            <v>41001</v>
          </cell>
        </row>
        <row r="265">
          <cell r="A265">
            <v>41002</v>
          </cell>
        </row>
        <row r="266">
          <cell r="A266">
            <v>41003</v>
          </cell>
        </row>
        <row r="267">
          <cell r="A267">
            <v>41004</v>
          </cell>
        </row>
        <row r="268">
          <cell r="A268">
            <v>41005</v>
          </cell>
        </row>
        <row r="269">
          <cell r="A269">
            <v>41006</v>
          </cell>
        </row>
        <row r="270">
          <cell r="A270">
            <v>41007</v>
          </cell>
        </row>
        <row r="271">
          <cell r="A271">
            <v>41008</v>
          </cell>
        </row>
        <row r="272">
          <cell r="A272">
            <v>41009</v>
          </cell>
        </row>
        <row r="273">
          <cell r="A273">
            <v>41010</v>
          </cell>
        </row>
        <row r="274">
          <cell r="A274">
            <v>41011</v>
          </cell>
        </row>
        <row r="275">
          <cell r="A275">
            <v>41012</v>
          </cell>
        </row>
        <row r="276">
          <cell r="A276">
            <v>41013</v>
          </cell>
        </row>
        <row r="277">
          <cell r="A277">
            <v>41014</v>
          </cell>
        </row>
        <row r="278">
          <cell r="A278">
            <v>41015</v>
          </cell>
        </row>
        <row r="279">
          <cell r="A279">
            <v>47001</v>
          </cell>
        </row>
        <row r="280">
          <cell r="A280">
            <v>47002</v>
          </cell>
        </row>
        <row r="281">
          <cell r="A281">
            <v>47003</v>
          </cell>
        </row>
        <row r="282">
          <cell r="A282">
            <v>47004</v>
          </cell>
        </row>
        <row r="283">
          <cell r="A283">
            <v>47005</v>
          </cell>
        </row>
        <row r="284">
          <cell r="A284">
            <v>47006</v>
          </cell>
        </row>
        <row r="285">
          <cell r="A285">
            <v>47007</v>
          </cell>
        </row>
        <row r="286">
          <cell r="A286">
            <v>47008</v>
          </cell>
        </row>
        <row r="287">
          <cell r="A287">
            <v>47009</v>
          </cell>
        </row>
        <row r="288">
          <cell r="A288">
            <v>47010</v>
          </cell>
        </row>
        <row r="289">
          <cell r="A289">
            <v>47011</v>
          </cell>
        </row>
        <row r="290">
          <cell r="A290">
            <v>47012</v>
          </cell>
        </row>
        <row r="291">
          <cell r="A291">
            <v>47013</v>
          </cell>
        </row>
        <row r="292">
          <cell r="A292">
            <v>47014</v>
          </cell>
        </row>
        <row r="293">
          <cell r="A293">
            <v>47015</v>
          </cell>
        </row>
        <row r="294">
          <cell r="A294">
            <v>47016</v>
          </cell>
        </row>
        <row r="295">
          <cell r="A295">
            <v>49001</v>
          </cell>
        </row>
        <row r="296">
          <cell r="A296">
            <v>49002</v>
          </cell>
        </row>
        <row r="297">
          <cell r="A297">
            <v>49003</v>
          </cell>
        </row>
        <row r="298">
          <cell r="A298">
            <v>49004</v>
          </cell>
        </row>
        <row r="299">
          <cell r="A299">
            <v>49005</v>
          </cell>
        </row>
        <row r="300">
          <cell r="A300">
            <v>49006</v>
          </cell>
        </row>
        <row r="301">
          <cell r="A301">
            <v>49007</v>
          </cell>
        </row>
        <row r="302">
          <cell r="A302">
            <v>49008</v>
          </cell>
        </row>
        <row r="303">
          <cell r="A303">
            <v>49009</v>
          </cell>
        </row>
        <row r="304">
          <cell r="A304">
            <v>49010</v>
          </cell>
        </row>
        <row r="305">
          <cell r="A305">
            <v>49011</v>
          </cell>
        </row>
        <row r="306">
          <cell r="A306">
            <v>49012</v>
          </cell>
        </row>
        <row r="307">
          <cell r="A307">
            <v>49013</v>
          </cell>
        </row>
        <row r="308">
          <cell r="A308">
            <v>49014</v>
          </cell>
        </row>
        <row r="309">
          <cell r="A309">
            <v>49015</v>
          </cell>
        </row>
        <row r="310">
          <cell r="A310">
            <v>49016</v>
          </cell>
        </row>
        <row r="311">
          <cell r="A311">
            <v>50001</v>
          </cell>
        </row>
        <row r="312">
          <cell r="A312">
            <v>50002</v>
          </cell>
        </row>
        <row r="313">
          <cell r="A313">
            <v>50003</v>
          </cell>
        </row>
        <row r="314">
          <cell r="A314">
            <v>50004</v>
          </cell>
        </row>
        <row r="315">
          <cell r="A315">
            <v>50005</v>
          </cell>
        </row>
        <row r="316">
          <cell r="A316">
            <v>50006</v>
          </cell>
        </row>
        <row r="317">
          <cell r="A317">
            <v>50007</v>
          </cell>
        </row>
        <row r="318">
          <cell r="A318">
            <v>50008</v>
          </cell>
        </row>
        <row r="319">
          <cell r="A319">
            <v>50009</v>
          </cell>
        </row>
        <row r="320">
          <cell r="A320">
            <v>50010</v>
          </cell>
        </row>
        <row r="321">
          <cell r="A321">
            <v>50011</v>
          </cell>
        </row>
        <row r="322">
          <cell r="A322">
            <v>50012</v>
          </cell>
        </row>
        <row r="323">
          <cell r="A323">
            <v>50013</v>
          </cell>
        </row>
        <row r="324">
          <cell r="A324">
            <v>50014</v>
          </cell>
        </row>
        <row r="325">
          <cell r="A325">
            <v>50015</v>
          </cell>
        </row>
        <row r="326">
          <cell r="A326">
            <v>50016</v>
          </cell>
        </row>
        <row r="327">
          <cell r="A327">
            <v>51001</v>
          </cell>
        </row>
        <row r="328">
          <cell r="A328">
            <v>51002</v>
          </cell>
        </row>
        <row r="329">
          <cell r="A329">
            <v>58001</v>
          </cell>
        </row>
        <row r="330">
          <cell r="A330">
            <v>58002</v>
          </cell>
        </row>
        <row r="331">
          <cell r="A331">
            <v>58003</v>
          </cell>
        </row>
        <row r="332">
          <cell r="A332">
            <v>58101</v>
          </cell>
        </row>
        <row r="333">
          <cell r="A333">
            <v>59001</v>
          </cell>
        </row>
        <row r="334">
          <cell r="A334">
            <v>59002</v>
          </cell>
        </row>
        <row r="335">
          <cell r="A335">
            <v>59003</v>
          </cell>
        </row>
        <row r="336">
          <cell r="A336">
            <v>60001</v>
          </cell>
        </row>
        <row r="337">
          <cell r="A337">
            <v>60002</v>
          </cell>
        </row>
        <row r="338">
          <cell r="A338">
            <v>60003</v>
          </cell>
        </row>
        <row r="339">
          <cell r="A339">
            <v>60004</v>
          </cell>
        </row>
        <row r="340">
          <cell r="A340">
            <v>60005</v>
          </cell>
        </row>
        <row r="341">
          <cell r="A341">
            <v>60006</v>
          </cell>
        </row>
        <row r="342">
          <cell r="A342">
            <v>60007</v>
          </cell>
        </row>
        <row r="343">
          <cell r="A343">
            <v>60010</v>
          </cell>
        </row>
        <row r="344">
          <cell r="A344">
            <v>60011</v>
          </cell>
        </row>
        <row r="345">
          <cell r="A345">
            <v>61011</v>
          </cell>
        </row>
        <row r="346">
          <cell r="A346">
            <v>60012</v>
          </cell>
        </row>
        <row r="347">
          <cell r="A347">
            <v>60013</v>
          </cell>
        </row>
        <row r="348">
          <cell r="A348">
            <v>60014</v>
          </cell>
        </row>
        <row r="349">
          <cell r="A349">
            <v>60015</v>
          </cell>
        </row>
        <row r="350">
          <cell r="A350">
            <v>60016</v>
          </cell>
        </row>
        <row r="351">
          <cell r="A351">
            <v>60017</v>
          </cell>
        </row>
        <row r="352">
          <cell r="A352">
            <v>60018</v>
          </cell>
        </row>
        <row r="353">
          <cell r="A353">
            <v>60019</v>
          </cell>
        </row>
        <row r="354">
          <cell r="A354">
            <v>60020</v>
          </cell>
        </row>
        <row r="355">
          <cell r="A355">
            <v>60025</v>
          </cell>
        </row>
        <row r="356">
          <cell r="A356">
            <v>60026</v>
          </cell>
        </row>
        <row r="357">
          <cell r="A357">
            <v>60027</v>
          </cell>
        </row>
        <row r="358">
          <cell r="A358">
            <v>60028</v>
          </cell>
        </row>
        <row r="359">
          <cell r="A359">
            <v>60029</v>
          </cell>
        </row>
        <row r="360">
          <cell r="A360">
            <v>60030</v>
          </cell>
        </row>
        <row r="361">
          <cell r="A361">
            <v>60031</v>
          </cell>
        </row>
        <row r="362">
          <cell r="A362">
            <v>60032</v>
          </cell>
        </row>
        <row r="363">
          <cell r="A363">
            <v>65523</v>
          </cell>
        </row>
        <row r="364">
          <cell r="A364">
            <v>65524</v>
          </cell>
        </row>
        <row r="365">
          <cell r="A365">
            <v>65525</v>
          </cell>
        </row>
        <row r="366">
          <cell r="A366">
            <v>65526</v>
          </cell>
        </row>
        <row r="367">
          <cell r="A367">
            <v>65527</v>
          </cell>
        </row>
        <row r="368">
          <cell r="A368">
            <v>65528</v>
          </cell>
        </row>
        <row r="369">
          <cell r="A369">
            <v>65529</v>
          </cell>
        </row>
        <row r="370">
          <cell r="A370">
            <v>65530</v>
          </cell>
        </row>
        <row r="371">
          <cell r="A371">
            <v>65531</v>
          </cell>
        </row>
        <row r="372">
          <cell r="A372">
            <v>65532</v>
          </cell>
        </row>
        <row r="373">
          <cell r="A373">
            <v>65533</v>
          </cell>
        </row>
        <row r="374">
          <cell r="A374">
            <v>65534</v>
          </cell>
        </row>
        <row r="375">
          <cell r="A375">
            <v>65535</v>
          </cell>
        </row>
        <row r="376">
          <cell r="A376">
            <v>60021</v>
          </cell>
        </row>
        <row r="377">
          <cell r="A377">
            <v>60022</v>
          </cell>
        </row>
        <row r="378">
          <cell r="A378">
            <v>60023</v>
          </cell>
        </row>
        <row r="379">
          <cell r="A37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48015_1</v>
          </cell>
        </row>
        <row r="916">
          <cell r="A916" t="str">
            <v>48015_2</v>
          </cell>
        </row>
        <row r="917">
          <cell r="A917" t="str">
            <v>48101_1</v>
          </cell>
        </row>
        <row r="918">
          <cell r="A918" t="str">
            <v>48101_2</v>
          </cell>
        </row>
        <row r="919">
          <cell r="A919" t="str">
            <v>48501_1</v>
          </cell>
        </row>
        <row r="920">
          <cell r="A920" t="str">
            <v>48501_2</v>
          </cell>
        </row>
        <row r="921">
          <cell r="A921" t="str">
            <v>48502_1</v>
          </cell>
        </row>
        <row r="922">
          <cell r="A922" t="str">
            <v>48502_2</v>
          </cell>
        </row>
        <row r="923">
          <cell r="A923" t="str">
            <v>48503_1</v>
          </cell>
        </row>
        <row r="924">
          <cell r="A924" t="str">
            <v>48503_2</v>
          </cell>
        </row>
        <row r="925">
          <cell r="A925" t="str">
            <v>48701_1</v>
          </cell>
        </row>
        <row r="926">
          <cell r="A926" t="str">
            <v>48701_2</v>
          </cell>
        </row>
        <row r="927">
          <cell r="A927" t="str">
            <v>48702_1</v>
          </cell>
        </row>
        <row r="928">
          <cell r="A928" t="str">
            <v>48702_2</v>
          </cell>
        </row>
        <row r="929">
          <cell r="A929" t="str">
            <v>49001_1</v>
          </cell>
        </row>
        <row r="930">
          <cell r="A930" t="str">
            <v>49002_1</v>
          </cell>
        </row>
        <row r="931">
          <cell r="A931" t="str">
            <v>49002_2</v>
          </cell>
        </row>
        <row r="932">
          <cell r="A932" t="str">
            <v>49003_1</v>
          </cell>
        </row>
        <row r="933">
          <cell r="A933" t="str">
            <v>49003_2</v>
          </cell>
        </row>
        <row r="934">
          <cell r="A934" t="str">
            <v>49004_1</v>
          </cell>
        </row>
        <row r="935">
          <cell r="A935" t="str">
            <v>49004_2</v>
          </cell>
        </row>
        <row r="936">
          <cell r="A936" t="str">
            <v>49004_3</v>
          </cell>
        </row>
        <row r="937">
          <cell r="A937" t="str">
            <v>49005_1</v>
          </cell>
        </row>
        <row r="938">
          <cell r="A938" t="str">
            <v>49006_1</v>
          </cell>
        </row>
        <row r="939">
          <cell r="A939" t="str">
            <v>49006_2</v>
          </cell>
        </row>
        <row r="940">
          <cell r="A940" t="str">
            <v>49007_1</v>
          </cell>
        </row>
        <row r="941">
          <cell r="A941" t="str">
            <v>49007_2</v>
          </cell>
        </row>
        <row r="942">
          <cell r="A942" t="str">
            <v>49007_3</v>
          </cell>
        </row>
        <row r="943">
          <cell r="A943" t="str">
            <v>49008_1</v>
          </cell>
        </row>
        <row r="944">
          <cell r="A944" t="str">
            <v>49009_1</v>
          </cell>
        </row>
        <row r="945">
          <cell r="A945" t="str">
            <v>49010_1</v>
          </cell>
        </row>
        <row r="946">
          <cell r="A946" t="str">
            <v>49011_1</v>
          </cell>
        </row>
        <row r="947">
          <cell r="A947" t="str">
            <v>49012_1</v>
          </cell>
        </row>
        <row r="948">
          <cell r="A948" t="str">
            <v>49013_1</v>
          </cell>
        </row>
        <row r="949">
          <cell r="A949" t="str">
            <v>49014_1</v>
          </cell>
        </row>
        <row r="950">
          <cell r="A950" t="str">
            <v>49014_2</v>
          </cell>
        </row>
        <row r="951">
          <cell r="A951" t="str">
            <v>49015_1</v>
          </cell>
        </row>
        <row r="952">
          <cell r="A952" t="str">
            <v>49015_2</v>
          </cell>
        </row>
        <row r="953">
          <cell r="A953" t="str">
            <v>49015_3</v>
          </cell>
        </row>
        <row r="954">
          <cell r="A954" t="str">
            <v>49016_1</v>
          </cell>
        </row>
        <row r="955">
          <cell r="A955" t="str">
            <v>49016_2</v>
          </cell>
        </row>
        <row r="956">
          <cell r="A956" t="str">
            <v>50001_1</v>
          </cell>
        </row>
        <row r="957">
          <cell r="A957" t="str">
            <v>50002_1</v>
          </cell>
        </row>
        <row r="958">
          <cell r="A958" t="str">
            <v>50003_1</v>
          </cell>
        </row>
        <row r="959">
          <cell r="A959" t="str">
            <v>50004_1</v>
          </cell>
        </row>
        <row r="960">
          <cell r="A960" t="str">
            <v>50005_1</v>
          </cell>
        </row>
        <row r="961">
          <cell r="A961" t="str">
            <v>50006_1</v>
          </cell>
        </row>
        <row r="962">
          <cell r="A962" t="str">
            <v>50007_1</v>
          </cell>
        </row>
        <row r="963">
          <cell r="A963" t="str">
            <v>50008_1</v>
          </cell>
        </row>
        <row r="964">
          <cell r="A964" t="str">
            <v>50009_1</v>
          </cell>
        </row>
        <row r="965">
          <cell r="A965" t="str">
            <v>50010_1</v>
          </cell>
        </row>
        <row r="966">
          <cell r="A966" t="str">
            <v>50011_1</v>
          </cell>
        </row>
        <row r="967">
          <cell r="A967" t="str">
            <v>50012_1</v>
          </cell>
        </row>
        <row r="968">
          <cell r="A968" t="str">
            <v>50013_1</v>
          </cell>
        </row>
        <row r="969">
          <cell r="A969" t="str">
            <v>50014_1</v>
          </cell>
        </row>
        <row r="970">
          <cell r="A970" t="str">
            <v>50015_1</v>
          </cell>
        </row>
        <row r="971">
          <cell r="A971" t="str">
            <v>50016_1</v>
          </cell>
        </row>
        <row r="972">
          <cell r="A972" t="str">
            <v>51001_1</v>
          </cell>
        </row>
        <row r="973">
          <cell r="A973" t="str">
            <v>51002_1</v>
          </cell>
        </row>
        <row r="974">
          <cell r="A974" t="str">
            <v>58001_1</v>
          </cell>
        </row>
        <row r="975">
          <cell r="A975" t="str">
            <v>58002_1</v>
          </cell>
        </row>
        <row r="976">
          <cell r="A976" t="str">
            <v>58003_1</v>
          </cell>
        </row>
        <row r="977">
          <cell r="A977" t="str">
            <v>58101_1</v>
          </cell>
        </row>
        <row r="978">
          <cell r="A978" t="str">
            <v>59001_1</v>
          </cell>
        </row>
        <row r="979">
          <cell r="A979" t="str">
            <v>59002_1</v>
          </cell>
        </row>
        <row r="980">
          <cell r="A980" t="str">
            <v>59003_1</v>
          </cell>
        </row>
        <row r="981">
          <cell r="A981" t="str">
            <v>59003_2</v>
          </cell>
        </row>
        <row r="982">
          <cell r="A982" t="str">
            <v>60001_1</v>
          </cell>
        </row>
        <row r="983">
          <cell r="A983" t="str">
            <v>60002_1</v>
          </cell>
        </row>
        <row r="984">
          <cell r="A984" t="str">
            <v>60002_2</v>
          </cell>
        </row>
        <row r="985">
          <cell r="A985" t="str">
            <v>60003_1</v>
          </cell>
        </row>
        <row r="986">
          <cell r="A986" t="str">
            <v>60003_2</v>
          </cell>
        </row>
        <row r="987">
          <cell r="A987" t="str">
            <v>60003_3</v>
          </cell>
        </row>
        <row r="988">
          <cell r="A988" t="str">
            <v>60004_1</v>
          </cell>
        </row>
        <row r="989">
          <cell r="A989" t="str">
            <v>60005_1</v>
          </cell>
        </row>
        <row r="990">
          <cell r="A990" t="str">
            <v>60006_1</v>
          </cell>
        </row>
        <row r="991">
          <cell r="A991" t="str">
            <v>60006_2</v>
          </cell>
        </row>
        <row r="992">
          <cell r="A992" t="str">
            <v>60006_3</v>
          </cell>
        </row>
        <row r="993">
          <cell r="A993" t="str">
            <v>60007_1</v>
          </cell>
        </row>
        <row r="994">
          <cell r="A994" t="str">
            <v>60007_2</v>
          </cell>
        </row>
        <row r="995">
          <cell r="A995" t="str">
            <v>60007_3</v>
          </cell>
        </row>
        <row r="996">
          <cell r="A996" t="str">
            <v>60010_1</v>
          </cell>
        </row>
        <row r="997">
          <cell r="A997" t="str">
            <v>60011_1</v>
          </cell>
        </row>
        <row r="998">
          <cell r="A998" t="str">
            <v>60011_2</v>
          </cell>
        </row>
        <row r="999">
          <cell r="A999" t="str">
            <v>60012_1</v>
          </cell>
        </row>
        <row r="1000">
          <cell r="A1000" t="str">
            <v>60013_1</v>
          </cell>
        </row>
        <row r="1001">
          <cell r="A1001" t="str">
            <v>60013_2</v>
          </cell>
        </row>
        <row r="1002">
          <cell r="A1002" t="str">
            <v>60013_3</v>
          </cell>
        </row>
        <row r="1003">
          <cell r="A1003" t="str">
            <v>60014_1</v>
          </cell>
        </row>
        <row r="1004">
          <cell r="A1004" t="str">
            <v>60015_1</v>
          </cell>
        </row>
        <row r="1005">
          <cell r="A1005" t="str">
            <v>60016_1</v>
          </cell>
        </row>
        <row r="1006">
          <cell r="A1006" t="str">
            <v>60017_1</v>
          </cell>
        </row>
        <row r="1007">
          <cell r="A1007" t="str">
            <v>60018_1</v>
          </cell>
        </row>
        <row r="1008">
          <cell r="A1008" t="str">
            <v>60019_1</v>
          </cell>
        </row>
        <row r="1009">
          <cell r="A1009" t="str">
            <v>60020_1</v>
          </cell>
        </row>
        <row r="1010">
          <cell r="A1010" t="str">
            <v>60021_3</v>
          </cell>
        </row>
        <row r="1011">
          <cell r="A1011" t="str">
            <v>60022_3</v>
          </cell>
        </row>
        <row r="1012">
          <cell r="A1012" t="str">
            <v>60023_3</v>
          </cell>
        </row>
        <row r="1013">
          <cell r="A1013" t="str">
            <v>60024_3</v>
          </cell>
        </row>
        <row r="1014">
          <cell r="A1014" t="str">
            <v>60025_1</v>
          </cell>
        </row>
        <row r="1015">
          <cell r="A1015" t="str">
            <v>60026_1</v>
          </cell>
        </row>
        <row r="1016">
          <cell r="A1016" t="str">
            <v>61011_1</v>
          </cell>
        </row>
        <row r="1017">
          <cell r="A1017" t="str">
            <v>60027_1</v>
          </cell>
        </row>
        <row r="1018">
          <cell r="A1018" t="str">
            <v>60028_1</v>
          </cell>
        </row>
        <row r="1019">
          <cell r="A1019" t="str">
            <v>60029_1</v>
          </cell>
        </row>
        <row r="1020">
          <cell r="A1020" t="str">
            <v>60030_1</v>
          </cell>
        </row>
        <row r="1021">
          <cell r="A1021" t="str">
            <v>60031_1</v>
          </cell>
        </row>
        <row r="1022">
          <cell r="A1022" t="str">
            <v>60032_1</v>
          </cell>
        </row>
        <row r="1023">
          <cell r="A1023" t="str">
            <v>65523_1</v>
          </cell>
        </row>
        <row r="1024">
          <cell r="A1024" t="str">
            <v>65523_2</v>
          </cell>
        </row>
        <row r="1025">
          <cell r="A1025" t="str">
            <v>65523_3</v>
          </cell>
        </row>
        <row r="1026">
          <cell r="A1026" t="str">
            <v>65524_1</v>
          </cell>
        </row>
        <row r="1027">
          <cell r="A1027" t="str">
            <v>65524_2</v>
          </cell>
        </row>
        <row r="1028">
          <cell r="A1028" t="str">
            <v>65525_1</v>
          </cell>
        </row>
        <row r="1029">
          <cell r="A1029" t="str">
            <v>65526_1</v>
          </cell>
        </row>
        <row r="1030">
          <cell r="A1030" t="str">
            <v>65526_2</v>
          </cell>
        </row>
        <row r="1031">
          <cell r="A1031" t="str">
            <v>65527_1</v>
          </cell>
        </row>
        <row r="1032">
          <cell r="A1032" t="str">
            <v>65528_1</v>
          </cell>
        </row>
        <row r="1033">
          <cell r="A1033" t="str">
            <v>65529_1</v>
          </cell>
        </row>
        <row r="1034">
          <cell r="A1034" t="str">
            <v>65530_1</v>
          </cell>
        </row>
        <row r="1035">
          <cell r="A1035" t="str">
            <v>65531_1</v>
          </cell>
        </row>
        <row r="1036">
          <cell r="A1036" t="str">
            <v>65531_2</v>
          </cell>
        </row>
        <row r="1037">
          <cell r="A1037" t="str">
            <v>65532_1</v>
          </cell>
        </row>
        <row r="1038">
          <cell r="A1038" t="str">
            <v>65532_2</v>
          </cell>
        </row>
        <row r="1039">
          <cell r="A1039" t="str">
            <v>65533_1</v>
          </cell>
        </row>
        <row r="1040">
          <cell r="A1040" t="str">
            <v>65533_2</v>
          </cell>
        </row>
        <row r="1041">
          <cell r="A1041" t="str">
            <v>65534_1</v>
          </cell>
        </row>
        <row r="1042">
          <cell r="A1042" t="str">
            <v>65535_1</v>
          </cell>
        </row>
        <row r="1043">
          <cell r="A1043" t="str">
            <v>65535_2</v>
          </cell>
        </row>
        <row r="1044">
          <cell r="A1044" t="str">
            <v>65535_3</v>
          </cell>
        </row>
        <row r="1045">
          <cell r="A1045" t="str">
            <v>65535_4</v>
          </cell>
        </row>
        <row r="1046">
          <cell r="A1046" t="str">
            <v>65535_5</v>
          </cell>
        </row>
        <row r="1047">
          <cell r="A1047" t="str">
            <v>65535_6</v>
          </cell>
        </row>
        <row r="1048">
          <cell r="A1048" t="str">
            <v>65535_7</v>
          </cell>
        </row>
        <row r="1049">
          <cell r="A1049" t="str">
            <v>65535_8</v>
          </cell>
        </row>
        <row r="1050">
          <cell r="A1050" t="str">
            <v>65535_9</v>
          </cell>
        </row>
        <row r="1051">
          <cell r="A105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14" sqref="D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268</v>
      </c>
      <c r="B2" s="56" t="s">
        <v>106</v>
      </c>
      <c r="C2" s="61">
        <v>39013</v>
      </c>
      <c r="D2" s="56" t="s">
        <v>107</v>
      </c>
      <c r="E2" s="55" t="str">
        <f>B2&amp;C2&amp;D2</f>
        <v>floors_39013.tmp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268</v>
      </c>
      <c r="B3" s="56" t="s">
        <v>109</v>
      </c>
      <c r="C3" s="61">
        <f>C$2</f>
        <v>39013</v>
      </c>
      <c r="D3" s="56" t="s">
        <v>107</v>
      </c>
      <c r="E3" s="55" t="str">
        <f>B3&amp;C3&amp;D3</f>
        <v>enemy_habitats_39013.tmp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268</v>
      </c>
      <c r="B4" s="56" t="s">
        <v>111</v>
      </c>
      <c r="C4" s="61">
        <f>C$2</f>
        <v>39013</v>
      </c>
      <c r="D4" s="56" t="s">
        <v>107</v>
      </c>
      <c r="E4" s="55" t="str">
        <f>B4&amp;C4&amp;D4</f>
        <v>enemy_habitat_S_39013.tmp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268</v>
      </c>
      <c r="B5" s="56" t="s">
        <v>113</v>
      </c>
      <c r="C5" s="61">
        <f t="shared" ref="C5:C13" si="0">C$2</f>
        <v>39013</v>
      </c>
      <c r="D5" s="56" t="s">
        <v>107</v>
      </c>
      <c r="E5" s="55" t="str">
        <f>B5&amp;C5&amp;D5</f>
        <v>enemy_skill_sets_39013.tmp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268</v>
      </c>
      <c r="B6" s="56" t="s">
        <v>115</v>
      </c>
      <c r="C6" s="61">
        <f t="shared" si="0"/>
        <v>39013</v>
      </c>
      <c r="D6" s="56" t="s">
        <v>116</v>
      </c>
      <c r="E6" s="55" t="str">
        <f t="shared" ref="E6:E10" si="1">B6&amp;C6&amp;D6</f>
        <v>enemy_skills_tmp_39013.tmp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268</v>
      </c>
      <c r="B7" s="56" t="s">
        <v>117</v>
      </c>
      <c r="C7" s="61">
        <f t="shared" si="0"/>
        <v>39013</v>
      </c>
      <c r="D7" s="56" t="s">
        <v>107</v>
      </c>
      <c r="E7" s="55" t="str">
        <f>B7&amp;C7&amp;D7</f>
        <v>enemy_skills_i18n_39013.tmp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268</v>
      </c>
      <c r="B8" s="56" t="s">
        <v>119</v>
      </c>
      <c r="C8" s="61">
        <f t="shared" si="0"/>
        <v>39013</v>
      </c>
      <c r="D8" s="56" t="s">
        <v>120</v>
      </c>
      <c r="E8" s="55" t="str">
        <f t="shared" si="1"/>
        <v>enemy_skill_triggers_39013.tmp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268</v>
      </c>
      <c r="B9" s="66" t="s">
        <v>178</v>
      </c>
      <c r="C9" s="61">
        <f t="shared" si="0"/>
        <v>39013</v>
      </c>
      <c r="D9" s="66" t="s">
        <v>172</v>
      </c>
      <c r="E9" s="67" t="str">
        <f t="shared" si="1"/>
        <v>stage_bug_bonuses_39013.tmp</v>
      </c>
      <c r="F9" s="66" t="s">
        <v>173</v>
      </c>
      <c r="G9" s="63" t="s">
        <v>150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188</v>
      </c>
      <c r="B10" s="66" t="s">
        <v>201</v>
      </c>
      <c r="C10" s="61">
        <f>C$2</f>
        <v>39013</v>
      </c>
      <c r="D10" s="66" t="s">
        <v>181</v>
      </c>
      <c r="E10" s="67" t="str">
        <f t="shared" si="1"/>
        <v>stage_hints_data_c_39013.tmp</v>
      </c>
      <c r="F10" s="66" t="s">
        <v>209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65" t="s">
        <v>185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60" t="s">
        <v>268</v>
      </c>
      <c r="B11" s="66" t="s">
        <v>202</v>
      </c>
      <c r="C11" s="61">
        <f t="shared" si="0"/>
        <v>39013</v>
      </c>
      <c r="D11" s="66" t="s">
        <v>172</v>
      </c>
      <c r="E11" s="67" t="str">
        <f t="shared" ref="E11:E13" si="2">B11&amp;C11&amp;D11</f>
        <v>stage_hints_data_f_39013.tmp</v>
      </c>
      <c r="F11" s="66" t="s">
        <v>210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65" t="s">
        <v>185</v>
      </c>
      <c r="L11" s="253" t="s">
        <v>460</v>
      </c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66" t="s">
        <v>353</v>
      </c>
      <c r="B12" s="66" t="s">
        <v>203</v>
      </c>
      <c r="C12" s="61">
        <f t="shared" si="0"/>
        <v>39013</v>
      </c>
      <c r="D12" s="66" t="s">
        <v>172</v>
      </c>
      <c r="E12" s="67" t="str">
        <f t="shared" si="2"/>
        <v>stage_hints_i18n_39013.tmp</v>
      </c>
      <c r="F12" s="66" t="s">
        <v>211</v>
      </c>
      <c r="G12" s="72" t="s">
        <v>204</v>
      </c>
      <c r="H12" s="90" t="s">
        <v>205</v>
      </c>
      <c r="I12" s="71" t="s">
        <v>206</v>
      </c>
      <c r="J12" s="98" t="s">
        <v>207</v>
      </c>
      <c r="K12" s="65" t="s">
        <v>208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66" t="s">
        <v>353</v>
      </c>
      <c r="B13" s="66" t="s">
        <v>250</v>
      </c>
      <c r="C13" s="61">
        <f t="shared" si="0"/>
        <v>39013</v>
      </c>
      <c r="D13" s="66" t="s">
        <v>231</v>
      </c>
      <c r="E13" s="67" t="str">
        <f t="shared" si="2"/>
        <v>stage_bonuses_39013.tmp</v>
      </c>
      <c r="F13" s="66" t="s">
        <v>230</v>
      </c>
      <c r="G13" s="71" t="s">
        <v>232</v>
      </c>
      <c r="H13" s="71" t="s">
        <v>233</v>
      </c>
      <c r="I13" s="71" t="s">
        <v>234</v>
      </c>
      <c r="J13" s="71" t="s">
        <v>235</v>
      </c>
      <c r="K13" s="71" t="s">
        <v>236</v>
      </c>
      <c r="L13" s="71" t="s">
        <v>237</v>
      </c>
      <c r="M13" s="71" t="s">
        <v>238</v>
      </c>
      <c r="N13" s="71" t="s">
        <v>239</v>
      </c>
      <c r="O13" s="71" t="s">
        <v>240</v>
      </c>
      <c r="P13" s="71" t="s">
        <v>241</v>
      </c>
      <c r="Q13" s="71" t="s">
        <v>242</v>
      </c>
      <c r="R13" s="71" t="s">
        <v>243</v>
      </c>
      <c r="S13" s="71" t="s">
        <v>244</v>
      </c>
      <c r="T13" s="71" t="s">
        <v>245</v>
      </c>
      <c r="U13" s="71" t="s">
        <v>246</v>
      </c>
      <c r="V13" s="71" t="s">
        <v>247</v>
      </c>
      <c r="W13" s="71" t="s">
        <v>248</v>
      </c>
      <c r="X13" s="71" t="s">
        <v>249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39013_4-1</v>
      </c>
      <c r="B2" s="16" t="str">
        <f>IF(COUNTIF(enemy_habitats!$H:$H,A2),"OK","NG")</f>
        <v>OK</v>
      </c>
      <c r="C2" s="7">
        <v>39013</v>
      </c>
      <c r="D2" s="11" t="str">
        <f ca="1">VLOOKUP($C2,OFFSET([2]quests!$A$1,0,0,COUNTA([2]quests!$A:$A),MATCH(D$1,[2]quests!$1:$1,0)-MATCH($C$1,[2]quests!$1:$1,0)+1),MATCH(D$1,[2]quests!$1:$1,0)-MATCH($C$1,[2]quests!$1:$1,0)+1,FALSE)</f>
        <v>兄左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4</v>
      </c>
      <c r="G2" s="23" t="str">
        <f>C2&amp;"_"&amp;F2</f>
        <v>39013_4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【超級】兄左</v>
      </c>
      <c r="I2" s="21">
        <v>1</v>
      </c>
      <c r="J2" s="12">
        <v>40</v>
      </c>
      <c r="K2" s="12">
        <v>40</v>
      </c>
    </row>
    <row r="3" spans="1:11" ht="21" customHeight="1" x14ac:dyDescent="0.15">
      <c r="A3" s="16" t="str">
        <f t="shared" ref="A3:A4" si="0">G3&amp;"-"&amp;I3</f>
        <v>39013_4-2</v>
      </c>
      <c r="B3" s="16" t="str">
        <f>IF(COUNTIF(enemy_habitats!$H:$H,A3),"OK","NG")</f>
        <v>OK</v>
      </c>
      <c r="C3" s="7">
        <v>39013</v>
      </c>
      <c r="D3" s="11" t="str">
        <f ca="1">VLOOKUP($C3,OFFSET([2]quests!$A$1,0,0,COUNTA([2]quests!$A:$A),MATCH(D$1,[2]quests!$1:$1,0)-MATCH($C$1,[2]quests!$1:$1,0)+1),MATCH(D$1,[2]quests!$1:$1,0)-MATCH($C$1,[2]quests!$1:$1,0)+1,FALSE)</f>
        <v>兄左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4</v>
      </c>
      <c r="G3" s="23" t="str">
        <f t="shared" ref="G3:G4" si="1">C3&amp;"_"&amp;F3</f>
        <v>39013_4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【超級】兄左</v>
      </c>
      <c r="I3" s="21">
        <v>2</v>
      </c>
      <c r="J3" s="12">
        <v>30</v>
      </c>
      <c r="K3" s="12">
        <v>30</v>
      </c>
    </row>
    <row r="4" spans="1:11" ht="21" customHeight="1" thickBot="1" x14ac:dyDescent="0.2">
      <c r="A4" s="130" t="str">
        <f t="shared" si="0"/>
        <v>39013_4-3</v>
      </c>
      <c r="B4" s="130" t="str">
        <f>IF(COUNTIF(enemy_habitats!$H:$H,A4),"OK","NG")</f>
        <v>OK</v>
      </c>
      <c r="C4" s="156">
        <v>39013</v>
      </c>
      <c r="D4" s="162" t="str">
        <f ca="1">VLOOKUP($C4,OFFSET([2]quests!$A$1,0,0,COUNTA([2]quests!$A:$A),MATCH(D$1,[2]quests!$1:$1,0)-MATCH($C$1,[2]quests!$1:$1,0)+1),MATCH(D$1,[2]quests!$1:$1,0)-MATCH($C$1,[2]quests!$1:$1,0)+1,FALSE)</f>
        <v>兄左</v>
      </c>
      <c r="E4" s="162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132">
        <v>4</v>
      </c>
      <c r="G4" s="163" t="str">
        <f t="shared" si="1"/>
        <v>39013_4</v>
      </c>
      <c r="H4" s="133" t="str">
        <f ca="1">VLOOKUP($G4,OFFSET([2]stages!$A$1,0,0,COUNTA([2]stages!$A:$A),MATCH(H$1,[2]stages!$2:$2,0)-MATCH($G$1,[2]stages!$2:$2,0)+1),MATCH(H$1,[2]stages!$2:$2,0)-MATCH($G$1,[2]stages!$2:$2,0)+1,FALSE)</f>
        <v>【超級】兄左</v>
      </c>
      <c r="I4" s="132">
        <v>3</v>
      </c>
      <c r="J4" s="135">
        <v>60</v>
      </c>
      <c r="K4" s="135">
        <v>60</v>
      </c>
    </row>
    <row r="5" spans="1:11" ht="21" customHeight="1" x14ac:dyDescent="0.15">
      <c r="A5" s="16" t="str">
        <f>G5&amp;"-"&amp;I5</f>
        <v>39013_3-1</v>
      </c>
      <c r="B5" s="16" t="str">
        <f>IF(COUNTIF(enemy_habitats!$H:$H,A5),"OK","NG")</f>
        <v>OK</v>
      </c>
      <c r="C5" s="159">
        <v>39013</v>
      </c>
      <c r="D5" s="160" t="str">
        <f ca="1">VLOOKUP($C5,OFFSET([2]quests!$A$1,0,0,COUNTA([2]quests!$A:$A),MATCH(D$1,[2]quests!$1:$1,0)-MATCH($C$1,[2]quests!$1:$1,0)+1),MATCH(D$1,[2]quests!$1:$1,0)-MATCH($C$1,[2]quests!$1:$1,0)+1,FALSE)</f>
        <v>兄左</v>
      </c>
      <c r="E5" s="160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124">
        <v>3</v>
      </c>
      <c r="G5" s="161" t="str">
        <f>C5&amp;"_"&amp;F5</f>
        <v>39013_3</v>
      </c>
      <c r="H5" s="125" t="str">
        <f ca="1">VLOOKUP($G5,OFFSET([2]stages!$A$1,0,0,COUNTA([2]stages!$A:$A),MATCH(H$1,[2]stages!$2:$2,0)-MATCH($G$1,[2]stages!$2:$2,0)+1),MATCH(H$1,[2]stages!$2:$2,0)-MATCH($G$1,[2]stages!$2:$2,0)+1,FALSE)</f>
        <v>【上級】兄左</v>
      </c>
      <c r="I5" s="124">
        <v>1</v>
      </c>
      <c r="J5" s="126">
        <v>40</v>
      </c>
      <c r="K5" s="126">
        <v>40</v>
      </c>
    </row>
    <row r="6" spans="1:11" ht="21" customHeight="1" x14ac:dyDescent="0.15">
      <c r="A6" s="16" t="str">
        <f t="shared" ref="A6:A7" si="2">G6&amp;"-"&amp;I6</f>
        <v>39013_3-2</v>
      </c>
      <c r="B6" s="16" t="str">
        <f>IF(COUNTIF(enemy_habitats!$H:$H,A6),"OK","NG")</f>
        <v>OK</v>
      </c>
      <c r="C6" s="7">
        <v>39013</v>
      </c>
      <c r="D6" s="11" t="str">
        <f ca="1">VLOOKUP($C6,OFFSET([2]quests!$A$1,0,0,COUNTA([2]quests!$A:$A),MATCH(D$1,[2]quests!$1:$1,0)-MATCH($C$1,[2]quests!$1:$1,0)+1),MATCH(D$1,[2]quests!$1:$1,0)-MATCH($C$1,[2]quests!$1:$1,0)+1,FALSE)</f>
        <v>兄左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3</v>
      </c>
      <c r="G6" s="23" t="str">
        <f t="shared" ref="G6:G7" si="3">C6&amp;"_"&amp;F6</f>
        <v>39013_3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【上級】兄左</v>
      </c>
      <c r="I6" s="21">
        <v>2</v>
      </c>
      <c r="J6" s="12">
        <v>30</v>
      </c>
      <c r="K6" s="12">
        <v>30</v>
      </c>
    </row>
    <row r="7" spans="1:11" ht="21" customHeight="1" thickBot="1" x14ac:dyDescent="0.2">
      <c r="A7" s="130" t="str">
        <f t="shared" si="2"/>
        <v>39013_3-3</v>
      </c>
      <c r="B7" s="130" t="str">
        <f>IF(COUNTIF(enemy_habitats!$H:$H,A7),"OK","NG")</f>
        <v>OK</v>
      </c>
      <c r="C7" s="156">
        <v>39013</v>
      </c>
      <c r="D7" s="162" t="str">
        <f ca="1">VLOOKUP($C7,OFFSET([2]quests!$A$1,0,0,COUNTA([2]quests!$A:$A),MATCH(D$1,[2]quests!$1:$1,0)-MATCH($C$1,[2]quests!$1:$1,0)+1),MATCH(D$1,[2]quests!$1:$1,0)-MATCH($C$1,[2]quests!$1:$1,0)+1,FALSE)</f>
        <v>兄左</v>
      </c>
      <c r="E7" s="162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132">
        <v>3</v>
      </c>
      <c r="G7" s="163" t="str">
        <f t="shared" si="3"/>
        <v>39013_3</v>
      </c>
      <c r="H7" s="133" t="str">
        <f ca="1">VLOOKUP($G7,OFFSET([2]stages!$A$1,0,0,COUNTA([2]stages!$A:$A),MATCH(H$1,[2]stages!$2:$2,0)-MATCH($G$1,[2]stages!$2:$2,0)+1),MATCH(H$1,[2]stages!$2:$2,0)-MATCH($G$1,[2]stages!$2:$2,0)+1,FALSE)</f>
        <v>【上級】兄左</v>
      </c>
      <c r="I7" s="132">
        <v>3</v>
      </c>
      <c r="J7" s="135">
        <v>60</v>
      </c>
      <c r="K7" s="135">
        <v>60</v>
      </c>
    </row>
    <row r="8" spans="1:11" ht="21" customHeight="1" x14ac:dyDescent="0.15">
      <c r="A8" s="16" t="str">
        <f>G8&amp;"-"&amp;I8</f>
        <v>39013_2-1</v>
      </c>
      <c r="B8" s="16" t="str">
        <f>IF(COUNTIF(enemy_habitats!$H:$H,A8),"OK","NG")</f>
        <v>OK</v>
      </c>
      <c r="C8" s="159">
        <v>39013</v>
      </c>
      <c r="D8" s="160" t="str">
        <f ca="1">VLOOKUP($C8,OFFSET([2]quests!$A$1,0,0,COUNTA([2]quests!$A:$A),MATCH(D$1,[2]quests!$1:$1,0)-MATCH($C$1,[2]quests!$1:$1,0)+1),MATCH(D$1,[2]quests!$1:$1,0)-MATCH($C$1,[2]quests!$1:$1,0)+1,FALSE)</f>
        <v>兄左</v>
      </c>
      <c r="E8" s="160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124">
        <v>2</v>
      </c>
      <c r="G8" s="161" t="str">
        <f>C8&amp;"_"&amp;F8</f>
        <v>39013_2</v>
      </c>
      <c r="H8" s="125" t="str">
        <f ca="1">VLOOKUP($G8,OFFSET([2]stages!$A$1,0,0,COUNTA([2]stages!$A:$A),MATCH(H$1,[2]stages!$2:$2,0)-MATCH($G$1,[2]stages!$2:$2,0)+1),MATCH(H$1,[2]stages!$2:$2,0)-MATCH($G$1,[2]stages!$2:$2,0)+1,FALSE)</f>
        <v>【中級】兄左</v>
      </c>
      <c r="I8" s="124">
        <v>1</v>
      </c>
      <c r="J8" s="12">
        <v>40</v>
      </c>
      <c r="K8" s="12">
        <v>40</v>
      </c>
    </row>
    <row r="9" spans="1:11" ht="21" customHeight="1" x14ac:dyDescent="0.15">
      <c r="A9" s="16" t="str">
        <f t="shared" ref="A9:A10" si="4">G9&amp;"-"&amp;I9</f>
        <v>39013_2-2</v>
      </c>
      <c r="B9" s="16" t="str">
        <f>IF(COUNTIF(enemy_habitats!$H:$H,A9),"OK","NG")</f>
        <v>OK</v>
      </c>
      <c r="C9" s="7">
        <v>39013</v>
      </c>
      <c r="D9" s="11" t="str">
        <f ca="1">VLOOKUP($C9,OFFSET([2]quests!$A$1,0,0,COUNTA([2]quests!$A:$A),MATCH(D$1,[2]quests!$1:$1,0)-MATCH($C$1,[2]quests!$1:$1,0)+1),MATCH(D$1,[2]quests!$1:$1,0)-MATCH($C$1,[2]quests!$1:$1,0)+1,FALSE)</f>
        <v>兄左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1">
        <v>2</v>
      </c>
      <c r="G9" s="23" t="str">
        <f t="shared" ref="G9:G10" si="5">C9&amp;"_"&amp;F9</f>
        <v>39013_2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【中級】兄左</v>
      </c>
      <c r="I9" s="21">
        <v>2</v>
      </c>
      <c r="J9" s="12">
        <v>30</v>
      </c>
      <c r="K9" s="12">
        <v>30</v>
      </c>
    </row>
    <row r="10" spans="1:11" ht="21" customHeight="1" thickBot="1" x14ac:dyDescent="0.2">
      <c r="A10" s="130" t="str">
        <f t="shared" si="4"/>
        <v>39013_2-3</v>
      </c>
      <c r="B10" s="130" t="str">
        <f>IF(COUNTIF(enemy_habitats!$H:$H,A10),"OK","NG")</f>
        <v>OK</v>
      </c>
      <c r="C10" s="156">
        <v>39013</v>
      </c>
      <c r="D10" s="162" t="str">
        <f ca="1">VLOOKUP($C10,OFFSET([2]quests!$A$1,0,0,COUNTA([2]quests!$A:$A),MATCH(D$1,[2]quests!$1:$1,0)-MATCH($C$1,[2]quests!$1:$1,0)+1),MATCH(D$1,[2]quests!$1:$1,0)-MATCH($C$1,[2]quests!$1:$1,0)+1,FALSE)</f>
        <v>兄左</v>
      </c>
      <c r="E10" s="162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132">
        <v>2</v>
      </c>
      <c r="G10" s="163" t="str">
        <f t="shared" si="5"/>
        <v>39013_2</v>
      </c>
      <c r="H10" s="133" t="str">
        <f ca="1">VLOOKUP($G10,OFFSET([2]stages!$A$1,0,0,COUNTA([2]stages!$A:$A),MATCH(H$1,[2]stages!$2:$2,0)-MATCH($G$1,[2]stages!$2:$2,0)+1),MATCH(H$1,[2]stages!$2:$2,0)-MATCH($G$1,[2]stages!$2:$2,0)+1,FALSE)</f>
        <v>【中級】兄左</v>
      </c>
      <c r="I10" s="132">
        <v>3</v>
      </c>
      <c r="J10" s="135">
        <v>30</v>
      </c>
      <c r="K10" s="135">
        <v>30</v>
      </c>
    </row>
    <row r="11" spans="1:11" ht="21" customHeight="1" x14ac:dyDescent="0.15">
      <c r="A11" s="16" t="str">
        <f>G11&amp;"-"&amp;I11</f>
        <v>39013_1-1</v>
      </c>
      <c r="B11" s="16" t="str">
        <f>IF(COUNTIF(enemy_habitats!$H:$H,A11),"OK","NG")</f>
        <v>OK</v>
      </c>
      <c r="C11" s="159">
        <v>39013</v>
      </c>
      <c r="D11" s="160" t="str">
        <f ca="1">VLOOKUP($C11,OFFSET([2]quests!$A$1,0,0,COUNTA([2]quests!$A:$A),MATCH(D$1,[2]quests!$1:$1,0)-MATCH($C$1,[2]quests!$1:$1,0)+1),MATCH(D$1,[2]quests!$1:$1,0)-MATCH($C$1,[2]quests!$1:$1,0)+1,FALSE)</f>
        <v>兄左</v>
      </c>
      <c r="E11" s="160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124">
        <v>1</v>
      </c>
      <c r="G11" s="161" t="str">
        <f>C11&amp;"_"&amp;F11</f>
        <v>39013_1</v>
      </c>
      <c r="H11" s="125" t="str">
        <f ca="1">VLOOKUP($G11,OFFSET([2]stages!$A$1,0,0,COUNTA([2]stages!$A:$A),MATCH(H$1,[2]stages!$2:$2,0)-MATCH($G$1,[2]stages!$2:$2,0)+1),MATCH(H$1,[2]stages!$2:$2,0)-MATCH($G$1,[2]stages!$2:$2,0)+1,FALSE)</f>
        <v>【初級】兄左</v>
      </c>
      <c r="I11" s="124">
        <v>1</v>
      </c>
      <c r="J11" s="126">
        <v>40</v>
      </c>
      <c r="K11" s="126">
        <v>40</v>
      </c>
    </row>
    <row r="12" spans="1:11" ht="21" customHeight="1" x14ac:dyDescent="0.15">
      <c r="A12" s="16" t="str">
        <f t="shared" ref="A12:A13" si="6">G12&amp;"-"&amp;I12</f>
        <v>39013_1-2</v>
      </c>
      <c r="B12" s="16" t="str">
        <f>IF(COUNTIF(enemy_habitats!$H:$H,A12),"OK","NG")</f>
        <v>OK</v>
      </c>
      <c r="C12" s="7">
        <v>39013</v>
      </c>
      <c r="D12" s="11" t="str">
        <f ca="1">VLOOKUP($C12,OFFSET([2]quests!$A$1,0,0,COUNTA([2]quests!$A:$A),MATCH(D$1,[2]quests!$1:$1,0)-MATCH($C$1,[2]quests!$1:$1,0)+1),MATCH(D$1,[2]quests!$1:$1,0)-MATCH($C$1,[2]quests!$1:$1,0)+1,FALSE)</f>
        <v>兄左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1">
        <v>1</v>
      </c>
      <c r="G12" s="23" t="str">
        <f t="shared" ref="G12:G13" si="7">C12&amp;"_"&amp;F12</f>
        <v>39013_1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【初級】兄左</v>
      </c>
      <c r="I12" s="21">
        <v>2</v>
      </c>
      <c r="J12" s="12">
        <v>30</v>
      </c>
      <c r="K12" s="12">
        <v>30</v>
      </c>
    </row>
    <row r="13" spans="1:11" ht="21" customHeight="1" x14ac:dyDescent="0.15">
      <c r="A13" s="16" t="str">
        <f t="shared" si="6"/>
        <v>39013_1-3</v>
      </c>
      <c r="B13" s="16" t="str">
        <f>IF(COUNTIF(enemy_habitats!$H:$H,A13),"OK","NG")</f>
        <v>OK</v>
      </c>
      <c r="C13" s="7">
        <v>39013</v>
      </c>
      <c r="D13" s="11" t="str">
        <f ca="1">VLOOKUP($C13,OFFSET([2]quests!$A$1,0,0,COUNTA([2]quests!$A:$A),MATCH(D$1,[2]quests!$1:$1,0)-MATCH($C$1,[2]quests!$1:$1,0)+1),MATCH(D$1,[2]quests!$1:$1,0)-MATCH($C$1,[2]quests!$1:$1,0)+1,FALSE)</f>
        <v>兄左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1">
        <v>1</v>
      </c>
      <c r="G13" s="23" t="str">
        <f t="shared" si="7"/>
        <v>39013_1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【初級】兄左</v>
      </c>
      <c r="I13" s="21">
        <v>3</v>
      </c>
      <c r="J13" s="12">
        <v>30</v>
      </c>
      <c r="K13" s="12">
        <v>30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5"/>
  <sheetViews>
    <sheetView showGridLines="0" workbookViewId="0">
      <pane xSplit="17" ySplit="1" topLeftCell="AI2" activePane="bottomRight" state="frozen"/>
      <selection pane="topRight" activeCell="N1" sqref="N1"/>
      <selection pane="bottomLeft" activeCell="A2" sqref="A2"/>
      <selection pane="bottomRight" activeCell="L8" sqref="L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9.3320312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9" t="s">
        <v>251</v>
      </c>
      <c r="U1" s="26" t="s">
        <v>50</v>
      </c>
      <c r="V1" s="99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39013_4-1/202&lt;lv25&gt;s1</v>
      </c>
      <c r="B2" s="22">
        <v>39013</v>
      </c>
      <c r="C2" s="21">
        <v>4</v>
      </c>
      <c r="D2" s="2" t="str">
        <f>B2&amp;"_"&amp;C2</f>
        <v>39013_4</v>
      </c>
      <c r="E2" s="4" t="str">
        <f ca="1">VLOOKUP($B2,OFFSET([2]quests!$A$1,0,0,COUNTA([2]quests!$A:$A),MATCH(E$1,[2]quests!$1:$1,0)-MATCH($B$1,[2]quests!$1:$1,0)+1),MATCH(E$1,[2]quests!$1:$1,0)-MATCH($B$1,[2]quests!$1:$1,0)+1,FALSE)</f>
        <v>兄左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【超級】兄左</v>
      </c>
      <c r="G2" s="21">
        <v>1</v>
      </c>
      <c r="H2" s="15" t="str">
        <f>B2&amp;"_"&amp;C2&amp;"-"&amp;G2</f>
        <v>39013_4-1</v>
      </c>
      <c r="I2" s="4">
        <f ca="1">VLOOKUP($H2,OFFSET(floors!$A$1,0,0,COUNTA(floors!$A:$A),MATCH(I$1,floors!$1:$1,0)-MATCH($H$1,floors!$1:$1,0)+1),MATCH(I$1,floors!$1:$1,0)-MATCH($H$1,floors!$1:$1,0)+1,FALSE)</f>
        <v>40</v>
      </c>
      <c r="J2" s="4">
        <f ca="1">VLOOKUP($H2,OFFSET(floors!$A$1,0,0,COUNTA(floors!$A:$A),MATCH(J$1,floors!$1:$1,0)-MATCH($H$1,floors!$1:$1,0)+1),MATCH(J$1,floors!$1:$1,0)-MATCH($H$1,floors!$1:$1,0)+1,FALSE)</f>
        <v>40</v>
      </c>
      <c r="K2" s="38" t="s">
        <v>53</v>
      </c>
      <c r="L2" s="20">
        <v>202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プロメテウス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25</v>
      </c>
      <c r="S2" s="25">
        <v>0.6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24346.2</v>
      </c>
      <c r="U2" s="25">
        <v>0.5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1097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" s="47">
        <v>39013001</v>
      </c>
      <c r="Z2" s="6">
        <v>0</v>
      </c>
      <c r="AA2" s="6">
        <v>25</v>
      </c>
      <c r="AB2" s="6">
        <v>0</v>
      </c>
      <c r="AC2" s="168">
        <v>1</v>
      </c>
      <c r="AD2" s="7">
        <v>202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プロメテウス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7" si="0">B3&amp;"_"&amp;C3&amp;"-"&amp;G3&amp;"/"&amp;L3&amp;"&lt;lv"&amp;R3&amp;"&gt;s"&amp;AC3</f>
        <v>39013_4-1/126&lt;lv25&gt;s1</v>
      </c>
      <c r="B3" s="22">
        <v>39013</v>
      </c>
      <c r="C3" s="21">
        <v>4</v>
      </c>
      <c r="D3" s="2" t="str">
        <f t="shared" ref="D3:D7" si="1">B3&amp;"_"&amp;C3</f>
        <v>39013_4</v>
      </c>
      <c r="E3" s="4" t="str">
        <f ca="1">VLOOKUP($B3,OFFSET([2]quests!$A$1,0,0,COUNTA([2]quests!$A:$A),MATCH(E$1,[2]quests!$1:$1,0)-MATCH($B$1,[2]quests!$1:$1,0)+1),MATCH(E$1,[2]quests!$1:$1,0)-MATCH($B$1,[2]quests!$1:$1,0)+1,FALSE)</f>
        <v>兄左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【超級】兄左</v>
      </c>
      <c r="G3" s="21">
        <v>1</v>
      </c>
      <c r="H3" s="15" t="str">
        <f t="shared" ref="H3:H7" si="2">B3&amp;"_"&amp;C3&amp;"-"&amp;G3</f>
        <v>39013_4-1</v>
      </c>
      <c r="I3" s="4">
        <f ca="1">VLOOKUP($H3,OFFSET(floors!$A$1,0,0,COUNTA(floors!$A:$A),MATCH(I$1,floors!$1:$1,0)-MATCH($H$1,floors!$1:$1,0)+1),MATCH(I$1,floors!$1:$1,0)-MATCH($H$1,floors!$1:$1,0)+1,FALSE)</f>
        <v>40</v>
      </c>
      <c r="J3" s="4">
        <f ca="1">VLOOKUP($H3,OFFSET(floors!$A$1,0,0,COUNTA(floors!$A:$A),MATCH(J$1,floors!$1:$1,0)-MATCH($H$1,floors!$1:$1,0)+1),MATCH(J$1,floors!$1:$1,0)-MATCH($H$1,floors!$1:$1,0)+1,FALSE)</f>
        <v>40</v>
      </c>
      <c r="K3" s="38" t="s">
        <v>53</v>
      </c>
      <c r="L3" s="20">
        <v>126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骨器使い ユノ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25</v>
      </c>
      <c r="S3" s="25">
        <v>1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27401</v>
      </c>
      <c r="U3" s="25">
        <v>0.3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999.3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3" s="47">
        <v>39013002</v>
      </c>
      <c r="Z3" s="6">
        <v>0</v>
      </c>
      <c r="AA3" s="6">
        <v>25</v>
      </c>
      <c r="AB3" s="6">
        <v>0</v>
      </c>
      <c r="AC3" s="168">
        <v>1</v>
      </c>
      <c r="AD3" s="7">
        <v>126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" s="7">
        <v>1</v>
      </c>
      <c r="AI3" s="24">
        <f t="shared" ref="AI3:AI7" ca="1" si="3">AF3</f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39013_4-1/199&lt;lv25&gt;s2</v>
      </c>
      <c r="B4" s="22">
        <v>39013</v>
      </c>
      <c r="C4" s="21">
        <v>4</v>
      </c>
      <c r="D4" s="2" t="str">
        <f t="shared" si="1"/>
        <v>39013_4</v>
      </c>
      <c r="E4" s="4" t="str">
        <f ca="1">VLOOKUP($B4,OFFSET([2]quests!$A$1,0,0,COUNTA([2]quests!$A:$A),MATCH(E$1,[2]quests!$1:$1,0)-MATCH($B$1,[2]quests!$1:$1,0)+1),MATCH(E$1,[2]quests!$1:$1,0)-MATCH($B$1,[2]quests!$1:$1,0)+1,FALSE)</f>
        <v>兄左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【超級】兄左</v>
      </c>
      <c r="G4" s="21">
        <v>1</v>
      </c>
      <c r="H4" s="15" t="str">
        <f t="shared" si="2"/>
        <v>39013_4-1</v>
      </c>
      <c r="I4" s="4">
        <f ca="1">VLOOKUP($H4,OFFSET(floors!$A$1,0,0,COUNTA(floors!$A:$A),MATCH(I$1,floors!$1:$1,0)-MATCH($H$1,floors!$1:$1,0)+1),MATCH(I$1,floors!$1:$1,0)-MATCH($H$1,floors!$1:$1,0)+1,FALSE)</f>
        <v>40</v>
      </c>
      <c r="J4" s="4">
        <f ca="1">VLOOKUP($H4,OFFSET(floors!$A$1,0,0,COUNTA(floors!$A:$A),MATCH(J$1,floors!$1:$1,0)-MATCH($H$1,floors!$1:$1,0)+1),MATCH(J$1,floors!$1:$1,0)-MATCH($H$1,floors!$1:$1,0)+1,FALSE)</f>
        <v>40</v>
      </c>
      <c r="K4" s="38" t="s">
        <v>53</v>
      </c>
      <c r="L4" s="20">
        <v>199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ジークフリート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25</v>
      </c>
      <c r="S4" s="25">
        <v>1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41102</v>
      </c>
      <c r="U4" s="25">
        <v>1.7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3146.7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4" s="47">
        <v>39013003</v>
      </c>
      <c r="Z4" s="6">
        <v>0</v>
      </c>
      <c r="AA4" s="6">
        <v>25</v>
      </c>
      <c r="AB4" s="6">
        <v>0</v>
      </c>
      <c r="AC4" s="168">
        <v>2</v>
      </c>
      <c r="AD4" s="7">
        <v>199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4" s="7">
        <v>1</v>
      </c>
      <c r="AI4" s="24">
        <f t="shared" ca="1" si="3"/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39013_4-1/150&lt;lv25&gt;s1</v>
      </c>
      <c r="B5" s="22">
        <v>39013</v>
      </c>
      <c r="C5" s="21">
        <v>4</v>
      </c>
      <c r="D5" s="2" t="str">
        <f t="shared" si="1"/>
        <v>39013_4</v>
      </c>
      <c r="E5" s="4" t="str">
        <f ca="1">VLOOKUP($B5,OFFSET([2]quests!$A$1,0,0,COUNTA([2]quests!$A:$A),MATCH(E$1,[2]quests!$1:$1,0)-MATCH($B$1,[2]quests!$1:$1,0)+1),MATCH(E$1,[2]quests!$1:$1,0)-MATCH($B$1,[2]quests!$1:$1,0)+1,FALSE)</f>
        <v>兄左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【超級】兄左</v>
      </c>
      <c r="G5" s="21">
        <v>1</v>
      </c>
      <c r="H5" s="15" t="str">
        <f t="shared" si="2"/>
        <v>39013_4-1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 t="s">
        <v>53</v>
      </c>
      <c r="L5" s="20">
        <v>150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ポイズンマスターサキ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25</v>
      </c>
      <c r="S5" s="25">
        <v>1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24661</v>
      </c>
      <c r="U5" s="25">
        <v>0.4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901.6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5" s="47">
        <v>39013004</v>
      </c>
      <c r="Z5" s="6">
        <v>0</v>
      </c>
      <c r="AA5" s="6">
        <v>25</v>
      </c>
      <c r="AB5" s="6">
        <v>0</v>
      </c>
      <c r="AC5" s="168">
        <v>1</v>
      </c>
      <c r="AD5" s="7">
        <v>150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3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39013_4-2/1584&lt;lv25&gt;s1</v>
      </c>
      <c r="B6" s="22">
        <v>39013</v>
      </c>
      <c r="C6" s="21">
        <v>4</v>
      </c>
      <c r="D6" s="2" t="str">
        <f t="shared" si="1"/>
        <v>39013_4</v>
      </c>
      <c r="E6" s="4" t="str">
        <f ca="1">VLOOKUP($B6,OFFSET([2]quests!$A$1,0,0,COUNTA([2]quests!$A:$A),MATCH(E$1,[2]quests!$1:$1,0)-MATCH($B$1,[2]quests!$1:$1,0)+1),MATCH(E$1,[2]quests!$1:$1,0)-MATCH($B$1,[2]quests!$1:$1,0)+1,FALSE)</f>
        <v>兄左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【超級】兄左</v>
      </c>
      <c r="G6" s="21">
        <v>2</v>
      </c>
      <c r="H6" s="15" t="str">
        <f t="shared" si="2"/>
        <v>39013_4-2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1584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Sirius01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orochi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25</v>
      </c>
      <c r="S6" s="25">
        <v>2.8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121094.39999999999</v>
      </c>
      <c r="U6" s="25">
        <v>1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2893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6" s="47">
        <v>39013005</v>
      </c>
      <c r="Z6" s="6">
        <v>1</v>
      </c>
      <c r="AA6" s="6">
        <v>100</v>
      </c>
      <c r="AB6" s="6">
        <v>1</v>
      </c>
      <c r="AC6" s="168">
        <v>1</v>
      </c>
      <c r="AD6" s="7">
        <v>1584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3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thickBot="1" x14ac:dyDescent="0.2">
      <c r="A7" s="130" t="str">
        <f t="shared" si="0"/>
        <v>39013_4-3/1585&lt;lv25&gt;s1</v>
      </c>
      <c r="B7" s="131">
        <v>39013</v>
      </c>
      <c r="C7" s="132">
        <v>4</v>
      </c>
      <c r="D7" s="133" t="str">
        <f t="shared" si="1"/>
        <v>39013_4</v>
      </c>
      <c r="E7" s="134" t="str">
        <f ca="1">VLOOKUP($B7,OFFSET([2]quests!$A$1,0,0,COUNTA([2]quests!$A:$A),MATCH(E$1,[2]quests!$1:$1,0)-MATCH($B$1,[2]quests!$1:$1,0)+1),MATCH(E$1,[2]quests!$1:$1,0)-MATCH($B$1,[2]quests!$1:$1,0)+1,FALSE)</f>
        <v>兄左</v>
      </c>
      <c r="F7" s="134" t="str">
        <f ca="1">VLOOKUP($D7,OFFSET([2]stages!$A$1,0,0,COUNTA([2]stages!$A:$A),MATCH(F$1,[2]stages!$2:$2,0)-MATCH($D$1,[2]stages!$2:$2,0)+1),MATCH(F$1,[2]stages!$2:$2,0)-MATCH($D$1,[2]stages!$2:$2,0)+1,FALSE)</f>
        <v>【超級】兄左</v>
      </c>
      <c r="G7" s="132">
        <v>3</v>
      </c>
      <c r="H7" s="133" t="str">
        <f t="shared" si="2"/>
        <v>39013_4-3</v>
      </c>
      <c r="I7" s="134">
        <f ca="1">VLOOKUP($H7,OFFSET(floors!$A$1,0,0,COUNTA(floors!$A:$A),MATCH(I$1,floors!$1:$1,0)-MATCH($H$1,floors!$1:$1,0)+1),MATCH(I$1,floors!$1:$1,0)-MATCH($H$1,floors!$1:$1,0)+1,FALSE)</f>
        <v>60</v>
      </c>
      <c r="J7" s="134">
        <f ca="1">VLOOKUP($H7,OFFSET(floors!$A$1,0,0,COUNTA(floors!$A:$A),MATCH(J$1,floors!$1:$1,0)-MATCH($H$1,floors!$1:$1,0)+1),MATCH(J$1,floors!$1:$1,0)-MATCH($H$1,floors!$1:$1,0)+1,FALSE)</f>
        <v>60</v>
      </c>
      <c r="K7" s="135">
        <v>1</v>
      </c>
      <c r="L7" s="136">
        <v>1585</v>
      </c>
      <c r="M7" s="137" t="str">
        <f ca="1">VLOOKUP($L7,OFFSET([3]enemies!$A$1,0,0,COUNTA([3]enemies!$A:$A),MATCH(M$1,[3]enemies!$1:$1,0)-MATCH($L$1,[3]enemies!$1:$1,0)+1),MATCH(M$1,[3]enemies!$1:$1,0)-MATCH($L$1,[3]enemies!$1:$1,0)+1,FALSE)</f>
        <v>Sirius02</v>
      </c>
      <c r="N7" s="13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3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37" t="str">
        <f ca="1">VLOOKUP($L7,OFFSET([3]enemies!$A$1,0,0,COUNTA([3]enemies!$A:$A),MATCH(P$1,[3]enemies!$1:$1,0)-MATCH($L$1,[3]enemies!$1:$1,0)+1),MATCH(P$1,[3]enemies!$1:$1,0)-MATCH($L$1,[3]enemies!$1:$1,0)+1,FALSE)</f>
        <v>orochi</v>
      </c>
      <c r="Q7" s="137">
        <f ca="1">VLOOKUP($L7,OFFSET([3]enemies!$A$1,0,0,COUNTA([3]enemies!$A:$A),MATCH(Q$1,[3]enemies!$1:$1,0)-MATCH($L$1,[3]enemies!$1:$1,0)+1),MATCH(Q$1,[3]enemies!$1:$1,0)-MATCH($L$1,[3]enemies!$1:$1,0)+1,FALSE)</f>
        <v>60</v>
      </c>
      <c r="R7" s="138">
        <v>25</v>
      </c>
      <c r="S7" s="139">
        <v>3.4</v>
      </c>
      <c r="T7" s="14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150106.6</v>
      </c>
      <c r="U7" s="170">
        <v>1.3</v>
      </c>
      <c r="V7" s="14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5053.1000000000004</v>
      </c>
      <c r="W7" s="138">
        <v>0</v>
      </c>
      <c r="X7" s="13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7" s="153">
        <v>39013006</v>
      </c>
      <c r="Z7" s="154">
        <v>1</v>
      </c>
      <c r="AA7" s="154">
        <v>100</v>
      </c>
      <c r="AB7" s="154">
        <v>1</v>
      </c>
      <c r="AC7" s="169">
        <v>1</v>
      </c>
      <c r="AD7" s="156">
        <v>1584</v>
      </c>
      <c r="AE7" s="13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7" s="13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13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56">
        <v>1</v>
      </c>
      <c r="AI7" s="155">
        <f t="shared" ca="1" si="3"/>
        <v>4</v>
      </c>
      <c r="AJ7" s="157">
        <v>100</v>
      </c>
      <c r="AK7" s="156">
        <v>0</v>
      </c>
      <c r="AL7" s="156">
        <v>0</v>
      </c>
      <c r="AM7" s="156">
        <v>0</v>
      </c>
      <c r="AN7" s="156">
        <v>0</v>
      </c>
      <c r="AO7" s="156">
        <v>1</v>
      </c>
      <c r="AP7" s="158">
        <v>1</v>
      </c>
    </row>
    <row r="8" spans="1:42" ht="21" customHeight="1" x14ac:dyDescent="0.15">
      <c r="A8" s="16" t="str">
        <f>B8&amp;"_"&amp;C8&amp;"-"&amp;G8&amp;"/"&amp;L8&amp;"&lt;lv"&amp;R8&amp;"&gt;s"&amp;AC8</f>
        <v>39013_3-1/202&lt;lv20&gt;s1</v>
      </c>
      <c r="B8" s="22">
        <v>39013</v>
      </c>
      <c r="C8" s="21">
        <v>3</v>
      </c>
      <c r="D8" s="2" t="str">
        <f>B8&amp;"_"&amp;C8</f>
        <v>39013_3</v>
      </c>
      <c r="E8" s="4" t="str">
        <f ca="1">VLOOKUP($B8,OFFSET([2]quests!$A$1,0,0,COUNTA([2]quests!$A:$A),MATCH(E$1,[2]quests!$1:$1,0)-MATCH($B$1,[2]quests!$1:$1,0)+1),MATCH(E$1,[2]quests!$1:$1,0)-MATCH($B$1,[2]quests!$1:$1,0)+1,FALSE)</f>
        <v>兄左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【上級】兄左</v>
      </c>
      <c r="G8" s="21">
        <v>1</v>
      </c>
      <c r="H8" s="15" t="str">
        <f>B8&amp;"_"&amp;C8&amp;"-"&amp;G8</f>
        <v>39013_3-1</v>
      </c>
      <c r="I8" s="4">
        <f ca="1">VLOOKUP($H8,OFFSET(floors!$A$1,0,0,COUNTA(floors!$A:$A),MATCH(I$1,floors!$1:$1,0)-MATCH($H$1,floors!$1:$1,0)+1),MATCH(I$1,floors!$1:$1,0)-MATCH($H$1,floors!$1:$1,0)+1,FALSE)</f>
        <v>40</v>
      </c>
      <c r="J8" s="4">
        <f ca="1">VLOOKUP($H8,OFFSET(floors!$A$1,0,0,COUNTA(floors!$A:$A),MATCH(J$1,floors!$1:$1,0)-MATCH($H$1,floors!$1:$1,0)+1),MATCH(J$1,floors!$1:$1,0)-MATCH($H$1,floors!$1:$1,0)+1,FALSE)</f>
        <v>40</v>
      </c>
      <c r="K8" s="38" t="s">
        <v>53</v>
      </c>
      <c r="L8" s="20">
        <v>202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プロメテウス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128">
        <v>20</v>
      </c>
      <c r="S8" s="25">
        <v>0.6</v>
      </c>
      <c r="T8" s="12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19752.599999999999</v>
      </c>
      <c r="U8" s="25">
        <v>0.5</v>
      </c>
      <c r="V8" s="10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890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8" s="47">
        <v>39013001</v>
      </c>
      <c r="Z8" s="6">
        <v>0</v>
      </c>
      <c r="AA8" s="6">
        <v>25</v>
      </c>
      <c r="AB8" s="6">
        <v>0</v>
      </c>
      <c r="AC8" s="168">
        <v>1</v>
      </c>
      <c r="AD8" s="7">
        <v>202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プロメテウス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8" s="7">
        <v>1</v>
      </c>
      <c r="AI8" s="24">
        <f ca="1">AF8</f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ref="A9:A13" si="4">B9&amp;"_"&amp;C9&amp;"-"&amp;G9&amp;"/"&amp;L9&amp;"&lt;lv"&amp;R9&amp;"&gt;s"&amp;AC9</f>
        <v>39013_3-1/126&lt;lv20&gt;s1</v>
      </c>
      <c r="B9" s="22">
        <v>39013</v>
      </c>
      <c r="C9" s="21">
        <v>3</v>
      </c>
      <c r="D9" s="2" t="str">
        <f t="shared" ref="D9:D13" si="5">B9&amp;"_"&amp;C9</f>
        <v>39013_3</v>
      </c>
      <c r="E9" s="4" t="str">
        <f ca="1">VLOOKUP($B9,OFFSET([2]quests!$A$1,0,0,COUNTA([2]quests!$A:$A),MATCH(E$1,[2]quests!$1:$1,0)-MATCH($B$1,[2]quests!$1:$1,0)+1),MATCH(E$1,[2]quests!$1:$1,0)-MATCH($B$1,[2]quests!$1:$1,0)+1,FALSE)</f>
        <v>兄左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【上級】兄左</v>
      </c>
      <c r="G9" s="21">
        <v>1</v>
      </c>
      <c r="H9" s="15" t="str">
        <f t="shared" ref="H9:H13" si="6">B9&amp;"_"&amp;C9&amp;"-"&amp;G9</f>
        <v>39013_3-1</v>
      </c>
      <c r="I9" s="4">
        <f ca="1">VLOOKUP($H9,OFFSET(floors!$A$1,0,0,COUNTA(floors!$A:$A),MATCH(I$1,floors!$1:$1,0)-MATCH($H$1,floors!$1:$1,0)+1),MATCH(I$1,floors!$1:$1,0)-MATCH($H$1,floors!$1:$1,0)+1,FALSE)</f>
        <v>40</v>
      </c>
      <c r="J9" s="4">
        <f ca="1">VLOOKUP($H9,OFFSET(floors!$A$1,0,0,COUNTA(floors!$A:$A),MATCH(J$1,floors!$1:$1,0)-MATCH($H$1,floors!$1:$1,0)+1),MATCH(J$1,floors!$1:$1,0)-MATCH($H$1,floors!$1:$1,0)+1,FALSE)</f>
        <v>40</v>
      </c>
      <c r="K9" s="38" t="s">
        <v>53</v>
      </c>
      <c r="L9" s="20">
        <v>126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骨器使い ユノ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20</v>
      </c>
      <c r="S9" s="25">
        <v>1</v>
      </c>
      <c r="T9" s="10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22231</v>
      </c>
      <c r="U9" s="25">
        <v>0.3</v>
      </c>
      <c r="V9" s="10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810.9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9" s="47">
        <v>39013002</v>
      </c>
      <c r="Z9" s="6">
        <v>0</v>
      </c>
      <c r="AA9" s="6">
        <v>25</v>
      </c>
      <c r="AB9" s="6">
        <v>0</v>
      </c>
      <c r="AC9" s="168">
        <v>1</v>
      </c>
      <c r="AD9" s="7">
        <v>126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9" s="7">
        <v>1</v>
      </c>
      <c r="AI9" s="24">
        <f t="shared" ref="AI9:AI13" ca="1" si="7">AF9</f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4"/>
        <v>39013_3-1/199&lt;lv20&gt;s2</v>
      </c>
      <c r="B10" s="22">
        <v>39013</v>
      </c>
      <c r="C10" s="21">
        <v>3</v>
      </c>
      <c r="D10" s="2" t="str">
        <f t="shared" si="5"/>
        <v>39013_3</v>
      </c>
      <c r="E10" s="4" t="str">
        <f ca="1">VLOOKUP($B10,OFFSET([2]quests!$A$1,0,0,COUNTA([2]quests!$A:$A),MATCH(E$1,[2]quests!$1:$1,0)-MATCH($B$1,[2]quests!$1:$1,0)+1),MATCH(E$1,[2]quests!$1:$1,0)-MATCH($B$1,[2]quests!$1:$1,0)+1,FALSE)</f>
        <v>兄左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【上級】兄左</v>
      </c>
      <c r="G10" s="21">
        <v>1</v>
      </c>
      <c r="H10" s="15" t="str">
        <f t="shared" si="6"/>
        <v>39013_3-1</v>
      </c>
      <c r="I10" s="4">
        <f ca="1">VLOOKUP($H10,OFFSET(floors!$A$1,0,0,COUNTA(floors!$A:$A),MATCH(I$1,floors!$1:$1,0)-MATCH($H$1,floors!$1:$1,0)+1),MATCH(I$1,floors!$1:$1,0)-MATCH($H$1,floors!$1:$1,0)+1,FALSE)</f>
        <v>40</v>
      </c>
      <c r="J10" s="4">
        <f ca="1">VLOOKUP($H10,OFFSET(floors!$A$1,0,0,COUNTA(floors!$A:$A),MATCH(J$1,floors!$1:$1,0)-MATCH($H$1,floors!$1:$1,0)+1),MATCH(J$1,floors!$1:$1,0)-MATCH($H$1,floors!$1:$1,0)+1,FALSE)</f>
        <v>40</v>
      </c>
      <c r="K10" s="38" t="s">
        <v>53</v>
      </c>
      <c r="L10" s="20">
        <v>199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ジークフリート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20</v>
      </c>
      <c r="S10" s="25">
        <v>1</v>
      </c>
      <c r="T10" s="10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33347</v>
      </c>
      <c r="U10" s="25">
        <v>1.7</v>
      </c>
      <c r="V10" s="10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2553.4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0" s="47">
        <v>39013003</v>
      </c>
      <c r="Z10" s="6">
        <v>0</v>
      </c>
      <c r="AA10" s="6">
        <v>25</v>
      </c>
      <c r="AB10" s="6">
        <v>0</v>
      </c>
      <c r="AC10" s="168">
        <v>2</v>
      </c>
      <c r="AD10" s="7">
        <v>199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0" s="7">
        <v>1</v>
      </c>
      <c r="AI10" s="24">
        <f t="shared" ca="1" si="7"/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4"/>
        <v>39013_3-1/150&lt;lv20&gt;s1</v>
      </c>
      <c r="B11" s="22">
        <v>39013</v>
      </c>
      <c r="C11" s="21">
        <v>3</v>
      </c>
      <c r="D11" s="2" t="str">
        <f t="shared" si="5"/>
        <v>39013_3</v>
      </c>
      <c r="E11" s="4" t="str">
        <f ca="1">VLOOKUP($B11,OFFSET([2]quests!$A$1,0,0,COUNTA([2]quests!$A:$A),MATCH(E$1,[2]quests!$1:$1,0)-MATCH($B$1,[2]quests!$1:$1,0)+1),MATCH(E$1,[2]quests!$1:$1,0)-MATCH($B$1,[2]quests!$1:$1,0)+1,FALSE)</f>
        <v>兄左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【上級】兄左</v>
      </c>
      <c r="G11" s="21">
        <v>1</v>
      </c>
      <c r="H11" s="15" t="str">
        <f t="shared" si="6"/>
        <v>39013_3-1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53</v>
      </c>
      <c r="L11" s="20">
        <v>150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ポイズンマスターサキ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20</v>
      </c>
      <c r="S11" s="25">
        <v>1</v>
      </c>
      <c r="T11" s="10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20008</v>
      </c>
      <c r="U11" s="25">
        <v>0.4</v>
      </c>
      <c r="V11" s="10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731.6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1" s="47">
        <v>39013004</v>
      </c>
      <c r="Z11" s="6">
        <v>0</v>
      </c>
      <c r="AA11" s="6">
        <v>25</v>
      </c>
      <c r="AB11" s="6">
        <v>0</v>
      </c>
      <c r="AC11" s="168">
        <v>1</v>
      </c>
      <c r="AD11" s="7">
        <v>150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7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si="4"/>
        <v>39013_3-2/1584&lt;lv20&gt;s1</v>
      </c>
      <c r="B12" s="22">
        <v>39013</v>
      </c>
      <c r="C12" s="21">
        <v>3</v>
      </c>
      <c r="D12" s="2" t="str">
        <f t="shared" si="5"/>
        <v>39013_3</v>
      </c>
      <c r="E12" s="4" t="str">
        <f ca="1">VLOOKUP($B12,OFFSET([2]quests!$A$1,0,0,COUNTA([2]quests!$A:$A),MATCH(E$1,[2]quests!$1:$1,0)-MATCH($B$1,[2]quests!$1:$1,0)+1),MATCH(E$1,[2]quests!$1:$1,0)-MATCH($B$1,[2]quests!$1:$1,0)+1,FALSE)</f>
        <v>兄左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【上級】兄左</v>
      </c>
      <c r="G12" s="21">
        <v>2</v>
      </c>
      <c r="H12" s="15" t="str">
        <f t="shared" si="6"/>
        <v>39013_3-2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53</v>
      </c>
      <c r="L12" s="20">
        <v>1584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Sirius01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orochi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20</v>
      </c>
      <c r="S12" s="25">
        <v>2.8</v>
      </c>
      <c r="T12" s="100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98246.399999999994</v>
      </c>
      <c r="U12" s="25">
        <v>1</v>
      </c>
      <c r="V12" s="100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2347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12" s="47">
        <v>39013005</v>
      </c>
      <c r="Z12" s="6">
        <v>1</v>
      </c>
      <c r="AA12" s="6">
        <v>100</v>
      </c>
      <c r="AB12" s="6">
        <v>1</v>
      </c>
      <c r="AC12" s="168">
        <v>1</v>
      </c>
      <c r="AD12" s="7">
        <v>1584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7">
        <v>1</v>
      </c>
      <c r="AI12" s="24">
        <f t="shared" ca="1" si="7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thickBot="1" x14ac:dyDescent="0.2">
      <c r="A13" s="130" t="str">
        <f t="shared" si="4"/>
        <v>39013_3-3/1584&lt;lv20&gt;s1</v>
      </c>
      <c r="B13" s="131">
        <v>39013</v>
      </c>
      <c r="C13" s="132">
        <v>3</v>
      </c>
      <c r="D13" s="133" t="str">
        <f t="shared" si="5"/>
        <v>39013_3</v>
      </c>
      <c r="E13" s="134" t="str">
        <f ca="1">VLOOKUP($B13,OFFSET([2]quests!$A$1,0,0,COUNTA([2]quests!$A:$A),MATCH(E$1,[2]quests!$1:$1,0)-MATCH($B$1,[2]quests!$1:$1,0)+1),MATCH(E$1,[2]quests!$1:$1,0)-MATCH($B$1,[2]quests!$1:$1,0)+1,FALSE)</f>
        <v>兄左</v>
      </c>
      <c r="F13" s="134" t="str">
        <f ca="1">VLOOKUP($D13,OFFSET([2]stages!$A$1,0,0,COUNTA([2]stages!$A:$A),MATCH(F$1,[2]stages!$2:$2,0)-MATCH($D$1,[2]stages!$2:$2,0)+1),MATCH(F$1,[2]stages!$2:$2,0)-MATCH($D$1,[2]stages!$2:$2,0)+1,FALSE)</f>
        <v>【上級】兄左</v>
      </c>
      <c r="G13" s="132">
        <v>3</v>
      </c>
      <c r="H13" s="133" t="str">
        <f t="shared" si="6"/>
        <v>39013_3-3</v>
      </c>
      <c r="I13" s="134">
        <f ca="1">VLOOKUP($H13,OFFSET(floors!$A$1,0,0,COUNTA(floors!$A:$A),MATCH(I$1,floors!$1:$1,0)-MATCH($H$1,floors!$1:$1,0)+1),MATCH(I$1,floors!$1:$1,0)-MATCH($H$1,floors!$1:$1,0)+1,FALSE)</f>
        <v>60</v>
      </c>
      <c r="J13" s="134">
        <f ca="1">VLOOKUP($H13,OFFSET(floors!$A$1,0,0,COUNTA(floors!$A:$A),MATCH(J$1,floors!$1:$1,0)-MATCH($H$1,floors!$1:$1,0)+1),MATCH(J$1,floors!$1:$1,0)-MATCH($H$1,floors!$1:$1,0)+1,FALSE)</f>
        <v>60</v>
      </c>
      <c r="K13" s="135">
        <v>1</v>
      </c>
      <c r="L13" s="136">
        <v>1584</v>
      </c>
      <c r="M13" s="137" t="str">
        <f ca="1">VLOOKUP($L13,OFFSET([3]enemies!$A$1,0,0,COUNTA([3]enemies!$A:$A),MATCH(M$1,[3]enemies!$1:$1,0)-MATCH($L$1,[3]enemies!$1:$1,0)+1),MATCH(M$1,[3]enemies!$1:$1,0)-MATCH($L$1,[3]enemies!$1:$1,0)+1,FALSE)</f>
        <v>Sirius01</v>
      </c>
      <c r="N13" s="13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3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37" t="str">
        <f ca="1">VLOOKUP($L13,OFFSET([3]enemies!$A$1,0,0,COUNTA([3]enemies!$A:$A),MATCH(P$1,[3]enemies!$1:$1,0)-MATCH($L$1,[3]enemies!$1:$1,0)+1),MATCH(P$1,[3]enemies!$1:$1,0)-MATCH($L$1,[3]enemies!$1:$1,0)+1,FALSE)</f>
        <v>orochi</v>
      </c>
      <c r="Q13" s="137">
        <f ca="1">VLOOKUP($L13,OFFSET([3]enemies!$A$1,0,0,COUNTA([3]enemies!$A:$A),MATCH(Q$1,[3]enemies!$1:$1,0)-MATCH($L$1,[3]enemies!$1:$1,0)+1),MATCH(Q$1,[3]enemies!$1:$1,0)-MATCH($L$1,[3]enemies!$1:$1,0)+1,FALSE)</f>
        <v>30</v>
      </c>
      <c r="R13" s="138">
        <v>20</v>
      </c>
      <c r="S13" s="139">
        <v>3.4</v>
      </c>
      <c r="T13" s="140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119299.2</v>
      </c>
      <c r="U13" s="170">
        <v>1.3</v>
      </c>
      <c r="V13" s="140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3051.1</v>
      </c>
      <c r="W13" s="138">
        <v>0</v>
      </c>
      <c r="X13" s="13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13" s="153">
        <v>39013006</v>
      </c>
      <c r="Z13" s="154">
        <v>1</v>
      </c>
      <c r="AA13" s="154">
        <v>100</v>
      </c>
      <c r="AB13" s="154">
        <v>1</v>
      </c>
      <c r="AC13" s="169">
        <v>1</v>
      </c>
      <c r="AD13" s="156">
        <v>1584</v>
      </c>
      <c r="AE13" s="13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13" s="13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13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156">
        <v>1</v>
      </c>
      <c r="AI13" s="155">
        <f t="shared" ca="1" si="7"/>
        <v>4</v>
      </c>
      <c r="AJ13" s="157">
        <v>50</v>
      </c>
      <c r="AK13" s="156">
        <v>0</v>
      </c>
      <c r="AL13" s="156">
        <v>0</v>
      </c>
      <c r="AM13" s="156">
        <v>0</v>
      </c>
      <c r="AN13" s="156">
        <v>0</v>
      </c>
      <c r="AO13" s="156">
        <v>1</v>
      </c>
      <c r="AP13" s="158">
        <v>1</v>
      </c>
    </row>
    <row r="14" spans="1:42" ht="21" customHeight="1" x14ac:dyDescent="0.15">
      <c r="A14" s="16" t="str">
        <f>B14&amp;"_"&amp;C14&amp;"-"&amp;G14&amp;"/"&amp;L14&amp;"&lt;lv"&amp;R14&amp;"&gt;s"&amp;AC14</f>
        <v>39013_2-1/202&lt;lv14&gt;s1</v>
      </c>
      <c r="B14" s="22">
        <v>39013</v>
      </c>
      <c r="C14" s="21">
        <v>2</v>
      </c>
      <c r="D14" s="2" t="str">
        <f>B14&amp;"_"&amp;C14</f>
        <v>39013_2</v>
      </c>
      <c r="E14" s="4" t="str">
        <f ca="1">VLOOKUP($B14,OFFSET([2]quests!$A$1,0,0,COUNTA([2]quests!$A:$A),MATCH(E$1,[2]quests!$1:$1,0)-MATCH($B$1,[2]quests!$1:$1,0)+1),MATCH(E$1,[2]quests!$1:$1,0)-MATCH($B$1,[2]quests!$1:$1,0)+1,FALSE)</f>
        <v>兄左</v>
      </c>
      <c r="F14" s="4" t="str">
        <f ca="1">VLOOKUP($D14,OFFSET([2]stages!$A$1,0,0,COUNTA([2]stages!$A:$A),MATCH(F$1,[2]stages!$2:$2,0)-MATCH($D$1,[2]stages!$2:$2,0)+1),MATCH(F$1,[2]stages!$2:$2,0)-MATCH($D$1,[2]stages!$2:$2,0)+1,FALSE)</f>
        <v>【中級】兄左</v>
      </c>
      <c r="G14" s="21">
        <v>1</v>
      </c>
      <c r="H14" s="15" t="str">
        <f>B14&amp;"_"&amp;C14&amp;"-"&amp;G14</f>
        <v>39013_2-1</v>
      </c>
      <c r="I14" s="4">
        <f ca="1">VLOOKUP($H14,OFFSET(floors!$A$1,0,0,COUNTA(floors!$A:$A),MATCH(I$1,floors!$1:$1,0)-MATCH($H$1,floors!$1:$1,0)+1),MATCH(I$1,floors!$1:$1,0)-MATCH($H$1,floors!$1:$1,0)+1,FALSE)</f>
        <v>40</v>
      </c>
      <c r="J14" s="4">
        <f ca="1">VLOOKUP($H14,OFFSET(floors!$A$1,0,0,COUNTA(floors!$A:$A),MATCH(J$1,floors!$1:$1,0)-MATCH($H$1,floors!$1:$1,0)+1),MATCH(J$1,floors!$1:$1,0)-MATCH($H$1,floors!$1:$1,0)+1,FALSE)</f>
        <v>40</v>
      </c>
      <c r="K14" s="38" t="s">
        <v>53</v>
      </c>
      <c r="L14" s="20">
        <v>202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プロメテウス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god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172">
        <v>14</v>
      </c>
      <c r="S14" s="25">
        <v>0.6</v>
      </c>
      <c r="T14" s="12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14240.4</v>
      </c>
      <c r="U14" s="25">
        <v>0.5</v>
      </c>
      <c r="V14" s="100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641.5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4" s="47">
        <v>39013001</v>
      </c>
      <c r="Z14" s="6">
        <v>0</v>
      </c>
      <c r="AA14" s="6">
        <v>25</v>
      </c>
      <c r="AB14" s="6">
        <v>0</v>
      </c>
      <c r="AC14" s="168">
        <v>1</v>
      </c>
      <c r="AD14" s="7">
        <v>202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プロメテウス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4" s="7">
        <v>1</v>
      </c>
      <c r="AI14" s="24">
        <f ca="1">AF14</f>
        <v>3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8">
        <v>1</v>
      </c>
    </row>
    <row r="15" spans="1:42" ht="21" customHeight="1" x14ac:dyDescent="0.15">
      <c r="A15" s="16" t="str">
        <f t="shared" ref="A15:A19" si="8">B15&amp;"_"&amp;C15&amp;"-"&amp;G15&amp;"/"&amp;L15&amp;"&lt;lv"&amp;R15&amp;"&gt;s"&amp;AC15</f>
        <v>39013_2-1/126&lt;lv14&gt;s1</v>
      </c>
      <c r="B15" s="22">
        <v>39013</v>
      </c>
      <c r="C15" s="21">
        <v>2</v>
      </c>
      <c r="D15" s="2" t="str">
        <f t="shared" ref="D15:D19" si="9">B15&amp;"_"&amp;C15</f>
        <v>39013_2</v>
      </c>
      <c r="E15" s="4" t="str">
        <f ca="1">VLOOKUP($B15,OFFSET([2]quests!$A$1,0,0,COUNTA([2]quests!$A:$A),MATCH(E$1,[2]quests!$1:$1,0)-MATCH($B$1,[2]quests!$1:$1,0)+1),MATCH(E$1,[2]quests!$1:$1,0)-MATCH($B$1,[2]quests!$1:$1,0)+1,FALSE)</f>
        <v>兄左</v>
      </c>
      <c r="F15" s="4" t="str">
        <f ca="1">VLOOKUP($D15,OFFSET([2]stages!$A$1,0,0,COUNTA([2]stages!$A:$A),MATCH(F$1,[2]stages!$2:$2,0)-MATCH($D$1,[2]stages!$2:$2,0)+1),MATCH(F$1,[2]stages!$2:$2,0)-MATCH($D$1,[2]stages!$2:$2,0)+1,FALSE)</f>
        <v>【中級】兄左</v>
      </c>
      <c r="G15" s="21">
        <v>1</v>
      </c>
      <c r="H15" s="15" t="str">
        <f t="shared" ref="H15:H19" si="10">B15&amp;"_"&amp;C15&amp;"-"&amp;G15</f>
        <v>39013_2-1</v>
      </c>
      <c r="I15" s="4">
        <f ca="1">VLOOKUP($H15,OFFSET(floors!$A$1,0,0,COUNTA(floors!$A:$A),MATCH(I$1,floors!$1:$1,0)-MATCH($H$1,floors!$1:$1,0)+1),MATCH(I$1,floors!$1:$1,0)-MATCH($H$1,floors!$1:$1,0)+1,FALSE)</f>
        <v>40</v>
      </c>
      <c r="J15" s="4">
        <f ca="1">VLOOKUP($H15,OFFSET(floors!$A$1,0,0,COUNTA(floors!$A:$A),MATCH(J$1,floors!$1:$1,0)-MATCH($H$1,floors!$1:$1,0)+1),MATCH(J$1,floors!$1:$1,0)-MATCH($H$1,floors!$1:$1,0)+1,FALSE)</f>
        <v>40</v>
      </c>
      <c r="K15" s="38" t="s">
        <v>53</v>
      </c>
      <c r="L15" s="20">
        <v>126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骨器使い ユノ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20</v>
      </c>
      <c r="R15" s="128">
        <v>14</v>
      </c>
      <c r="S15" s="25">
        <v>1</v>
      </c>
      <c r="T15" s="100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16027</v>
      </c>
      <c r="U15" s="25">
        <v>0.3</v>
      </c>
      <c r="V15" s="100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584.4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5" s="47">
        <v>39013002</v>
      </c>
      <c r="Z15" s="6">
        <v>0</v>
      </c>
      <c r="AA15" s="6">
        <v>25</v>
      </c>
      <c r="AB15" s="6">
        <v>0</v>
      </c>
      <c r="AC15" s="168">
        <v>1</v>
      </c>
      <c r="AD15" s="7">
        <v>126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3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5" s="7">
        <v>1</v>
      </c>
      <c r="AI15" s="24">
        <f t="shared" ref="AI15:AI19" ca="1" si="11">AF15</f>
        <v>3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8">
        <v>1</v>
      </c>
    </row>
    <row r="16" spans="1:42" ht="21" customHeight="1" x14ac:dyDescent="0.15">
      <c r="A16" s="16" t="str">
        <f t="shared" si="8"/>
        <v>39013_2-1/199&lt;lv14&gt;s2</v>
      </c>
      <c r="B16" s="22">
        <v>39013</v>
      </c>
      <c r="C16" s="21">
        <v>2</v>
      </c>
      <c r="D16" s="2" t="str">
        <f t="shared" si="9"/>
        <v>39013_2</v>
      </c>
      <c r="E16" s="4" t="str">
        <f ca="1">VLOOKUP($B16,OFFSET([2]quests!$A$1,0,0,COUNTA([2]quests!$A:$A),MATCH(E$1,[2]quests!$1:$1,0)-MATCH($B$1,[2]quests!$1:$1,0)+1),MATCH(E$1,[2]quests!$1:$1,0)-MATCH($B$1,[2]quests!$1:$1,0)+1,FALSE)</f>
        <v>兄左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【中級】兄左</v>
      </c>
      <c r="G16" s="21">
        <v>1</v>
      </c>
      <c r="H16" s="15" t="str">
        <f t="shared" si="10"/>
        <v>39013_2-1</v>
      </c>
      <c r="I16" s="4">
        <f ca="1">VLOOKUP($H16,OFFSET(floors!$A$1,0,0,COUNTA(floors!$A:$A),MATCH(I$1,floors!$1:$1,0)-MATCH($H$1,floors!$1:$1,0)+1),MATCH(I$1,floors!$1:$1,0)-MATCH($H$1,floors!$1:$1,0)+1,FALSE)</f>
        <v>40</v>
      </c>
      <c r="J16" s="4">
        <f ca="1">VLOOKUP($H16,OFFSET(floors!$A$1,0,0,COUNTA(floors!$A:$A),MATCH(J$1,floors!$1:$1,0)-MATCH($H$1,floors!$1:$1,0)+1),MATCH(J$1,floors!$1:$1,0)-MATCH($H$1,floors!$1:$1,0)+1,FALSE)</f>
        <v>40</v>
      </c>
      <c r="K16" s="38" t="s">
        <v>53</v>
      </c>
      <c r="L16" s="20">
        <v>199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ジークフリート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128">
        <v>14</v>
      </c>
      <c r="S16" s="25">
        <v>1</v>
      </c>
      <c r="T16" s="100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24041</v>
      </c>
      <c r="U16" s="25">
        <v>1.7</v>
      </c>
      <c r="V16" s="100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1841.1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6" s="47">
        <v>39013003</v>
      </c>
      <c r="Z16" s="6">
        <v>0</v>
      </c>
      <c r="AA16" s="6">
        <v>25</v>
      </c>
      <c r="AB16" s="6">
        <v>0</v>
      </c>
      <c r="AC16" s="168">
        <v>2</v>
      </c>
      <c r="AD16" s="7">
        <v>199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6" s="7">
        <v>1</v>
      </c>
      <c r="AI16" s="24">
        <f t="shared" ca="1" si="11"/>
        <v>3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8">
        <v>1</v>
      </c>
    </row>
    <row r="17" spans="1:42" ht="21" customHeight="1" x14ac:dyDescent="0.15">
      <c r="A17" s="16" t="str">
        <f t="shared" si="8"/>
        <v>39013_2-1/150&lt;lv14&gt;s1</v>
      </c>
      <c r="B17" s="22">
        <v>39013</v>
      </c>
      <c r="C17" s="21">
        <v>2</v>
      </c>
      <c r="D17" s="2" t="str">
        <f t="shared" si="9"/>
        <v>39013_2</v>
      </c>
      <c r="E17" s="4" t="str">
        <f ca="1">VLOOKUP($B17,OFFSET([2]quests!$A$1,0,0,COUNTA([2]quests!$A:$A),MATCH(E$1,[2]quests!$1:$1,0)-MATCH($B$1,[2]quests!$1:$1,0)+1),MATCH(E$1,[2]quests!$1:$1,0)-MATCH($B$1,[2]quests!$1:$1,0)+1,FALSE)</f>
        <v>兄左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【中級】兄左</v>
      </c>
      <c r="G17" s="21">
        <v>1</v>
      </c>
      <c r="H17" s="15" t="str">
        <f t="shared" si="10"/>
        <v>39013_2-1</v>
      </c>
      <c r="I17" s="4">
        <f ca="1">VLOOKUP($H17,OFFSET(floors!$A$1,0,0,COUNTA(floors!$A:$A),MATCH(I$1,floors!$1:$1,0)-MATCH($H$1,floors!$1:$1,0)+1),MATCH(I$1,floors!$1:$1,0)-MATCH($H$1,floors!$1:$1,0)+1,FALSE)</f>
        <v>40</v>
      </c>
      <c r="J17" s="4">
        <f ca="1">VLOOKUP($H17,OFFSET(floors!$A$1,0,0,COUNTA(floors!$A:$A),MATCH(J$1,floors!$1:$1,0)-MATCH($H$1,floors!$1:$1,0)+1),MATCH(J$1,floors!$1:$1,0)-MATCH($H$1,floors!$1:$1,0)+1,FALSE)</f>
        <v>40</v>
      </c>
      <c r="K17" s="38" t="s">
        <v>53</v>
      </c>
      <c r="L17" s="20">
        <v>150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ポイズンマスターサキ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128">
        <v>14</v>
      </c>
      <c r="S17" s="25">
        <v>1</v>
      </c>
      <c r="T17" s="100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14424</v>
      </c>
      <c r="U17" s="25">
        <v>0.4</v>
      </c>
      <c r="V17" s="100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527.6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7" s="47">
        <v>39013004</v>
      </c>
      <c r="Z17" s="6">
        <v>0</v>
      </c>
      <c r="AA17" s="6">
        <v>25</v>
      </c>
      <c r="AB17" s="6">
        <v>0</v>
      </c>
      <c r="AC17" s="168">
        <v>1</v>
      </c>
      <c r="AD17" s="7">
        <v>150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3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7" s="7">
        <v>1</v>
      </c>
      <c r="AI17" s="24">
        <f t="shared" ca="1" si="11"/>
        <v>3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8">
        <v>1</v>
      </c>
    </row>
    <row r="18" spans="1:42" ht="21" customHeight="1" x14ac:dyDescent="0.15">
      <c r="A18" s="16" t="str">
        <f t="shared" si="8"/>
        <v>39013_2-2/1584&lt;lv14&gt;s1</v>
      </c>
      <c r="B18" s="22">
        <v>39013</v>
      </c>
      <c r="C18" s="21">
        <v>2</v>
      </c>
      <c r="D18" s="2" t="str">
        <f t="shared" si="9"/>
        <v>39013_2</v>
      </c>
      <c r="E18" s="4" t="str">
        <f ca="1">VLOOKUP($B18,OFFSET([2]quests!$A$1,0,0,COUNTA([2]quests!$A:$A),MATCH(E$1,[2]quests!$1:$1,0)-MATCH($B$1,[2]quests!$1:$1,0)+1),MATCH(E$1,[2]quests!$1:$1,0)-MATCH($B$1,[2]quests!$1:$1,0)+1,FALSE)</f>
        <v>兄左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【中級】兄左</v>
      </c>
      <c r="G18" s="21">
        <v>2</v>
      </c>
      <c r="H18" s="15" t="str">
        <f t="shared" si="10"/>
        <v>39013_2-2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8" t="s">
        <v>53</v>
      </c>
      <c r="L18" s="20">
        <v>1584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Sirius01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DropWizS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orochi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128">
        <v>14</v>
      </c>
      <c r="S18" s="25">
        <v>2.8</v>
      </c>
      <c r="T18" s="100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70828.799999999988</v>
      </c>
      <c r="U18" s="25">
        <v>1</v>
      </c>
      <c r="V18" s="100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1692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18" s="47">
        <v>39013005</v>
      </c>
      <c r="Z18" s="6">
        <v>1</v>
      </c>
      <c r="AA18" s="6">
        <v>100</v>
      </c>
      <c r="AB18" s="6">
        <v>1</v>
      </c>
      <c r="AC18" s="168">
        <v>1</v>
      </c>
      <c r="AD18" s="7">
        <v>1584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8" s="7">
        <v>1</v>
      </c>
      <c r="AI18" s="24">
        <f t="shared" ca="1" si="11"/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8">
        <v>1</v>
      </c>
    </row>
    <row r="19" spans="1:42" ht="21" customHeight="1" thickBot="1" x14ac:dyDescent="0.2">
      <c r="A19" s="130" t="str">
        <f t="shared" si="8"/>
        <v>39013_2-3/1584&lt;lv14&gt;s1</v>
      </c>
      <c r="B19" s="131">
        <v>39013</v>
      </c>
      <c r="C19" s="132">
        <v>2</v>
      </c>
      <c r="D19" s="133" t="str">
        <f t="shared" si="9"/>
        <v>39013_2</v>
      </c>
      <c r="E19" s="134" t="str">
        <f ca="1">VLOOKUP($B19,OFFSET([2]quests!$A$1,0,0,COUNTA([2]quests!$A:$A),MATCH(E$1,[2]quests!$1:$1,0)-MATCH($B$1,[2]quests!$1:$1,0)+1),MATCH(E$1,[2]quests!$1:$1,0)-MATCH($B$1,[2]quests!$1:$1,0)+1,FALSE)</f>
        <v>兄左</v>
      </c>
      <c r="F19" s="134" t="str">
        <f ca="1">VLOOKUP($D19,OFFSET([2]stages!$A$1,0,0,COUNTA([2]stages!$A:$A),MATCH(F$1,[2]stages!$2:$2,0)-MATCH($D$1,[2]stages!$2:$2,0)+1),MATCH(F$1,[2]stages!$2:$2,0)-MATCH($D$1,[2]stages!$2:$2,0)+1,FALSE)</f>
        <v>【中級】兄左</v>
      </c>
      <c r="G19" s="132">
        <v>3</v>
      </c>
      <c r="H19" s="133" t="str">
        <f t="shared" si="10"/>
        <v>39013_2-3</v>
      </c>
      <c r="I19" s="134">
        <f ca="1">VLOOKUP($H19,OFFSET(floors!$A$1,0,0,COUNTA(floors!$A:$A),MATCH(I$1,floors!$1:$1,0)-MATCH($H$1,floors!$1:$1,0)+1),MATCH(I$1,floors!$1:$1,0)-MATCH($H$1,floors!$1:$1,0)+1,FALSE)</f>
        <v>30</v>
      </c>
      <c r="J19" s="134">
        <f ca="1">VLOOKUP($H19,OFFSET(floors!$A$1,0,0,COUNTA(floors!$A:$A),MATCH(J$1,floors!$1:$1,0)-MATCH($H$1,floors!$1:$1,0)+1),MATCH(J$1,floors!$1:$1,0)-MATCH($H$1,floors!$1:$1,0)+1,FALSE)</f>
        <v>30</v>
      </c>
      <c r="K19" s="135">
        <v>1</v>
      </c>
      <c r="L19" s="136">
        <v>1584</v>
      </c>
      <c r="M19" s="137" t="str">
        <f ca="1">VLOOKUP($L19,OFFSET([3]enemies!$A$1,0,0,COUNTA([3]enemies!$A:$A),MATCH(M$1,[3]enemies!$1:$1,0)-MATCH($L$1,[3]enemies!$1:$1,0)+1),MATCH(M$1,[3]enemies!$1:$1,0)-MATCH($L$1,[3]enemies!$1:$1,0)+1,FALSE)</f>
        <v>Sirius01</v>
      </c>
      <c r="N19" s="13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37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37" t="str">
        <f ca="1">VLOOKUP($L19,OFFSET([3]enemies!$A$1,0,0,COUNTA([3]enemies!$A:$A),MATCH(P$1,[3]enemies!$1:$1,0)-MATCH($L$1,[3]enemies!$1:$1,0)+1),MATCH(P$1,[3]enemies!$1:$1,0)-MATCH($L$1,[3]enemies!$1:$1,0)+1,FALSE)</f>
        <v>orochi</v>
      </c>
      <c r="Q19" s="137">
        <f ca="1">VLOOKUP($L19,OFFSET([3]enemies!$A$1,0,0,COUNTA([3]enemies!$A:$A),MATCH(Q$1,[3]enemies!$1:$1,0)-MATCH($L$1,[3]enemies!$1:$1,0)+1),MATCH(Q$1,[3]enemies!$1:$1,0)-MATCH($L$1,[3]enemies!$1:$1,0)+1,FALSE)</f>
        <v>30</v>
      </c>
      <c r="R19" s="173">
        <v>14</v>
      </c>
      <c r="S19" s="139">
        <v>3.4</v>
      </c>
      <c r="T19" s="140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86006.399999999994</v>
      </c>
      <c r="U19" s="170">
        <v>1.3</v>
      </c>
      <c r="V19" s="140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2199.6</v>
      </c>
      <c r="W19" s="138">
        <v>0</v>
      </c>
      <c r="X19" s="13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19" s="153">
        <v>39013006</v>
      </c>
      <c r="Z19" s="154">
        <v>1</v>
      </c>
      <c r="AA19" s="154">
        <v>100</v>
      </c>
      <c r="AB19" s="154">
        <v>1</v>
      </c>
      <c r="AC19" s="169">
        <v>1</v>
      </c>
      <c r="AD19" s="156">
        <v>1584</v>
      </c>
      <c r="AE19" s="13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19" s="13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13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156">
        <v>1</v>
      </c>
      <c r="AI19" s="155">
        <f t="shared" ca="1" si="11"/>
        <v>4</v>
      </c>
      <c r="AJ19" s="157">
        <v>25</v>
      </c>
      <c r="AK19" s="156">
        <v>0</v>
      </c>
      <c r="AL19" s="156">
        <v>0</v>
      </c>
      <c r="AM19" s="156">
        <v>0</v>
      </c>
      <c r="AN19" s="156">
        <v>0</v>
      </c>
      <c r="AO19" s="156">
        <v>1</v>
      </c>
      <c r="AP19" s="158">
        <v>1</v>
      </c>
    </row>
    <row r="20" spans="1:42" ht="21" customHeight="1" x14ac:dyDescent="0.15">
      <c r="A20" s="16" t="str">
        <f>B20&amp;"_"&amp;C20&amp;"-"&amp;G20&amp;"/"&amp;L20&amp;"&lt;lv"&amp;R20&amp;"&gt;s"&amp;AC20</f>
        <v>39013_1-1/202&lt;lv9&gt;s1</v>
      </c>
      <c r="B20" s="22">
        <v>39013</v>
      </c>
      <c r="C20" s="21">
        <v>1</v>
      </c>
      <c r="D20" s="2" t="str">
        <f>B20&amp;"_"&amp;C20</f>
        <v>39013_1</v>
      </c>
      <c r="E20" s="4" t="str">
        <f ca="1">VLOOKUP($B20,OFFSET([2]quests!$A$1,0,0,COUNTA([2]quests!$A:$A),MATCH(E$1,[2]quests!$1:$1,0)-MATCH($B$1,[2]quests!$1:$1,0)+1),MATCH(E$1,[2]quests!$1:$1,0)-MATCH($B$1,[2]quests!$1:$1,0)+1,FALSE)</f>
        <v>兄左</v>
      </c>
      <c r="F20" s="4" t="str">
        <f ca="1">VLOOKUP($D20,OFFSET([2]stages!$A$1,0,0,COUNTA([2]stages!$A:$A),MATCH(F$1,[2]stages!$2:$2,0)-MATCH($D$1,[2]stages!$2:$2,0)+1),MATCH(F$1,[2]stages!$2:$2,0)-MATCH($D$1,[2]stages!$2:$2,0)+1,FALSE)</f>
        <v>【初級】兄左</v>
      </c>
      <c r="G20" s="21">
        <v>1</v>
      </c>
      <c r="H20" s="15" t="str">
        <f>B20&amp;"_"&amp;C20&amp;"-"&amp;G20</f>
        <v>39013_1-1</v>
      </c>
      <c r="I20" s="4">
        <f ca="1">VLOOKUP($H20,OFFSET(floors!$A$1,0,0,COUNTA(floors!$A:$A),MATCH(I$1,floors!$1:$1,0)-MATCH($H$1,floors!$1:$1,0)+1),MATCH(I$1,floors!$1:$1,0)-MATCH($H$1,floors!$1:$1,0)+1,FALSE)</f>
        <v>40</v>
      </c>
      <c r="J20" s="4">
        <f ca="1">VLOOKUP($H20,OFFSET(floors!$A$1,0,0,COUNTA(floors!$A:$A),MATCH(J$1,floors!$1:$1,0)-MATCH($H$1,floors!$1:$1,0)+1),MATCH(J$1,floors!$1:$1,0)-MATCH($H$1,floors!$1:$1,0)+1,FALSE)</f>
        <v>40</v>
      </c>
      <c r="K20" s="38" t="s">
        <v>53</v>
      </c>
      <c r="L20" s="127">
        <v>202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プロメテウス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PremiumN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god</v>
      </c>
      <c r="Q20" s="17">
        <f ca="1">VLOOKUP($L20,OFFSET([3]enemies!$A$1,0,0,COUNTA([3]enemies!$A:$A),MATCH(Q$1,[3]enemies!$1:$1,0)-MATCH($L$1,[3]enemies!$1:$1,0)+1),MATCH(Q$1,[3]enemies!$1:$1,0)-MATCH($L$1,[3]enemies!$1:$1,0)+1,FALSE)</f>
        <v>20</v>
      </c>
      <c r="R20" s="172">
        <v>9</v>
      </c>
      <c r="S20" s="25">
        <v>0.6</v>
      </c>
      <c r="T20" s="129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9646.7999999999993</v>
      </c>
      <c r="U20" s="25">
        <v>0.5</v>
      </c>
      <c r="V20" s="100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434.5</v>
      </c>
      <c r="W20" s="5">
        <v>0</v>
      </c>
      <c r="X20" s="4" t="str">
        <f ca="1">VLOOKUP($Y20,OFFSET(enemy_skill_sets!$B$1,0,0,COUNTA(enemy_skill_sets!$B:$B),MATCH(M$1,enemy_skill_sets!$1:$1,0)-MATCH($Y$1,enemy_skill_sets!$1:$1,0)+2),MATCH(M$1,enemy_skill_sets!$1:$1,0)-MATCH($Y$1,enemy_skill_sets!$1:$1,0)+2,FALSE)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0" s="47">
        <v>39013001</v>
      </c>
      <c r="Z20" s="6">
        <v>0</v>
      </c>
      <c r="AA20" s="6">
        <v>25</v>
      </c>
      <c r="AB20" s="6">
        <v>0</v>
      </c>
      <c r="AC20" s="168">
        <v>1</v>
      </c>
      <c r="AD20" s="7">
        <v>202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プロメテウス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3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0" s="7">
        <v>1</v>
      </c>
      <c r="AI20" s="24">
        <f ca="1">AF20</f>
        <v>3</v>
      </c>
      <c r="AJ20" s="8">
        <v>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8">
        <v>1</v>
      </c>
    </row>
    <row r="21" spans="1:42" ht="21" customHeight="1" x14ac:dyDescent="0.15">
      <c r="A21" s="16" t="str">
        <f t="shared" ref="A21:A25" si="12">B21&amp;"_"&amp;C21&amp;"-"&amp;G21&amp;"/"&amp;L21&amp;"&lt;lv"&amp;R21&amp;"&gt;s"&amp;AC21</f>
        <v>39013_1-1/126&lt;lv9&gt;s1</v>
      </c>
      <c r="B21" s="22">
        <v>39013</v>
      </c>
      <c r="C21" s="21">
        <v>1</v>
      </c>
      <c r="D21" s="2" t="str">
        <f t="shared" ref="D21:D25" si="13">B21&amp;"_"&amp;C21</f>
        <v>39013_1</v>
      </c>
      <c r="E21" s="4" t="str">
        <f ca="1">VLOOKUP($B21,OFFSET([2]quests!$A$1,0,0,COUNTA([2]quests!$A:$A),MATCH(E$1,[2]quests!$1:$1,0)-MATCH($B$1,[2]quests!$1:$1,0)+1),MATCH(E$1,[2]quests!$1:$1,0)-MATCH($B$1,[2]quests!$1:$1,0)+1,FALSE)</f>
        <v>兄左</v>
      </c>
      <c r="F21" s="4" t="str">
        <f ca="1">VLOOKUP($D21,OFFSET([2]stages!$A$1,0,0,COUNTA([2]stages!$A:$A),MATCH(F$1,[2]stages!$2:$2,0)-MATCH($D$1,[2]stages!$2:$2,0)+1),MATCH(F$1,[2]stages!$2:$2,0)-MATCH($D$1,[2]stages!$2:$2,0)+1,FALSE)</f>
        <v>【初級】兄左</v>
      </c>
      <c r="G21" s="21">
        <v>1</v>
      </c>
      <c r="H21" s="15" t="str">
        <f t="shared" ref="H21:H25" si="14">B21&amp;"_"&amp;C21&amp;"-"&amp;G21</f>
        <v>39013_1-1</v>
      </c>
      <c r="I21" s="4">
        <f ca="1">VLOOKUP($H21,OFFSET(floors!$A$1,0,0,COUNTA(floors!$A:$A),MATCH(I$1,floors!$1:$1,0)-MATCH($H$1,floors!$1:$1,0)+1),MATCH(I$1,floors!$1:$1,0)-MATCH($H$1,floors!$1:$1,0)+1,FALSE)</f>
        <v>40</v>
      </c>
      <c r="J21" s="4">
        <f ca="1">VLOOKUP($H21,OFFSET(floors!$A$1,0,0,COUNTA(floors!$A:$A),MATCH(J$1,floors!$1:$1,0)-MATCH($H$1,floors!$1:$1,0)+1),MATCH(J$1,floors!$1:$1,0)-MATCH($H$1,floors!$1:$1,0)+1,FALSE)</f>
        <v>40</v>
      </c>
      <c r="K21" s="38" t="s">
        <v>53</v>
      </c>
      <c r="L21" s="20">
        <v>126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骨器使い ユノ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PremiumW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7">
        <f ca="1">VLOOKUP($L21,OFFSET([3]enemies!$A$1,0,0,COUNTA([3]enemies!$A:$A),MATCH(Q$1,[3]enemies!$1:$1,0)-MATCH($L$1,[3]enemies!$1:$1,0)+1),MATCH(Q$1,[3]enemies!$1:$1,0)-MATCH($L$1,[3]enemies!$1:$1,0)+1,FALSE)</f>
        <v>20</v>
      </c>
      <c r="R21" s="128">
        <v>9</v>
      </c>
      <c r="S21" s="25">
        <v>1</v>
      </c>
      <c r="T21" s="100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10857</v>
      </c>
      <c r="U21" s="25">
        <v>0.3</v>
      </c>
      <c r="V21" s="100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396</v>
      </c>
      <c r="W21" s="5">
        <v>0</v>
      </c>
      <c r="X21" s="4" t="str">
        <f ca="1">VLOOKUP($Y21,OFFSET(enemy_skill_sets!$B$1,0,0,COUNTA(enemy_skill_sets!$B:$B),MATCH(M$1,enemy_skill_sets!$1:$1,0)-MATCH($Y$1,enemy_skill_sets!$1:$1,0)+2),MATCH(M$1,enemy_skill_sets!$1:$1,0)-MATCH($Y$1,enemy_skill_sets!$1:$1,0)+2,FALSE)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1" s="47">
        <v>39013002</v>
      </c>
      <c r="Z21" s="6">
        <v>0</v>
      </c>
      <c r="AA21" s="6">
        <v>25</v>
      </c>
      <c r="AB21" s="6">
        <v>0</v>
      </c>
      <c r="AC21" s="168">
        <v>1</v>
      </c>
      <c r="AD21" s="7">
        <v>126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骨器使い ユノ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3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1" s="7">
        <v>1</v>
      </c>
      <c r="AI21" s="24">
        <f t="shared" ref="AI21:AI25" ca="1" si="15">AF21</f>
        <v>3</v>
      </c>
      <c r="AJ21" s="8">
        <v>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8">
        <v>1</v>
      </c>
    </row>
    <row r="22" spans="1:42" ht="21" customHeight="1" x14ac:dyDescent="0.15">
      <c r="A22" s="16" t="str">
        <f t="shared" si="12"/>
        <v>39013_1-1/199&lt;lv9&gt;s2</v>
      </c>
      <c r="B22" s="22">
        <v>39013</v>
      </c>
      <c r="C22" s="21">
        <v>1</v>
      </c>
      <c r="D22" s="2" t="str">
        <f t="shared" si="13"/>
        <v>39013_1</v>
      </c>
      <c r="E22" s="4" t="str">
        <f ca="1">VLOOKUP($B22,OFFSET([2]quests!$A$1,0,0,COUNTA([2]quests!$A:$A),MATCH(E$1,[2]quests!$1:$1,0)-MATCH($B$1,[2]quests!$1:$1,0)+1),MATCH(E$1,[2]quests!$1:$1,0)-MATCH($B$1,[2]quests!$1:$1,0)+1,FALSE)</f>
        <v>兄左</v>
      </c>
      <c r="F22" s="4" t="str">
        <f ca="1">VLOOKUP($D22,OFFSET([2]stages!$A$1,0,0,COUNTA([2]stages!$A:$A),MATCH(F$1,[2]stages!$2:$2,0)-MATCH($D$1,[2]stages!$2:$2,0)+1),MATCH(F$1,[2]stages!$2:$2,0)-MATCH($D$1,[2]stages!$2:$2,0)+1,FALSE)</f>
        <v>【初級】兄左</v>
      </c>
      <c r="G22" s="21">
        <v>1</v>
      </c>
      <c r="H22" s="15" t="str">
        <f t="shared" si="14"/>
        <v>39013_1-1</v>
      </c>
      <c r="I22" s="4">
        <f ca="1">VLOOKUP($H22,OFFSET(floors!$A$1,0,0,COUNTA(floors!$A:$A),MATCH(I$1,floors!$1:$1,0)-MATCH($H$1,floors!$1:$1,0)+1),MATCH(I$1,floors!$1:$1,0)-MATCH($H$1,floors!$1:$1,0)+1,FALSE)</f>
        <v>40</v>
      </c>
      <c r="J22" s="4">
        <f ca="1">VLOOKUP($H22,OFFSET(floors!$A$1,0,0,COUNTA(floors!$A:$A),MATCH(J$1,floors!$1:$1,0)-MATCH($H$1,floors!$1:$1,0)+1),MATCH(J$1,floors!$1:$1,0)-MATCH($H$1,floors!$1:$1,0)+1,FALSE)</f>
        <v>40</v>
      </c>
      <c r="K22" s="38" t="s">
        <v>53</v>
      </c>
      <c r="L22" s="20">
        <v>199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ジークフリート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PremiumN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7">
        <f ca="1">VLOOKUP($L22,OFFSET([3]enemies!$A$1,0,0,COUNTA([3]enemies!$A:$A),MATCH(Q$1,[3]enemies!$1:$1,0)-MATCH($L$1,[3]enemies!$1:$1,0)+1),MATCH(Q$1,[3]enemies!$1:$1,0)-MATCH($L$1,[3]enemies!$1:$1,0)+1,FALSE)</f>
        <v>20</v>
      </c>
      <c r="R22" s="128">
        <v>9</v>
      </c>
      <c r="S22" s="25">
        <v>1</v>
      </c>
      <c r="T22" s="100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16286</v>
      </c>
      <c r="U22" s="25">
        <v>1.7</v>
      </c>
      <c r="V22" s="100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1246.0999999999999</v>
      </c>
      <c r="W22" s="5">
        <v>0</v>
      </c>
      <c r="X22" s="4" t="str">
        <f ca="1">VLOOKUP($Y22,OFFSET(enemy_skill_sets!$B$1,0,0,COUNTA(enemy_skill_sets!$B:$B),MATCH(M$1,enemy_skill_sets!$1:$1,0)-MATCH($Y$1,enemy_skill_sets!$1:$1,0)+2),MATCH(M$1,enemy_skill_sets!$1:$1,0)-MATCH($Y$1,enemy_skill_sets!$1:$1,0)+2,FALSE)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2" s="47">
        <v>39013003</v>
      </c>
      <c r="Z22" s="6">
        <v>0</v>
      </c>
      <c r="AA22" s="6">
        <v>25</v>
      </c>
      <c r="AB22" s="6">
        <v>0</v>
      </c>
      <c r="AC22" s="168">
        <v>2</v>
      </c>
      <c r="AD22" s="7">
        <v>199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ジークフリート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3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2" s="7">
        <v>1</v>
      </c>
      <c r="AI22" s="24">
        <f t="shared" ca="1" si="15"/>
        <v>3</v>
      </c>
      <c r="AJ22" s="8">
        <v>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8">
        <v>1</v>
      </c>
    </row>
    <row r="23" spans="1:42" ht="21" customHeight="1" x14ac:dyDescent="0.15">
      <c r="A23" s="16" t="str">
        <f t="shared" si="12"/>
        <v>39013_1-1/150&lt;lv9&gt;s1</v>
      </c>
      <c r="B23" s="22">
        <v>39013</v>
      </c>
      <c r="C23" s="21">
        <v>1</v>
      </c>
      <c r="D23" s="2" t="str">
        <f t="shared" si="13"/>
        <v>39013_1</v>
      </c>
      <c r="E23" s="4" t="str">
        <f ca="1">VLOOKUP($B23,OFFSET([2]quests!$A$1,0,0,COUNTA([2]quests!$A:$A),MATCH(E$1,[2]quests!$1:$1,0)-MATCH($B$1,[2]quests!$1:$1,0)+1),MATCH(E$1,[2]quests!$1:$1,0)-MATCH($B$1,[2]quests!$1:$1,0)+1,FALSE)</f>
        <v>兄左</v>
      </c>
      <c r="F23" s="4" t="str">
        <f ca="1">VLOOKUP($D23,OFFSET([2]stages!$A$1,0,0,COUNTA([2]stages!$A:$A),MATCH(F$1,[2]stages!$2:$2,0)-MATCH($D$1,[2]stages!$2:$2,0)+1),MATCH(F$1,[2]stages!$2:$2,0)-MATCH($D$1,[2]stages!$2:$2,0)+1,FALSE)</f>
        <v>【初級】兄左</v>
      </c>
      <c r="G23" s="21">
        <v>1</v>
      </c>
      <c r="H23" s="15" t="str">
        <f t="shared" si="14"/>
        <v>39013_1-1</v>
      </c>
      <c r="I23" s="4">
        <f ca="1">VLOOKUP($H23,OFFSET(floors!$A$1,0,0,COUNTA(floors!$A:$A),MATCH(I$1,floors!$1:$1,0)-MATCH($H$1,floors!$1:$1,0)+1),MATCH(I$1,floors!$1:$1,0)-MATCH($H$1,floors!$1:$1,0)+1,FALSE)</f>
        <v>40</v>
      </c>
      <c r="J23" s="4">
        <f ca="1">VLOOKUP($H23,OFFSET(floors!$A$1,0,0,COUNTA(floors!$A:$A),MATCH(J$1,floors!$1:$1,0)-MATCH($H$1,floors!$1:$1,0)+1),MATCH(J$1,floors!$1:$1,0)-MATCH($H$1,floors!$1:$1,0)+1,FALSE)</f>
        <v>40</v>
      </c>
      <c r="K23" s="38" t="s">
        <v>53</v>
      </c>
      <c r="L23" s="20">
        <v>150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ポイズンマスターサキ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PremiumW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20</v>
      </c>
      <c r="R23" s="128">
        <v>9</v>
      </c>
      <c r="S23" s="25">
        <v>1</v>
      </c>
      <c r="T23" s="100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9771</v>
      </c>
      <c r="U23" s="25">
        <v>0.4</v>
      </c>
      <c r="V23" s="100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357.20000000000005</v>
      </c>
      <c r="W23" s="5">
        <v>0</v>
      </c>
      <c r="X23" s="4" t="str">
        <f ca="1">VLOOKUP($Y23,OFFSET(enemy_skill_sets!$B$1,0,0,COUNTA(enemy_skill_sets!$B:$B),MATCH(M$1,enemy_skill_sets!$1:$1,0)-MATCH($Y$1,enemy_skill_sets!$1:$1,0)+2),MATCH(M$1,enemy_skill_sets!$1:$1,0)-MATCH($Y$1,enemy_skill_sets!$1:$1,0)+2,FALSE)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23" s="47">
        <v>39013004</v>
      </c>
      <c r="Z23" s="6">
        <v>0</v>
      </c>
      <c r="AA23" s="6">
        <v>25</v>
      </c>
      <c r="AB23" s="6">
        <v>0</v>
      </c>
      <c r="AC23" s="168">
        <v>1</v>
      </c>
      <c r="AD23" s="7">
        <v>150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ポイズンマスターサキ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3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3" s="7">
        <v>1</v>
      </c>
      <c r="AI23" s="24">
        <f t="shared" ca="1" si="15"/>
        <v>3</v>
      </c>
      <c r="AJ23" s="8">
        <v>0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8">
        <v>1</v>
      </c>
    </row>
    <row r="24" spans="1:42" ht="21" customHeight="1" x14ac:dyDescent="0.15">
      <c r="A24" s="16" t="str">
        <f t="shared" si="12"/>
        <v>39013_1-2/1584&lt;lv9&gt;s1</v>
      </c>
      <c r="B24" s="22">
        <v>39013</v>
      </c>
      <c r="C24" s="21">
        <v>1</v>
      </c>
      <c r="D24" s="2" t="str">
        <f t="shared" si="13"/>
        <v>39013_1</v>
      </c>
      <c r="E24" s="4" t="str">
        <f ca="1">VLOOKUP($B24,OFFSET([2]quests!$A$1,0,0,COUNTA([2]quests!$A:$A),MATCH(E$1,[2]quests!$1:$1,0)-MATCH($B$1,[2]quests!$1:$1,0)+1),MATCH(E$1,[2]quests!$1:$1,0)-MATCH($B$1,[2]quests!$1:$1,0)+1,FALSE)</f>
        <v>兄左</v>
      </c>
      <c r="F24" s="4" t="str">
        <f ca="1">VLOOKUP($D24,OFFSET([2]stages!$A$1,0,0,COUNTA([2]stages!$A:$A),MATCH(F$1,[2]stages!$2:$2,0)-MATCH($D$1,[2]stages!$2:$2,0)+1),MATCH(F$1,[2]stages!$2:$2,0)-MATCH($D$1,[2]stages!$2:$2,0)+1,FALSE)</f>
        <v>【初級】兄左</v>
      </c>
      <c r="G24" s="21">
        <v>2</v>
      </c>
      <c r="H24" s="15" t="str">
        <f t="shared" si="14"/>
        <v>39013_1-2</v>
      </c>
      <c r="I24" s="4">
        <f ca="1">VLOOKUP($H24,OFFSET(floors!$A$1,0,0,COUNTA(floors!$A:$A),MATCH(I$1,floors!$1:$1,0)-MATCH($H$1,floors!$1:$1,0)+1),MATCH(I$1,floors!$1:$1,0)-MATCH($H$1,floors!$1:$1,0)+1,FALSE)</f>
        <v>30</v>
      </c>
      <c r="J24" s="4">
        <f ca="1">VLOOKUP($H24,OFFSET(floors!$A$1,0,0,COUNTA(floors!$A:$A),MATCH(J$1,floors!$1:$1,0)-MATCH($H$1,floors!$1:$1,0)+1),MATCH(J$1,floors!$1:$1,0)-MATCH($H$1,floors!$1:$1,0)+1,FALSE)</f>
        <v>30</v>
      </c>
      <c r="K24" s="38" t="s">
        <v>53</v>
      </c>
      <c r="L24" s="20">
        <v>1584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Sirius01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DropWizS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orochi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128">
        <v>9</v>
      </c>
      <c r="S24" s="25">
        <v>2.8</v>
      </c>
      <c r="T24" s="100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47980.799999999996</v>
      </c>
      <c r="U24" s="25">
        <v>1</v>
      </c>
      <c r="V24" s="100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1146</v>
      </c>
      <c r="W24" s="5">
        <v>0</v>
      </c>
      <c r="X24" s="4" t="str">
        <f ca="1">VLOOKUP($Y24,OFFSET(enemy_skill_sets!$B$1,0,0,COUNTA(enemy_skill_sets!$B:$B),MATCH(M$1,enemy_skill_sets!$1:$1,0)-MATCH($Y$1,enemy_skill_sets!$1:$1,0)+2),MATCH(M$1,enemy_skill_sets!$1:$1,0)-MATCH($Y$1,enemy_skill_sets!$1:$1,0)+2,FALSE)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24" s="47">
        <v>39013005</v>
      </c>
      <c r="Z24" s="6">
        <v>1</v>
      </c>
      <c r="AA24" s="6">
        <v>100</v>
      </c>
      <c r="AB24" s="6">
        <v>1</v>
      </c>
      <c r="AC24" s="168">
        <v>1</v>
      </c>
      <c r="AD24" s="7">
        <v>1584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4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4" s="7">
        <v>1</v>
      </c>
      <c r="AI24" s="24">
        <f t="shared" ca="1" si="15"/>
        <v>4</v>
      </c>
      <c r="AJ24" s="8">
        <v>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8">
        <v>1</v>
      </c>
    </row>
    <row r="25" spans="1:42" ht="21" customHeight="1" thickBot="1" x14ac:dyDescent="0.2">
      <c r="A25" s="130" t="str">
        <f t="shared" si="12"/>
        <v>39013_1-3/1584&lt;lv9&gt;s1</v>
      </c>
      <c r="B25" s="131">
        <v>39013</v>
      </c>
      <c r="C25" s="132">
        <v>1</v>
      </c>
      <c r="D25" s="133" t="str">
        <f t="shared" si="13"/>
        <v>39013_1</v>
      </c>
      <c r="E25" s="134" t="str">
        <f ca="1">VLOOKUP($B25,OFFSET([2]quests!$A$1,0,0,COUNTA([2]quests!$A:$A),MATCH(E$1,[2]quests!$1:$1,0)-MATCH($B$1,[2]quests!$1:$1,0)+1),MATCH(E$1,[2]quests!$1:$1,0)-MATCH($B$1,[2]quests!$1:$1,0)+1,FALSE)</f>
        <v>兄左</v>
      </c>
      <c r="F25" s="134" t="str">
        <f ca="1">VLOOKUP($D25,OFFSET([2]stages!$A$1,0,0,COUNTA([2]stages!$A:$A),MATCH(F$1,[2]stages!$2:$2,0)-MATCH($D$1,[2]stages!$2:$2,0)+1),MATCH(F$1,[2]stages!$2:$2,0)-MATCH($D$1,[2]stages!$2:$2,0)+1,FALSE)</f>
        <v>【初級】兄左</v>
      </c>
      <c r="G25" s="132">
        <v>3</v>
      </c>
      <c r="H25" s="133" t="str">
        <f t="shared" si="14"/>
        <v>39013_1-3</v>
      </c>
      <c r="I25" s="134">
        <f ca="1">VLOOKUP($H25,OFFSET(floors!$A$1,0,0,COUNTA(floors!$A:$A),MATCH(I$1,floors!$1:$1,0)-MATCH($H$1,floors!$1:$1,0)+1),MATCH(I$1,floors!$1:$1,0)-MATCH($H$1,floors!$1:$1,0)+1,FALSE)</f>
        <v>30</v>
      </c>
      <c r="J25" s="134">
        <f ca="1">VLOOKUP($H25,OFFSET(floors!$A$1,0,0,COUNTA(floors!$A:$A),MATCH(J$1,floors!$1:$1,0)-MATCH($H$1,floors!$1:$1,0)+1),MATCH(J$1,floors!$1:$1,0)-MATCH($H$1,floors!$1:$1,0)+1,FALSE)</f>
        <v>30</v>
      </c>
      <c r="K25" s="135">
        <v>1</v>
      </c>
      <c r="L25" s="136">
        <v>1584</v>
      </c>
      <c r="M25" s="137" t="str">
        <f ca="1">VLOOKUP($L25,OFFSET([3]enemies!$A$1,0,0,COUNTA([3]enemies!$A:$A),MATCH(M$1,[3]enemies!$1:$1,0)-MATCH($L$1,[3]enemies!$1:$1,0)+1),MATCH(M$1,[3]enemies!$1:$1,0)-MATCH($L$1,[3]enemies!$1:$1,0)+1,FALSE)</f>
        <v>Sirius01</v>
      </c>
      <c r="N25" s="13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37" t="str">
        <f ca="1">VLOOKUP($L25,OFFSET([4]characters!$A$1,0,0,COUNTA([4]characters!$A:$A),MATCH(O$1,[4]characters!$1:$1,0)-MATCH($L$1,[4]characters!$1:$1,0)+1),MATCH(O$1,[4]characters!$1:$1,0)-MATCH($L$1,[4]characters!$1:$1,0)+1,FALSE)</f>
        <v>DropWizS</v>
      </c>
      <c r="P25" s="137" t="str">
        <f ca="1">VLOOKUP($L25,OFFSET([3]enemies!$A$1,0,0,COUNTA([3]enemies!$A:$A),MATCH(P$1,[3]enemies!$1:$1,0)-MATCH($L$1,[3]enemies!$1:$1,0)+1),MATCH(P$1,[3]enemies!$1:$1,0)-MATCH($L$1,[3]enemies!$1:$1,0)+1,FALSE)</f>
        <v>orochi</v>
      </c>
      <c r="Q25" s="137">
        <f ca="1">VLOOKUP($L25,OFFSET([3]enemies!$A$1,0,0,COUNTA([3]enemies!$A:$A),MATCH(Q$1,[3]enemies!$1:$1,0)-MATCH($L$1,[3]enemies!$1:$1,0)+1),MATCH(Q$1,[3]enemies!$1:$1,0)-MATCH($L$1,[3]enemies!$1:$1,0)+1,FALSE)</f>
        <v>30</v>
      </c>
      <c r="R25" s="173">
        <v>9</v>
      </c>
      <c r="S25" s="139">
        <v>3.4</v>
      </c>
      <c r="T25" s="140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58262.400000000001</v>
      </c>
      <c r="U25" s="170">
        <v>1.3</v>
      </c>
      <c r="V25" s="140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1489.8</v>
      </c>
      <c r="W25" s="138">
        <v>0</v>
      </c>
      <c r="X25" s="134" t="str">
        <f ca="1">VLOOKUP($Y25,OFFSET(enemy_skill_sets!$B$1,0,0,COUNTA(enemy_skill_sets!$B:$B),MATCH(M$1,enemy_skill_sets!$1:$1,0)-MATCH($Y$1,enemy_skill_sets!$1:$1,0)+2),MATCH(M$1,enemy_skill_sets!$1:$1,0)-MATCH($Y$1,enemy_skill_sets!$1:$1,0)+2,FALSE)</f>
        <v>スリープ耐性</v>
      </c>
      <c r="Y25" s="153">
        <v>39013006</v>
      </c>
      <c r="Z25" s="154">
        <v>1</v>
      </c>
      <c r="AA25" s="154">
        <v>100</v>
      </c>
      <c r="AB25" s="154">
        <v>1</v>
      </c>
      <c r="AC25" s="169">
        <v>1</v>
      </c>
      <c r="AD25" s="156">
        <v>1584</v>
      </c>
      <c r="AE25" s="13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Sirius01</v>
      </c>
      <c r="AF25" s="134">
        <f ca="1">VLOOKUP($AD25,OFFSET([4]characters!$A$1,0,0,COUNTA([4]characters!$A:$A),MATCH(AF$1,[4]characters!$1:$1,0)-MATCH("character_id",[4]characters!$1:$1,0)+1),MATCH(AF$1,[4]characters!$1:$1,0)-MATCH("character_id",[4]characters!$1:$1,0)+1,FALSE)</f>
        <v>4</v>
      </c>
      <c r="AG25" s="13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5" s="156">
        <v>1</v>
      </c>
      <c r="AI25" s="155">
        <f t="shared" ca="1" si="15"/>
        <v>4</v>
      </c>
      <c r="AJ25" s="157">
        <v>15</v>
      </c>
      <c r="AK25" s="156">
        <v>0</v>
      </c>
      <c r="AL25" s="156">
        <v>0</v>
      </c>
      <c r="AM25" s="156">
        <v>0</v>
      </c>
      <c r="AN25" s="156">
        <v>0</v>
      </c>
      <c r="AO25" s="156">
        <v>1</v>
      </c>
      <c r="AP25" s="15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98" zoomScaleNormal="98" zoomScalePageLayoutView="98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2" sqref="T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20.1640625" style="3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9" t="s">
        <v>251</v>
      </c>
      <c r="V1" s="26" t="s">
        <v>50</v>
      </c>
      <c r="W1" s="99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thickBot="1" x14ac:dyDescent="0.2">
      <c r="A2" s="130" t="str">
        <f>B2&amp;"_"&amp;C2&amp;"-"&amp;G2&amp;"/"&amp;M2&amp;"&lt;lv"&amp;S2&amp;"&gt;sq"&amp;K2&amp;"st"&amp;L2</f>
        <v>39013_4-3/1586&lt;lv25&gt;sq1st2</v>
      </c>
      <c r="B2" s="131">
        <v>39013</v>
      </c>
      <c r="C2" s="132">
        <v>4</v>
      </c>
      <c r="D2" s="133" t="str">
        <f>B2&amp;"_"&amp;C2</f>
        <v>39013_4</v>
      </c>
      <c r="E2" s="134" t="str">
        <f ca="1">VLOOKUP($B2,OFFSET([2]quests!$A$1,0,0,COUNTA([2]quests!$A:$A),MATCH(E$1,[2]quests!$1:$1,0)-MATCH($B$1,[2]quests!$1:$1,0)+1),MATCH(E$1,[2]quests!$1:$1,0)-MATCH($B$1,[2]quests!$1:$1,0)+1,FALSE)</f>
        <v>兄左</v>
      </c>
      <c r="F2" s="134" t="str">
        <f ca="1">VLOOKUP($D2,OFFSET([2]stages!$A$1,0,0,COUNTA([2]stages!$A:$A),MATCH(F$1,[2]stages!$2:$2,0)-MATCH($D$1,[2]stages!$2:$2,0)+1),MATCH(F$1,[2]stages!$2:$2,0)-MATCH($D$1,[2]stages!$2:$2,0)+1,FALSE)</f>
        <v>【超級】兄左</v>
      </c>
      <c r="G2" s="132">
        <v>3</v>
      </c>
      <c r="H2" s="133" t="str">
        <f>B2&amp;"_"&amp;C2&amp;"-"&amp;G2</f>
        <v>39013_4-3</v>
      </c>
      <c r="I2" s="134">
        <f ca="1">VLOOKUP($H2,OFFSET(floors!$A$1,0,0,COUNTA(floors!$A:$A),MATCH(I$1,floors!$1:$1,0)-MATCH($H$1,floors!$1:$1,0)+1),MATCH(I$1,floors!$1:$1,0)-MATCH($H$1,floors!$1:$1,0)+1,FALSE)</f>
        <v>60</v>
      </c>
      <c r="J2" s="134">
        <f ca="1">VLOOKUP($H2,OFFSET(floors!$A$1,0,0,COUNTA(floors!$A:$A),MATCH(J$1,floors!$1:$1,0)-MATCH($H$1,floors!$1:$1,0)+1),MATCH(J$1,floors!$1:$1,0)-MATCH($H$1,floors!$1:$1,0)+1,FALSE)</f>
        <v>60</v>
      </c>
      <c r="K2" s="135">
        <v>1</v>
      </c>
      <c r="L2" s="135">
        <v>2</v>
      </c>
      <c r="M2" s="136">
        <v>1586</v>
      </c>
      <c r="N2" s="137" t="str">
        <f ca="1">VLOOKUP($M2,OFFSET([3]enemies!$A$1,0,0,COUNTA([3]enemies!$A:$A),MATCH(N$1,[3]enemies!$1:$1,0)-MATCH($M$1,[3]enemies!$1:$1,0)+1),MATCH(N$1,[3]enemies!$1:$1,0)-MATCH($M$1,[3]enemies!$1:$1,0)+1,FALSE)</f>
        <v>Sirius03</v>
      </c>
      <c r="O2" s="13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3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37" t="str">
        <f ca="1">VLOOKUP($M2,OFFSET([3]enemies!$A$1,0,0,COUNTA([3]enemies!$A:$A),MATCH(Q$1,[3]enemies!$1:$1,0)-MATCH($M$1,[3]enemies!$1:$1,0)+1),MATCH(Q$1,[3]enemies!$1:$1,0)-MATCH($M$1,[3]enemies!$1:$1,0)+1,FALSE)</f>
        <v>orochi</v>
      </c>
      <c r="R2" s="137">
        <f ca="1">VLOOKUP($M2,OFFSET([3]enemies!$A$1,0,0,COUNTA([3]enemies!$A:$A),MATCH(R$1,[3]enemies!$1:$1,0)-MATCH($M$1,[3]enemies!$1:$1,0)+1),MATCH(R$1,[3]enemies!$1:$1,0)-MATCH($M$1,[3]enemies!$1:$1,0)+1,FALSE)</f>
        <v>60</v>
      </c>
      <c r="S2" s="138">
        <v>25</v>
      </c>
      <c r="T2" s="139">
        <v>5</v>
      </c>
      <c r="U2" s="14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220745</v>
      </c>
      <c r="V2" s="139">
        <v>1.3</v>
      </c>
      <c r="W2" s="14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5053.1000000000004</v>
      </c>
      <c r="X2" s="138">
        <v>0</v>
      </c>
      <c r="Y2" s="13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177">
        <v>39013007</v>
      </c>
      <c r="AA2" s="141">
        <v>1</v>
      </c>
    </row>
    <row r="3" spans="1:27" ht="21" customHeight="1" thickBot="1" x14ac:dyDescent="0.2">
      <c r="A3" s="142" t="str">
        <f t="shared" ref="A3:A4" si="0">B3&amp;"_"&amp;C3&amp;"-"&amp;G3&amp;"/"&amp;M3&amp;"&lt;lv"&amp;S3&amp;"&gt;sq"&amp;K3&amp;"st"&amp;L3</f>
        <v>39013_3-3/1585&lt;lv21&gt;sq1st2</v>
      </c>
      <c r="B3" s="143">
        <v>39013</v>
      </c>
      <c r="C3" s="144">
        <v>3</v>
      </c>
      <c r="D3" s="145" t="str">
        <f t="shared" ref="D3:D4" si="1">B3&amp;"_"&amp;C3</f>
        <v>39013_3</v>
      </c>
      <c r="E3" s="146" t="str">
        <f ca="1">VLOOKUP($B3,OFFSET([2]quests!$A$1,0,0,COUNTA([2]quests!$A:$A),MATCH(E$1,[2]quests!$1:$1,0)-MATCH($B$1,[2]quests!$1:$1,0)+1),MATCH(E$1,[2]quests!$1:$1,0)-MATCH($B$1,[2]quests!$1:$1,0)+1,FALSE)</f>
        <v>兄左</v>
      </c>
      <c r="F3" s="146" t="str">
        <f ca="1">VLOOKUP($D3,OFFSET([2]stages!$A$1,0,0,COUNTA([2]stages!$A:$A),MATCH(F$1,[2]stages!$2:$2,0)-MATCH($D$1,[2]stages!$2:$2,0)+1),MATCH(F$1,[2]stages!$2:$2,0)-MATCH($D$1,[2]stages!$2:$2,0)+1,FALSE)</f>
        <v>【上級】兄左</v>
      </c>
      <c r="G3" s="144">
        <v>3</v>
      </c>
      <c r="H3" s="145" t="str">
        <f t="shared" ref="H3:H4" si="2">B3&amp;"_"&amp;C3&amp;"-"&amp;G3</f>
        <v>39013_3-3</v>
      </c>
      <c r="I3" s="146">
        <f ca="1">VLOOKUP($H3,OFFSET(floors!$A$1,0,0,COUNTA(floors!$A:$A),MATCH(I$1,floors!$1:$1,0)-MATCH($H$1,floors!$1:$1,0)+1),MATCH(I$1,floors!$1:$1,0)-MATCH($H$1,floors!$1:$1,0)+1,FALSE)</f>
        <v>60</v>
      </c>
      <c r="J3" s="146">
        <f ca="1">VLOOKUP($H3,OFFSET(floors!$A$1,0,0,COUNTA(floors!$A:$A),MATCH(J$1,floors!$1:$1,0)-MATCH($H$1,floors!$1:$1,0)+1),MATCH(J$1,floors!$1:$1,0)-MATCH($H$1,floors!$1:$1,0)+1,FALSE)</f>
        <v>60</v>
      </c>
      <c r="K3" s="147">
        <v>1</v>
      </c>
      <c r="L3" s="147">
        <v>2</v>
      </c>
      <c r="M3" s="148">
        <v>1585</v>
      </c>
      <c r="N3" s="149" t="str">
        <f ca="1">VLOOKUP($M3,OFFSET([3]enemies!$A$1,0,0,COUNTA([3]enemies!$A:$A),MATCH(N$1,[3]enemies!$1:$1,0)-MATCH($M$1,[3]enemies!$1:$1,0)+1),MATCH(N$1,[3]enemies!$1:$1,0)-MATCH($M$1,[3]enemies!$1:$1,0)+1,FALSE)</f>
        <v>Sirius02</v>
      </c>
      <c r="O3" s="149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49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49" t="str">
        <f ca="1">VLOOKUP($M3,OFFSET([3]enemies!$A$1,0,0,COUNTA([3]enemies!$A:$A),MATCH(Q$1,[3]enemies!$1:$1,0)-MATCH($M$1,[3]enemies!$1:$1,0)+1),MATCH(Q$1,[3]enemies!$1:$1,0)-MATCH($M$1,[3]enemies!$1:$1,0)+1,FALSE)</f>
        <v>orochi</v>
      </c>
      <c r="R3" s="149">
        <f ca="1">VLOOKUP($M3,OFFSET([3]enemies!$A$1,0,0,COUNTA([3]enemies!$A:$A),MATCH(R$1,[3]enemies!$1:$1,0)-MATCH($M$1,[3]enemies!$1:$1,0)+1),MATCH(R$1,[3]enemies!$1:$1,0)-MATCH($M$1,[3]enemies!$1:$1,0)+1,FALSE)</f>
        <v>60</v>
      </c>
      <c r="S3" s="150">
        <v>21</v>
      </c>
      <c r="T3" s="139">
        <v>5</v>
      </c>
      <c r="U3" s="15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187425</v>
      </c>
      <c r="V3" s="139">
        <v>1.3</v>
      </c>
      <c r="W3" s="15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4290</v>
      </c>
      <c r="X3" s="150">
        <v>0</v>
      </c>
      <c r="Y3" s="146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178">
        <v>39013008</v>
      </c>
      <c r="AA3" s="152">
        <v>1</v>
      </c>
    </row>
    <row r="4" spans="1:27" ht="21" customHeight="1" thickBot="1" x14ac:dyDescent="0.2">
      <c r="A4" s="142" t="str">
        <f t="shared" si="0"/>
        <v>39013_2-3/1584&lt;lv14&gt;sq1st2</v>
      </c>
      <c r="B4" s="143">
        <v>39013</v>
      </c>
      <c r="C4" s="144">
        <v>2</v>
      </c>
      <c r="D4" s="145" t="str">
        <f t="shared" si="1"/>
        <v>39013_2</v>
      </c>
      <c r="E4" s="146" t="str">
        <f ca="1">VLOOKUP($B4,OFFSET([2]quests!$A$1,0,0,COUNTA([2]quests!$A:$A),MATCH(E$1,[2]quests!$1:$1,0)-MATCH($B$1,[2]quests!$1:$1,0)+1),MATCH(E$1,[2]quests!$1:$1,0)-MATCH($B$1,[2]quests!$1:$1,0)+1,FALSE)</f>
        <v>兄左</v>
      </c>
      <c r="F4" s="146" t="str">
        <f ca="1">VLOOKUP($D4,OFFSET([2]stages!$A$1,0,0,COUNTA([2]stages!$A:$A),MATCH(F$1,[2]stages!$2:$2,0)-MATCH($D$1,[2]stages!$2:$2,0)+1),MATCH(F$1,[2]stages!$2:$2,0)-MATCH($D$1,[2]stages!$2:$2,0)+1,FALSE)</f>
        <v>【中級】兄左</v>
      </c>
      <c r="G4" s="144">
        <v>3</v>
      </c>
      <c r="H4" s="145" t="str">
        <f t="shared" si="2"/>
        <v>39013_2-3</v>
      </c>
      <c r="I4" s="146">
        <f ca="1">VLOOKUP($H4,OFFSET(floors!$A$1,0,0,COUNTA(floors!$A:$A),MATCH(I$1,floors!$1:$1,0)-MATCH($H$1,floors!$1:$1,0)+1),MATCH(I$1,floors!$1:$1,0)-MATCH($H$1,floors!$1:$1,0)+1,FALSE)</f>
        <v>30</v>
      </c>
      <c r="J4" s="146">
        <f ca="1">VLOOKUP($H4,OFFSET(floors!$A$1,0,0,COUNTA(floors!$A:$A),MATCH(J$1,floors!$1:$1,0)-MATCH($H$1,floors!$1:$1,0)+1),MATCH(J$1,floors!$1:$1,0)-MATCH($H$1,floors!$1:$1,0)+1,FALSE)</f>
        <v>30</v>
      </c>
      <c r="K4" s="147">
        <v>1</v>
      </c>
      <c r="L4" s="147">
        <v>2</v>
      </c>
      <c r="M4" s="148">
        <v>1584</v>
      </c>
      <c r="N4" s="149" t="str">
        <f ca="1">VLOOKUP($M4,OFFSET([3]enemies!$A$1,0,0,COUNTA([3]enemies!$A:$A),MATCH(N$1,[3]enemies!$1:$1,0)-MATCH($M$1,[3]enemies!$1:$1,0)+1),MATCH(N$1,[3]enemies!$1:$1,0)-MATCH($M$1,[3]enemies!$1:$1,0)+1,FALSE)</f>
        <v>Sirius01</v>
      </c>
      <c r="O4" s="149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49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49" t="str">
        <f ca="1">VLOOKUP($M4,OFFSET([3]enemies!$A$1,0,0,COUNTA([3]enemies!$A:$A),MATCH(Q$1,[3]enemies!$1:$1,0)-MATCH($M$1,[3]enemies!$1:$1,0)+1),MATCH(Q$1,[3]enemies!$1:$1,0)-MATCH($M$1,[3]enemies!$1:$1,0)+1,FALSE)</f>
        <v>orochi</v>
      </c>
      <c r="R4" s="149">
        <f ca="1">VLOOKUP($M4,OFFSET([3]enemies!$A$1,0,0,COUNTA([3]enemies!$A:$A),MATCH(R$1,[3]enemies!$1:$1,0)-MATCH($M$1,[3]enemies!$1:$1,0)+1),MATCH(R$1,[3]enemies!$1:$1,0)-MATCH($M$1,[3]enemies!$1:$1,0)+1,FALSE)</f>
        <v>30</v>
      </c>
      <c r="S4" s="150">
        <v>14</v>
      </c>
      <c r="T4" s="139">
        <v>5</v>
      </c>
      <c r="U4" s="15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126480</v>
      </c>
      <c r="V4" s="139">
        <v>1.3</v>
      </c>
      <c r="W4" s="15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2199.6</v>
      </c>
      <c r="X4" s="150">
        <v>0</v>
      </c>
      <c r="Y4" s="146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178">
        <v>39013009</v>
      </c>
      <c r="AA4" s="152">
        <v>1</v>
      </c>
    </row>
    <row r="5" spans="1:27" ht="21" customHeight="1" thickBot="1" x14ac:dyDescent="0.2">
      <c r="A5" s="16" t="str">
        <f t="shared" ref="A5" si="3">B5&amp;"_"&amp;C5&amp;"-"&amp;G5&amp;"/"&amp;M5&amp;"&lt;lv"&amp;S5&amp;"&gt;sq"&amp;K5&amp;"st"&amp;L5</f>
        <v>39013_1-3/1584&lt;lv10&gt;sq1st2</v>
      </c>
      <c r="B5" s="143">
        <v>39013</v>
      </c>
      <c r="C5" s="144">
        <v>1</v>
      </c>
      <c r="D5" s="145" t="str">
        <f t="shared" ref="D5" si="4">B5&amp;"_"&amp;C5</f>
        <v>39013_1</v>
      </c>
      <c r="E5" s="146" t="str">
        <f ca="1">VLOOKUP($B5,OFFSET([2]quests!$A$1,0,0,COUNTA([2]quests!$A:$A),MATCH(E$1,[2]quests!$1:$1,0)-MATCH($B$1,[2]quests!$1:$1,0)+1),MATCH(E$1,[2]quests!$1:$1,0)-MATCH($B$1,[2]quests!$1:$1,0)+1,FALSE)</f>
        <v>兄左</v>
      </c>
      <c r="F5" s="146" t="str">
        <f ca="1">VLOOKUP($D5,OFFSET([2]stages!$A$1,0,0,COUNTA([2]stages!$A:$A),MATCH(F$1,[2]stages!$2:$2,0)-MATCH($D$1,[2]stages!$2:$2,0)+1),MATCH(F$1,[2]stages!$2:$2,0)-MATCH($D$1,[2]stages!$2:$2,0)+1,FALSE)</f>
        <v>【初級】兄左</v>
      </c>
      <c r="G5" s="144">
        <v>3</v>
      </c>
      <c r="H5" s="145" t="str">
        <f t="shared" ref="H5" si="5">B5&amp;"_"&amp;C5&amp;"-"&amp;G5</f>
        <v>39013_1-3</v>
      </c>
      <c r="I5" s="146">
        <f ca="1">VLOOKUP($H5,OFFSET(floors!$A$1,0,0,COUNTA(floors!$A:$A),MATCH(I$1,floors!$1:$1,0)-MATCH($H$1,floors!$1:$1,0)+1),MATCH(I$1,floors!$1:$1,0)-MATCH($H$1,floors!$1:$1,0)+1,FALSE)</f>
        <v>30</v>
      </c>
      <c r="J5" s="146">
        <f ca="1">VLOOKUP($H5,OFFSET(floors!$A$1,0,0,COUNTA(floors!$A:$A),MATCH(J$1,floors!$1:$1,0)-MATCH($H$1,floors!$1:$1,0)+1),MATCH(J$1,floors!$1:$1,0)-MATCH($H$1,floors!$1:$1,0)+1,FALSE)</f>
        <v>30</v>
      </c>
      <c r="K5" s="147">
        <v>1</v>
      </c>
      <c r="L5" s="147">
        <v>2</v>
      </c>
      <c r="M5" s="148">
        <v>1584</v>
      </c>
      <c r="N5" s="149" t="str">
        <f ca="1">VLOOKUP($M5,OFFSET([3]enemies!$A$1,0,0,COUNTA([3]enemies!$A:$A),MATCH(N$1,[3]enemies!$1:$1,0)-MATCH($M$1,[3]enemies!$1:$1,0)+1),MATCH(N$1,[3]enemies!$1:$1,0)-MATCH($M$1,[3]enemies!$1:$1,0)+1,FALSE)</f>
        <v>Sirius01</v>
      </c>
      <c r="O5" s="149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49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49" t="str">
        <f ca="1">VLOOKUP($M5,OFFSET([3]enemies!$A$1,0,0,COUNTA([3]enemies!$A:$A),MATCH(Q$1,[3]enemies!$1:$1,0)-MATCH($M$1,[3]enemies!$1:$1,0)+1),MATCH(Q$1,[3]enemies!$1:$1,0)-MATCH($M$1,[3]enemies!$1:$1,0)+1,FALSE)</f>
        <v>orochi</v>
      </c>
      <c r="R5" s="149">
        <f ca="1">VLOOKUP($M5,OFFSET([3]enemies!$A$1,0,0,COUNTA([3]enemies!$A:$A),MATCH(R$1,[3]enemies!$1:$1,0)-MATCH($M$1,[3]enemies!$1:$1,0)+1),MATCH(R$1,[3]enemies!$1:$1,0)-MATCH($M$1,[3]enemies!$1:$1,0)+1,FALSE)</f>
        <v>30</v>
      </c>
      <c r="S5" s="150">
        <v>10</v>
      </c>
      <c r="T5" s="139">
        <v>5</v>
      </c>
      <c r="U5" s="15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93840</v>
      </c>
      <c r="V5" s="174">
        <v>1.3</v>
      </c>
      <c r="W5" s="15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1631.5</v>
      </c>
      <c r="X5" s="150">
        <v>0</v>
      </c>
      <c r="Y5" s="146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5" s="178">
        <v>39013010</v>
      </c>
      <c r="AA5" s="152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0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12" sqref="B1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11.1640625" style="49" customWidth="1"/>
    <col min="4" max="4" width="18.5" style="49" customWidth="1" outlineLevel="1"/>
    <col min="5" max="5" width="33.5" style="49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39013001_39013110</v>
      </c>
      <c r="B2" s="47">
        <v>39013001</v>
      </c>
      <c r="C2" s="102">
        <v>39013110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…あの男には近づくな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" s="102">
        <v>39013110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39013001_39013111</v>
      </c>
      <c r="B3" s="47">
        <v>39013001</v>
      </c>
      <c r="C3" s="102">
        <v>39013111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後悔するぞ！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102">
        <v>39013111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39013002_39013120</v>
      </c>
      <c r="B4" s="47">
        <v>39013002</v>
      </c>
      <c r="C4" s="102">
        <v>39013120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てめェみたいのが_x000D_来るとこじゃないよ！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102">
        <v>39013120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27" si="2">B5&amp;"_"&amp;C5</f>
        <v>39013002_39013121</v>
      </c>
      <c r="B5" s="47">
        <v>39013002</v>
      </c>
      <c r="C5" s="102">
        <v>39013121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ガキは帰んな！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" s="102">
        <v>39013121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3">B6&amp;"_"&amp;C6</f>
        <v>39013003_39013130</v>
      </c>
      <c r="B6" s="47">
        <v>39013003</v>
      </c>
      <c r="C6" s="102">
        <v>39013130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ここは外道の巣窟だ…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" s="102">
        <v>39013130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39013003_39013131</v>
      </c>
      <c r="B7" s="47">
        <v>39013003</v>
      </c>
      <c r="C7" s="102">
        <v>39013131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ふさわしいか_x000D_試してやる！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全体攻撃+_x000D_2ターン全ユニットにウィルス</v>
      </c>
      <c r="F7" s="102">
        <v>39013131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4">B8&amp;"_"&amp;C8</f>
        <v>39013004_39013140</v>
      </c>
      <c r="B8" s="47">
        <v>39013004</v>
      </c>
      <c r="C8" s="102">
        <v>39013140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奥に進むのは_x000D_やめとくんだね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102">
        <v>39013140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39013004_39013141</v>
      </c>
      <c r="B9" s="47">
        <v>39013004</v>
      </c>
      <c r="C9" s="102">
        <v>39013141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ウィルスの餌食に_x000D_なりたいの？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ウィルス状態のユニットに_x000D_大ダメージの全体攻撃</v>
      </c>
      <c r="F9" s="102">
        <v>39013141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39013004_39013142</v>
      </c>
      <c r="B10" s="47">
        <v>39013004</v>
      </c>
      <c r="C10" s="102">
        <v>39013142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もう泣いても知らないよ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10" s="102">
        <v>39013142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39013005_39013211</v>
      </c>
      <c r="B11" s="47">
        <v>39013005</v>
      </c>
      <c r="C11" s="105">
        <v>39013211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あぁ？なんだてめぇは…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1" s="105">
        <v>39013211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19" si="5">B12&amp;"_"&amp;C12</f>
        <v>39013005_39013600</v>
      </c>
      <c r="B12" s="47">
        <v>39013005</v>
      </c>
      <c r="C12" s="164">
        <v>39013600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相変わらず使い捨てライターなみの_x000D_ショボさだな、その火はよ！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2" s="164">
        <v>39013600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5"/>
        <v>39013005_39013601</v>
      </c>
      <c r="B13" s="47">
        <v>39013005</v>
      </c>
      <c r="C13" s="164">
        <v>39013601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相変わらず使い捨てライターなみの_x000D_ショボさだな、その火はよ！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3" s="164">
        <v>39013601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5"/>
        <v>39013005_39013602</v>
      </c>
      <c r="B14" s="47">
        <v>39013005</v>
      </c>
      <c r="C14" s="164">
        <v>39013602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なんだ姉ちゃんよぉ…_x000D_酌でもしてくれるってのか！？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4" s="164">
        <v>39013602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5"/>
        <v>39013005_39013603</v>
      </c>
      <c r="B15" s="47">
        <v>39013005</v>
      </c>
      <c r="C15" s="164">
        <v>39013603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なんだ姉ちゃんよぉ…_x000D_酌でもしてくれるってのか！？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5" s="164">
        <v>39013603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39013005_39013604</v>
      </c>
      <c r="B16" s="47">
        <v>39013005</v>
      </c>
      <c r="C16" s="164">
        <v>39013604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ハンデだ、使えよ……_x000D_…後悔するぞ、コラァッ！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6" s="164">
        <v>39013604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5"/>
        <v>39013005_39013605</v>
      </c>
      <c r="B17" s="47">
        <v>39013005</v>
      </c>
      <c r="C17" s="164">
        <v>39013605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ハンデだ、使えよ……_x000D_…後悔するぞ、コラァッ！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7" s="164">
        <v>39013605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39013005_39013606</v>
      </c>
      <c r="B18" s="47">
        <v>39013005</v>
      </c>
      <c r="C18" s="164">
        <v>39013606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あぁ？なんだクソアマ…_x000D_ブッさされてぇか！？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8" s="164">
        <v>39013606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5"/>
        <v>39013005_39013607</v>
      </c>
      <c r="B19" s="47">
        <v>39013005</v>
      </c>
      <c r="C19" s="164">
        <v>39013607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あぁ？なんだクソアマ…_x000D_ブッさされてぇか！？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9" s="164">
        <v>39013607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:A21" si="6">B20&amp;"_"&amp;C20</f>
        <v>39013005_39013608</v>
      </c>
      <c r="B20" s="47">
        <v>39013005</v>
      </c>
      <c r="C20" s="164">
        <v>39013608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あぁ？火遊びなら他所でやれ_x000D_このタコがっ！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20" s="164">
        <v>39013608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6"/>
        <v>39013005_39013609</v>
      </c>
      <c r="B21" s="47">
        <v>39013005</v>
      </c>
      <c r="C21" s="164">
        <v>39013609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あぁ？火遊びなら他所でやれ_x000D_このタコがっ！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21" s="164">
        <v>39013609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39013005_39013212</v>
      </c>
      <c r="B22" s="47">
        <v>39013005</v>
      </c>
      <c r="C22" s="105">
        <v>39013212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ド素人が邪魔しようってのか…？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攻撃力大UP_x000D_【山崎はHPが減るほど強くなる！】</v>
      </c>
      <c r="F22" s="105">
        <v>39013212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555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39013005_39013213</v>
      </c>
      <c r="B23" s="47">
        <v>39013005</v>
      </c>
      <c r="C23" s="105">
        <v>39013213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かかってこいよ…！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1ターン全属性の攻撃をカウンター+_x000D_1ターン高確率でボムパネルがドロップ</v>
      </c>
      <c r="F23" s="105">
        <v>39013213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39013005_39013214</v>
      </c>
      <c r="B24" s="47">
        <v>39013005</v>
      </c>
      <c r="C24" s="105">
        <v>39013214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ひゃははっ！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1ターン暗闇+単体攻撃</v>
      </c>
      <c r="F24" s="105">
        <v>39013214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4" s="47"/>
      <c r="Q24" s="47"/>
      <c r="R24" s="47"/>
    </row>
    <row r="25" spans="1:18" ht="21" customHeight="1" x14ac:dyDescent="0.15">
      <c r="A25" s="39" t="str">
        <f t="shared" si="2"/>
        <v>39013005_39013215</v>
      </c>
      <c r="B25" s="47">
        <v>39013005</v>
      </c>
      <c r="C25" s="105">
        <v>39013215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物足りねぇな…！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" s="105">
        <v>39013215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" si="7">B26&amp;"_"&amp;C26</f>
        <v>39013005_39013216</v>
      </c>
      <c r="B26" s="47">
        <v>39013005</v>
      </c>
      <c r="C26" s="105">
        <v>39013216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ケッ…ブチのめされなきゃ_x000D_わかんねぇみてぇだなぁ…！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105">
        <v>39013216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39013005_39013221</v>
      </c>
      <c r="B27" s="47">
        <v>39013005</v>
      </c>
      <c r="C27" s="109">
        <v>39013221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7" s="109">
        <v>39013221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52" si="8">B28&amp;"_"&amp;C28</f>
        <v>39013005_39013222</v>
      </c>
      <c r="B28" s="47">
        <v>39013005</v>
      </c>
      <c r="C28" s="109">
        <v>39013222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8" s="109">
        <v>39013222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8" s="48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8"/>
        <v>39013005_39013223</v>
      </c>
      <c r="B29" s="47">
        <v>39013005</v>
      </c>
      <c r="C29" s="109">
        <v>39013223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9" s="109">
        <v>39013223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9" s="48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8"/>
        <v>39013005_39013224</v>
      </c>
      <c r="B30" s="47">
        <v>39013005</v>
      </c>
      <c r="C30" s="109">
        <v>39013224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0" s="109">
        <v>39013224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8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39013005_39013225</v>
      </c>
      <c r="B31" s="47">
        <v>39013005</v>
      </c>
      <c r="C31" s="109">
        <v>39013225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1" s="109">
        <v>39013225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8"/>
        <v>39013006_39013311</v>
      </c>
      <c r="B32" s="47">
        <v>39013006</v>
      </c>
      <c r="C32" s="108">
        <v>39013311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百年早ぇんだよ、_x000D_この雑魚がぁ！！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32" s="108">
        <v>39013311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8"/>
        <v>39013006_39013312</v>
      </c>
      <c r="B33" s="47">
        <v>39013006</v>
      </c>
      <c r="C33" s="108">
        <v>39013312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消し飛びなぁ！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単体攻撃+_x000D_3ターンユニット1体にウィルス</v>
      </c>
      <c r="F33" s="108">
        <v>39013312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8"/>
        <v>39013006_39013313</v>
      </c>
      <c r="B34" s="47">
        <v>39013006</v>
      </c>
      <c r="C34" s="108">
        <v>39013313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かかってこいよ…！！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1ターン全属性の攻撃をカウンター+_x000D_1ターン高確率でボムパネルがドロップ</v>
      </c>
      <c r="F34" s="108">
        <v>39013313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8"/>
        <v>39013006_39013314</v>
      </c>
      <c r="B35" s="47">
        <v>39013006</v>
      </c>
      <c r="C35" s="108">
        <v>39013314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シャァアッ！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5" s="108">
        <v>39013314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8"/>
        <v>39013006_39013315</v>
      </c>
      <c r="B36" s="47">
        <v>39013006</v>
      </c>
      <c r="C36" s="108">
        <v>39013315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ひゃーっはははぁっ！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1ターン暗闇+単体攻撃</v>
      </c>
      <c r="F36" s="108">
        <v>39013315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6" s="47"/>
      <c r="Q36" s="47"/>
      <c r="R36" s="47"/>
    </row>
    <row r="37" spans="1:18" ht="21" customHeight="1" x14ac:dyDescent="0.15">
      <c r="A37" s="39" t="str">
        <f t="shared" si="8"/>
        <v>39013006_39013316</v>
      </c>
      <c r="B37" s="47">
        <v>39013006</v>
      </c>
      <c r="C37" s="108">
        <v>39013316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そんなもんかぁ！？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08">
        <v>39013316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" si="9">B38&amp;"_"&amp;C38</f>
        <v>39013006_39013321</v>
      </c>
      <c r="B38" s="47">
        <v>39013006</v>
      </c>
      <c r="C38" s="109">
        <v>39013321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38" s="109">
        <v>39013321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8"/>
        <v>39013006_39013322</v>
      </c>
      <c r="B39" s="47">
        <v>39013006</v>
      </c>
      <c r="C39" s="109">
        <v>39013322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39" s="109">
        <v>39013322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9" s="48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8"/>
        <v>39013006_39013323</v>
      </c>
      <c r="B40" s="47">
        <v>39013006</v>
      </c>
      <c r="C40" s="109">
        <v>39013323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40" s="109">
        <v>39013323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0" s="48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8"/>
        <v>39013006_39013324</v>
      </c>
      <c r="B41" s="47">
        <v>39013006</v>
      </c>
      <c r="C41" s="109">
        <v>39013324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41" s="109">
        <v>39013324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1" s="48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8"/>
        <v>39013006_39013325</v>
      </c>
      <c r="B42" s="47">
        <v>39013006</v>
      </c>
      <c r="C42" s="109">
        <v>39013325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42" s="109">
        <v>39013325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8"/>
        <v>39013007_39013411</v>
      </c>
      <c r="B43" s="47">
        <v>39013007</v>
      </c>
      <c r="C43" s="114">
        <v>39013411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本気にさせた、_x000D_てめぇが悪ぃんだぜぇ！？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43" s="114">
        <v>39013411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8"/>
        <v>39013007_39013412</v>
      </c>
      <c r="B44" s="47">
        <v>39013007</v>
      </c>
      <c r="C44" s="114">
        <v>39013412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地獄行きだぁあっ！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特定エリアを青&amp;赤パネルに変換+_x000D_1ターン青&amp;赤パネルが出現しない+_x000D_タップ回数を1にする+単体攻撃_x000D_【次のターン青か赤のパネル吸収攻撃！】</v>
      </c>
      <c r="F44" s="114">
        <v>39013412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39013007_39013413</v>
      </c>
      <c r="B45" s="47">
        <v>39013007</v>
      </c>
      <c r="C45" s="114">
        <v>39013413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このっアマチュアがぁ！！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赤パネルを吸収して攻撃(最大24個)</v>
      </c>
      <c r="F45" s="114">
        <v>39013413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39013007_39013414</v>
      </c>
      <c r="B46" s="47">
        <v>39013007</v>
      </c>
      <c r="C46" s="114">
        <v>39013414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いっぺん死んでこぉい！！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青パネルを吸収して攻撃(最大24個)</v>
      </c>
      <c r="F46" s="114">
        <v>39013414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39013007_39013415</v>
      </c>
      <c r="B47" s="47">
        <v>39013007</v>
      </c>
      <c r="C47" s="114">
        <v>39013415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オラァッ！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7" s="114">
        <v>39013415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39013007_39013416</v>
      </c>
      <c r="B48" s="47">
        <v>39013007</v>
      </c>
      <c r="C48" s="114">
        <v>39013416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クソがぁっ！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8" s="114">
        <v>39013416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39013007_39013418</v>
      </c>
      <c r="B49" s="47">
        <v>39013007</v>
      </c>
      <c r="C49" s="114">
        <v>39013418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シャァアッ！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49" s="114">
        <v>39013418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39013007_39013419</v>
      </c>
      <c r="B50" s="47">
        <v>39013007</v>
      </c>
      <c r="C50" s="114">
        <v>39013419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消し飛びなぁ！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単体攻撃+_x000D_3ターンユニット1体にウィルス</v>
      </c>
      <c r="F50" s="114">
        <v>39013419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8"/>
        <v>39013007_39013420</v>
      </c>
      <c r="B51" s="47">
        <v>39013007</v>
      </c>
      <c r="C51" s="114">
        <v>39013420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返すぜぇ！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51" s="114">
        <v>39013420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8"/>
        <v>39013007_39013451</v>
      </c>
      <c r="B52" s="47">
        <v>39013007</v>
      </c>
      <c r="C52" s="109">
        <v>39013451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2" s="109">
        <v>39013451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ref="A53:A56" si="10">B53&amp;"_"&amp;C53</f>
        <v>39013007_39013452</v>
      </c>
      <c r="B53" s="47">
        <v>39013007</v>
      </c>
      <c r="C53" s="109">
        <v>39013452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3" s="109">
        <v>39013452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521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53" s="48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0"/>
        <v>39013007_39013453</v>
      </c>
      <c r="B54" s="47">
        <v>39013007</v>
      </c>
      <c r="C54" s="109">
        <v>39013453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4" s="109">
        <v>39013453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54" s="48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0"/>
        <v>39013007_39013454</v>
      </c>
      <c r="B55" s="47">
        <v>39013007</v>
      </c>
      <c r="C55" s="109">
        <v>39013454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5" s="109">
        <v>39013454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523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55" s="48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0"/>
        <v>39013007_39013455</v>
      </c>
      <c r="B56" s="47">
        <v>39013007</v>
      </c>
      <c r="C56" s="109">
        <v>39013455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56" s="109">
        <v>39013455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524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" si="11">B57&amp;"_"&amp;C57</f>
        <v>39013007_39013444</v>
      </c>
      <c r="B57" s="47">
        <v>39013007</v>
      </c>
      <c r="C57" s="114">
        <v>39013444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そのツラ忘れねぇぞぉおっ…！！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7" s="114">
        <v>39013444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105" si="12">B58&amp;"_"&amp;C58</f>
        <v>39013007_39013700</v>
      </c>
      <c r="B58" s="47">
        <v>39013007</v>
      </c>
      <c r="C58" s="164">
        <v>39013700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8" s="164">
        <v>39013801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ref="A59:A74" si="13">B59&amp;"_"&amp;C59</f>
        <v>39013007_39013700</v>
      </c>
      <c r="B59" s="47">
        <v>39013007</v>
      </c>
      <c r="C59" s="164">
        <v>39013700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" s="164">
        <v>39013802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3"/>
        <v>39013007_39013700</v>
      </c>
      <c r="B60" s="47">
        <v>39013007</v>
      </c>
      <c r="C60" s="164">
        <v>39013700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" s="164">
        <v>39013803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3"/>
        <v>39013007_39013700</v>
      </c>
      <c r="B61" s="47">
        <v>39013007</v>
      </c>
      <c r="C61" s="164">
        <v>39013700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" s="164">
        <v>39013804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3"/>
        <v>39013007_39013700</v>
      </c>
      <c r="B62" s="47">
        <v>39013007</v>
      </c>
      <c r="C62" s="164">
        <v>39013700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" s="164">
        <v>39013805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3"/>
        <v>39013007_39013700</v>
      </c>
      <c r="B63" s="47">
        <v>39013007</v>
      </c>
      <c r="C63" s="164">
        <v>39013700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3" s="164">
        <v>39013806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3"/>
        <v>39013007_39013700</v>
      </c>
      <c r="B64" s="47">
        <v>39013007</v>
      </c>
      <c r="C64" s="164">
        <v>39013700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4" s="164">
        <v>39013807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3"/>
        <v>39013007_39013700</v>
      </c>
      <c r="B65" s="47">
        <v>39013007</v>
      </c>
      <c r="C65" s="164">
        <v>39013700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" s="164">
        <v>39013808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3"/>
        <v>39013007_39013700</v>
      </c>
      <c r="B66" s="47">
        <v>39013007</v>
      </c>
      <c r="C66" s="164">
        <v>39013700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" s="164">
        <v>39013809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3"/>
        <v>39013007_39013700</v>
      </c>
      <c r="B67" s="47">
        <v>39013007</v>
      </c>
      <c r="C67" s="164">
        <v>39013700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" s="164">
        <v>39013810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3"/>
        <v>39013007_39013700</v>
      </c>
      <c r="B68" s="47">
        <v>39013007</v>
      </c>
      <c r="C68" s="164">
        <v>39013700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8" s="164">
        <v>39013811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3"/>
        <v>39013007_39013700</v>
      </c>
      <c r="B69" s="47">
        <v>39013007</v>
      </c>
      <c r="C69" s="164">
        <v>39013700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9" s="164">
        <v>39013812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3"/>
        <v>39013007_39013700</v>
      </c>
      <c r="B70" s="47">
        <v>39013007</v>
      </c>
      <c r="C70" s="164">
        <v>39013700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0" s="164">
        <v>39013813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3"/>
        <v>39013007_39013700</v>
      </c>
      <c r="B71" s="47">
        <v>39013007</v>
      </c>
      <c r="C71" s="164">
        <v>39013700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1" s="164">
        <v>39013814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3"/>
        <v>39013007_39013700</v>
      </c>
      <c r="B72" s="47">
        <v>39013007</v>
      </c>
      <c r="C72" s="164">
        <v>39013700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2" s="164">
        <v>39013815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3"/>
        <v>39013007_39013700</v>
      </c>
      <c r="B73" s="47">
        <v>39013007</v>
      </c>
      <c r="C73" s="164">
        <v>39013700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" s="164">
        <v>39013816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3"/>
        <v>39013007_39013700</v>
      </c>
      <c r="B74" s="47">
        <v>39013007</v>
      </c>
      <c r="C74" s="164">
        <v>39013700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" s="164">
        <v>39013817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:A95" si="14">B75&amp;"_"&amp;C75</f>
        <v>39013007_39013700</v>
      </c>
      <c r="B75" s="47">
        <v>39013007</v>
      </c>
      <c r="C75" s="164">
        <v>39013700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" s="164">
        <v>39013818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4"/>
        <v>39013007_39013700</v>
      </c>
      <c r="B76" s="47">
        <v>39013007</v>
      </c>
      <c r="C76" s="164">
        <v>39013700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" s="164">
        <v>39013819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4"/>
        <v>39013007_39013700</v>
      </c>
      <c r="B77" s="47">
        <v>39013007</v>
      </c>
      <c r="C77" s="164">
        <v>39013700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" s="164">
        <v>39013820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4"/>
        <v>39013007_39013700</v>
      </c>
      <c r="B78" s="47">
        <v>39013007</v>
      </c>
      <c r="C78" s="164">
        <v>39013700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" s="164">
        <v>39013821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4"/>
        <v>39013007_39013700</v>
      </c>
      <c r="B79" s="47">
        <v>39013007</v>
      </c>
      <c r="C79" s="164">
        <v>39013700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9" s="164">
        <v>39013822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4"/>
        <v>39013007_39013700</v>
      </c>
      <c r="B80" s="47">
        <v>39013007</v>
      </c>
      <c r="C80" s="164">
        <v>39013700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0" s="164">
        <v>39013823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4"/>
        <v>39013007_39013700</v>
      </c>
      <c r="B81" s="47">
        <v>39013007</v>
      </c>
      <c r="C81" s="164">
        <v>39013700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1" s="164">
        <v>39013824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4"/>
        <v>39013007_39013700</v>
      </c>
      <c r="B82" s="47">
        <v>39013007</v>
      </c>
      <c r="C82" s="164">
        <v>39013700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2" s="164">
        <v>39013825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4"/>
        <v>39013007_39013700</v>
      </c>
      <c r="B83" s="47">
        <v>39013007</v>
      </c>
      <c r="C83" s="164">
        <v>39013700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3" s="164">
        <v>39013826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4"/>
        <v>39013007_39013700</v>
      </c>
      <c r="B84" s="47">
        <v>39013007</v>
      </c>
      <c r="C84" s="164">
        <v>39013700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4" s="164">
        <v>39013827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4"/>
        <v>39013007_39013700</v>
      </c>
      <c r="B85" s="47">
        <v>39013007</v>
      </c>
      <c r="C85" s="164">
        <v>39013700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5" s="164">
        <v>39013828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4"/>
        <v>39013007_39013700</v>
      </c>
      <c r="B86" s="47">
        <v>39013007</v>
      </c>
      <c r="C86" s="164">
        <v>39013700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6" s="164">
        <v>39013829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4"/>
        <v>39013007_39013700</v>
      </c>
      <c r="B87" s="47">
        <v>39013007</v>
      </c>
      <c r="C87" s="164">
        <v>39013700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7" s="164">
        <v>39013830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4"/>
        <v>39013007_39013700</v>
      </c>
      <c r="B88" s="47">
        <v>39013007</v>
      </c>
      <c r="C88" s="164">
        <v>39013700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8" s="164">
        <v>39013831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4"/>
        <v>39013007_39013700</v>
      </c>
      <c r="B89" s="47">
        <v>39013007</v>
      </c>
      <c r="C89" s="164">
        <v>39013700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9" s="164">
        <v>39013832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4"/>
        <v>39013007_39013700</v>
      </c>
      <c r="B90" s="47">
        <v>39013007</v>
      </c>
      <c r="C90" s="164">
        <v>39013700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0" s="164">
        <v>39013833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4"/>
        <v>39013007_39013700</v>
      </c>
      <c r="B91" s="47">
        <v>39013007</v>
      </c>
      <c r="C91" s="164">
        <v>39013700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1" s="164">
        <v>39013834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4"/>
        <v>39013007_39013700</v>
      </c>
      <c r="B92" s="47">
        <v>39013007</v>
      </c>
      <c r="C92" s="164">
        <v>39013700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2" s="164">
        <v>39013835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4"/>
        <v>39013007_39013700</v>
      </c>
      <c r="B93" s="47">
        <v>39013007</v>
      </c>
      <c r="C93" s="164">
        <v>39013700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3" s="164">
        <v>39013836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4"/>
        <v>39013007_39013700</v>
      </c>
      <c r="B94" s="47">
        <v>39013007</v>
      </c>
      <c r="C94" s="164">
        <v>39013700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4" s="164">
        <v>39013837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thickBot="1" x14ac:dyDescent="0.2">
      <c r="A95" s="39" t="str">
        <f t="shared" si="14"/>
        <v>39013007_39013700</v>
      </c>
      <c r="B95" s="153">
        <v>39013007</v>
      </c>
      <c r="C95" s="179">
        <v>39013700</v>
      </c>
      <c r="D95" s="193" t="str">
        <f ca="1">VLOOKUP($C95,OFFSET(enemy_skills!$A$1,0,0,COUNTA(enemy_skills!$A:$A),MATCH(D$1,enemy_skills!$1:$1,0)-MATCH("enemy_skill_id",enemy_skills!$1:$1,0)+1),MATCH(D$1,enemy_skills!$1:$1,0)-MATCH("enemy_skill_id",enemy_skills!$1:$1,0)+1,FALSE)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95" s="193" t="str">
        <f ca="1">VLOOKUP($C95,OFFSET(enemy_skills!$A$1,0,0,COUNTA(enemy_skills!$A:$A),MATCH(E$1,enemy_skills!$1:$1,0)-MATCH("enemy_skill_id",enemy_skills!$1:$1,0)+1),MATCH(E$1,enemy_skills!$1:$1,0)-MATCH("enemy_skill_id",enemy_skills!$1:$1,0)+1,FALSE)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5" s="164">
        <v>39013838</v>
      </c>
      <c r="G95" s="184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184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95" s="184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184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184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184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184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184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95" s="184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153"/>
      <c r="Q95" s="153"/>
      <c r="R95" s="153"/>
    </row>
    <row r="96" spans="1:18" ht="21" customHeight="1" x14ac:dyDescent="0.15">
      <c r="A96" s="39" t="str">
        <f t="shared" si="12"/>
        <v>39013008_39013500</v>
      </c>
      <c r="B96" s="188">
        <v>39013008</v>
      </c>
      <c r="C96" s="228">
        <v>39013500</v>
      </c>
      <c r="D96" s="192" t="str">
        <f ca="1">VLOOKUP($C96,OFFSET(enemy_skills!$A$1,0,0,COUNTA(enemy_skills!$A:$A),MATCH(D$1,enemy_skills!$1:$1,0)-MATCH("enemy_skill_id",enemy_skills!$1:$1,0)+1),MATCH(D$1,enemy_skills!$1:$1,0)-MATCH("enemy_skill_id",enemy_skills!$1:$1,0)+1,FALSE)</f>
        <v>本気にさせた、_x000D_てめぇが悪ぃんだぜぇ！？</v>
      </c>
      <c r="E96" s="192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96" s="228">
        <v>39013500</v>
      </c>
      <c r="G96" s="189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189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96" s="189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189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189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189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189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189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189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88"/>
      <c r="Q96" s="188"/>
      <c r="R96" s="188"/>
    </row>
    <row r="97" spans="1:18" ht="21" customHeight="1" x14ac:dyDescent="0.15">
      <c r="A97" s="39" t="str">
        <f t="shared" si="12"/>
        <v>39013008_39013501</v>
      </c>
      <c r="B97" s="188">
        <v>39013008</v>
      </c>
      <c r="C97" s="187">
        <v>39013501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地獄行きだぁあっ！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特定エリアを青&amp;赤パネルに変換+_x000D_1ターン青&amp;赤パネルが出現しない+_x000D_タップ回数を1にする+単体攻撃_x000D_【次のターン青か赤のパネル吸収攻撃！】</v>
      </c>
      <c r="F97" s="187">
        <v>39013501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12"/>
        <v>39013008_39013502</v>
      </c>
      <c r="B98" s="188">
        <v>39013008</v>
      </c>
      <c r="C98" s="187">
        <v>39013502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このっアマチュアがぁ！！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赤パネルを吸収して攻撃(最大24個)</v>
      </c>
      <c r="F98" s="187">
        <v>39013502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21" customHeight="1" x14ac:dyDescent="0.15">
      <c r="A99" s="39" t="str">
        <f t="shared" si="12"/>
        <v>39013008_39013503</v>
      </c>
      <c r="B99" s="188">
        <v>39013008</v>
      </c>
      <c r="C99" s="187">
        <v>39013503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いっぺん死んでこぉい！！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青パネルを吸収して攻撃(最大24個)</v>
      </c>
      <c r="F99" s="187">
        <v>39013503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2"/>
        <v>39013008_39013504</v>
      </c>
      <c r="B100" s="188">
        <v>39013008</v>
      </c>
      <c r="C100" s="187">
        <v>39013504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オラァッ！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0" s="187">
        <v>39013504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2"/>
        <v>39013008_39013505</v>
      </c>
      <c r="B101" s="188">
        <v>39013008</v>
      </c>
      <c r="C101" s="187">
        <v>39013505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クソがぁっ！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1" s="187">
        <v>39013505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2"/>
        <v>39013008_39013506</v>
      </c>
      <c r="B102" s="188">
        <v>39013008</v>
      </c>
      <c r="C102" s="187">
        <v>39013506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シャァアッ！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2" s="187">
        <v>39013506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2"/>
        <v>39013008_39013507</v>
      </c>
      <c r="B103" s="188">
        <v>39013008</v>
      </c>
      <c r="C103" s="187">
        <v>39013507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消し飛びなぁ！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単体攻撃+_x000D_3ターンユニット1体にウィルス</v>
      </c>
      <c r="F103" s="187">
        <v>39013507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2"/>
        <v>39013008_39013508</v>
      </c>
      <c r="B104" s="188">
        <v>39013008</v>
      </c>
      <c r="C104" s="187">
        <v>39013508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返すぜぇ！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104" s="187">
        <v>39013508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2"/>
        <v>39013008_39013509</v>
      </c>
      <c r="B105" s="188">
        <v>39013008</v>
      </c>
      <c r="C105" s="187">
        <v>39013509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05" s="187">
        <v>39013509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105" s="48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ref="A106:A110" si="15">B106&amp;"_"&amp;C106</f>
        <v>39013008_39013510</v>
      </c>
      <c r="B106" s="188">
        <v>39013008</v>
      </c>
      <c r="C106" s="187">
        <v>39013510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06" s="187">
        <v>39013510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521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06" s="48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106" s="48" t="str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5"/>
        <v>39013008_39013511</v>
      </c>
      <c r="B107" s="188">
        <v>39013008</v>
      </c>
      <c r="C107" s="187">
        <v>39013511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07" s="187">
        <v>39013511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07" s="48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107" s="48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5"/>
        <v>39013008_39013512</v>
      </c>
      <c r="B108" s="188">
        <v>39013008</v>
      </c>
      <c r="C108" s="187">
        <v>39013512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08" s="187">
        <v>39013512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523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8" s="48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108" s="48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thickBot="1" x14ac:dyDescent="0.2">
      <c r="A109" s="39" t="str">
        <f t="shared" si="15"/>
        <v>39013008_39013513</v>
      </c>
      <c r="B109" s="188">
        <v>39013008</v>
      </c>
      <c r="C109" s="187">
        <v>39013513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09" s="231">
        <v>39013513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524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5"/>
        <v>39013008_39013444</v>
      </c>
      <c r="B110" s="188">
        <v>39013008</v>
      </c>
      <c r="C110" s="114">
        <v>39013444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そのツラ忘れねぇぞぉおっ…！！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0" s="114">
        <v>39013444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8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ref="A111" si="16">B111&amp;"_"&amp;C111</f>
        <v>39013008_39013700</v>
      </c>
      <c r="B111" s="188">
        <v>39013008</v>
      </c>
      <c r="C111" s="164">
        <v>39013700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1" s="164">
        <v>39013801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8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ref="A112:A127" si="17">B112&amp;"_"&amp;C112</f>
        <v>39013008_39013700</v>
      </c>
      <c r="B112" s="188">
        <v>39013008</v>
      </c>
      <c r="C112" s="164">
        <v>39013700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2" s="164">
        <v>39013802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17"/>
        <v>39013008_39013700</v>
      </c>
      <c r="B113" s="188">
        <v>39013008</v>
      </c>
      <c r="C113" s="164">
        <v>39013700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3" s="164">
        <v>39013803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48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17"/>
        <v>39013008_39013700</v>
      </c>
      <c r="B114" s="188">
        <v>39013008</v>
      </c>
      <c r="C114" s="164">
        <v>39013700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4" s="164">
        <v>39013804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48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17"/>
        <v>39013008_39013700</v>
      </c>
      <c r="B115" s="188">
        <v>39013008</v>
      </c>
      <c r="C115" s="164">
        <v>39013700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5" s="164">
        <v>39013805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48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17"/>
        <v>39013008_39013700</v>
      </c>
      <c r="B116" s="188">
        <v>39013008</v>
      </c>
      <c r="C116" s="164">
        <v>39013700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6" s="164">
        <v>39013806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48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7"/>
        <v>39013008_39013700</v>
      </c>
      <c r="B117" s="188">
        <v>39013008</v>
      </c>
      <c r="C117" s="164">
        <v>39013700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7" s="164">
        <v>39013807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7"/>
        <v>39013008_39013700</v>
      </c>
      <c r="B118" s="188">
        <v>39013008</v>
      </c>
      <c r="C118" s="164">
        <v>39013700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8" s="164">
        <v>39013808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7"/>
        <v>39013008_39013700</v>
      </c>
      <c r="B119" s="188">
        <v>39013008</v>
      </c>
      <c r="C119" s="164">
        <v>39013700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9" s="164">
        <v>39013809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7"/>
        <v>39013008_39013700</v>
      </c>
      <c r="B120" s="188">
        <v>39013008</v>
      </c>
      <c r="C120" s="164">
        <v>39013700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0" s="164">
        <v>39013810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0" s="48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7"/>
        <v>39013008_39013700</v>
      </c>
      <c r="B121" s="188">
        <v>39013008</v>
      </c>
      <c r="C121" s="164">
        <v>39013700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1" s="164">
        <v>39013811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7"/>
        <v>39013008_39013700</v>
      </c>
      <c r="B122" s="188">
        <v>39013008</v>
      </c>
      <c r="C122" s="164">
        <v>39013700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2" s="164">
        <v>39013812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7"/>
        <v>39013008_39013700</v>
      </c>
      <c r="B123" s="188">
        <v>39013008</v>
      </c>
      <c r="C123" s="164">
        <v>39013700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3" s="164">
        <v>39013813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7"/>
        <v>39013008_39013700</v>
      </c>
      <c r="B124" s="188">
        <v>39013008</v>
      </c>
      <c r="C124" s="164">
        <v>39013700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4" s="164">
        <v>39013814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7"/>
        <v>39013008_39013700</v>
      </c>
      <c r="B125" s="188">
        <v>39013008</v>
      </c>
      <c r="C125" s="164">
        <v>39013700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5" s="164">
        <v>39013815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7"/>
        <v>39013008_39013700</v>
      </c>
      <c r="B126" s="188">
        <v>39013008</v>
      </c>
      <c r="C126" s="164">
        <v>39013700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6" s="164">
        <v>39013816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si="17"/>
        <v>39013008_39013700</v>
      </c>
      <c r="B127" s="188">
        <v>39013008</v>
      </c>
      <c r="C127" s="164">
        <v>39013700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7" s="164">
        <v>39013817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ref="A128:A148" si="18">B128&amp;"_"&amp;C128</f>
        <v>39013008_39013700</v>
      </c>
      <c r="B128" s="188">
        <v>39013008</v>
      </c>
      <c r="C128" s="164">
        <v>39013700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8" s="164">
        <v>39013818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8"/>
        <v>39013008_39013700</v>
      </c>
      <c r="B129" s="188">
        <v>39013008</v>
      </c>
      <c r="C129" s="164">
        <v>39013700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9" s="164">
        <v>39013819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8"/>
        <v>39013008_39013700</v>
      </c>
      <c r="B130" s="188">
        <v>39013008</v>
      </c>
      <c r="C130" s="164">
        <v>39013700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0" s="164">
        <v>39013820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18"/>
        <v>39013008_39013700</v>
      </c>
      <c r="B131" s="188">
        <v>39013008</v>
      </c>
      <c r="C131" s="164">
        <v>39013700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1" s="164">
        <v>39013821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8"/>
        <v>39013008_39013700</v>
      </c>
      <c r="B132" s="188">
        <v>39013008</v>
      </c>
      <c r="C132" s="164">
        <v>39013700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2" s="164">
        <v>39013822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18"/>
        <v>39013008_39013700</v>
      </c>
      <c r="B133" s="188">
        <v>39013008</v>
      </c>
      <c r="C133" s="164">
        <v>39013700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3" s="164">
        <v>39013823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8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8"/>
        <v>39013008_39013700</v>
      </c>
      <c r="B134" s="188">
        <v>39013008</v>
      </c>
      <c r="C134" s="164">
        <v>39013700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4" s="164">
        <v>39013824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8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8"/>
        <v>39013008_39013700</v>
      </c>
      <c r="B135" s="188">
        <v>39013008</v>
      </c>
      <c r="C135" s="164">
        <v>39013700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5" s="164">
        <v>39013825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18"/>
        <v>39013008_39013700</v>
      </c>
      <c r="B136" s="188">
        <v>39013008</v>
      </c>
      <c r="C136" s="164">
        <v>39013700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6" s="164">
        <v>39013826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8"/>
        <v>39013008_39013700</v>
      </c>
      <c r="B137" s="188">
        <v>39013008</v>
      </c>
      <c r="C137" s="164">
        <v>39013700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7" s="164">
        <v>39013827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8"/>
        <v>39013008_39013700</v>
      </c>
      <c r="B138" s="188">
        <v>39013008</v>
      </c>
      <c r="C138" s="164">
        <v>39013700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8" s="164">
        <v>39013828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8"/>
        <v>39013008_39013700</v>
      </c>
      <c r="B139" s="188">
        <v>39013008</v>
      </c>
      <c r="C139" s="164">
        <v>39013700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9" s="164">
        <v>39013829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8"/>
        <v>39013008_39013700</v>
      </c>
      <c r="B140" s="188">
        <v>39013008</v>
      </c>
      <c r="C140" s="164">
        <v>39013700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0" s="164">
        <v>39013830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18"/>
        <v>39013008_39013700</v>
      </c>
      <c r="B141" s="188">
        <v>39013008</v>
      </c>
      <c r="C141" s="164">
        <v>39013700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1" s="164">
        <v>39013831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8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18"/>
        <v>39013008_39013700</v>
      </c>
      <c r="B142" s="188">
        <v>39013008</v>
      </c>
      <c r="C142" s="164">
        <v>39013700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2" s="164">
        <v>39013832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8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18"/>
        <v>39013008_39013700</v>
      </c>
      <c r="B143" s="188">
        <v>39013008</v>
      </c>
      <c r="C143" s="164">
        <v>39013700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3" s="164">
        <v>39013833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18"/>
        <v>39013008_39013700</v>
      </c>
      <c r="B144" s="188">
        <v>39013008</v>
      </c>
      <c r="C144" s="164">
        <v>39013700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4" s="164">
        <v>39013834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18"/>
        <v>39013008_39013700</v>
      </c>
      <c r="B145" s="188">
        <v>39013008</v>
      </c>
      <c r="C145" s="164">
        <v>39013700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5" s="164">
        <v>39013835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8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18"/>
        <v>39013008_39013700</v>
      </c>
      <c r="B146" s="188">
        <v>39013008</v>
      </c>
      <c r="C146" s="164">
        <v>39013700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6" s="164">
        <v>39013836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48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18"/>
        <v>39013008_39013700</v>
      </c>
      <c r="B147" s="188">
        <v>39013008</v>
      </c>
      <c r="C147" s="164">
        <v>39013700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7" s="164">
        <v>39013837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48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21" customHeight="1" thickBot="1" x14ac:dyDescent="0.2">
      <c r="A148" s="39" t="str">
        <f t="shared" si="18"/>
        <v>39013008_39013700</v>
      </c>
      <c r="B148" s="153">
        <v>39013008</v>
      </c>
      <c r="C148" s="179">
        <v>39013700</v>
      </c>
      <c r="D148" s="193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48" s="193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8" s="164">
        <v>39013838</v>
      </c>
      <c r="G148" s="184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184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148" s="184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184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184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184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184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8" s="184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148" s="184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153"/>
      <c r="Q148" s="153"/>
      <c r="R148" s="153"/>
    </row>
    <row r="149" spans="1:18" ht="21" customHeight="1" thickBot="1" x14ac:dyDescent="0.2">
      <c r="A149" s="191" t="str">
        <f t="shared" ref="A149:A213" si="19">B149&amp;"_"&amp;C149</f>
        <v>39013009_39013525</v>
      </c>
      <c r="B149" s="188">
        <v>39013009</v>
      </c>
      <c r="C149" s="229">
        <v>39013525</v>
      </c>
      <c r="D149" s="192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本気にさせた、_x000D_てめぇが悪ぃんだぜぇ！？</v>
      </c>
      <c r="E149" s="192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49" s="229">
        <v>39013525</v>
      </c>
      <c r="G149" s="189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9" s="189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49" s="189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189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189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189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9" s="189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9" s="189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189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188"/>
      <c r="Q149" s="188"/>
      <c r="R149" s="188"/>
    </row>
    <row r="150" spans="1:18" ht="21" customHeight="1" x14ac:dyDescent="0.15">
      <c r="A150" s="39" t="str">
        <f t="shared" si="19"/>
        <v>39013009_39013526</v>
      </c>
      <c r="B150" s="188">
        <v>39013009</v>
      </c>
      <c r="C150" s="225">
        <v>39013526</v>
      </c>
      <c r="D150" s="192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地獄行きだぁあっ！</v>
      </c>
      <c r="E150" s="192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特定エリアを青&amp;赤パネルに変換+_x000D_1ターン青&amp;赤パネルが出現しない+_x000D_タップ回数を1にする+単体攻撃_x000D_【次のターン青か赤のパネル吸収攻撃！】</v>
      </c>
      <c r="F150" s="225">
        <v>39013526</v>
      </c>
      <c r="G150" s="189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189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50" s="189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189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189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189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0" s="189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189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189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188"/>
      <c r="Q150" s="188"/>
      <c r="R150" s="188"/>
    </row>
    <row r="151" spans="1:18" ht="21" customHeight="1" x14ac:dyDescent="0.15">
      <c r="A151" s="39" t="str">
        <f t="shared" si="19"/>
        <v>39013009_39013527</v>
      </c>
      <c r="B151" s="188">
        <v>39013009</v>
      </c>
      <c r="C151" s="225">
        <v>39013527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このっアマチュアがぁ！！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赤パネルを吸収して攻撃(最大24個)</v>
      </c>
      <c r="F151" s="225">
        <v>39013527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1" s="4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1" s="48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21" customHeight="1" x14ac:dyDescent="0.15">
      <c r="A152" s="39" t="str">
        <f t="shared" si="19"/>
        <v>39013009_39013528</v>
      </c>
      <c r="B152" s="188">
        <v>39013009</v>
      </c>
      <c r="C152" s="225">
        <v>39013528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いっぺん死んでこぉい！！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青パネルを吸収して攻撃(最大24個)</v>
      </c>
      <c r="F152" s="225">
        <v>39013528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2" s="48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2" s="48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19"/>
        <v>39013009_39013529</v>
      </c>
      <c r="B153" s="188">
        <v>39013009</v>
      </c>
      <c r="C153" s="225">
        <v>39013529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オラァッ！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3" s="225">
        <v>39013529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3" s="48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3" s="48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x14ac:dyDescent="0.15">
      <c r="A154" s="39" t="str">
        <f t="shared" si="19"/>
        <v>39013009_39013530</v>
      </c>
      <c r="B154" s="188">
        <v>39013009</v>
      </c>
      <c r="C154" s="225">
        <v>39013530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クソがぁっ！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4" s="225">
        <v>39013530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48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4" s="48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21" customHeight="1" x14ac:dyDescent="0.15">
      <c r="A155" s="39" t="str">
        <f t="shared" si="19"/>
        <v>39013009_39013531</v>
      </c>
      <c r="B155" s="188">
        <v>39013009</v>
      </c>
      <c r="C155" s="225">
        <v>39013531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シャァアッ！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5" s="225">
        <v>39013531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5" s="48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55" s="48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21" customHeight="1" x14ac:dyDescent="0.15">
      <c r="A156" s="39" t="str">
        <f t="shared" si="19"/>
        <v>39013009_39013532</v>
      </c>
      <c r="B156" s="188">
        <v>39013009</v>
      </c>
      <c r="C156" s="225">
        <v>39013532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消し飛びなぁ！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単体攻撃+_x000D_3ターンユニット1体にウィルス</v>
      </c>
      <c r="F156" s="225">
        <v>39013532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156" s="48" t="str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19"/>
        <v>39013009_39013533</v>
      </c>
      <c r="B157" s="188">
        <v>39013009</v>
      </c>
      <c r="C157" s="225">
        <v>39013533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返すぜぇ！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157" s="225">
        <v>39013533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157" s="48" t="str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19"/>
        <v>39013009_39013534</v>
      </c>
      <c r="B158" s="188">
        <v>39013009</v>
      </c>
      <c r="C158" s="225">
        <v>39013534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58" s="225">
        <v>39013534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158" s="48" t="str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58" s="48" t="str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ref="A159:A179" si="20">B159&amp;"_"&amp;C159</f>
        <v>39013009_39013535</v>
      </c>
      <c r="B159" s="188">
        <v>39013009</v>
      </c>
      <c r="C159" s="225">
        <v>39013535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59" s="225">
        <v>39013535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521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59" s="48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159" s="48" t="str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59" s="48" t="str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20"/>
        <v>39013009_39013536</v>
      </c>
      <c r="B160" s="188">
        <v>39013009</v>
      </c>
      <c r="C160" s="225">
        <v>39013536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60" s="225">
        <v>39013536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60" s="48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160" s="48" t="str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0" s="48" t="str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20"/>
        <v>39013009_39013537</v>
      </c>
      <c r="B161" s="188">
        <v>39013009</v>
      </c>
      <c r="C161" s="225">
        <v>39013537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61" s="225">
        <v>39013537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523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61" s="48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161" s="48" t="str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1" s="4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1" s="48" t="str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thickBot="1" x14ac:dyDescent="0.2">
      <c r="A162" s="39" t="str">
        <f t="shared" si="20"/>
        <v>39013009_39013538</v>
      </c>
      <c r="B162" s="188">
        <v>39013009</v>
      </c>
      <c r="C162" s="225">
        <v>39013538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162" s="230">
        <v>39013538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524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 t="str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2" s="4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62" s="48" t="str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20"/>
        <v>39013009_39013444</v>
      </c>
      <c r="B163" s="188">
        <v>39013009</v>
      </c>
      <c r="C163" s="114">
        <v>39013444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そのツラ忘れねぇぞぉおっ…！！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3" s="114">
        <v>39013444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3" s="48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3" s="48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20"/>
        <v>39013009_39013700</v>
      </c>
      <c r="B164" s="188">
        <v>39013009</v>
      </c>
      <c r="C164" s="164">
        <v>39013700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4" s="164">
        <v>39013801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4" s="4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20"/>
        <v>39013009_39013700</v>
      </c>
      <c r="B165" s="188">
        <v>39013009</v>
      </c>
      <c r="C165" s="164">
        <v>39013700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5" s="164">
        <v>39013802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8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20"/>
        <v>39013009_39013700</v>
      </c>
      <c r="B166" s="188">
        <v>39013009</v>
      </c>
      <c r="C166" s="164">
        <v>39013700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6" s="164">
        <v>39013803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48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20"/>
        <v>39013009_39013700</v>
      </c>
      <c r="B167" s="188">
        <v>39013009</v>
      </c>
      <c r="C167" s="164">
        <v>39013700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7" s="164">
        <v>39013804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7" s="48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20"/>
        <v>39013009_39013700</v>
      </c>
      <c r="B168" s="188">
        <v>39013009</v>
      </c>
      <c r="C168" s="164">
        <v>39013700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8" s="164">
        <v>39013805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8" s="48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8" s="48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21" customHeight="1" x14ac:dyDescent="0.15">
      <c r="A169" s="39" t="str">
        <f t="shared" si="20"/>
        <v>39013009_39013700</v>
      </c>
      <c r="B169" s="188">
        <v>39013009</v>
      </c>
      <c r="C169" s="164">
        <v>39013700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9" s="164">
        <v>39013806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9" s="48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9" s="48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20"/>
        <v>39013009_39013700</v>
      </c>
      <c r="B170" s="188">
        <v>39013009</v>
      </c>
      <c r="C170" s="164">
        <v>39013700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0" s="164">
        <v>39013807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0" s="48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x14ac:dyDescent="0.15">
      <c r="A171" s="39" t="str">
        <f t="shared" si="20"/>
        <v>39013009_39013700</v>
      </c>
      <c r="B171" s="188">
        <v>39013009</v>
      </c>
      <c r="C171" s="164">
        <v>39013700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1" s="164">
        <v>39013808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1" s="48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21" customHeight="1" x14ac:dyDescent="0.15">
      <c r="A172" s="39" t="str">
        <f t="shared" si="20"/>
        <v>39013009_39013700</v>
      </c>
      <c r="B172" s="188">
        <v>39013009</v>
      </c>
      <c r="C172" s="164">
        <v>39013700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2" s="164">
        <v>39013809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2" s="48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21" customHeight="1" x14ac:dyDescent="0.15">
      <c r="A173" s="39" t="str">
        <f t="shared" si="20"/>
        <v>39013009_39013700</v>
      </c>
      <c r="B173" s="188">
        <v>39013009</v>
      </c>
      <c r="C173" s="164">
        <v>39013700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3" s="164">
        <v>39013810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3" s="48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3" s="48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21" customHeight="1" x14ac:dyDescent="0.15">
      <c r="A174" s="39" t="str">
        <f t="shared" si="20"/>
        <v>39013009_39013700</v>
      </c>
      <c r="B174" s="188">
        <v>39013009</v>
      </c>
      <c r="C174" s="164">
        <v>39013700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4" s="164">
        <v>39013811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4" s="48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20"/>
        <v>39013009_39013700</v>
      </c>
      <c r="B175" s="188">
        <v>39013009</v>
      </c>
      <c r="C175" s="164">
        <v>39013700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5" s="164">
        <v>39013812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5" s="48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5" s="48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x14ac:dyDescent="0.15">
      <c r="A176" s="39" t="str">
        <f t="shared" si="20"/>
        <v>39013009_39013700</v>
      </c>
      <c r="B176" s="188">
        <v>39013009</v>
      </c>
      <c r="C176" s="164">
        <v>39013700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6" s="164">
        <v>39013813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6" s="48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21" customHeight="1" x14ac:dyDescent="0.15">
      <c r="A177" s="39" t="str">
        <f t="shared" si="20"/>
        <v>39013009_39013700</v>
      </c>
      <c r="B177" s="188">
        <v>39013009</v>
      </c>
      <c r="C177" s="164">
        <v>39013700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7" s="164">
        <v>39013814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7" s="48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21" customHeight="1" x14ac:dyDescent="0.15">
      <c r="A178" s="39" t="str">
        <f t="shared" si="20"/>
        <v>39013009_39013700</v>
      </c>
      <c r="B178" s="188">
        <v>39013009</v>
      </c>
      <c r="C178" s="164">
        <v>39013700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8" s="164">
        <v>39013815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8" s="48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21" customHeight="1" x14ac:dyDescent="0.15">
      <c r="A179" s="39" t="str">
        <f t="shared" si="20"/>
        <v>39013009_39013700</v>
      </c>
      <c r="B179" s="188">
        <v>39013009</v>
      </c>
      <c r="C179" s="164">
        <v>39013700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79" s="164">
        <v>39013816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79" s="48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21" customHeight="1" x14ac:dyDescent="0.15">
      <c r="A180" s="39" t="str">
        <f t="shared" ref="A180" si="21">B180&amp;"_"&amp;C180</f>
        <v>39013009_39013700</v>
      </c>
      <c r="B180" s="188">
        <v>39013009</v>
      </c>
      <c r="C180" s="164">
        <v>39013700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0" s="164">
        <v>39013817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0" s="48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ref="A181:A201" si="22">B181&amp;"_"&amp;C181</f>
        <v>39013009_39013700</v>
      </c>
      <c r="B181" s="188">
        <v>39013009</v>
      </c>
      <c r="C181" s="164">
        <v>39013700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1" s="164">
        <v>39013818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1" s="48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22"/>
        <v>39013009_39013700</v>
      </c>
      <c r="B182" s="188">
        <v>39013009</v>
      </c>
      <c r="C182" s="164">
        <v>39013700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2" s="164">
        <v>39013819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2" s="48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22"/>
        <v>39013009_39013700</v>
      </c>
      <c r="B183" s="188">
        <v>39013009</v>
      </c>
      <c r="C183" s="164">
        <v>39013700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3" s="164">
        <v>39013820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3" s="48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22"/>
        <v>39013009_39013700</v>
      </c>
      <c r="B184" s="188">
        <v>39013009</v>
      </c>
      <c r="C184" s="164">
        <v>39013700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4" s="164">
        <v>39013821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4" s="48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22"/>
        <v>39013009_39013700</v>
      </c>
      <c r="B185" s="188">
        <v>39013009</v>
      </c>
      <c r="C185" s="164">
        <v>39013700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5" s="164">
        <v>39013822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22"/>
        <v>39013009_39013700</v>
      </c>
      <c r="B186" s="188">
        <v>39013009</v>
      </c>
      <c r="C186" s="164">
        <v>39013700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6" s="164">
        <v>39013823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48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22"/>
        <v>39013009_39013700</v>
      </c>
      <c r="B187" s="188">
        <v>39013009</v>
      </c>
      <c r="C187" s="164">
        <v>39013700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7" s="164">
        <v>39013824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7" s="48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7" s="48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22"/>
        <v>39013009_39013700</v>
      </c>
      <c r="B188" s="188">
        <v>39013009</v>
      </c>
      <c r="C188" s="164">
        <v>39013700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8" s="164">
        <v>39013825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48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22"/>
        <v>39013009_39013700</v>
      </c>
      <c r="B189" s="188">
        <v>39013009</v>
      </c>
      <c r="C189" s="164">
        <v>39013700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89" s="164">
        <v>39013826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9" s="48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9" s="48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22"/>
        <v>39013009_39013700</v>
      </c>
      <c r="B190" s="188">
        <v>39013009</v>
      </c>
      <c r="C190" s="164">
        <v>39013700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0" s="164">
        <v>39013827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48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si="22"/>
        <v>39013009_39013700</v>
      </c>
      <c r="B191" s="188">
        <v>39013009</v>
      </c>
      <c r="C191" s="164">
        <v>39013700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1" s="164">
        <v>39013828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1" s="4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1" s="48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22"/>
        <v>39013009_39013700</v>
      </c>
      <c r="B192" s="188">
        <v>39013009</v>
      </c>
      <c r="C192" s="164">
        <v>39013700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2" s="164">
        <v>39013829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2" s="4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2" s="4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22"/>
        <v>39013009_39013700</v>
      </c>
      <c r="B193" s="188">
        <v>39013009</v>
      </c>
      <c r="C193" s="164">
        <v>39013700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3" s="164">
        <v>39013830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3" s="4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22"/>
        <v>39013009_39013700</v>
      </c>
      <c r="B194" s="188">
        <v>39013009</v>
      </c>
      <c r="C194" s="164">
        <v>39013700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4" s="164">
        <v>39013831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48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22"/>
        <v>39013009_39013700</v>
      </c>
      <c r="B195" s="188">
        <v>39013009</v>
      </c>
      <c r="C195" s="164">
        <v>39013700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5" s="164">
        <v>39013832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48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22"/>
        <v>39013009_39013700</v>
      </c>
      <c r="B196" s="188">
        <v>39013009</v>
      </c>
      <c r="C196" s="164">
        <v>39013700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6" s="164">
        <v>39013833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4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22"/>
        <v>39013009_39013700</v>
      </c>
      <c r="B197" s="188">
        <v>39013009</v>
      </c>
      <c r="C197" s="164">
        <v>39013700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7" s="164">
        <v>39013834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7" s="4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22"/>
        <v>39013009_39013700</v>
      </c>
      <c r="B198" s="188">
        <v>39013009</v>
      </c>
      <c r="C198" s="164">
        <v>39013700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8" s="164">
        <v>39013835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22"/>
        <v>39013009_39013700</v>
      </c>
      <c r="B199" s="188">
        <v>39013009</v>
      </c>
      <c r="C199" s="164">
        <v>39013700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9" s="164">
        <v>39013836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4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si="22"/>
        <v>39013009_39013700</v>
      </c>
      <c r="B200" s="188">
        <v>39013009</v>
      </c>
      <c r="C200" s="164">
        <v>39013700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0" s="164">
        <v>39013837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8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thickBot="1" x14ac:dyDescent="0.2">
      <c r="A201" s="39" t="str">
        <f t="shared" si="22"/>
        <v>39013009_39013700</v>
      </c>
      <c r="B201" s="153">
        <v>39013009</v>
      </c>
      <c r="C201" s="179">
        <v>39013700</v>
      </c>
      <c r="D201" s="193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01" s="193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1" s="164">
        <v>39013838</v>
      </c>
      <c r="G201" s="184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184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201" s="184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184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184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184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184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1" s="184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201" s="184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153"/>
      <c r="Q201" s="153"/>
      <c r="R201" s="153"/>
    </row>
    <row r="202" spans="1:18" ht="21" customHeight="1" x14ac:dyDescent="0.15">
      <c r="A202" s="39" t="str">
        <f t="shared" si="19"/>
        <v>39013010_39013550</v>
      </c>
      <c r="B202" s="188">
        <v>39013010</v>
      </c>
      <c r="C202" s="227">
        <v>39013550</v>
      </c>
      <c r="D202" s="192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本気にさせた、_x000D_てめぇが悪ぃんだぜぇ！？</v>
      </c>
      <c r="E202" s="192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202" s="227">
        <v>39013550</v>
      </c>
      <c r="G202" s="189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2" s="189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02" s="189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189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189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189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2" s="189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2" s="189" t="str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2" s="189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188"/>
      <c r="Q202" s="188"/>
      <c r="R202" s="188"/>
    </row>
    <row r="203" spans="1:18" ht="21" customHeight="1" thickBot="1" x14ac:dyDescent="0.2">
      <c r="A203" s="191" t="str">
        <f t="shared" si="19"/>
        <v>39013010_39013551</v>
      </c>
      <c r="B203" s="188">
        <v>39013010</v>
      </c>
      <c r="C203" s="226">
        <v>39013551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地獄行きだぁあっ！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特定エリアを青&amp;赤パネルに変換+_x000D_1ターン青&amp;赤パネルが出現しない+_x000D_タップ回数を1にする+単体攻撃_x000D_【次のターン青か赤のパネル吸収攻撃！】</v>
      </c>
      <c r="F203" s="226">
        <v>39013551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3" s="48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3" s="48" t="str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9"/>
        <v>39013010_39013552</v>
      </c>
      <c r="B204" s="188">
        <v>39013010</v>
      </c>
      <c r="C204" s="226">
        <v>39013552</v>
      </c>
      <c r="D204" s="192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このっアマチュアがぁ！！</v>
      </c>
      <c r="E204" s="192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赤パネルを吸収して攻撃(最大24個)</v>
      </c>
      <c r="F204" s="226">
        <v>39013552</v>
      </c>
      <c r="G204" s="189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189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204" s="189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189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189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189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189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4" s="189" t="str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4" s="189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188"/>
      <c r="Q204" s="188"/>
      <c r="R204" s="188"/>
    </row>
    <row r="205" spans="1:18" ht="21" customHeight="1" x14ac:dyDescent="0.15">
      <c r="A205" s="39" t="str">
        <f t="shared" si="19"/>
        <v>39013010_39013553</v>
      </c>
      <c r="B205" s="188">
        <v>39013010</v>
      </c>
      <c r="C205" s="226">
        <v>39013553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いっぺん死んでこぉい！！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青パネルを吸収して攻撃(最大24個)</v>
      </c>
      <c r="F205" s="226">
        <v>39013553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5" s="48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5" s="48" t="str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9"/>
        <v>39013010_39013554</v>
      </c>
      <c r="B206" s="188">
        <v>39013010</v>
      </c>
      <c r="C206" s="226">
        <v>39013554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オラァッ！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6" s="226">
        <v>39013554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6" s="4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6" s="48" t="str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9"/>
        <v>39013010_39013555</v>
      </c>
      <c r="B207" s="188">
        <v>39013010</v>
      </c>
      <c r="C207" s="226">
        <v>39013555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クソがぁっ！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7" s="226">
        <v>39013555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7" s="48" t="str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9"/>
        <v>39013010_39013556</v>
      </c>
      <c r="B208" s="188">
        <v>39013010</v>
      </c>
      <c r="C208" s="226">
        <v>39013556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シャァアッ！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8" s="226">
        <v>39013556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8" s="48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08" s="48" t="str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19"/>
        <v>39013010_39013557</v>
      </c>
      <c r="B209" s="188">
        <v>39013010</v>
      </c>
      <c r="C209" s="226">
        <v>39013557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消し飛びなぁ！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09" s="226">
        <v>39013557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540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209" s="48" t="str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x14ac:dyDescent="0.15">
      <c r="A210" s="39" t="str">
        <f t="shared" si="19"/>
        <v>39013010_39013558</v>
      </c>
      <c r="B210" s="188">
        <v>39013010</v>
      </c>
      <c r="C210" s="226">
        <v>39013558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返すぜぇ！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1ターン全属性の攻撃をカウンター</v>
      </c>
      <c r="F210" s="226">
        <v>39013558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550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210" s="48" t="str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21" customHeight="1" x14ac:dyDescent="0.15">
      <c r="A211" s="39" t="str">
        <f t="shared" si="19"/>
        <v>39013010_39013559</v>
      </c>
      <c r="B211" s="188">
        <v>39013010</v>
      </c>
      <c r="C211" s="226">
        <v>39013559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11" s="226">
        <v>39013559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211" s="48" t="str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1" s="48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1" s="48" t="str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21" customHeight="1" x14ac:dyDescent="0.15">
      <c r="A212" s="39" t="str">
        <f t="shared" si="19"/>
        <v>39013010_39013560</v>
      </c>
      <c r="B212" s="188">
        <v>39013010</v>
      </c>
      <c r="C212" s="226">
        <v>39013560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オラオラァ！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12" s="226">
        <v>39013560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521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12" s="48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12" s="48" t="str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2" s="4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2" s="48" t="str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21" customHeight="1" x14ac:dyDescent="0.15">
      <c r="A213" s="39" t="str">
        <f t="shared" si="19"/>
        <v>39013010_39013561</v>
      </c>
      <c r="B213" s="188">
        <v>39013010</v>
      </c>
      <c r="C213" s="226">
        <v>39013561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13" s="226">
        <v>39013561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13" s="48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13" s="48" t="str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3" s="4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3" s="48" t="str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21" customHeight="1" x14ac:dyDescent="0.15">
      <c r="A214" s="39" t="str">
        <f t="shared" ref="A214:A216" si="23">B214&amp;"_"&amp;C214</f>
        <v>39013010_39013562</v>
      </c>
      <c r="B214" s="188">
        <v>39013010</v>
      </c>
      <c r="C214" s="226">
        <v>39013562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オラオラァ！！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14" s="226">
        <v>39013562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523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14" s="48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14" s="48" t="str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4" s="48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4" s="48" t="str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thickBot="1" x14ac:dyDescent="0.2">
      <c r="A215" s="39" t="str">
        <f t="shared" si="23"/>
        <v>39013010_39013563</v>
      </c>
      <c r="B215" s="188">
        <v>39013010</v>
      </c>
      <c r="C215" s="226">
        <v>39013563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オラオラァ！！！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単体攻撃+_x000D_2ターンユニット1体にウィルス</v>
      </c>
      <c r="F215" s="246">
        <v>39013563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524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 t="str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5" s="48" t="str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23"/>
        <v>39013010_39013444</v>
      </c>
      <c r="B216" s="188">
        <v>39013010</v>
      </c>
      <c r="C216" s="114">
        <v>39013444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そのツラ忘れねぇぞぉおっ…！！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6" s="114">
        <v>39013444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6" s="4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ref="A217" si="24">B217&amp;"_"&amp;C217</f>
        <v>39013010_39013700</v>
      </c>
      <c r="B217" s="188">
        <v>39013010</v>
      </c>
      <c r="C217" s="164">
        <v>39013700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7" s="164">
        <v>39013801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7" s="48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ref="A218:A233" si="25">B218&amp;"_"&amp;C218</f>
        <v>39013010_39013700</v>
      </c>
      <c r="B218" s="188">
        <v>39013010</v>
      </c>
      <c r="C218" s="164">
        <v>39013700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8" s="164">
        <v>39013802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8" s="48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25"/>
        <v>39013010_39013700</v>
      </c>
      <c r="B219" s="188">
        <v>39013010</v>
      </c>
      <c r="C219" s="164">
        <v>39013700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9" s="164">
        <v>39013803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9" s="48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25"/>
        <v>39013010_39013700</v>
      </c>
      <c r="B220" s="188">
        <v>39013010</v>
      </c>
      <c r="C220" s="164">
        <v>39013700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0" s="164">
        <v>39013804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0" s="48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25"/>
        <v>39013010_39013700</v>
      </c>
      <c r="B221" s="188">
        <v>39013010</v>
      </c>
      <c r="C221" s="164">
        <v>39013700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1" s="164">
        <v>39013805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1" s="48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25"/>
        <v>39013010_39013700</v>
      </c>
      <c r="B222" s="188">
        <v>39013010</v>
      </c>
      <c r="C222" s="164">
        <v>39013700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2" s="164">
        <v>39013806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2" s="48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2" s="48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25"/>
        <v>39013010_39013700</v>
      </c>
      <c r="B223" s="188">
        <v>39013010</v>
      </c>
      <c r="C223" s="164">
        <v>39013700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3" s="164">
        <v>39013807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3" s="48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25"/>
        <v>39013010_39013700</v>
      </c>
      <c r="B224" s="188">
        <v>39013010</v>
      </c>
      <c r="C224" s="164">
        <v>39013700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4" s="164">
        <v>39013808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4" s="48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25"/>
        <v>39013010_39013700</v>
      </c>
      <c r="B225" s="188">
        <v>39013010</v>
      </c>
      <c r="C225" s="164">
        <v>39013700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5" s="164">
        <v>39013809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5" s="48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25"/>
        <v>39013010_39013700</v>
      </c>
      <c r="B226" s="188">
        <v>39013010</v>
      </c>
      <c r="C226" s="164">
        <v>39013700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6" s="164">
        <v>39013810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6" s="48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25"/>
        <v>39013010_39013700</v>
      </c>
      <c r="B227" s="188">
        <v>39013010</v>
      </c>
      <c r="C227" s="164">
        <v>39013700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7" s="164">
        <v>39013811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7" s="48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25"/>
        <v>39013010_39013700</v>
      </c>
      <c r="B228" s="188">
        <v>39013010</v>
      </c>
      <c r="C228" s="164">
        <v>39013700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8" s="164">
        <v>39013812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8" s="48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21" customHeight="1" x14ac:dyDescent="0.15">
      <c r="A229" s="39" t="str">
        <f t="shared" si="25"/>
        <v>39013010_39013700</v>
      </c>
      <c r="B229" s="188">
        <v>39013010</v>
      </c>
      <c r="C229" s="164">
        <v>39013700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9" s="164">
        <v>39013813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9" s="48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9" s="48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21" customHeight="1" x14ac:dyDescent="0.15">
      <c r="A230" s="39" t="str">
        <f t="shared" si="25"/>
        <v>39013010_39013700</v>
      </c>
      <c r="B230" s="188">
        <v>39013010</v>
      </c>
      <c r="C230" s="164">
        <v>39013700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0" s="164">
        <v>39013814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0" s="48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0" s="48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21" customHeight="1" x14ac:dyDescent="0.15">
      <c r="A231" s="39" t="str">
        <f t="shared" si="25"/>
        <v>39013010_39013700</v>
      </c>
      <c r="B231" s="188">
        <v>39013010</v>
      </c>
      <c r="C231" s="164">
        <v>39013700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1" s="164">
        <v>39013815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25"/>
        <v>39013010_39013700</v>
      </c>
      <c r="B232" s="188">
        <v>39013010</v>
      </c>
      <c r="C232" s="164">
        <v>39013700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2" s="164">
        <v>39013816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2" s="48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25"/>
        <v>39013010_39013700</v>
      </c>
      <c r="B233" s="188">
        <v>39013010</v>
      </c>
      <c r="C233" s="164">
        <v>39013700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3" s="164">
        <v>39013817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3" s="48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ref="A234:A254" si="26">B234&amp;"_"&amp;C234</f>
        <v>39013010_39013700</v>
      </c>
      <c r="B234" s="188">
        <v>39013010</v>
      </c>
      <c r="C234" s="164">
        <v>39013700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4" s="164">
        <v>39013818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4" s="48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26"/>
        <v>39013010_39013700</v>
      </c>
      <c r="B235" s="188">
        <v>39013010</v>
      </c>
      <c r="C235" s="164">
        <v>39013700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5" s="164">
        <v>39013819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5" s="48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26"/>
        <v>39013010_39013700</v>
      </c>
      <c r="B236" s="188">
        <v>39013010</v>
      </c>
      <c r="C236" s="164">
        <v>39013700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6" s="164">
        <v>39013820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6" s="48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26"/>
        <v>39013010_39013700</v>
      </c>
      <c r="B237" s="188">
        <v>39013010</v>
      </c>
      <c r="C237" s="164">
        <v>39013700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7" s="164">
        <v>39013821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7" s="48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26"/>
        <v>39013010_39013700</v>
      </c>
      <c r="B238" s="188">
        <v>39013010</v>
      </c>
      <c r="C238" s="164">
        <v>39013700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8" s="164">
        <v>39013822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8" s="48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26"/>
        <v>39013010_39013700</v>
      </c>
      <c r="B239" s="188">
        <v>39013010</v>
      </c>
      <c r="C239" s="164">
        <v>39013700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9" s="164">
        <v>39013823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9" s="48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26"/>
        <v>39013010_39013700</v>
      </c>
      <c r="B240" s="188">
        <v>39013010</v>
      </c>
      <c r="C240" s="164">
        <v>39013700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0" s="164">
        <v>39013824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0" s="48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26"/>
        <v>39013010_39013700</v>
      </c>
      <c r="B241" s="188">
        <v>39013010</v>
      </c>
      <c r="C241" s="164">
        <v>39013700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1" s="164">
        <v>39013825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1" s="48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si="26"/>
        <v>39013010_39013700</v>
      </c>
      <c r="B242" s="188">
        <v>39013010</v>
      </c>
      <c r="C242" s="164">
        <v>39013700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2" s="164">
        <v>39013826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2" s="48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2" s="48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21" customHeight="1" x14ac:dyDescent="0.15">
      <c r="A243" s="39" t="str">
        <f t="shared" si="26"/>
        <v>39013010_39013700</v>
      </c>
      <c r="B243" s="188">
        <v>39013010</v>
      </c>
      <c r="C243" s="164">
        <v>39013700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3" s="164">
        <v>39013827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3" s="48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3" s="48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21" customHeight="1" x14ac:dyDescent="0.15">
      <c r="A244" s="39" t="str">
        <f t="shared" si="26"/>
        <v>39013010_39013700</v>
      </c>
      <c r="B244" s="188">
        <v>39013010</v>
      </c>
      <c r="C244" s="164">
        <v>39013700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4" s="164">
        <v>39013828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4" s="48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21" customHeight="1" x14ac:dyDescent="0.15">
      <c r="A245" s="39" t="str">
        <f t="shared" si="26"/>
        <v>39013010_39013700</v>
      </c>
      <c r="B245" s="188">
        <v>39013010</v>
      </c>
      <c r="C245" s="164">
        <v>39013700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5" s="164">
        <v>39013829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5" s="48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21" customHeight="1" x14ac:dyDescent="0.15">
      <c r="A246" s="39" t="str">
        <f t="shared" si="26"/>
        <v>39013010_39013700</v>
      </c>
      <c r="B246" s="188">
        <v>39013010</v>
      </c>
      <c r="C246" s="164">
        <v>39013700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6" s="164">
        <v>39013830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6" s="48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6" s="48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21" customHeight="1" x14ac:dyDescent="0.15">
      <c r="A247" s="39" t="str">
        <f t="shared" si="26"/>
        <v>39013010_39013700</v>
      </c>
      <c r="B247" s="188">
        <v>39013010</v>
      </c>
      <c r="C247" s="164">
        <v>39013700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7" s="164">
        <v>39013831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7" s="48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7" s="48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21" customHeight="1" x14ac:dyDescent="0.15">
      <c r="A248" s="39" t="str">
        <f t="shared" si="26"/>
        <v>39013010_39013700</v>
      </c>
      <c r="B248" s="188">
        <v>39013010</v>
      </c>
      <c r="C248" s="164">
        <v>39013700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8" s="164">
        <v>39013832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8" s="48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8" s="48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x14ac:dyDescent="0.15">
      <c r="A249" s="39" t="str">
        <f t="shared" si="26"/>
        <v>39013010_39013700</v>
      </c>
      <c r="B249" s="188">
        <v>39013010</v>
      </c>
      <c r="C249" s="164">
        <v>39013700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49" s="164">
        <v>39013833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9" s="48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9" s="48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21" customHeight="1" x14ac:dyDescent="0.15">
      <c r="A250" s="39" t="str">
        <f t="shared" si="26"/>
        <v>39013010_39013700</v>
      </c>
      <c r="B250" s="188">
        <v>39013010</v>
      </c>
      <c r="C250" s="164">
        <v>39013700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0" s="164">
        <v>39013834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0" s="48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0" s="48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21" customHeight="1" x14ac:dyDescent="0.15">
      <c r="A251" s="39" t="str">
        <f t="shared" si="26"/>
        <v>39013010_39013700</v>
      </c>
      <c r="B251" s="188">
        <v>39013010</v>
      </c>
      <c r="C251" s="164">
        <v>39013700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1" s="164">
        <v>39013835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1" s="48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1" s="48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21" customHeight="1" x14ac:dyDescent="0.15">
      <c r="A252" s="39" t="str">
        <f t="shared" si="26"/>
        <v>39013010_39013700</v>
      </c>
      <c r="B252" s="188">
        <v>39013010</v>
      </c>
      <c r="C252" s="164">
        <v>39013700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2" s="164">
        <v>39013836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2" s="48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2" s="48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21" customHeight="1" x14ac:dyDescent="0.15">
      <c r="A253" s="39" t="str">
        <f t="shared" si="26"/>
        <v>39013010_39013700</v>
      </c>
      <c r="B253" s="188">
        <v>39013010</v>
      </c>
      <c r="C253" s="164">
        <v>39013700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3" s="164">
        <v>39013837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3" s="48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3" s="48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thickBot="1" x14ac:dyDescent="0.2">
      <c r="A254" s="39" t="str">
        <f t="shared" si="26"/>
        <v>39013010_39013700</v>
      </c>
      <c r="B254" s="153">
        <v>39013010</v>
      </c>
      <c r="C254" s="179">
        <v>39013700</v>
      </c>
      <c r="D254" s="193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覚えてやがれぇええっ…！！</v>
      </c>
      <c r="E254" s="193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54" s="164">
        <v>39013838</v>
      </c>
      <c r="G254" s="184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4" s="184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254" s="184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184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184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184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4" s="184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4" s="184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254" s="184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153"/>
      <c r="Q254" s="153"/>
      <c r="R254" s="153"/>
    </row>
    <row r="255" spans="1:18" ht="21" customHeight="1" x14ac:dyDescent="0.15">
      <c r="O255" s="45"/>
    </row>
    <row r="256" spans="1:18" ht="21" customHeight="1" x14ac:dyDescent="0.15">
      <c r="O256" s="45"/>
    </row>
    <row r="257" spans="15:15" ht="21" customHeight="1" x14ac:dyDescent="0.15">
      <c r="O257" s="45"/>
    </row>
    <row r="258" spans="15:15" ht="21" customHeight="1" x14ac:dyDescent="0.15">
      <c r="O258" s="45"/>
    </row>
    <row r="259" spans="15:15" ht="21" customHeight="1" x14ac:dyDescent="0.15">
      <c r="O259" s="45"/>
    </row>
    <row r="260" spans="15:15" ht="21" customHeight="1" x14ac:dyDescent="0.15">
      <c r="O260" s="45"/>
    </row>
    <row r="261" spans="15:15" ht="21" customHeight="1" x14ac:dyDescent="0.15">
      <c r="O261" s="45"/>
    </row>
    <row r="262" spans="15:15" ht="21" customHeight="1" x14ac:dyDescent="0.15">
      <c r="O262" s="45"/>
    </row>
    <row r="263" spans="15:15" ht="21" customHeight="1" x14ac:dyDescent="0.15">
      <c r="O263" s="45"/>
    </row>
    <row r="264" spans="15:15" ht="21" customHeight="1" x14ac:dyDescent="0.15">
      <c r="O264" s="45"/>
    </row>
    <row r="265" spans="15:15" ht="21" customHeight="1" x14ac:dyDescent="0.15">
      <c r="O265" s="45"/>
    </row>
    <row r="266" spans="15:15" ht="21" customHeight="1" x14ac:dyDescent="0.15">
      <c r="O266" s="45"/>
    </row>
    <row r="267" spans="15:15" ht="21" customHeight="1" x14ac:dyDescent="0.15">
      <c r="O267" s="45"/>
    </row>
    <row r="268" spans="15:15" ht="21" customHeight="1" x14ac:dyDescent="0.15">
      <c r="O268" s="45"/>
    </row>
    <row r="269" spans="15:15" ht="21" customHeight="1" x14ac:dyDescent="0.15">
      <c r="O269" s="45"/>
    </row>
    <row r="270" spans="15:15" ht="21" customHeight="1" x14ac:dyDescent="0.15">
      <c r="O270" s="45"/>
    </row>
    <row r="271" spans="15:15" ht="21" customHeight="1" x14ac:dyDescent="0.15">
      <c r="O271" s="45"/>
    </row>
    <row r="272" spans="15:15" ht="21" customHeight="1" x14ac:dyDescent="0.15">
      <c r="O272" s="45"/>
    </row>
    <row r="273" spans="15:15" ht="21" customHeight="1" x14ac:dyDescent="0.15">
      <c r="O273" s="45"/>
    </row>
    <row r="274" spans="15:15" ht="21" customHeight="1" x14ac:dyDescent="0.15">
      <c r="O274" s="45"/>
    </row>
    <row r="275" spans="15:15" ht="21" customHeight="1" x14ac:dyDescent="0.15">
      <c r="O275" s="45"/>
    </row>
    <row r="276" spans="15:15" ht="21" customHeight="1" x14ac:dyDescent="0.15">
      <c r="O276" s="45"/>
    </row>
    <row r="277" spans="15:15" ht="21" customHeight="1" x14ac:dyDescent="0.15">
      <c r="O277" s="45"/>
    </row>
    <row r="278" spans="15:15" ht="21" customHeight="1" x14ac:dyDescent="0.15">
      <c r="O278" s="45"/>
    </row>
    <row r="279" spans="15:15" ht="21" customHeight="1" x14ac:dyDescent="0.15">
      <c r="O279" s="45"/>
    </row>
    <row r="280" spans="15:15" ht="21" customHeight="1" x14ac:dyDescent="0.15">
      <c r="O280" s="45"/>
    </row>
    <row r="281" spans="15:15" ht="21" customHeight="1" x14ac:dyDescent="0.15">
      <c r="O281" s="45"/>
    </row>
    <row r="282" spans="15:15" ht="21" customHeight="1" x14ac:dyDescent="0.15">
      <c r="O282" s="45"/>
    </row>
    <row r="283" spans="15:15" ht="21" customHeight="1" x14ac:dyDescent="0.15">
      <c r="O283" s="45"/>
    </row>
    <row r="284" spans="15:15" ht="21" customHeight="1" x14ac:dyDescent="0.15">
      <c r="O284" s="45"/>
    </row>
    <row r="285" spans="15:15" ht="21" customHeight="1" x14ac:dyDescent="0.15">
      <c r="O285" s="45"/>
    </row>
    <row r="286" spans="15:15" ht="21" customHeight="1" x14ac:dyDescent="0.15">
      <c r="O286" s="45"/>
    </row>
    <row r="287" spans="15:15" ht="21" customHeight="1" x14ac:dyDescent="0.15">
      <c r="O287" s="45"/>
    </row>
    <row r="288" spans="15:15" ht="21" customHeight="1" x14ac:dyDescent="0.15">
      <c r="O288" s="45"/>
    </row>
    <row r="289" spans="15:15" ht="21" customHeight="1" x14ac:dyDescent="0.15">
      <c r="O289" s="45"/>
    </row>
    <row r="290" spans="15:15" ht="21" customHeight="1" x14ac:dyDescent="0.15">
      <c r="O290" s="45"/>
    </row>
    <row r="291" spans="15:15" ht="21" customHeight="1" x14ac:dyDescent="0.15">
      <c r="O291" s="45"/>
    </row>
    <row r="292" spans="15:15" ht="21" customHeight="1" x14ac:dyDescent="0.15">
      <c r="O292" s="45"/>
    </row>
    <row r="293" spans="15:15" ht="21" customHeight="1" x14ac:dyDescent="0.15">
      <c r="O293" s="45"/>
    </row>
    <row r="294" spans="15:15" ht="21" customHeight="1" x14ac:dyDescent="0.15">
      <c r="O294" s="45"/>
    </row>
    <row r="295" spans="15:15" ht="21" customHeight="1" x14ac:dyDescent="0.15">
      <c r="O295" s="45"/>
    </row>
    <row r="296" spans="15:15" ht="21" customHeight="1" x14ac:dyDescent="0.15">
      <c r="O296" s="45"/>
    </row>
    <row r="297" spans="15:15" ht="21" customHeight="1" x14ac:dyDescent="0.15">
      <c r="O297" s="45"/>
    </row>
    <row r="298" spans="15:15" ht="21" customHeight="1" x14ac:dyDescent="0.15">
      <c r="O298" s="45"/>
    </row>
    <row r="299" spans="15:15" ht="21" customHeight="1" x14ac:dyDescent="0.15">
      <c r="O299" s="45"/>
    </row>
    <row r="300" spans="15:15" ht="21" customHeight="1" x14ac:dyDescent="0.15">
      <c r="O300" s="45"/>
    </row>
    <row r="301" spans="15:15" ht="21" customHeight="1" x14ac:dyDescent="0.15">
      <c r="O301" s="45"/>
    </row>
    <row r="302" spans="15:15" ht="21" customHeight="1" x14ac:dyDescent="0.15">
      <c r="O302" s="45"/>
    </row>
    <row r="303" spans="15:15" ht="21" customHeight="1" x14ac:dyDescent="0.15">
      <c r="O303" s="45"/>
    </row>
    <row r="304" spans="15:15" ht="21" customHeight="1" x14ac:dyDescent="0.15">
      <c r="O304" s="45"/>
    </row>
    <row r="305" spans="15:15" ht="21" customHeight="1" x14ac:dyDescent="0.15">
      <c r="O305" s="45"/>
    </row>
    <row r="306" spans="15:15" ht="21" customHeight="1" x14ac:dyDescent="0.15">
      <c r="O306" s="45"/>
    </row>
    <row r="307" spans="15:15" ht="21" customHeight="1" x14ac:dyDescent="0.15">
      <c r="O307" s="45"/>
    </row>
    <row r="308" spans="15:15" ht="21" customHeight="1" x14ac:dyDescent="0.15">
      <c r="O308" s="45"/>
    </row>
    <row r="309" spans="15:15" ht="21" customHeight="1" x14ac:dyDescent="0.15">
      <c r="O309" s="45"/>
    </row>
    <row r="310" spans="15:15" ht="21" customHeight="1" x14ac:dyDescent="0.15">
      <c r="O310" s="45"/>
    </row>
    <row r="311" spans="15:15" ht="21" customHeight="1" x14ac:dyDescent="0.15">
      <c r="O311" s="45"/>
    </row>
    <row r="312" spans="15:15" ht="21" customHeight="1" x14ac:dyDescent="0.15">
      <c r="O312" s="45"/>
    </row>
    <row r="313" spans="15:15" ht="21" customHeight="1" x14ac:dyDescent="0.15">
      <c r="O313" s="45"/>
    </row>
    <row r="314" spans="15:15" ht="21" customHeight="1" x14ac:dyDescent="0.15">
      <c r="O314" s="45"/>
    </row>
    <row r="315" spans="15:15" ht="21" customHeight="1" x14ac:dyDescent="0.15">
      <c r="O315" s="45"/>
    </row>
    <row r="316" spans="15:15" ht="21" customHeight="1" x14ac:dyDescent="0.15">
      <c r="O316" s="45"/>
    </row>
    <row r="317" spans="15:15" ht="21" customHeight="1" x14ac:dyDescent="0.15">
      <c r="O317" s="45"/>
    </row>
    <row r="318" spans="15:15" ht="21" customHeight="1" x14ac:dyDescent="0.15">
      <c r="O318" s="45"/>
    </row>
    <row r="319" spans="15:15" ht="21" customHeight="1" x14ac:dyDescent="0.15">
      <c r="O319" s="45"/>
    </row>
    <row r="320" spans="15:15" ht="21" customHeight="1" x14ac:dyDescent="0.15">
      <c r="O320" s="45"/>
    </row>
    <row r="321" spans="15:15" ht="21" customHeight="1" x14ac:dyDescent="0.15">
      <c r="O321" s="45"/>
    </row>
    <row r="322" spans="15:15" ht="21" customHeight="1" x14ac:dyDescent="0.15">
      <c r="O322" s="45"/>
    </row>
    <row r="323" spans="15:15" ht="21" customHeight="1" x14ac:dyDescent="0.15">
      <c r="O323" s="45"/>
    </row>
    <row r="324" spans="15:15" ht="21" customHeight="1" x14ac:dyDescent="0.15">
      <c r="O324" s="45"/>
    </row>
    <row r="325" spans="15:15" ht="21" customHeight="1" x14ac:dyDescent="0.15">
      <c r="O325" s="45"/>
    </row>
    <row r="326" spans="15:15" ht="21" customHeight="1" x14ac:dyDescent="0.15">
      <c r="O326" s="45"/>
    </row>
    <row r="327" spans="15:15" ht="21" customHeight="1" x14ac:dyDescent="0.15">
      <c r="O327" s="45"/>
    </row>
    <row r="328" spans="15:15" ht="21" customHeight="1" x14ac:dyDescent="0.15">
      <c r="O328" s="45"/>
    </row>
    <row r="329" spans="15:15" ht="21" customHeight="1" x14ac:dyDescent="0.15">
      <c r="O329" s="45"/>
    </row>
    <row r="330" spans="15:15" ht="21" customHeight="1" x14ac:dyDescent="0.15">
      <c r="O330" s="45"/>
    </row>
    <row r="331" spans="15:15" ht="21" customHeight="1" x14ac:dyDescent="0.15">
      <c r="O331" s="45"/>
    </row>
    <row r="332" spans="15:15" ht="21" customHeight="1" x14ac:dyDescent="0.15">
      <c r="O332" s="45"/>
    </row>
    <row r="333" spans="15:15" ht="21" customHeight="1" x14ac:dyDescent="0.15">
      <c r="O333" s="45"/>
    </row>
    <row r="334" spans="15:15" ht="21" customHeight="1" x14ac:dyDescent="0.15">
      <c r="O334" s="45"/>
    </row>
    <row r="335" spans="15:15" ht="21" customHeight="1" x14ac:dyDescent="0.15">
      <c r="O335" s="45"/>
    </row>
    <row r="336" spans="15:15" ht="21" customHeight="1" x14ac:dyDescent="0.15">
      <c r="O336" s="45"/>
    </row>
    <row r="337" spans="15:15" ht="21" customHeight="1" x14ac:dyDescent="0.15">
      <c r="O337" s="45"/>
    </row>
    <row r="338" spans="15:15" ht="21" customHeight="1" x14ac:dyDescent="0.15">
      <c r="O338" s="45"/>
    </row>
    <row r="339" spans="15:15" ht="21" customHeight="1" x14ac:dyDescent="0.15">
      <c r="O339" s="45"/>
    </row>
    <row r="340" spans="15:15" ht="21" customHeight="1" x14ac:dyDescent="0.15">
      <c r="O340" s="45"/>
    </row>
    <row r="341" spans="15:15" ht="21" customHeight="1" x14ac:dyDescent="0.15">
      <c r="O341" s="45"/>
    </row>
    <row r="342" spans="15:15" ht="21" customHeight="1" x14ac:dyDescent="0.15">
      <c r="O342" s="45"/>
    </row>
    <row r="343" spans="15:15" ht="21" customHeight="1" x14ac:dyDescent="0.15">
      <c r="O343" s="45"/>
    </row>
    <row r="344" spans="15:15" ht="21" customHeight="1" x14ac:dyDescent="0.15">
      <c r="O344" s="45"/>
    </row>
    <row r="345" spans="15:15" ht="21" customHeight="1" x14ac:dyDescent="0.15">
      <c r="O345" s="45"/>
    </row>
    <row r="346" spans="15:15" ht="21" customHeight="1" x14ac:dyDescent="0.15">
      <c r="O346" s="45"/>
    </row>
    <row r="347" spans="15:15" ht="21" customHeight="1" x14ac:dyDescent="0.15">
      <c r="O347" s="45"/>
    </row>
    <row r="348" spans="15:15" ht="21" customHeight="1" x14ac:dyDescent="0.15">
      <c r="O348" s="45"/>
    </row>
    <row r="349" spans="15:15" ht="21" customHeight="1" x14ac:dyDescent="0.15">
      <c r="O349" s="45"/>
    </row>
    <row r="350" spans="15:15" ht="21" customHeight="1" x14ac:dyDescent="0.15">
      <c r="O350" s="45"/>
    </row>
    <row r="351" spans="15:15" ht="21" customHeight="1" x14ac:dyDescent="0.15">
      <c r="O351" s="45"/>
    </row>
    <row r="352" spans="15:15" ht="21" customHeight="1" x14ac:dyDescent="0.15">
      <c r="O352" s="45"/>
    </row>
    <row r="353" spans="15:15" ht="21" customHeight="1" x14ac:dyDescent="0.15">
      <c r="O353" s="45"/>
    </row>
    <row r="354" spans="15:15" ht="21" customHeight="1" x14ac:dyDescent="0.15">
      <c r="O354" s="45"/>
    </row>
    <row r="355" spans="15:15" ht="21" customHeight="1" x14ac:dyDescent="0.15">
      <c r="O355" s="45"/>
    </row>
    <row r="356" spans="15:15" ht="21" customHeight="1" x14ac:dyDescent="0.15">
      <c r="O356" s="45"/>
    </row>
    <row r="357" spans="15:15" ht="21" customHeight="1" x14ac:dyDescent="0.15">
      <c r="O357" s="45"/>
    </row>
    <row r="358" spans="15:15" ht="21" customHeight="1" x14ac:dyDescent="0.15">
      <c r="O358" s="45"/>
    </row>
    <row r="359" spans="15:15" ht="21" customHeight="1" x14ac:dyDescent="0.15">
      <c r="O359" s="45"/>
    </row>
    <row r="360" spans="15:15" ht="21" customHeight="1" x14ac:dyDescent="0.15">
      <c r="O360" s="45"/>
    </row>
    <row r="361" spans="15:15" ht="21" customHeight="1" x14ac:dyDescent="0.15">
      <c r="O361" s="45"/>
    </row>
    <row r="362" spans="15:15" ht="21" customHeight="1" x14ac:dyDescent="0.15">
      <c r="O362" s="45"/>
    </row>
    <row r="363" spans="15:15" ht="21" customHeight="1" x14ac:dyDescent="0.15">
      <c r="O363" s="45"/>
    </row>
    <row r="364" spans="15:15" ht="21" customHeight="1" x14ac:dyDescent="0.15">
      <c r="O364" s="45"/>
    </row>
    <row r="365" spans="15:15" ht="21" customHeight="1" x14ac:dyDescent="0.15">
      <c r="O365" s="45"/>
    </row>
    <row r="366" spans="15:15" ht="21" customHeight="1" x14ac:dyDescent="0.15">
      <c r="O366" s="45"/>
    </row>
    <row r="367" spans="15:15" ht="21" customHeight="1" x14ac:dyDescent="0.15">
      <c r="O367" s="45"/>
    </row>
    <row r="368" spans="15:15" ht="21" customHeight="1" x14ac:dyDescent="0.15">
      <c r="O368" s="45"/>
    </row>
    <row r="369" spans="15:15" ht="21" customHeight="1" x14ac:dyDescent="0.15">
      <c r="O369" s="45"/>
    </row>
    <row r="370" spans="15:15" ht="21" customHeight="1" x14ac:dyDescent="0.15">
      <c r="O370" s="45"/>
    </row>
    <row r="371" spans="15:15" ht="21" customHeight="1" x14ac:dyDescent="0.15">
      <c r="O371" s="45"/>
    </row>
    <row r="372" spans="15:15" ht="21" customHeight="1" x14ac:dyDescent="0.15">
      <c r="O372" s="45"/>
    </row>
    <row r="373" spans="15:15" ht="21" customHeight="1" x14ac:dyDescent="0.15">
      <c r="O373" s="45"/>
    </row>
    <row r="374" spans="15:15" ht="21" customHeight="1" x14ac:dyDescent="0.15">
      <c r="O374" s="45"/>
    </row>
    <row r="375" spans="15:15" ht="21" customHeight="1" x14ac:dyDescent="0.15">
      <c r="O375" s="45"/>
    </row>
    <row r="376" spans="15:15" ht="21" customHeight="1" x14ac:dyDescent="0.15">
      <c r="O376" s="45"/>
    </row>
    <row r="377" spans="15:15" ht="21" customHeight="1" x14ac:dyDescent="0.15">
      <c r="O377" s="45"/>
    </row>
    <row r="378" spans="15:15" ht="21" customHeight="1" x14ac:dyDescent="0.15">
      <c r="O378" s="45"/>
    </row>
    <row r="379" spans="15:15" ht="21" customHeight="1" x14ac:dyDescent="0.15">
      <c r="O379" s="45"/>
    </row>
    <row r="380" spans="15:15" ht="21" customHeight="1" x14ac:dyDescent="0.15">
      <c r="O380" s="45"/>
    </row>
    <row r="381" spans="15:15" ht="21" customHeight="1" x14ac:dyDescent="0.15">
      <c r="O381" s="45"/>
    </row>
    <row r="382" spans="15:15" ht="21" customHeight="1" x14ac:dyDescent="0.15">
      <c r="O382" s="45"/>
    </row>
    <row r="383" spans="15:15" ht="21" customHeight="1" x14ac:dyDescent="0.15">
      <c r="O383" s="45"/>
    </row>
    <row r="384" spans="15:15" ht="21" customHeight="1" x14ac:dyDescent="0.15">
      <c r="O384" s="45"/>
    </row>
    <row r="385" spans="15:15" ht="21" customHeight="1" x14ac:dyDescent="0.15">
      <c r="O385" s="45"/>
    </row>
    <row r="386" spans="15:15" ht="21" customHeight="1" x14ac:dyDescent="0.15">
      <c r="O386" s="45"/>
    </row>
    <row r="387" spans="15:15" ht="21" customHeight="1" x14ac:dyDescent="0.15">
      <c r="O387" s="45"/>
    </row>
    <row r="388" spans="15:15" ht="21" customHeight="1" x14ac:dyDescent="0.15">
      <c r="O388" s="45"/>
    </row>
    <row r="389" spans="15:15" ht="21" customHeight="1" x14ac:dyDescent="0.15">
      <c r="O389" s="45"/>
    </row>
    <row r="390" spans="15:15" ht="21" customHeight="1" x14ac:dyDescent="0.15">
      <c r="O390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G100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0.33203125" style="49" customWidth="1"/>
    <col min="3" max="3" width="5.6640625" style="49" customWidth="1"/>
    <col min="4" max="4" width="5.33203125" style="49" customWidth="1"/>
    <col min="5" max="5" width="30.6640625" style="49" customWidth="1"/>
    <col min="6" max="6" width="31.16406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5.5" style="49" customWidth="1" collapsed="1"/>
    <col min="13" max="18" width="23.6640625" style="49" hidden="1" customWidth="1" outlineLevel="1"/>
    <col min="19" max="19" width="11.1640625" style="49" customWidth="1" collapsed="1"/>
    <col min="20" max="24" width="23.6640625" style="49" hidden="1" customWidth="1" outlineLevel="1"/>
    <col min="25" max="25" width="10" style="49" customWidth="1" collapsed="1"/>
    <col min="26" max="26" width="5.6640625" style="49" customWidth="1"/>
    <col min="27" max="27" width="5.33203125" style="49" customWidth="1"/>
    <col min="28" max="28" width="5.5" style="49" customWidth="1"/>
    <col min="29" max="29" width="81.5" style="49" customWidth="1"/>
    <col min="30" max="30" width="15.5" style="49" customWidth="1"/>
    <col min="31" max="31" width="27.83203125" style="49" customWidth="1"/>
    <col min="32" max="16384" width="12.83203125" style="49"/>
  </cols>
  <sheetData>
    <row r="1" spans="1:33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  <c r="AC1" s="117" t="s">
        <v>269</v>
      </c>
    </row>
    <row r="2" spans="1:33" ht="37" customHeight="1" x14ac:dyDescent="0.15">
      <c r="A2" s="102">
        <v>39013110</v>
      </c>
      <c r="B2" s="123" t="str">
        <f>"[effect:enemy_message, val1:"&amp;TEXT(IF(TEXT(E2,0)="[表示しない]", "0", IF(LEN(SUBSTITUTE(E2,CHAR(13),""))*0.1&lt;1.2, 1.2, LEN(SUBSTITUTE(E2,CHAR(13),""))*0.1)), "0.0")&amp;", val2:"&amp;TEXT(IF(TEXT(F2,0)="[表示しない]", "0", IF(LEN(SUBSTITUTE(F2,CHAR(13),""))*0.1&lt;1.2, 1.2, LEN(SUBSTITUTE(F2,CHAR(13),""))*0.1)),"0.0")&amp;"]"&amp;IF(LEN(AC2)&gt;0, ","&amp;SUBSTITUTE(AC2,CHAR(13),""),SUBSTITUTE(AC2,CHAR(13),""))</f>
        <v>[effect:enemy_message, val1:1.2, val2:0.0]</v>
      </c>
      <c r="C2" s="104">
        <v>1</v>
      </c>
      <c r="D2" s="104" t="s">
        <v>127</v>
      </c>
      <c r="E2" s="103" t="s">
        <v>311</v>
      </c>
      <c r="F2" s="103" t="s">
        <v>309</v>
      </c>
      <c r="G2" s="62" t="str">
        <f>IFERROR(LEFT(B2,FIND("],",B2)),B2)</f>
        <v>[effect:enemy_message, val1:1.2, val2:0.0]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none</v>
      </c>
      <c r="N2" s="48" t="str">
        <f>IFERROR(LEFT(M2,FIND("],",M2)+#REF!),M2)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  <c r="AC2" s="118"/>
      <c r="AD2" s="103" t="s">
        <v>310</v>
      </c>
      <c r="AE2" s="47"/>
      <c r="AG2" s="49">
        <v>1551</v>
      </c>
    </row>
    <row r="3" spans="1:33" ht="37" customHeight="1" x14ac:dyDescent="0.15">
      <c r="A3" s="102">
        <v>39013111</v>
      </c>
      <c r="B3" s="123" t="str">
        <f>"[effect:enemy_message, val1:"&amp;TEXT(IF(TEXT(E3,0)="[表示しない]", "0", IF(LEN(SUBSTITUTE(E3,CHAR(13),""))*0.1&lt;1.2, 1.2, LEN(SUBSTITUTE(E3,CHAR(13),""))*0.1)), "0.0")&amp;", val2:"&amp;TEXT(IF(TEXT(F3,0)="[表示しない]", "0", IF(LEN(SUBSTITUTE(F3,CHAR(13),""))*0.1&lt;1.2, 1.2, LEN(SUBSTITUTE(F3,CHAR(13),""))*0.1)),"0.0")&amp;"]"&amp;IF(LEN(AC3)&gt;0, ","&amp;SUBSTITUTE(AC3,CHAR(13),""),SUBSTITUTE(AC3,CHAR(13),""))</f>
        <v>[effect:enemy_message, val1:1.2, val2:1.2],[effect:critical, val:1.5, animation:enemy_critical]</v>
      </c>
      <c r="C3" s="104">
        <v>1</v>
      </c>
      <c r="D3" s="104" t="s">
        <v>127</v>
      </c>
      <c r="E3" s="103" t="s">
        <v>313</v>
      </c>
      <c r="F3" s="103" t="s">
        <v>290</v>
      </c>
      <c r="G3" s="62" t="str">
        <f>IFERROR(LEFT(B3,FIND("],",B3)),B3)</f>
        <v>[effect:enemy_message, val1:1.2, val2:1.2]</v>
      </c>
      <c r="H3" s="62">
        <f>FIND("effect:",G3)+7</f>
        <v>9</v>
      </c>
      <c r="I3" s="62">
        <f>IFERROR(FIND(",",G3),LEN(G3))</f>
        <v>22</v>
      </c>
      <c r="J3" s="62" t="e">
        <f>FIND("target:",G3)+7</f>
        <v>#VALUE!</v>
      </c>
      <c r="K3" s="62">
        <f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>IFERROR(RIGHT(B3,LEN(B3)-FIND("],",B3)-1),"none")</f>
        <v>[effect:critical, val:1.5, animation:enemy_critical]</v>
      </c>
      <c r="N3" s="48" t="str">
        <f>IFERROR(LEFT(M3,FIND("],",M3)+#REF!),M3)</f>
        <v>[effect:critical, val:1.5, animation:enemy_critical]</v>
      </c>
      <c r="O3" s="62">
        <f>FIND("effect:",N3)+7</f>
        <v>9</v>
      </c>
      <c r="P3" s="62">
        <f>IFERROR(FIND(",",N3),LEN(N3))</f>
        <v>17</v>
      </c>
      <c r="Q3" s="62" t="e">
        <f>FIND("target:",N3)+7</f>
        <v>#VALUE!</v>
      </c>
      <c r="R3" s="62">
        <f>FIND(",",N3,P3+1)</f>
        <v>26</v>
      </c>
      <c r="S3" s="62" t="str">
        <f>IFERROR(VLOOKUP(MID(N3,Q3,R3-Q3),[6]skilldef!$C:$D,2,FALSE),"-") &amp; " / " &amp; IFERROR(VLOOKUP(MID(N3,O3,P3-O3),[6]skilldef!$A:$B,2,FALSE),"-")</f>
        <v>- / 大攻撃</v>
      </c>
      <c r="T3" s="48" t="str">
        <f>IFERROR(RIGHT(M3,LEN(M3)-FIND("],",M3)-1),"none")</f>
        <v>none</v>
      </c>
      <c r="U3" s="62" t="e">
        <f>FIND("effect:",T3)+7</f>
        <v>#VALUE!</v>
      </c>
      <c r="V3" s="62">
        <f>IFERROR(FIND(",",T3),LEN(T3))</f>
        <v>4</v>
      </c>
      <c r="W3" s="62" t="e">
        <f>FIND("target:",T3)+7</f>
        <v>#VALUE!</v>
      </c>
      <c r="X3" s="62" t="e">
        <f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  <c r="AC3" s="118" t="s">
        <v>345</v>
      </c>
      <c r="AD3" s="103" t="s">
        <v>295</v>
      </c>
      <c r="AE3" s="47"/>
      <c r="AG3" s="49">
        <v>1552</v>
      </c>
    </row>
    <row r="4" spans="1:33" ht="37" customHeight="1" x14ac:dyDescent="0.15">
      <c r="A4" s="102">
        <v>39013120</v>
      </c>
      <c r="B4" s="123" t="str">
        <f t="shared" ref="B4" si="0">"[effect:enemy_message, val1:"&amp;TEXT(IF(TEXT(E4,0)="[表示しない]", "0", IF(LEN(SUBSTITUTE(E4,CHAR(13),""))*0.1&lt;1.2, 1.2, LEN(SUBSTITUTE(E4,CHAR(13),""))*0.1)), "0.0")&amp;", val2:"&amp;TEXT(IF(TEXT(F4,0)="[表示しない]", "0", IF(LEN(SUBSTITUTE(F4,CHAR(13),""))*0.1&lt;1.2, 1.2, LEN(SUBSTITUTE(F4,CHAR(13),""))*0.1)),"0.0")&amp;"]"&amp;IF(LEN(AC4)&gt;0, ","&amp;SUBSTITUTE(AC4,CHAR(13),""),SUBSTITUTE(AC4,CHAR(13),""))</f>
        <v>[effect:enemy_message, val1:1.8, val2:0.0]</v>
      </c>
      <c r="C4" s="104">
        <v>1</v>
      </c>
      <c r="D4" s="104" t="s">
        <v>127</v>
      </c>
      <c r="E4" s="103" t="s">
        <v>330</v>
      </c>
      <c r="F4" s="103" t="s">
        <v>309</v>
      </c>
      <c r="G4" s="62" t="str">
        <f t="shared" ref="G4" si="1">IFERROR(LEFT(B4,FIND("],",B4)),B4)</f>
        <v>[effect:enemy_message, val1:1.8, val2:0.0]</v>
      </c>
      <c r="H4" s="62">
        <f t="shared" ref="H4" si="2">FIND("effect:",G4)+7</f>
        <v>9</v>
      </c>
      <c r="I4" s="62">
        <f t="shared" ref="I4" si="3">IFERROR(FIND(",",G4),LEN(G4))</f>
        <v>22</v>
      </c>
      <c r="J4" s="62" t="e">
        <f t="shared" ref="J4" si="4">FIND("target:",G4)+7</f>
        <v>#VALUE!</v>
      </c>
      <c r="K4" s="62">
        <f t="shared" ref="K4" si="5">FIND(",",G4,I4+1)</f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ref="M4" si="6">IFERROR(RIGHT(B4,LEN(B4)-FIND("],",B4)-1),"none")</f>
        <v>none</v>
      </c>
      <c r="N4" s="48" t="str">
        <f>IFERROR(LEFT(M4,FIND("],",M4)+S27),M4)</f>
        <v>none</v>
      </c>
      <c r="O4" s="62" t="e">
        <f t="shared" ref="O4" si="7">FIND("effect:",N4)+7</f>
        <v>#VALUE!</v>
      </c>
      <c r="P4" s="62">
        <f t="shared" ref="P4" si="8">IFERROR(FIND(",",N4),LEN(N4))</f>
        <v>4</v>
      </c>
      <c r="Q4" s="62" t="e">
        <f t="shared" ref="Q4" si="9">FIND("target:",N4)+7</f>
        <v>#VALUE!</v>
      </c>
      <c r="R4" s="62" t="e">
        <f t="shared" ref="R4" si="10">FIND(",",N4,P4+1)</f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8" t="str">
        <f t="shared" ref="T4" si="11">IFERROR(RIGHT(M4,LEN(M4)-FIND("],",M4)-1),"none")</f>
        <v>none</v>
      </c>
      <c r="U4" s="62" t="e">
        <f t="shared" ref="U4" si="12">FIND("effect:",T4)+7</f>
        <v>#VALUE!</v>
      </c>
      <c r="V4" s="62">
        <f t="shared" ref="V4" si="13">IFERROR(FIND(",",T4),LEN(T4))</f>
        <v>4</v>
      </c>
      <c r="W4" s="62" t="e">
        <f t="shared" ref="W4" si="14">FIND("target:",T4)+7</f>
        <v>#VALUE!</v>
      </c>
      <c r="X4" s="62" t="e">
        <f t="shared" ref="X4" si="15">FIND(",",T4,V4+1)</f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  <c r="AC4" s="118"/>
      <c r="AD4" s="103" t="s">
        <v>310</v>
      </c>
      <c r="AE4" s="47"/>
      <c r="AG4" s="49">
        <v>1553</v>
      </c>
    </row>
    <row r="5" spans="1:33" ht="37" customHeight="1" x14ac:dyDescent="0.15">
      <c r="A5" s="102">
        <v>39013121</v>
      </c>
      <c r="B5" s="123" t="str">
        <f t="shared" ref="B5:B52" si="16">"[effect:enemy_message, val1:"&amp;TEXT(IF(TEXT(E5,0)="[表示しない]", "0", IF(LEN(SUBSTITUTE(E5,CHAR(13),""))*0.1&lt;1.2, 1.2, LEN(SUBSTITUTE(E5,CHAR(13),""))*0.1)), "0.0")&amp;", val2:"&amp;TEXT(IF(TEXT(F5,0)="[表示しない]", "0", IF(LEN(SUBSTITUTE(F5,CHAR(13),""))*0.1&lt;1.2, 1.2, LEN(SUBSTITUTE(F5,CHAR(13),""))*0.1)),"0.0")&amp;"]"&amp;IF(LEN(AC5)&gt;0, ","&amp;SUBSTITUTE(AC5,CHAR(13),""),SUBSTITUTE(AC5,CHAR(13),""))</f>
        <v>[effect:enemy_message, val1:1.2, val2:2.0],[effect:damage_abnormal, target:unit_one, val:1.0, status:virus, turn:2, val_abnormal:0.2, animation:enemy_virus]</v>
      </c>
      <c r="C5" s="104">
        <v>1</v>
      </c>
      <c r="D5" s="104" t="s">
        <v>127</v>
      </c>
      <c r="E5" s="103" t="s">
        <v>329</v>
      </c>
      <c r="F5" s="103" t="s">
        <v>453</v>
      </c>
      <c r="G5" s="62" t="str">
        <f t="shared" ref="G5:G31" si="17">IFERROR(LEFT(B5,FIND("],",B5)),B5)</f>
        <v>[effect:enemy_message, val1:1.2, val2:2.0]</v>
      </c>
      <c r="H5" s="62">
        <f t="shared" ref="H5:H58" si="18">FIND("effect:",G5)+7</f>
        <v>9</v>
      </c>
      <c r="I5" s="62">
        <f t="shared" ref="I5:I31" si="19">IFERROR(FIND(",",G5),LEN(G5))</f>
        <v>22</v>
      </c>
      <c r="J5" s="62" t="e">
        <f t="shared" ref="J5:J31" si="20">FIND("target:",G5)+7</f>
        <v>#VALUE!</v>
      </c>
      <c r="K5" s="62">
        <f t="shared" ref="K5:K31" si="21">FIND(",",G5,I5+1)</f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ref="M5:M31" si="22">IFERROR(RIGHT(B5,LEN(B5)-FIND("],",B5)-1),"none")</f>
        <v>[effect:damage_abnormal, target:unit_one, val:1.0, status:virus, turn:2, val_abnormal:0.2, animation:enemy_virus]</v>
      </c>
      <c r="N5" s="48" t="str">
        <f>IFERROR(LEFT(M5,FIND("],",M5)+S28),M5)</f>
        <v>[effect:damage_abnormal, target:unit_one, val:1.0, status:virus, turn:2, val_abnormal:0.2, animation:enemy_virus]</v>
      </c>
      <c r="O5" s="62">
        <f t="shared" ref="O5:O58" si="23">FIND("effect:",N5)+7</f>
        <v>9</v>
      </c>
      <c r="P5" s="62">
        <f t="shared" ref="P5:P31" si="24">IFERROR(FIND(",",N5),LEN(N5))</f>
        <v>24</v>
      </c>
      <c r="Q5" s="62">
        <f t="shared" ref="Q5:Q31" si="25">FIND("target:",N5)+7</f>
        <v>33</v>
      </c>
      <c r="R5" s="62">
        <f t="shared" ref="R5:R31" si="26">FIND(",",N5,P5+1)</f>
        <v>41</v>
      </c>
      <c r="S5" s="62" t="str">
        <f>IFERROR(VLOOKUP(MID(N5,Q5,R5-Q5),[6]skilldef!$C:$D,2,FALSE),"-") &amp; " / " &amp; IFERROR(VLOOKUP(MID(N5,O5,P5-O5),[6]skilldef!$A:$B,2,FALSE),"-")</f>
        <v>味方単体に / -</v>
      </c>
      <c r="T5" s="48" t="str">
        <f t="shared" ref="T5:T31" si="27">IFERROR(RIGHT(M5,LEN(M5)-FIND("],",M5)-1),"none")</f>
        <v>none</v>
      </c>
      <c r="U5" s="62" t="e">
        <f t="shared" ref="U5:U58" si="28">FIND("effect:",T5)+7</f>
        <v>#VALUE!</v>
      </c>
      <c r="V5" s="62">
        <f t="shared" ref="V5:V31" si="29">IFERROR(FIND(",",T5),LEN(T5))</f>
        <v>4</v>
      </c>
      <c r="W5" s="62" t="e">
        <f t="shared" ref="W5:W31" si="30">FIND("target:",T5)+7</f>
        <v>#VALUE!</v>
      </c>
      <c r="X5" s="62" t="e">
        <f t="shared" ref="X5:X31" si="31">FIND(",",T5,V5+1)</f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  <c r="AC5" s="118" t="s">
        <v>340</v>
      </c>
      <c r="AD5" s="103" t="s">
        <v>255</v>
      </c>
      <c r="AE5" s="47"/>
      <c r="AG5" s="49">
        <v>1554</v>
      </c>
    </row>
    <row r="6" spans="1:33" ht="37" customHeight="1" x14ac:dyDescent="0.15">
      <c r="A6" s="102">
        <v>39013130</v>
      </c>
      <c r="B6" s="123" t="str">
        <f t="shared" ref="B6" si="32">"[effect:enemy_message, val1:"&amp;TEXT(IF(TEXT(E6,0)="[表示しない]", "0", IF(LEN(SUBSTITUTE(E6,CHAR(13),""))*0.1&lt;1.2, 1.2, LEN(SUBSTITUTE(E6,CHAR(13),""))*0.1)), "0.0")&amp;", val2:"&amp;TEXT(IF(TEXT(F6,0)="[表示しない]", "0", IF(LEN(SUBSTITUTE(F6,CHAR(13),""))*0.1&lt;1.2, 1.2, LEN(SUBSTITUTE(F6,CHAR(13),""))*0.1)),"0.0")&amp;"]"&amp;IF(LEN(AC6)&gt;0, ","&amp;SUBSTITUTE(AC6,CHAR(13),""),SUBSTITUTE(AC6,CHAR(13),""))</f>
        <v>[effect:enemy_message, val1:1.2, val2:0.0]</v>
      </c>
      <c r="C6" s="104">
        <v>1</v>
      </c>
      <c r="D6" s="104" t="s">
        <v>127</v>
      </c>
      <c r="E6" s="103" t="s">
        <v>326</v>
      </c>
      <c r="F6" s="103" t="s">
        <v>309</v>
      </c>
      <c r="G6" s="62" t="str">
        <f t="shared" ref="G6" si="33">IFERROR(LEFT(B6,FIND("],",B6)),B6)</f>
        <v>[effect:enemy_message, val1:1.2, val2:0.0]</v>
      </c>
      <c r="H6" s="62">
        <f t="shared" ref="H6" si="34">FIND("effect:",G6)+7</f>
        <v>9</v>
      </c>
      <c r="I6" s="62">
        <f t="shared" ref="I6" si="35">IFERROR(FIND(",",G6),LEN(G6))</f>
        <v>22</v>
      </c>
      <c r="J6" s="62" t="e">
        <f t="shared" ref="J6" si="36">FIND("target:",G6)+7</f>
        <v>#VALUE!</v>
      </c>
      <c r="K6" s="62">
        <f t="shared" ref="K6" si="37">FIND(",",G6,I6+1)</f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ref="M6" si="38">IFERROR(RIGHT(B6,LEN(B6)-FIND("],",B6)-1),"none")</f>
        <v>none</v>
      </c>
      <c r="N6" s="48" t="str">
        <f>IFERROR(LEFT(M6,FIND("],",M6)+S28),M6)</f>
        <v>none</v>
      </c>
      <c r="O6" s="62" t="e">
        <f t="shared" ref="O6" si="39">FIND("effect:",N6)+7</f>
        <v>#VALUE!</v>
      </c>
      <c r="P6" s="62">
        <f t="shared" ref="P6" si="40">IFERROR(FIND(",",N6),LEN(N6))</f>
        <v>4</v>
      </c>
      <c r="Q6" s="62" t="e">
        <f t="shared" ref="Q6" si="41">FIND("target:",N6)+7</f>
        <v>#VALUE!</v>
      </c>
      <c r="R6" s="62" t="e">
        <f t="shared" ref="R6" si="42">FIND(",",N6,P6+1)</f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8" t="str">
        <f t="shared" ref="T6" si="43">IFERROR(RIGHT(M6,LEN(M6)-FIND("],",M6)-1),"none")</f>
        <v>none</v>
      </c>
      <c r="U6" s="62" t="e">
        <f t="shared" ref="U6" si="44">FIND("effect:",T6)+7</f>
        <v>#VALUE!</v>
      </c>
      <c r="V6" s="62">
        <f t="shared" ref="V6" si="45">IFERROR(FIND(",",T6),LEN(T6))</f>
        <v>4</v>
      </c>
      <c r="W6" s="62" t="e">
        <f t="shared" ref="W6" si="46">FIND("target:",T6)+7</f>
        <v>#VALUE!</v>
      </c>
      <c r="X6" s="62" t="e">
        <f t="shared" ref="X6" si="47">FIND(",",T6,V6+1)</f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  <c r="AC6" s="118"/>
      <c r="AD6" s="103" t="s">
        <v>310</v>
      </c>
      <c r="AE6" s="47"/>
      <c r="AG6" s="49">
        <v>1555</v>
      </c>
    </row>
    <row r="7" spans="1:33" ht="37" customHeight="1" x14ac:dyDescent="0.15">
      <c r="A7" s="102">
        <v>39013131</v>
      </c>
      <c r="B7" s="123" t="str">
        <f t="shared" si="16"/>
        <v>[effect:enemy_message, val1:1.2, val2:1.9],[effect:damage_abnormal, target:unit_all, val:0.2, status:virus, turn:2, val_abnormal:0.05, animation:enemy_virus]</v>
      </c>
      <c r="C7" s="104">
        <v>1</v>
      </c>
      <c r="D7" s="104" t="s">
        <v>127</v>
      </c>
      <c r="E7" s="103" t="s">
        <v>312</v>
      </c>
      <c r="F7" s="103" t="s">
        <v>394</v>
      </c>
      <c r="G7" s="62" t="str">
        <f t="shared" si="17"/>
        <v>[effect:enemy_message, val1:1.2, val2:1.9]</v>
      </c>
      <c r="H7" s="62">
        <f t="shared" si="18"/>
        <v>9</v>
      </c>
      <c r="I7" s="62">
        <f t="shared" si="19"/>
        <v>22</v>
      </c>
      <c r="J7" s="62" t="e">
        <f t="shared" si="20"/>
        <v>#VALUE!</v>
      </c>
      <c r="K7" s="62">
        <f t="shared" si="21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22"/>
        <v>[effect:damage_abnormal, target:unit_all, val:0.2, status:virus, turn:2, val_abnormal:0.05, animation:enemy_virus]</v>
      </c>
      <c r="N7" s="48" t="str">
        <f>IFERROR(LEFT(M7,FIND("],",M7)+S29),M7)</f>
        <v>[effect:damage_abnormal, target:unit_all, val:0.2, status:virus, turn:2, val_abnormal:0.05, animation:enemy_virus]</v>
      </c>
      <c r="O7" s="62">
        <f t="shared" si="23"/>
        <v>9</v>
      </c>
      <c r="P7" s="62">
        <f t="shared" si="24"/>
        <v>24</v>
      </c>
      <c r="Q7" s="62">
        <f t="shared" si="25"/>
        <v>33</v>
      </c>
      <c r="R7" s="62">
        <f t="shared" si="26"/>
        <v>41</v>
      </c>
      <c r="S7" s="62" t="str">
        <f>IFERROR(VLOOKUP(MID(N7,Q7,R7-Q7),[6]skilldef!$C:$D,2,FALSE),"-") &amp; " / " &amp; IFERROR(VLOOKUP(MID(N7,O7,P7-O7),[6]skilldef!$A:$B,2,FALSE),"-")</f>
        <v>味方全体に / -</v>
      </c>
      <c r="T7" s="48" t="str">
        <f t="shared" si="27"/>
        <v>none</v>
      </c>
      <c r="U7" s="62" t="e">
        <f t="shared" si="28"/>
        <v>#VALUE!</v>
      </c>
      <c r="V7" s="62">
        <f t="shared" si="29"/>
        <v>4</v>
      </c>
      <c r="W7" s="62" t="e">
        <f t="shared" si="30"/>
        <v>#VALUE!</v>
      </c>
      <c r="X7" s="62" t="e">
        <f t="shared" si="31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  <c r="AC7" s="118" t="s">
        <v>335</v>
      </c>
      <c r="AD7" s="103" t="s">
        <v>256</v>
      </c>
      <c r="AE7" s="47"/>
      <c r="AG7" s="49">
        <v>1556</v>
      </c>
    </row>
    <row r="8" spans="1:33" ht="31" customHeight="1" x14ac:dyDescent="0.15">
      <c r="A8" s="102">
        <v>39013140</v>
      </c>
      <c r="B8" s="123" t="str">
        <f t="shared" ref="B8" si="48">"[effect:enemy_message, val1:"&amp;TEXT(IF(TEXT(E8,0)="[表示しない]", "0", IF(LEN(SUBSTITUTE(E8,CHAR(13),""))*0.1&lt;1.2, 1.2, LEN(SUBSTITUTE(E8,CHAR(13),""))*0.1)), "0.0")&amp;", val2:"&amp;TEXT(IF(TEXT(F8,0)="[表示しない]", "0", IF(LEN(SUBSTITUTE(F8,CHAR(13),""))*0.1&lt;1.2, 1.2, LEN(SUBSTITUTE(F8,CHAR(13),""))*0.1)),"0.0")&amp;"]"&amp;IF(LEN(AC8)&gt;0, ","&amp;SUBSTITUTE(AC8,CHAR(13),""),SUBSTITUTE(AC8,CHAR(13),""))</f>
        <v>[effect:enemy_message, val1:1.3, val2:0.0]</v>
      </c>
      <c r="C8" s="104">
        <v>1</v>
      </c>
      <c r="D8" s="104" t="s">
        <v>127</v>
      </c>
      <c r="E8" s="103" t="s">
        <v>355</v>
      </c>
      <c r="F8" s="103" t="s">
        <v>309</v>
      </c>
      <c r="G8" s="62" t="str">
        <f t="shared" ref="G8" si="49">IFERROR(LEFT(B8,FIND("],",B8)),B8)</f>
        <v>[effect:enemy_message, val1:1.3, val2:0.0]</v>
      </c>
      <c r="H8" s="62">
        <f t="shared" ref="H8" si="50">FIND("effect:",G8)+7</f>
        <v>9</v>
      </c>
      <c r="I8" s="62">
        <f t="shared" ref="I8" si="51">IFERROR(FIND(",",G8),LEN(G8))</f>
        <v>22</v>
      </c>
      <c r="J8" s="62" t="e">
        <f t="shared" ref="J8" si="52">FIND("target:",G8)+7</f>
        <v>#VALUE!</v>
      </c>
      <c r="K8" s="62">
        <f t="shared" ref="K8" si="53">FIND(",",G8,I8+1)</f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ref="M8" si="54">IFERROR(RIGHT(B8,LEN(B8)-FIND("],",B8)-1),"none")</f>
        <v>none</v>
      </c>
      <c r="N8" s="48" t="str">
        <f>IFERROR(LEFT(M8,FIND("],",M8)+S29),M8)</f>
        <v>none</v>
      </c>
      <c r="O8" s="62" t="e">
        <f t="shared" ref="O8" si="55">FIND("effect:",N8)+7</f>
        <v>#VALUE!</v>
      </c>
      <c r="P8" s="62">
        <f t="shared" ref="P8" si="56">IFERROR(FIND(",",N8),LEN(N8))</f>
        <v>4</v>
      </c>
      <c r="Q8" s="62" t="e">
        <f t="shared" ref="Q8" si="57">FIND("target:",N8)+7</f>
        <v>#VALUE!</v>
      </c>
      <c r="R8" s="62" t="e">
        <f t="shared" ref="R8" si="58">FIND(",",N8,P8+1)</f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8" t="str">
        <f t="shared" ref="T8" si="59">IFERROR(RIGHT(M8,LEN(M8)-FIND("],",M8)-1),"none")</f>
        <v>none</v>
      </c>
      <c r="U8" s="62" t="e">
        <f t="shared" ref="U8" si="60">FIND("effect:",T8)+7</f>
        <v>#VALUE!</v>
      </c>
      <c r="V8" s="62">
        <f t="shared" ref="V8" si="61">IFERROR(FIND(",",T8),LEN(T8))</f>
        <v>4</v>
      </c>
      <c r="W8" s="62" t="e">
        <f t="shared" ref="W8" si="62">FIND("target:",T8)+7</f>
        <v>#VALUE!</v>
      </c>
      <c r="X8" s="62" t="e">
        <f t="shared" ref="X8" si="63">FIND(",",T8,V8+1)</f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  <c r="AC8" s="118"/>
      <c r="AD8" s="103" t="s">
        <v>310</v>
      </c>
      <c r="AE8" s="47"/>
      <c r="AG8" s="49">
        <v>1557</v>
      </c>
    </row>
    <row r="9" spans="1:33" ht="30" customHeight="1" x14ac:dyDescent="0.15">
      <c r="A9" s="102">
        <v>39013141</v>
      </c>
      <c r="B9" s="123" t="str">
        <f t="shared" si="16"/>
        <v>[effect:enemy_message, val1:1.4, val2:2.2],[effect:damage_anti_abnormal, target:unit_all, target_effect01:virus, val1:0.5, val2:0.2]</v>
      </c>
      <c r="C9" s="104">
        <v>1</v>
      </c>
      <c r="D9" s="104" t="s">
        <v>127</v>
      </c>
      <c r="E9" s="103" t="s">
        <v>380</v>
      </c>
      <c r="F9" s="103" t="s">
        <v>391</v>
      </c>
      <c r="G9" s="62" t="str">
        <f t="shared" si="17"/>
        <v>[effect:enemy_message, val1:1.4, val2:2.2]</v>
      </c>
      <c r="H9" s="62">
        <f t="shared" si="18"/>
        <v>9</v>
      </c>
      <c r="I9" s="62">
        <f t="shared" si="19"/>
        <v>22</v>
      </c>
      <c r="J9" s="62" t="e">
        <f t="shared" si="20"/>
        <v>#VALUE!</v>
      </c>
      <c r="K9" s="62">
        <f t="shared" si="21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22"/>
        <v>[effect:damage_anti_abnormal, target:unit_all, target_effect01:virus, val1:0.5, val2:0.2]</v>
      </c>
      <c r="N9" s="48" t="str">
        <f>IFERROR(LEFT(M9,FIND("],",M9)+S30),M9)</f>
        <v>[effect:damage_anti_abnormal, target:unit_all, target_effect01:virus, val1:0.5, val2:0.2]</v>
      </c>
      <c r="O9" s="62">
        <f t="shared" si="23"/>
        <v>9</v>
      </c>
      <c r="P9" s="62">
        <f t="shared" si="24"/>
        <v>29</v>
      </c>
      <c r="Q9" s="62">
        <f t="shared" si="25"/>
        <v>38</v>
      </c>
      <c r="R9" s="62">
        <f t="shared" si="26"/>
        <v>46</v>
      </c>
      <c r="S9" s="62" t="str">
        <f>IFERROR(VLOOKUP(MID(N9,Q9,R9-Q9),[6]skilldef!$C:$D,2,FALSE),"-") &amp; " / " &amp; IFERROR(VLOOKUP(MID(N9,O9,P9-O9),[6]skilldef!$A:$B,2,FALSE),"-")</f>
        <v>味方全体に / -</v>
      </c>
      <c r="T9" s="48" t="str">
        <f t="shared" si="27"/>
        <v>none</v>
      </c>
      <c r="U9" s="62" t="e">
        <f t="shared" si="28"/>
        <v>#VALUE!</v>
      </c>
      <c r="V9" s="62">
        <f t="shared" si="29"/>
        <v>4</v>
      </c>
      <c r="W9" s="62" t="e">
        <f t="shared" si="30"/>
        <v>#VALUE!</v>
      </c>
      <c r="X9" s="62" t="e">
        <f t="shared" si="31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  <c r="AC9" s="118" t="s">
        <v>357</v>
      </c>
      <c r="AD9" s="103" t="s">
        <v>257</v>
      </c>
      <c r="AE9" s="47"/>
      <c r="AG9" s="49">
        <v>1558</v>
      </c>
    </row>
    <row r="10" spans="1:33" ht="31" customHeight="1" x14ac:dyDescent="0.15">
      <c r="A10" s="102">
        <v>39013142</v>
      </c>
      <c r="B10" s="123" t="str">
        <f t="shared" si="16"/>
        <v>[effect:enemy_message, val1:1.2, val2:1.4],[effect:virus, turn:2, rate:1, val:0.05, animation:enemy_virus]</v>
      </c>
      <c r="C10" s="104">
        <v>1</v>
      </c>
      <c r="D10" s="104" t="s">
        <v>127</v>
      </c>
      <c r="E10" s="103" t="s">
        <v>317</v>
      </c>
      <c r="F10" s="103" t="s">
        <v>294</v>
      </c>
      <c r="G10" s="62" t="str">
        <f t="shared" si="17"/>
        <v>[effect:enemy_message, val1:1.2, val2:1.4]</v>
      </c>
      <c r="H10" s="62">
        <f t="shared" si="18"/>
        <v>9</v>
      </c>
      <c r="I10" s="62">
        <f t="shared" si="19"/>
        <v>22</v>
      </c>
      <c r="J10" s="62" t="e">
        <f t="shared" si="20"/>
        <v>#VALUE!</v>
      </c>
      <c r="K10" s="62">
        <f t="shared" si="21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22"/>
        <v>[effect:virus, turn:2, rate:1, val:0.05, animation:enemy_virus]</v>
      </c>
      <c r="N10" s="48" t="str">
        <f>IFERROR(LEFT(M10,FIND("],",M10)+S31),M10)</f>
        <v>[effect:virus, turn:2, rate:1, val:0.05, animation:enemy_virus]</v>
      </c>
      <c r="O10" s="62">
        <f t="shared" si="23"/>
        <v>9</v>
      </c>
      <c r="P10" s="62">
        <f t="shared" si="24"/>
        <v>14</v>
      </c>
      <c r="Q10" s="62" t="e">
        <f t="shared" si="25"/>
        <v>#VALUE!</v>
      </c>
      <c r="R10" s="62">
        <f t="shared" si="26"/>
        <v>22</v>
      </c>
      <c r="S10" s="62" t="str">
        <f>IFERROR(VLOOKUP(MID(N10,Q10,R10-Q10),[6]skilldef!$C:$D,2,FALSE),"-") &amp; " / " &amp; IFERROR(VLOOKUP(MID(N10,O10,P10-O10),[6]skilldef!$A:$B,2,FALSE),"-")</f>
        <v>- / ウィルス</v>
      </c>
      <c r="T10" s="48" t="str">
        <f t="shared" si="27"/>
        <v>none</v>
      </c>
      <c r="U10" s="62" t="e">
        <f t="shared" si="28"/>
        <v>#VALUE!</v>
      </c>
      <c r="V10" s="62">
        <f t="shared" si="29"/>
        <v>4</v>
      </c>
      <c r="W10" s="62" t="e">
        <f t="shared" si="30"/>
        <v>#VALUE!</v>
      </c>
      <c r="X10" s="62" t="e">
        <f t="shared" si="31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  <c r="AC10" s="118" t="s">
        <v>336</v>
      </c>
      <c r="AD10" s="103" t="s">
        <v>258</v>
      </c>
      <c r="AE10" s="47"/>
      <c r="AG10" s="49">
        <v>1559</v>
      </c>
    </row>
    <row r="11" spans="1:33" ht="32" customHeight="1" x14ac:dyDescent="0.15">
      <c r="A11" s="105">
        <v>39013211</v>
      </c>
      <c r="B11" s="123" t="str">
        <f t="shared" si="16"/>
        <v>[effect:enemy_message, val1:1.2, val2:1.2],[effect:tolerance, target:myself, turn:-1, count:-1, tolerance_effect:sleep, animation:enemy_tolerance]</v>
      </c>
      <c r="C11" s="106">
        <v>1</v>
      </c>
      <c r="D11" s="106" t="s">
        <v>127</v>
      </c>
      <c r="E11" s="107" t="s">
        <v>324</v>
      </c>
      <c r="F11" s="107" t="s">
        <v>296</v>
      </c>
      <c r="G11" s="62" t="str">
        <f t="shared" si="17"/>
        <v>[effect:enemy_message, val1:1.2, val2:1.2]</v>
      </c>
      <c r="H11" s="62">
        <f t="shared" si="18"/>
        <v>9</v>
      </c>
      <c r="I11" s="62">
        <f t="shared" si="19"/>
        <v>22</v>
      </c>
      <c r="J11" s="62" t="e">
        <f t="shared" si="20"/>
        <v>#VALUE!</v>
      </c>
      <c r="K11" s="62">
        <f t="shared" si="21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22"/>
        <v>[effect:tolerance, target:myself, turn:-1, count:-1, tolerance_effect:sleep, animation:enemy_tolerance]</v>
      </c>
      <c r="N11" s="48" t="str">
        <f>IFERROR(LEFT(M11,FIND("],",M11)+S32),M11)</f>
        <v>[effect:tolerance, target:myself, turn:-1, count:-1, tolerance_effect:sleep, animation:enemy_tolerance]</v>
      </c>
      <c r="O11" s="62">
        <f t="shared" si="23"/>
        <v>9</v>
      </c>
      <c r="P11" s="62">
        <f t="shared" si="24"/>
        <v>18</v>
      </c>
      <c r="Q11" s="62">
        <f t="shared" si="25"/>
        <v>27</v>
      </c>
      <c r="R11" s="62">
        <f t="shared" si="26"/>
        <v>33</v>
      </c>
      <c r="S11" s="62" t="str">
        <f>IFERROR(VLOOKUP(MID(N11,Q11,R11-Q11),[6]skilldef!$C:$D,2,FALSE),"-") &amp; " / " &amp; IFERROR(VLOOKUP(MID(N11,O11,P11-O11),[6]skilldef!$A:$B,2,FALSE),"-")</f>
        <v>自分自身に / 状態異常耐性</v>
      </c>
      <c r="T11" s="48" t="str">
        <f t="shared" si="27"/>
        <v>none</v>
      </c>
      <c r="U11" s="62" t="e">
        <f t="shared" si="28"/>
        <v>#VALUE!</v>
      </c>
      <c r="V11" s="62">
        <f t="shared" si="29"/>
        <v>4</v>
      </c>
      <c r="W11" s="62" t="e">
        <f t="shared" si="30"/>
        <v>#VALUE!</v>
      </c>
      <c r="X11" s="62" t="e">
        <f t="shared" si="31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  <c r="AC11" s="119" t="s">
        <v>279</v>
      </c>
      <c r="AD11" s="107" t="s">
        <v>259</v>
      </c>
      <c r="AE11" s="47" t="s">
        <v>365</v>
      </c>
      <c r="AG11" s="49">
        <v>1560</v>
      </c>
    </row>
    <row r="12" spans="1:33" ht="29" customHeight="1" x14ac:dyDescent="0.15">
      <c r="A12" s="164">
        <v>39013600</v>
      </c>
      <c r="B12" s="123" t="str">
        <f t="shared" ref="B12" si="64">"[effect:enemy_message, val1:"&amp;TEXT(IF(TEXT(E12,0)="[表示しない]", "0", IF(LEN(SUBSTITUTE(E12,CHAR(13),""))*0.1&lt;1.2, 1.2, LEN(SUBSTITUTE(E12,CHAR(13),""))*0.1)), "0.0")&amp;", val2:"&amp;TEXT(IF(TEXT(F12,0)="[表示しない]", "0", IF(LEN(SUBSTITUTE(F12,CHAR(13),""))*0.1&lt;1.2, 1.2, LEN(SUBSTITUTE(F12,CHAR(13),""))*0.1)),"0.0")&amp;"]"&amp;IF(LEN(AC12)&gt;0, ","&amp;SUBSTITUTE(AC12,CHAR(13),""),SUBSTITUTE(AC12,CHAR(13),""))</f>
        <v>[effect:enemy_message, val1:2.9, val2:1.2],[effect:tolerance, target:myself, turn:-1, count:-1, tolerance_effect:sleep, animation:enemy_tolerance]</v>
      </c>
      <c r="C12" s="165">
        <v>1</v>
      </c>
      <c r="D12" s="165" t="s">
        <v>127</v>
      </c>
      <c r="E12" s="166" t="s">
        <v>439</v>
      </c>
      <c r="F12" s="166" t="s">
        <v>296</v>
      </c>
      <c r="G12" s="62" t="str">
        <f t="shared" ref="G12" si="65">IFERROR(LEFT(B12,FIND("],",B12)),B12)</f>
        <v>[effect:enemy_message, val1:2.9, val2:1.2]</v>
      </c>
      <c r="H12" s="62">
        <f t="shared" ref="H12" si="66">FIND("effect:",G12)+7</f>
        <v>9</v>
      </c>
      <c r="I12" s="62">
        <f t="shared" ref="I12" si="67">IFERROR(FIND(",",G12),LEN(G12))</f>
        <v>22</v>
      </c>
      <c r="J12" s="62" t="e">
        <f t="shared" ref="J12" si="68">FIND("target:",G12)+7</f>
        <v>#VALUE!</v>
      </c>
      <c r="K12" s="62">
        <f t="shared" ref="K12" si="69">FIND(",",G12,I12+1)</f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ref="M12" si="70">IFERROR(RIGHT(B12,LEN(B12)-FIND("],",B12)-1),"none")</f>
        <v>[effect:tolerance, target:myself, turn:-1, count:-1, tolerance_effect:sleep, animation:enemy_tolerance]</v>
      </c>
      <c r="N12" s="48" t="str">
        <f>IFERROR(LEFT(M12,FIND("],",M12)+S44),M12)</f>
        <v>[effect:tolerance, target:myself, turn:-1, count:-1, tolerance_effect:sleep, animation:enemy_tolerance]</v>
      </c>
      <c r="O12" s="62">
        <f t="shared" ref="O12" si="71">FIND("effect:",N12)+7</f>
        <v>9</v>
      </c>
      <c r="P12" s="62">
        <f t="shared" ref="P12" si="72">IFERROR(FIND(",",N12),LEN(N12))</f>
        <v>18</v>
      </c>
      <c r="Q12" s="62">
        <f t="shared" ref="Q12" si="73">FIND("target:",N12)+7</f>
        <v>27</v>
      </c>
      <c r="R12" s="62">
        <f t="shared" ref="R12" si="74">FIND(",",N12,P12+1)</f>
        <v>33</v>
      </c>
      <c r="S12" s="62" t="str">
        <f>IFERROR(VLOOKUP(MID(N12,Q12,R12-Q12),[6]skilldef!$C:$D,2,FALSE),"-") &amp; " / " &amp; IFERROR(VLOOKUP(MID(N12,O12,P12-O12),[6]skilldef!$A:$B,2,FALSE),"-")</f>
        <v>自分自身に / 状態異常耐性</v>
      </c>
      <c r="T12" s="48" t="str">
        <f t="shared" ref="T12" si="75">IFERROR(RIGHT(M12,LEN(M12)-FIND("],",M12)-1),"none")</f>
        <v>none</v>
      </c>
      <c r="U12" s="62" t="e">
        <f t="shared" ref="U12" si="76">FIND("effect:",T12)+7</f>
        <v>#VALUE!</v>
      </c>
      <c r="V12" s="62">
        <f t="shared" ref="V12" si="77">IFERROR(FIND(",",T12),LEN(T12))</f>
        <v>4</v>
      </c>
      <c r="W12" s="62" t="e">
        <f t="shared" ref="W12" si="78">FIND("target:",T12)+7</f>
        <v>#VALUE!</v>
      </c>
      <c r="X12" s="62" t="e">
        <f t="shared" ref="X12" si="79">FIND(",",T12,V12+1)</f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  <c r="AC12" s="167" t="s">
        <v>279</v>
      </c>
      <c r="AD12" s="166" t="s">
        <v>427</v>
      </c>
      <c r="AE12" s="47"/>
      <c r="AG12" s="49">
        <v>1561</v>
      </c>
    </row>
    <row r="13" spans="1:33" ht="32" customHeight="1" x14ac:dyDescent="0.15">
      <c r="A13" s="164">
        <v>39013601</v>
      </c>
      <c r="B13" s="123" t="str">
        <f t="shared" ref="B13:B14" si="80">"[effect:enemy_message, val1:"&amp;TEXT(IF(TEXT(E13,0)="[表示しない]", "0", IF(LEN(SUBSTITUTE(E13,CHAR(13),""))*0.1&lt;1.2, 1.2, LEN(SUBSTITUTE(E13,CHAR(13),""))*0.1)), "0.0")&amp;", val2:"&amp;TEXT(IF(TEXT(F13,0)="[表示しない]", "0", IF(LEN(SUBSTITUTE(F13,CHAR(13),""))*0.1&lt;1.2, 1.2, LEN(SUBSTITUTE(F13,CHAR(13),""))*0.1)),"0.0")&amp;"]"&amp;IF(LEN(AC13)&gt;0, ","&amp;SUBSTITUTE(AC13,CHAR(13),""),SUBSTITUTE(AC13,CHAR(13),""))</f>
        <v>[effect:enemy_message, val1:2.9, val2:1.2],[effect:tolerance, target:myself, turn:-1, count:-1, tolerance_effect:sleep, animation:enemy_tolerance]</v>
      </c>
      <c r="C13" s="165">
        <v>1</v>
      </c>
      <c r="D13" s="165" t="s">
        <v>127</v>
      </c>
      <c r="E13" s="166" t="s">
        <v>439</v>
      </c>
      <c r="F13" s="166" t="s">
        <v>296</v>
      </c>
      <c r="G13" s="62" t="str">
        <f t="shared" ref="G13:G14" si="81">IFERROR(LEFT(B13,FIND("],",B13)),B13)</f>
        <v>[effect:enemy_message, val1:2.9, val2:1.2]</v>
      </c>
      <c r="H13" s="62">
        <f t="shared" ref="H13:H14" si="82">FIND("effect:",G13)+7</f>
        <v>9</v>
      </c>
      <c r="I13" s="62">
        <f t="shared" ref="I13:I14" si="83">IFERROR(FIND(",",G13),LEN(G13))</f>
        <v>22</v>
      </c>
      <c r="J13" s="62" t="e">
        <f t="shared" ref="J13:J14" si="84">FIND("target:",G13)+7</f>
        <v>#VALUE!</v>
      </c>
      <c r="K13" s="62">
        <f t="shared" ref="K13:K14" si="85">FIND(",",G13,I13+1)</f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ref="M13:M14" si="86">IFERROR(RIGHT(B13,LEN(B13)-FIND("],",B13)-1),"none")</f>
        <v>[effect:tolerance, target:myself, turn:-1, count:-1, tolerance_effect:sleep, animation:enemy_tolerance]</v>
      </c>
      <c r="N13" s="48" t="str">
        <f>IFERROR(LEFT(M13,FIND("],",M13)+S45),M13)</f>
        <v>[effect:tolerance, target:myself, turn:-1, count:-1, tolerance_effect:sleep, animation:enemy_tolerance]</v>
      </c>
      <c r="O13" s="62">
        <f t="shared" ref="O13:O14" si="87">FIND("effect:",N13)+7</f>
        <v>9</v>
      </c>
      <c r="P13" s="62">
        <f t="shared" ref="P13:P14" si="88">IFERROR(FIND(",",N13),LEN(N13))</f>
        <v>18</v>
      </c>
      <c r="Q13" s="62">
        <f t="shared" ref="Q13:Q14" si="89">FIND("target:",N13)+7</f>
        <v>27</v>
      </c>
      <c r="R13" s="62">
        <f t="shared" ref="R13:R14" si="90">FIND(",",N13,P13+1)</f>
        <v>33</v>
      </c>
      <c r="S13" s="62" t="str">
        <f>IFERROR(VLOOKUP(MID(N13,Q13,R13-Q13),[6]skilldef!$C:$D,2,FALSE),"-") &amp; " / " &amp; IFERROR(VLOOKUP(MID(N13,O13,P13-O13),[6]skilldef!$A:$B,2,FALSE),"-")</f>
        <v>自分自身に / 状態異常耐性</v>
      </c>
      <c r="T13" s="48" t="str">
        <f t="shared" ref="T13:T14" si="91">IFERROR(RIGHT(M13,LEN(M13)-FIND("],",M13)-1),"none")</f>
        <v>none</v>
      </c>
      <c r="U13" s="62" t="e">
        <f t="shared" ref="U13:U14" si="92">FIND("effect:",T13)+7</f>
        <v>#VALUE!</v>
      </c>
      <c r="V13" s="62">
        <f t="shared" ref="V13:V14" si="93">IFERROR(FIND(",",T13),LEN(T13))</f>
        <v>4</v>
      </c>
      <c r="W13" s="62" t="e">
        <f t="shared" ref="W13:W14" si="94">FIND("target:",T13)+7</f>
        <v>#VALUE!</v>
      </c>
      <c r="X13" s="62" t="e">
        <f t="shared" ref="X13:X14" si="95">FIND(",",T13,V13+1)</f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  <c r="AC13" s="167" t="s">
        <v>279</v>
      </c>
      <c r="AD13" s="166" t="s">
        <v>428</v>
      </c>
      <c r="AE13" s="47"/>
      <c r="AG13" s="49">
        <v>1562</v>
      </c>
    </row>
    <row r="14" spans="1:33" ht="29" customHeight="1" x14ac:dyDescent="0.15">
      <c r="A14" s="164">
        <v>39013602</v>
      </c>
      <c r="B14" s="123" t="str">
        <f t="shared" si="80"/>
        <v>[effect:enemy_message, val1:2.4, val2:1.2],[effect:tolerance, target:myself, turn:-1, count:-1, tolerance_effect:sleep, animation:enemy_tolerance]</v>
      </c>
      <c r="C14" s="165">
        <v>1</v>
      </c>
      <c r="D14" s="165" t="s">
        <v>127</v>
      </c>
      <c r="E14" s="166" t="s">
        <v>438</v>
      </c>
      <c r="F14" s="166" t="s">
        <v>296</v>
      </c>
      <c r="G14" s="62" t="str">
        <f t="shared" si="81"/>
        <v>[effect:enemy_message, val1:2.4, val2:1.2]</v>
      </c>
      <c r="H14" s="62">
        <f t="shared" si="82"/>
        <v>9</v>
      </c>
      <c r="I14" s="62">
        <f t="shared" si="83"/>
        <v>22</v>
      </c>
      <c r="J14" s="62" t="e">
        <f t="shared" si="84"/>
        <v>#VALUE!</v>
      </c>
      <c r="K14" s="62">
        <f t="shared" si="85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86"/>
        <v>[effect:tolerance, target:myself, turn:-1, count:-1, tolerance_effect:sleep, animation:enemy_tolerance]</v>
      </c>
      <c r="N14" s="48" t="str">
        <f>IFERROR(LEFT(M14,FIND("],",M14)+S46),M14)</f>
        <v>[effect:tolerance, target:myself, turn:-1, count:-1, tolerance_effect:sleep, animation:enemy_tolerance]</v>
      </c>
      <c r="O14" s="62">
        <f t="shared" si="87"/>
        <v>9</v>
      </c>
      <c r="P14" s="62">
        <f t="shared" si="88"/>
        <v>18</v>
      </c>
      <c r="Q14" s="62">
        <f t="shared" si="89"/>
        <v>27</v>
      </c>
      <c r="R14" s="62">
        <f t="shared" si="90"/>
        <v>33</v>
      </c>
      <c r="S14" s="62" t="str">
        <f>IFERROR(VLOOKUP(MID(N14,Q14,R14-Q14),[6]skilldef!$C:$D,2,FALSE),"-") &amp; " / " &amp; IFERROR(VLOOKUP(MID(N14,O14,P14-O14),[6]skilldef!$A:$B,2,FALSE),"-")</f>
        <v>自分自身に / 状態異常耐性</v>
      </c>
      <c r="T14" s="48" t="str">
        <f t="shared" si="91"/>
        <v>none</v>
      </c>
      <c r="U14" s="62" t="e">
        <f t="shared" si="92"/>
        <v>#VALUE!</v>
      </c>
      <c r="V14" s="62">
        <f t="shared" si="93"/>
        <v>4</v>
      </c>
      <c r="W14" s="62" t="e">
        <f t="shared" si="94"/>
        <v>#VALUE!</v>
      </c>
      <c r="X14" s="62" t="e">
        <f t="shared" si="9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  <c r="AC14" s="167" t="s">
        <v>279</v>
      </c>
      <c r="AD14" s="166" t="s">
        <v>429</v>
      </c>
      <c r="AE14" s="47"/>
      <c r="AG14" s="49">
        <v>1563</v>
      </c>
    </row>
    <row r="15" spans="1:33" ht="40" customHeight="1" x14ac:dyDescent="0.15">
      <c r="A15" s="164">
        <v>39013603</v>
      </c>
      <c r="B15" s="123" t="str">
        <f t="shared" ref="B15:B18" si="96">"[effect:enemy_message, val1:"&amp;TEXT(IF(TEXT(E15,0)="[表示しない]", "0", IF(LEN(SUBSTITUTE(E15,CHAR(13),""))*0.1&lt;1.2, 1.2, LEN(SUBSTITUTE(E15,CHAR(13),""))*0.1)), "0.0")&amp;", val2:"&amp;TEXT(IF(TEXT(F15,0)="[表示しない]", "0", IF(LEN(SUBSTITUTE(F15,CHAR(13),""))*0.1&lt;1.2, 1.2, LEN(SUBSTITUTE(F15,CHAR(13),""))*0.1)),"0.0")&amp;"]"&amp;IF(LEN(AC15)&gt;0, ","&amp;SUBSTITUTE(AC15,CHAR(13),""),SUBSTITUTE(AC15,CHAR(13),""))</f>
        <v>[effect:enemy_message, val1:2.4, val2:1.2],[effect:tolerance, target:myself, turn:-1, count:-1, tolerance_effect:sleep, animation:enemy_tolerance]</v>
      </c>
      <c r="C15" s="165">
        <v>1</v>
      </c>
      <c r="D15" s="165" t="s">
        <v>127</v>
      </c>
      <c r="E15" s="166" t="s">
        <v>438</v>
      </c>
      <c r="F15" s="166" t="s">
        <v>296</v>
      </c>
      <c r="G15" s="62" t="str">
        <f t="shared" ref="G15:G18" si="97">IFERROR(LEFT(B15,FIND("],",B15)),B15)</f>
        <v>[effect:enemy_message, val1:2.4, val2:1.2]</v>
      </c>
      <c r="H15" s="62">
        <f t="shared" ref="H15:H18" si="98">FIND("effect:",G15)+7</f>
        <v>9</v>
      </c>
      <c r="I15" s="62">
        <f t="shared" ref="I15:I18" si="99">IFERROR(FIND(",",G15),LEN(G15))</f>
        <v>22</v>
      </c>
      <c r="J15" s="62" t="e">
        <f t="shared" ref="J15:J18" si="100">FIND("target:",G15)+7</f>
        <v>#VALUE!</v>
      </c>
      <c r="K15" s="62">
        <f t="shared" ref="K15:K18" si="101">FIND(",",G15,I15+1)</f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ref="M15:M18" si="102">IFERROR(RIGHT(B15,LEN(B15)-FIND("],",B15)-1),"none")</f>
        <v>[effect:tolerance, target:myself, turn:-1, count:-1, tolerance_effect:sleep, animation:enemy_tolerance]</v>
      </c>
      <c r="N15" s="48" t="str">
        <f>IFERROR(LEFT(M15,FIND("],",M15)+S45),M15)</f>
        <v>[effect:tolerance, target:myself, turn:-1, count:-1, tolerance_effect:sleep, animation:enemy_tolerance]</v>
      </c>
      <c r="O15" s="62">
        <f t="shared" ref="O15:O18" si="103">FIND("effect:",N15)+7</f>
        <v>9</v>
      </c>
      <c r="P15" s="62">
        <f t="shared" ref="P15:P18" si="104">IFERROR(FIND(",",N15),LEN(N15))</f>
        <v>18</v>
      </c>
      <c r="Q15" s="62">
        <f t="shared" ref="Q15:Q18" si="105">FIND("target:",N15)+7</f>
        <v>27</v>
      </c>
      <c r="R15" s="62">
        <f t="shared" ref="R15:R18" si="106">FIND(",",N15,P15+1)</f>
        <v>33</v>
      </c>
      <c r="S15" s="62" t="str">
        <f>IFERROR(VLOOKUP(MID(N15,Q15,R15-Q15),[6]skilldef!$C:$D,2,FALSE),"-") &amp; " / " &amp; IFERROR(VLOOKUP(MID(N15,O15,P15-O15),[6]skilldef!$A:$B,2,FALSE),"-")</f>
        <v>自分自身に / 状態異常耐性</v>
      </c>
      <c r="T15" s="48" t="str">
        <f t="shared" ref="T15:T18" si="107">IFERROR(RIGHT(M15,LEN(M15)-FIND("],",M15)-1),"none")</f>
        <v>none</v>
      </c>
      <c r="U15" s="62" t="e">
        <f t="shared" ref="U15:U18" si="108">FIND("effect:",T15)+7</f>
        <v>#VALUE!</v>
      </c>
      <c r="V15" s="62">
        <f t="shared" ref="V15:V18" si="109">IFERROR(FIND(",",T15),LEN(T15))</f>
        <v>4</v>
      </c>
      <c r="W15" s="62" t="e">
        <f t="shared" ref="W15:W18" si="110">FIND("target:",T15)+7</f>
        <v>#VALUE!</v>
      </c>
      <c r="X15" s="62" t="e">
        <f t="shared" ref="X15:X18" si="111">FIND(",",T15,V15+1)</f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  <c r="AC15" s="167" t="s">
        <v>279</v>
      </c>
      <c r="AD15" s="166" t="s">
        <v>430</v>
      </c>
      <c r="AE15" s="47"/>
      <c r="AG15" s="49">
        <v>1564</v>
      </c>
    </row>
    <row r="16" spans="1:33" ht="32" customHeight="1" x14ac:dyDescent="0.15">
      <c r="A16" s="164">
        <v>39013604</v>
      </c>
      <c r="B16" s="123" t="str">
        <f t="shared" si="96"/>
        <v>[effect:enemy_message, val1:2.2, val2:1.2],[effect:tolerance, target:myself, turn:-1, count:-1, tolerance_effect:sleep, animation:enemy_tolerance]</v>
      </c>
      <c r="C16" s="165">
        <v>1</v>
      </c>
      <c r="D16" s="165" t="s">
        <v>127</v>
      </c>
      <c r="E16" s="166" t="s">
        <v>437</v>
      </c>
      <c r="F16" s="166" t="s">
        <v>296</v>
      </c>
      <c r="G16" s="62" t="str">
        <f t="shared" si="97"/>
        <v>[effect:enemy_message, val1:2.2, val2:1.2]</v>
      </c>
      <c r="H16" s="62">
        <f t="shared" si="98"/>
        <v>9</v>
      </c>
      <c r="I16" s="62">
        <f t="shared" si="99"/>
        <v>22</v>
      </c>
      <c r="J16" s="62" t="e">
        <f t="shared" si="100"/>
        <v>#VALUE!</v>
      </c>
      <c r="K16" s="62">
        <f t="shared" si="101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102"/>
        <v>[effect:tolerance, target:myself, turn:-1, count:-1, tolerance_effect:sleep, animation:enemy_tolerance]</v>
      </c>
      <c r="N16" s="48" t="str">
        <f>IFERROR(LEFT(M16,FIND("],",M16)+S48),M16)</f>
        <v>[effect:tolerance, target:myself, turn:-1, count:-1, tolerance_effect:sleep, animation:enemy_tolerance]</v>
      </c>
      <c r="O16" s="62">
        <f t="shared" si="103"/>
        <v>9</v>
      </c>
      <c r="P16" s="62">
        <f t="shared" si="104"/>
        <v>18</v>
      </c>
      <c r="Q16" s="62">
        <f t="shared" si="105"/>
        <v>27</v>
      </c>
      <c r="R16" s="62">
        <f t="shared" si="106"/>
        <v>33</v>
      </c>
      <c r="S16" s="62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si="107"/>
        <v>none</v>
      </c>
      <c r="U16" s="62" t="e">
        <f t="shared" si="108"/>
        <v>#VALUE!</v>
      </c>
      <c r="V16" s="62">
        <f t="shared" si="109"/>
        <v>4</v>
      </c>
      <c r="W16" s="62" t="e">
        <f t="shared" si="110"/>
        <v>#VALUE!</v>
      </c>
      <c r="X16" s="62" t="e">
        <f t="shared" si="111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  <c r="AC16" s="167" t="s">
        <v>279</v>
      </c>
      <c r="AD16" s="166" t="s">
        <v>431</v>
      </c>
      <c r="AE16" s="47"/>
      <c r="AG16" s="49">
        <v>1565</v>
      </c>
    </row>
    <row r="17" spans="1:33" ht="33" customHeight="1" x14ac:dyDescent="0.15">
      <c r="A17" s="164">
        <v>39013605</v>
      </c>
      <c r="B17" s="123" t="str">
        <f t="shared" si="96"/>
        <v>[effect:enemy_message, val1:2.2, val2:1.2],[effect:tolerance, target:myself, turn:-1, count:-1, tolerance_effect:sleep, animation:enemy_tolerance]</v>
      </c>
      <c r="C17" s="165">
        <v>1</v>
      </c>
      <c r="D17" s="165" t="s">
        <v>127</v>
      </c>
      <c r="E17" s="166" t="s">
        <v>437</v>
      </c>
      <c r="F17" s="166" t="s">
        <v>296</v>
      </c>
      <c r="G17" s="62" t="str">
        <f t="shared" si="97"/>
        <v>[effect:enemy_message, val1:2.2, val2:1.2]</v>
      </c>
      <c r="H17" s="62">
        <f t="shared" si="98"/>
        <v>9</v>
      </c>
      <c r="I17" s="62">
        <f t="shared" si="99"/>
        <v>22</v>
      </c>
      <c r="J17" s="62" t="e">
        <f t="shared" si="100"/>
        <v>#VALUE!</v>
      </c>
      <c r="K17" s="62">
        <f t="shared" si="101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102"/>
        <v>[effect:tolerance, target:myself, turn:-1, count:-1, tolerance_effect:sleep, animation:enemy_tolerance]</v>
      </c>
      <c r="N17" s="48" t="str">
        <f>IFERROR(LEFT(M17,FIND("],",M17)+#REF!),M17)</f>
        <v>[effect:tolerance, target:myself, turn:-1, count:-1, tolerance_effect:sleep, animation:enemy_tolerance]</v>
      </c>
      <c r="O17" s="62">
        <f t="shared" si="103"/>
        <v>9</v>
      </c>
      <c r="P17" s="62">
        <f t="shared" si="104"/>
        <v>18</v>
      </c>
      <c r="Q17" s="62">
        <f t="shared" si="105"/>
        <v>27</v>
      </c>
      <c r="R17" s="62">
        <f t="shared" si="106"/>
        <v>33</v>
      </c>
      <c r="S17" s="62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si="107"/>
        <v>none</v>
      </c>
      <c r="U17" s="62" t="e">
        <f t="shared" si="108"/>
        <v>#VALUE!</v>
      </c>
      <c r="V17" s="62">
        <f t="shared" si="109"/>
        <v>4</v>
      </c>
      <c r="W17" s="62" t="e">
        <f t="shared" si="110"/>
        <v>#VALUE!</v>
      </c>
      <c r="X17" s="62" t="e">
        <f t="shared" si="111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  <c r="AC17" s="167" t="s">
        <v>279</v>
      </c>
      <c r="AD17" s="166" t="s">
        <v>432</v>
      </c>
      <c r="AE17" s="47"/>
      <c r="AG17" s="49">
        <v>1566</v>
      </c>
    </row>
    <row r="18" spans="1:33" ht="29" customHeight="1" x14ac:dyDescent="0.15">
      <c r="A18" s="164">
        <v>39013606</v>
      </c>
      <c r="B18" s="123" t="str">
        <f t="shared" si="96"/>
        <v>[effect:enemy_message, val1:2.1, val2:1.2],[effect:tolerance, target:myself, turn:-1, count:-1, tolerance_effect:sleep, animation:enemy_tolerance]</v>
      </c>
      <c r="C18" s="165">
        <v>1</v>
      </c>
      <c r="D18" s="165" t="s">
        <v>127</v>
      </c>
      <c r="E18" s="166" t="s">
        <v>444</v>
      </c>
      <c r="F18" s="166" t="s">
        <v>296</v>
      </c>
      <c r="G18" s="62" t="str">
        <f t="shared" si="97"/>
        <v>[effect:enemy_message, val1:2.1, val2:1.2]</v>
      </c>
      <c r="H18" s="62">
        <f t="shared" si="98"/>
        <v>9</v>
      </c>
      <c r="I18" s="62">
        <f t="shared" si="99"/>
        <v>22</v>
      </c>
      <c r="J18" s="62" t="e">
        <f t="shared" si="100"/>
        <v>#VALUE!</v>
      </c>
      <c r="K18" s="62">
        <f t="shared" si="101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102"/>
        <v>[effect:tolerance, target:myself, turn:-1, count:-1, tolerance_effect:sleep, animation:enemy_tolerance]</v>
      </c>
      <c r="N18" s="48" t="str">
        <f>IFERROR(LEFT(M18,FIND("],",M18)+S49),M18)</f>
        <v>[effect:tolerance, target:myself, turn:-1, count:-1, tolerance_effect:sleep, animation:enemy_tolerance]</v>
      </c>
      <c r="O18" s="62">
        <f t="shared" si="103"/>
        <v>9</v>
      </c>
      <c r="P18" s="62">
        <f t="shared" si="104"/>
        <v>18</v>
      </c>
      <c r="Q18" s="62">
        <f t="shared" si="105"/>
        <v>27</v>
      </c>
      <c r="R18" s="62">
        <f t="shared" si="106"/>
        <v>33</v>
      </c>
      <c r="S18" s="62" t="str">
        <f>IFERROR(VLOOKUP(MID(N18,Q18,R18-Q18),[6]skilldef!$C:$D,2,FALSE),"-") &amp; " / " &amp; IFERROR(VLOOKUP(MID(N18,O18,P18-O18),[6]skilldef!$A:$B,2,FALSE),"-")</f>
        <v>自分自身に / 状態異常耐性</v>
      </c>
      <c r="T18" s="48" t="str">
        <f t="shared" si="107"/>
        <v>none</v>
      </c>
      <c r="U18" s="62" t="e">
        <f t="shared" si="108"/>
        <v>#VALUE!</v>
      </c>
      <c r="V18" s="62">
        <f t="shared" si="109"/>
        <v>4</v>
      </c>
      <c r="W18" s="62" t="e">
        <f t="shared" si="110"/>
        <v>#VALUE!</v>
      </c>
      <c r="X18" s="62" t="e">
        <f t="shared" si="111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  <c r="AC18" s="167" t="s">
        <v>279</v>
      </c>
      <c r="AD18" s="166" t="s">
        <v>433</v>
      </c>
      <c r="AE18" s="47"/>
      <c r="AG18" s="49">
        <v>1567</v>
      </c>
    </row>
    <row r="19" spans="1:33" ht="29" customHeight="1" x14ac:dyDescent="0.15">
      <c r="A19" s="164">
        <v>39013607</v>
      </c>
      <c r="B19" s="123" t="str">
        <f t="shared" ref="B19" si="112">"[effect:enemy_message, val1:"&amp;TEXT(IF(TEXT(E19,0)="[表示しない]", "0", IF(LEN(SUBSTITUTE(E19,CHAR(13),""))*0.1&lt;1.2, 1.2, LEN(SUBSTITUTE(E19,CHAR(13),""))*0.1)), "0.0")&amp;", val2:"&amp;TEXT(IF(TEXT(F19,0)="[表示しない]", "0", IF(LEN(SUBSTITUTE(F19,CHAR(13),""))*0.1&lt;1.2, 1.2, LEN(SUBSTITUTE(F19,CHAR(13),""))*0.1)),"0.0")&amp;"]"&amp;IF(LEN(AC19)&gt;0, ","&amp;SUBSTITUTE(AC19,CHAR(13),""),SUBSTITUTE(AC19,CHAR(13),""))</f>
        <v>[effect:enemy_message, val1:2.1, val2:1.2],[effect:tolerance, target:myself, turn:-1, count:-1, tolerance_effect:sleep, animation:enemy_tolerance]</v>
      </c>
      <c r="C19" s="165">
        <v>1</v>
      </c>
      <c r="D19" s="165" t="s">
        <v>127</v>
      </c>
      <c r="E19" s="166" t="s">
        <v>444</v>
      </c>
      <c r="F19" s="166" t="s">
        <v>296</v>
      </c>
      <c r="G19" s="62" t="str">
        <f t="shared" ref="G19" si="113">IFERROR(LEFT(B19,FIND("],",B19)),B19)</f>
        <v>[effect:enemy_message, val1:2.1, val2:1.2]</v>
      </c>
      <c r="H19" s="62">
        <f t="shared" ref="H19" si="114">FIND("effect:",G19)+7</f>
        <v>9</v>
      </c>
      <c r="I19" s="62">
        <f t="shared" ref="I19" si="115">IFERROR(FIND(",",G19),LEN(G19))</f>
        <v>22</v>
      </c>
      <c r="J19" s="62" t="e">
        <f t="shared" ref="J19" si="116">FIND("target:",G19)+7</f>
        <v>#VALUE!</v>
      </c>
      <c r="K19" s="62">
        <f t="shared" ref="K19" si="117">FIND(",",G19,I19+1)</f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ref="M19" si="118">IFERROR(RIGHT(B19,LEN(B19)-FIND("],",B19)-1),"none")</f>
        <v>[effect:tolerance, target:myself, turn:-1, count:-1, tolerance_effect:sleep, animation:enemy_tolerance]</v>
      </c>
      <c r="N19" s="48" t="str">
        <f>IFERROR(LEFT(M19,FIND("],",M19)+#REF!),M19)</f>
        <v>[effect:tolerance, target:myself, turn:-1, count:-1, tolerance_effect:sleep, animation:enemy_tolerance]</v>
      </c>
      <c r="O19" s="62">
        <f t="shared" ref="O19" si="119">FIND("effect:",N19)+7</f>
        <v>9</v>
      </c>
      <c r="P19" s="62">
        <f t="shared" ref="P19" si="120">IFERROR(FIND(",",N19),LEN(N19))</f>
        <v>18</v>
      </c>
      <c r="Q19" s="62">
        <f t="shared" ref="Q19" si="121">FIND("target:",N19)+7</f>
        <v>27</v>
      </c>
      <c r="R19" s="62">
        <f t="shared" ref="R19" si="122">FIND(",",N19,P19+1)</f>
        <v>33</v>
      </c>
      <c r="S19" s="62" t="str">
        <f>IFERROR(VLOOKUP(MID(N19,Q19,R19-Q19),[6]skilldef!$C:$D,2,FALSE),"-") &amp; " / " &amp; IFERROR(VLOOKUP(MID(N19,O19,P19-O19),[6]skilldef!$A:$B,2,FALSE),"-")</f>
        <v>自分自身に / 状態異常耐性</v>
      </c>
      <c r="T19" s="48" t="str">
        <f t="shared" ref="T19" si="123">IFERROR(RIGHT(M19,LEN(M19)-FIND("],",M19)-1),"none")</f>
        <v>none</v>
      </c>
      <c r="U19" s="62" t="e">
        <f t="shared" ref="U19" si="124">FIND("effect:",T19)+7</f>
        <v>#VALUE!</v>
      </c>
      <c r="V19" s="62">
        <f t="shared" ref="V19" si="125">IFERROR(FIND(",",T19),LEN(T19))</f>
        <v>4</v>
      </c>
      <c r="W19" s="62" t="e">
        <f t="shared" ref="W19" si="126">FIND("target:",T19)+7</f>
        <v>#VALUE!</v>
      </c>
      <c r="X19" s="62" t="e">
        <f t="shared" ref="X19" si="127">FIND(",",T19,V19+1)</f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  <c r="AC19" s="167" t="s">
        <v>279</v>
      </c>
      <c r="AD19" s="166" t="s">
        <v>434</v>
      </c>
      <c r="AE19" s="47"/>
      <c r="AG19" s="49">
        <v>1568</v>
      </c>
    </row>
    <row r="20" spans="1:33" ht="29" customHeight="1" x14ac:dyDescent="0.15">
      <c r="A20" s="164">
        <v>39013608</v>
      </c>
      <c r="B20" s="123" t="str">
        <f t="shared" ref="B20:B21" si="128">"[effect:enemy_message, val1:"&amp;TEXT(IF(TEXT(E20,0)="[表示しない]", "0", IF(LEN(SUBSTITUTE(E20,CHAR(13),""))*0.1&lt;1.2, 1.2, LEN(SUBSTITUTE(E20,CHAR(13),""))*0.1)), "0.0")&amp;", val2:"&amp;TEXT(IF(TEXT(F20,0)="[表示しない]", "0", IF(LEN(SUBSTITUTE(F20,CHAR(13),""))*0.1&lt;1.2, 1.2, LEN(SUBSTITUTE(F20,CHAR(13),""))*0.1)),"0.0")&amp;"]"&amp;IF(LEN(AC20)&gt;0, ","&amp;SUBSTITUTE(AC20,CHAR(13),""),SUBSTITUTE(AC20,CHAR(13),""))</f>
        <v>[effect:enemy_message, val1:2.0, val2:1.2],[effect:tolerance, target:myself, turn:-1, count:-1, tolerance_effect:sleep, animation:enemy_tolerance]</v>
      </c>
      <c r="C20" s="165">
        <v>1</v>
      </c>
      <c r="D20" s="165" t="s">
        <v>127</v>
      </c>
      <c r="E20" s="166" t="s">
        <v>440</v>
      </c>
      <c r="F20" s="166" t="s">
        <v>296</v>
      </c>
      <c r="G20" s="62" t="str">
        <f t="shared" ref="G20:G21" si="129">IFERROR(LEFT(B20,FIND("],",B20)),B20)</f>
        <v>[effect:enemy_message, val1:2.0, val2:1.2]</v>
      </c>
      <c r="H20" s="62">
        <f t="shared" ref="H20:H21" si="130">FIND("effect:",G20)+7</f>
        <v>9</v>
      </c>
      <c r="I20" s="62">
        <f t="shared" ref="I20:I21" si="131">IFERROR(FIND(",",G20),LEN(G20))</f>
        <v>22</v>
      </c>
      <c r="J20" s="62" t="e">
        <f t="shared" ref="J20:J21" si="132">FIND("target:",G20)+7</f>
        <v>#VALUE!</v>
      </c>
      <c r="K20" s="62">
        <f t="shared" ref="K20:K21" si="133">FIND(",",G20,I20+1)</f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ref="M20:M21" si="134">IFERROR(RIGHT(B20,LEN(B20)-FIND("],",B20)-1),"none")</f>
        <v>[effect:tolerance, target:myself, turn:-1, count:-1, tolerance_effect:sleep, animation:enemy_tolerance]</v>
      </c>
      <c r="N20" s="48" t="str">
        <f>IFERROR(LEFT(M20,FIND("],",M20)+#REF!),M20)</f>
        <v>[effect:tolerance, target:myself, turn:-1, count:-1, tolerance_effect:sleep, animation:enemy_tolerance]</v>
      </c>
      <c r="O20" s="62">
        <f t="shared" ref="O20:O21" si="135">FIND("effect:",N20)+7</f>
        <v>9</v>
      </c>
      <c r="P20" s="62">
        <f t="shared" ref="P20:P21" si="136">IFERROR(FIND(",",N20),LEN(N20))</f>
        <v>18</v>
      </c>
      <c r="Q20" s="62">
        <f t="shared" ref="Q20:Q21" si="137">FIND("target:",N20)+7</f>
        <v>27</v>
      </c>
      <c r="R20" s="62">
        <f t="shared" ref="R20:R21" si="138">FIND(",",N20,P20+1)</f>
        <v>33</v>
      </c>
      <c r="S20" s="62" t="str">
        <f>IFERROR(VLOOKUP(MID(N20,Q20,R20-Q20),[6]skilldef!$C:$D,2,FALSE),"-") &amp; " / " &amp; IFERROR(VLOOKUP(MID(N20,O20,P20-O20),[6]skilldef!$A:$B,2,FALSE),"-")</f>
        <v>自分自身に / 状態異常耐性</v>
      </c>
      <c r="T20" s="48" t="str">
        <f t="shared" ref="T20:T21" si="139">IFERROR(RIGHT(M20,LEN(M20)-FIND("],",M20)-1),"none")</f>
        <v>none</v>
      </c>
      <c r="U20" s="62" t="e">
        <f t="shared" ref="U20:U21" si="140">FIND("effect:",T20)+7</f>
        <v>#VALUE!</v>
      </c>
      <c r="V20" s="62">
        <f t="shared" ref="V20:V21" si="141">IFERROR(FIND(",",T20),LEN(T20))</f>
        <v>4</v>
      </c>
      <c r="W20" s="62" t="e">
        <f t="shared" ref="W20:W21" si="142">FIND("target:",T20)+7</f>
        <v>#VALUE!</v>
      </c>
      <c r="X20" s="62" t="e">
        <f t="shared" ref="X20:X21" si="143">FIND(",",T20,V20+1)</f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  <c r="AC20" s="167" t="s">
        <v>279</v>
      </c>
      <c r="AD20" s="166" t="s">
        <v>435</v>
      </c>
      <c r="AE20" s="47"/>
      <c r="AG20" s="49">
        <v>1569</v>
      </c>
    </row>
    <row r="21" spans="1:33" ht="35" customHeight="1" x14ac:dyDescent="0.15">
      <c r="A21" s="164">
        <v>39013609</v>
      </c>
      <c r="B21" s="123" t="str">
        <f t="shared" si="128"/>
        <v>[effect:enemy_message, val1:2.0, val2:1.2],[effect:tolerance, target:myself, turn:-1, count:-1, tolerance_effect:sleep, animation:enemy_tolerance]</v>
      </c>
      <c r="C21" s="165">
        <v>1</v>
      </c>
      <c r="D21" s="165" t="s">
        <v>127</v>
      </c>
      <c r="E21" s="166" t="s">
        <v>440</v>
      </c>
      <c r="F21" s="166" t="s">
        <v>296</v>
      </c>
      <c r="G21" s="62" t="str">
        <f t="shared" si="129"/>
        <v>[effect:enemy_message, val1:2.0, val2:1.2]</v>
      </c>
      <c r="H21" s="62">
        <f t="shared" si="130"/>
        <v>9</v>
      </c>
      <c r="I21" s="62">
        <f t="shared" si="131"/>
        <v>22</v>
      </c>
      <c r="J21" s="62" t="e">
        <f t="shared" si="132"/>
        <v>#VALUE!</v>
      </c>
      <c r="K21" s="62">
        <f t="shared" si="133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134"/>
        <v>[effect:tolerance, target:myself, turn:-1, count:-1, tolerance_effect:sleep, animation:enemy_tolerance]</v>
      </c>
      <c r="N21" s="48" t="str">
        <f>IFERROR(LEFT(M21,FIND("],",M21)+#REF!),M21)</f>
        <v>[effect:tolerance, target:myself, turn:-1, count:-1, tolerance_effect:sleep, animation:enemy_tolerance]</v>
      </c>
      <c r="O21" s="62">
        <f t="shared" si="135"/>
        <v>9</v>
      </c>
      <c r="P21" s="62">
        <f t="shared" si="136"/>
        <v>18</v>
      </c>
      <c r="Q21" s="62">
        <f t="shared" si="137"/>
        <v>27</v>
      </c>
      <c r="R21" s="62">
        <f t="shared" si="138"/>
        <v>33</v>
      </c>
      <c r="S21" s="62" t="str">
        <f>IFERROR(VLOOKUP(MID(N21,Q21,R21-Q21),[6]skilldef!$C:$D,2,FALSE),"-") &amp; " / " &amp; IFERROR(VLOOKUP(MID(N21,O21,P21-O21),[6]skilldef!$A:$B,2,FALSE),"-")</f>
        <v>自分自身に / 状態異常耐性</v>
      </c>
      <c r="T21" s="48" t="str">
        <f t="shared" si="139"/>
        <v>none</v>
      </c>
      <c r="U21" s="62" t="e">
        <f t="shared" si="140"/>
        <v>#VALUE!</v>
      </c>
      <c r="V21" s="62">
        <f t="shared" si="141"/>
        <v>4</v>
      </c>
      <c r="W21" s="62" t="e">
        <f t="shared" si="142"/>
        <v>#VALUE!</v>
      </c>
      <c r="X21" s="62" t="e">
        <f t="shared" si="143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  <c r="AC21" s="167" t="s">
        <v>279</v>
      </c>
      <c r="AD21" s="166" t="s">
        <v>436</v>
      </c>
      <c r="AE21" s="47"/>
      <c r="AG21" s="49">
        <v>1570</v>
      </c>
    </row>
    <row r="22" spans="1:33" ht="37" customHeight="1" x14ac:dyDescent="0.15">
      <c r="A22" s="105">
        <v>39013212</v>
      </c>
      <c r="B22" s="123" t="str">
        <f t="shared" si="16"/>
        <v>[effect:enemy_message, val1:1.5, val2:2.3],[effect:enhance_enemy, target:myself, turn:-1, status:attack, val:0.9, calc:mul, animation:enemy_enhance_attack]</v>
      </c>
      <c r="C22" s="106">
        <v>1</v>
      </c>
      <c r="D22" s="106" t="s">
        <v>127</v>
      </c>
      <c r="E22" s="107" t="s">
        <v>423</v>
      </c>
      <c r="F22" s="107" t="s">
        <v>424</v>
      </c>
      <c r="G22" s="62" t="str">
        <f t="shared" si="17"/>
        <v>[effect:enemy_message, val1:1.5, val2:2.3]</v>
      </c>
      <c r="H22" s="62">
        <f t="shared" si="18"/>
        <v>9</v>
      </c>
      <c r="I22" s="62">
        <f t="shared" si="19"/>
        <v>22</v>
      </c>
      <c r="J22" s="62" t="e">
        <f t="shared" si="20"/>
        <v>#VALUE!</v>
      </c>
      <c r="K22" s="62">
        <f t="shared" si="21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22"/>
        <v>[effect:enhance_enemy, target:myself, turn:-1, status:attack, val:0.9, calc:mul, animation:enemy_enhance_attack]</v>
      </c>
      <c r="N22" s="48" t="str">
        <f>IFERROR(LEFT(M22,FIND("],",M22)+S33),M22)</f>
        <v>[effect:enhance_enemy, target:myself, turn:-1, status:attack, val:0.9, calc:mul, animation:enemy_enhance_attack]</v>
      </c>
      <c r="O22" s="62">
        <f t="shared" si="23"/>
        <v>9</v>
      </c>
      <c r="P22" s="62">
        <f t="shared" si="24"/>
        <v>22</v>
      </c>
      <c r="Q22" s="62">
        <f t="shared" si="25"/>
        <v>31</v>
      </c>
      <c r="R22" s="62">
        <f t="shared" si="26"/>
        <v>37</v>
      </c>
      <c r="S22" s="62" t="str">
        <f>IFERROR(VLOOKUP(MID(N22,Q22,R22-Q22),[6]skilldef!$C:$D,2,FALSE),"-") &amp; " / " &amp; IFERROR(VLOOKUP(MID(N22,O22,P22-O22),[6]skilldef!$A:$B,2,FALSE),"-")</f>
        <v>自分自身に / ステータス強化</v>
      </c>
      <c r="T22" s="48" t="str">
        <f t="shared" si="27"/>
        <v>none</v>
      </c>
      <c r="U22" s="62" t="e">
        <f t="shared" si="28"/>
        <v>#VALUE!</v>
      </c>
      <c r="V22" s="62">
        <f t="shared" si="29"/>
        <v>4</v>
      </c>
      <c r="W22" s="62" t="e">
        <f t="shared" si="30"/>
        <v>#VALUE!</v>
      </c>
      <c r="X22" s="62" t="e">
        <f t="shared" si="31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  <c r="AC22" s="119" t="s">
        <v>382</v>
      </c>
      <c r="AD22" s="107" t="s">
        <v>297</v>
      </c>
      <c r="AE22" s="47" t="s">
        <v>365</v>
      </c>
      <c r="AG22" s="49">
        <v>1571</v>
      </c>
    </row>
    <row r="23" spans="1:33" ht="56" customHeight="1" x14ac:dyDescent="0.15">
      <c r="A23" s="105">
        <v>39013213</v>
      </c>
      <c r="B23" s="123" t="str">
        <f t="shared" si="16"/>
        <v>[effect:enemy_message, val1:1.2, val2:3.5],[effect:enemy_counter, target:myself, invoke_condition:unit_all, counter_target:attacker, turn:1, val:0.6, animation:enemy_counter],[effect:drop_block, block_type:crack_bomb, color:block_all, val:16, rate:0.2, turn:1, animation:bomb_influence04]</v>
      </c>
      <c r="C23" s="106">
        <v>1</v>
      </c>
      <c r="D23" s="106" t="s">
        <v>127</v>
      </c>
      <c r="E23" s="107" t="s">
        <v>316</v>
      </c>
      <c r="F23" s="107" t="s">
        <v>392</v>
      </c>
      <c r="G23" s="62" t="str">
        <f t="shared" si="17"/>
        <v>[effect:enemy_message, val1:1.2, val2:3.5]</v>
      </c>
      <c r="H23" s="62">
        <f t="shared" si="18"/>
        <v>9</v>
      </c>
      <c r="I23" s="62">
        <f t="shared" si="19"/>
        <v>22</v>
      </c>
      <c r="J23" s="62" t="e">
        <f t="shared" si="20"/>
        <v>#VALUE!</v>
      </c>
      <c r="K23" s="62">
        <f t="shared" si="21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22"/>
        <v>[effect:enemy_counter, target:myself, invoke_condition:unit_all, counter_target:attacker, turn:1, val:0.6, animation:enemy_counter],[effect:drop_block, block_type:crack_bomb, color:block_all, val:16, rate:0.2, turn:1, animation:bomb_influence04]</v>
      </c>
      <c r="N23" s="48" t="str">
        <f>IFERROR(LEFT(M23,FIND("],",M23)+S34),M23)</f>
        <v>[effect:enemy_counter, target:myself, invoke_condition:unit_all, counter_target:attacker, turn:1, val:0.6, animation:enemy_counter],[effect:drop_block, block_type:crack_bomb, color:block_all, val:16, rate:0.2, turn:1, animation:bomb_influence04]</v>
      </c>
      <c r="O23" s="62">
        <f t="shared" si="23"/>
        <v>9</v>
      </c>
      <c r="P23" s="62">
        <f t="shared" si="24"/>
        <v>22</v>
      </c>
      <c r="Q23" s="62">
        <f t="shared" si="25"/>
        <v>31</v>
      </c>
      <c r="R23" s="62">
        <f t="shared" si="26"/>
        <v>37</v>
      </c>
      <c r="S23" s="62" t="str">
        <f>IFERROR(VLOOKUP(MID(N23,Q23,R23-Q23),[6]skilldef!$C:$D,2,FALSE),"-") &amp; " / " &amp; IFERROR(VLOOKUP(MID(N23,O23,P23-O23),[6]skilldef!$A:$B,2,FALSE),"-")</f>
        <v>自分自身に / カウンター</v>
      </c>
      <c r="T23" s="48" t="str">
        <f t="shared" si="27"/>
        <v>[effect:drop_block, block_type:crack_bomb, color:block_all, val:16, rate:0.2, turn:1, animation:bomb_influence04]</v>
      </c>
      <c r="U23" s="62">
        <f t="shared" si="28"/>
        <v>9</v>
      </c>
      <c r="V23" s="62">
        <f t="shared" si="29"/>
        <v>19</v>
      </c>
      <c r="W23" s="62" t="e">
        <f t="shared" si="30"/>
        <v>#VALUE!</v>
      </c>
      <c r="X23" s="62">
        <f t="shared" si="31"/>
        <v>42</v>
      </c>
      <c r="Y23" s="62" t="str">
        <f>IFERROR(VLOOKUP(MID(T23,W23,X23-W23),[6]skilldef!$C:$D,2,FALSE),"-") &amp; " / " &amp; IFERROR(VLOOKUP(MID(T23,U23,V23-U23),[6]skilldef!$A:$B,2,FALSE),"-")</f>
        <v>- / 特定ブロックの割合ドロップ</v>
      </c>
      <c r="Z23" s="50"/>
      <c r="AA23" s="51"/>
      <c r="AB23" s="50"/>
      <c r="AC23" s="119" t="s">
        <v>334</v>
      </c>
      <c r="AD23" s="107" t="s">
        <v>291</v>
      </c>
      <c r="AE23" s="47" t="s">
        <v>386</v>
      </c>
      <c r="AG23" s="49">
        <v>1572</v>
      </c>
    </row>
    <row r="24" spans="1:33" ht="35" customHeight="1" x14ac:dyDescent="0.15">
      <c r="A24" s="105">
        <v>39013214</v>
      </c>
      <c r="B24" s="123" t="str">
        <f t="shared" si="16"/>
        <v>[effect:enemy_message, val1:1.2, val2:1.2],[effect:rush, count:1, val:0.5],[effect:dark, target:unit_all, turn:1, animation:enemy_dark]</v>
      </c>
      <c r="C24" s="106">
        <v>1</v>
      </c>
      <c r="D24" s="106" t="s">
        <v>127</v>
      </c>
      <c r="E24" s="107" t="s">
        <v>325</v>
      </c>
      <c r="F24" s="107" t="s">
        <v>293</v>
      </c>
      <c r="G24" s="62" t="str">
        <f t="shared" si="17"/>
        <v>[effect:enemy_message, val1:1.2, val2:1.2]</v>
      </c>
      <c r="H24" s="62">
        <f t="shared" si="18"/>
        <v>9</v>
      </c>
      <c r="I24" s="62">
        <f t="shared" si="19"/>
        <v>22</v>
      </c>
      <c r="J24" s="62" t="e">
        <f t="shared" si="20"/>
        <v>#VALUE!</v>
      </c>
      <c r="K24" s="62">
        <f t="shared" si="21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22"/>
        <v>[effect:rush, count:1, val:0.5],[effect:dark, target:unit_all, turn:1, animation:enemy_dark]</v>
      </c>
      <c r="N24" s="48" t="str">
        <f t="shared" ref="N24:N31" si="144">IFERROR(LEFT(M24,FIND("],",M24)+S36),M24)</f>
        <v>[effect:rush, count:1, val:0.5],[effect:dark, target:unit_all, turn:1, animation:enemy_dark]</v>
      </c>
      <c r="O24" s="62">
        <f t="shared" si="23"/>
        <v>9</v>
      </c>
      <c r="P24" s="62">
        <f t="shared" si="24"/>
        <v>13</v>
      </c>
      <c r="Q24" s="62">
        <f t="shared" si="25"/>
        <v>54</v>
      </c>
      <c r="R24" s="62">
        <f t="shared" si="26"/>
        <v>22</v>
      </c>
      <c r="S24" s="62" t="str">
        <f>IFERROR(VLOOKUP(MID(N24,Q24,R24-Q24),[6]skilldef!$C:$D,2,FALSE),"-") &amp; " / " &amp; IFERROR(VLOOKUP(MID(N24,O24,P24-O24),[6]skilldef!$A:$B,2,FALSE),"-")</f>
        <v>- / 連続攻撃</v>
      </c>
      <c r="T24" s="48" t="str">
        <f t="shared" si="27"/>
        <v>[effect:dark, target:unit_all, turn:1, animation:enemy_dark]</v>
      </c>
      <c r="U24" s="62">
        <f t="shared" si="28"/>
        <v>9</v>
      </c>
      <c r="V24" s="62">
        <f t="shared" si="29"/>
        <v>13</v>
      </c>
      <c r="W24" s="62">
        <f t="shared" si="30"/>
        <v>22</v>
      </c>
      <c r="X24" s="62">
        <f t="shared" si="31"/>
        <v>30</v>
      </c>
      <c r="Y24" s="62" t="str">
        <f>IFERROR(VLOOKUP(MID(T24,W24,X24-W24),[6]skilldef!$C:$D,2,FALSE),"-") &amp; " / " &amp; IFERROR(VLOOKUP(MID(T24,U24,V24-U24),[6]skilldef!$A:$B,2,FALSE),"-")</f>
        <v>味方全体に / 暗黒</v>
      </c>
      <c r="Z24" s="50"/>
      <c r="AA24" s="51"/>
      <c r="AB24" s="50"/>
      <c r="AC24" s="119" t="s">
        <v>358</v>
      </c>
      <c r="AD24" s="107" t="s">
        <v>292</v>
      </c>
      <c r="AE24" s="47" t="s">
        <v>387</v>
      </c>
      <c r="AG24" s="49">
        <v>1573</v>
      </c>
    </row>
    <row r="25" spans="1:33" ht="21" customHeight="1" x14ac:dyDescent="0.15">
      <c r="A25" s="105">
        <v>39013215</v>
      </c>
      <c r="B25" s="123" t="str">
        <f t="shared" si="16"/>
        <v>[effect:enemy_message, val1:1.2, val2:0.0]</v>
      </c>
      <c r="C25" s="106">
        <v>1</v>
      </c>
      <c r="D25" s="106" t="s">
        <v>127</v>
      </c>
      <c r="E25" s="107" t="s">
        <v>327</v>
      </c>
      <c r="F25" s="107" t="s">
        <v>321</v>
      </c>
      <c r="G25" s="62" t="str">
        <f t="shared" si="17"/>
        <v>[effect:enemy_message, val1:1.2, val2:0.0]</v>
      </c>
      <c r="H25" s="62">
        <f t="shared" si="18"/>
        <v>9</v>
      </c>
      <c r="I25" s="62">
        <f t="shared" si="19"/>
        <v>22</v>
      </c>
      <c r="J25" s="62" t="e">
        <f t="shared" si="20"/>
        <v>#VALUE!</v>
      </c>
      <c r="K25" s="62">
        <f t="shared" si="21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22"/>
        <v>none</v>
      </c>
      <c r="N25" s="48" t="str">
        <f t="shared" si="144"/>
        <v>none</v>
      </c>
      <c r="O25" s="62" t="e">
        <f t="shared" si="23"/>
        <v>#VALUE!</v>
      </c>
      <c r="P25" s="62">
        <f t="shared" si="24"/>
        <v>4</v>
      </c>
      <c r="Q25" s="62" t="e">
        <f t="shared" si="25"/>
        <v>#VALUE!</v>
      </c>
      <c r="R25" s="62" t="e">
        <f t="shared" si="26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8" t="str">
        <f t="shared" si="27"/>
        <v>none</v>
      </c>
      <c r="U25" s="62" t="e">
        <f t="shared" si="28"/>
        <v>#VALUE!</v>
      </c>
      <c r="V25" s="62">
        <f t="shared" si="29"/>
        <v>4</v>
      </c>
      <c r="W25" s="62" t="e">
        <f t="shared" si="30"/>
        <v>#VALUE!</v>
      </c>
      <c r="X25" s="62" t="e">
        <f t="shared" si="31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  <c r="AC25" s="119"/>
      <c r="AD25" s="107" t="s">
        <v>263</v>
      </c>
      <c r="AE25" s="47" t="s">
        <v>388</v>
      </c>
      <c r="AG25" s="49">
        <v>1574</v>
      </c>
    </row>
    <row r="26" spans="1:33" ht="29" customHeight="1" x14ac:dyDescent="0.15">
      <c r="A26" s="105">
        <v>39013216</v>
      </c>
      <c r="B26" s="123" t="str">
        <f t="shared" ref="B26" si="145">"[effect:enemy_message, val1:"&amp;TEXT(IF(TEXT(E26,0)="[表示しない]", "0", IF(LEN(SUBSTITUTE(E26,CHAR(13),""))*0.1&lt;1.2, 1.2, LEN(SUBSTITUTE(E26,CHAR(13),""))*0.1)), "0.0")&amp;", val2:"&amp;TEXT(IF(TEXT(F26,0)="[表示しない]", "0", IF(LEN(SUBSTITUTE(F26,CHAR(13),""))*0.1&lt;1.2, 1.2, LEN(SUBSTITUTE(F26,CHAR(13),""))*0.1)),"0.0")&amp;"]"&amp;IF(LEN(AC26)&gt;0, ","&amp;SUBSTITUTE(AC26,CHAR(13),""),SUBSTITUTE(AC26,CHAR(13),""))</f>
        <v>[effect:enemy_message, val1:2.5, val2:0.0]</v>
      </c>
      <c r="C26" s="106">
        <v>1</v>
      </c>
      <c r="D26" s="106" t="s">
        <v>127</v>
      </c>
      <c r="E26" s="107" t="s">
        <v>348</v>
      </c>
      <c r="F26" s="107" t="s">
        <v>321</v>
      </c>
      <c r="G26" s="62" t="str">
        <f t="shared" ref="G26" si="146">IFERROR(LEFT(B26,FIND("],",B26)),B26)</f>
        <v>[effect:enemy_message, val1:2.5, val2:0.0]</v>
      </c>
      <c r="H26" s="62">
        <f t="shared" ref="H26" si="147">FIND("effect:",G26)+7</f>
        <v>9</v>
      </c>
      <c r="I26" s="62">
        <f t="shared" ref="I26" si="148">IFERROR(FIND(",",G26),LEN(G26))</f>
        <v>22</v>
      </c>
      <c r="J26" s="62" t="e">
        <f t="shared" ref="J26" si="149">FIND("target:",G26)+7</f>
        <v>#VALUE!</v>
      </c>
      <c r="K26" s="62">
        <f t="shared" ref="K26" si="150">FIND(",",G26,I26+1)</f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ref="M26" si="151">IFERROR(RIGHT(B26,LEN(B26)-FIND("],",B26)-1),"none")</f>
        <v>none</v>
      </c>
      <c r="N26" s="48" t="str">
        <f t="shared" si="144"/>
        <v>none</v>
      </c>
      <c r="O26" s="62" t="e">
        <f t="shared" ref="O26" si="152">FIND("effect:",N26)+7</f>
        <v>#VALUE!</v>
      </c>
      <c r="P26" s="62">
        <f t="shared" ref="P26" si="153">IFERROR(FIND(",",N26),LEN(N26))</f>
        <v>4</v>
      </c>
      <c r="Q26" s="62" t="e">
        <f t="shared" ref="Q26" si="154">FIND("target:",N26)+7</f>
        <v>#VALUE!</v>
      </c>
      <c r="R26" s="62" t="e">
        <f t="shared" ref="R26" si="155">FIND(",",N26,P26+1)</f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8" t="str">
        <f t="shared" ref="T26" si="156">IFERROR(RIGHT(M26,LEN(M26)-FIND("],",M26)-1),"none")</f>
        <v>none</v>
      </c>
      <c r="U26" s="62" t="e">
        <f t="shared" ref="U26" si="157">FIND("effect:",T26)+7</f>
        <v>#VALUE!</v>
      </c>
      <c r="V26" s="62">
        <f t="shared" ref="V26" si="158">IFERROR(FIND(",",T26),LEN(T26))</f>
        <v>4</v>
      </c>
      <c r="W26" s="62" t="e">
        <f t="shared" ref="W26" si="159">FIND("target:",T26)+7</f>
        <v>#VALUE!</v>
      </c>
      <c r="X26" s="62" t="e">
        <f t="shared" ref="X26" si="160">FIND(",",T26,V26+1)</f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  <c r="AC26" s="119"/>
      <c r="AD26" s="107" t="s">
        <v>263</v>
      </c>
      <c r="AE26" s="47" t="s">
        <v>365</v>
      </c>
      <c r="AG26" s="49">
        <v>1575</v>
      </c>
    </row>
    <row r="27" spans="1:33" ht="29" customHeight="1" x14ac:dyDescent="0.15">
      <c r="A27" s="109">
        <v>39013221</v>
      </c>
      <c r="B27" s="123" t="str">
        <f t="shared" ref="B27" si="161">"[effect:enemy_message, val1:"&amp;TEXT(IF(TEXT(E27,0)="[表示しない]", "0", IF(LEN(SUBSTITUTE(E27,CHAR(13),""))*0.1&lt;1.2, 1.2, LEN(SUBSTITUTE(E27,CHAR(13),""))*0.1)), "0.0")&amp;", val2:"&amp;TEXT(IF(TEXT(F27,0)="[表示しない]", "0", IF(LEN(SUBSTITUTE(F27,CHAR(13),""))*0.1&lt;1.2, 1.2, LEN(SUBSTITUTE(F27,CHAR(13),""))*0.1)),"0.0")&amp;"]"&amp;IF(LEN(AC27)&gt;0, ","&amp;SUBSTITUTE(AC27,CHAR(13),""),SUBSTITUTE(AC27,CHAR(13),""))</f>
        <v>[effect:enemy_message, val1:1.2, val2:1.2],[effect:rush, count:1, val:1.0]</v>
      </c>
      <c r="C27" s="110">
        <v>1</v>
      </c>
      <c r="D27" s="110" t="s">
        <v>127</v>
      </c>
      <c r="E27" s="111" t="s">
        <v>328</v>
      </c>
      <c r="F27" s="111" t="s">
        <v>298</v>
      </c>
      <c r="G27" s="62" t="str">
        <f t="shared" ref="G27" si="162">IFERROR(LEFT(B27,FIND("],",B27)),B27)</f>
        <v>[effect:enemy_message, val1:1.2, val2:1.2]</v>
      </c>
      <c r="H27" s="62">
        <f t="shared" ref="H27" si="163">FIND("effect:",G27)+7</f>
        <v>9</v>
      </c>
      <c r="I27" s="62">
        <f t="shared" ref="I27" si="164">IFERROR(FIND(",",G27),LEN(G27))</f>
        <v>22</v>
      </c>
      <c r="J27" s="62" t="e">
        <f t="shared" ref="J27" si="165">FIND("target:",G27)+7</f>
        <v>#VALUE!</v>
      </c>
      <c r="K27" s="62">
        <f t="shared" ref="K27" si="166">FIND(",",G27,I27+1)</f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ref="M27" si="167">IFERROR(RIGHT(B27,LEN(B27)-FIND("],",B27)-1),"none")</f>
        <v>[effect:rush, count:1, val:1.0]</v>
      </c>
      <c r="N27" s="48" t="str">
        <f t="shared" si="144"/>
        <v>[effect:rush, count:1, val:1.0]</v>
      </c>
      <c r="O27" s="62">
        <f t="shared" ref="O27" si="168">FIND("effect:",N27)+7</f>
        <v>9</v>
      </c>
      <c r="P27" s="62">
        <f t="shared" ref="P27" si="169">IFERROR(FIND(",",N27),LEN(N27))</f>
        <v>13</v>
      </c>
      <c r="Q27" s="62" t="e">
        <f t="shared" ref="Q27" si="170">FIND("target:",N27)+7</f>
        <v>#VALUE!</v>
      </c>
      <c r="R27" s="62">
        <f t="shared" ref="R27" si="171">FIND(",",N27,P27+1)</f>
        <v>22</v>
      </c>
      <c r="S27" s="62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ref="T27" si="172">IFERROR(RIGHT(M27,LEN(M27)-FIND("],",M27)-1),"none")</f>
        <v>none</v>
      </c>
      <c r="U27" s="62" t="e">
        <f t="shared" ref="U27" si="173">FIND("effect:",T27)+7</f>
        <v>#VALUE!</v>
      </c>
      <c r="V27" s="62">
        <f t="shared" ref="V27" si="174">IFERROR(FIND(",",T27),LEN(T27))</f>
        <v>4</v>
      </c>
      <c r="W27" s="62" t="e">
        <f t="shared" ref="W27" si="175">FIND("target:",T27)+7</f>
        <v>#VALUE!</v>
      </c>
      <c r="X27" s="62" t="e">
        <f t="shared" ref="X27" si="176">FIND(",",T27,V27+1)</f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  <c r="AC27" s="120" t="s">
        <v>286</v>
      </c>
      <c r="AD27" s="111" t="s">
        <v>285</v>
      </c>
      <c r="AE27" s="47" t="s">
        <v>365</v>
      </c>
      <c r="AG27" s="49">
        <v>1576</v>
      </c>
    </row>
    <row r="28" spans="1:33" ht="29" customHeight="1" x14ac:dyDescent="0.15">
      <c r="A28" s="109">
        <v>39013222</v>
      </c>
      <c r="B28" s="123" t="str">
        <f t="shared" si="16"/>
        <v>[effect:enemy_message, val1:1.2, val2:1.2],[effect:rush, count:1, val:1.1]</v>
      </c>
      <c r="C28" s="110">
        <v>1</v>
      </c>
      <c r="D28" s="110" t="s">
        <v>127</v>
      </c>
      <c r="E28" s="111" t="s">
        <v>314</v>
      </c>
      <c r="F28" s="111" t="s">
        <v>298</v>
      </c>
      <c r="G28" s="62" t="str">
        <f t="shared" si="17"/>
        <v>[effect:enemy_message, val1:1.2, val2:1.2]</v>
      </c>
      <c r="H28" s="62">
        <f t="shared" si="18"/>
        <v>9</v>
      </c>
      <c r="I28" s="62">
        <f t="shared" si="19"/>
        <v>22</v>
      </c>
      <c r="J28" s="62" t="e">
        <f t="shared" si="20"/>
        <v>#VALUE!</v>
      </c>
      <c r="K28" s="62">
        <f t="shared" si="21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22"/>
        <v>[effect:rush, count:1, val:1.1]</v>
      </c>
      <c r="N28" s="48" t="str">
        <f t="shared" si="144"/>
        <v>[effect:rush, count:1, val:1.1]</v>
      </c>
      <c r="O28" s="62">
        <f t="shared" si="23"/>
        <v>9</v>
      </c>
      <c r="P28" s="62">
        <f t="shared" si="24"/>
        <v>13</v>
      </c>
      <c r="Q28" s="62" t="e">
        <f t="shared" si="25"/>
        <v>#VALUE!</v>
      </c>
      <c r="R28" s="62">
        <f t="shared" si="26"/>
        <v>22</v>
      </c>
      <c r="S28" s="62" t="str">
        <f>IFERROR(VLOOKUP(MID(N28,Q28,R28-Q28),[6]skilldef!$C:$D,2,FALSE),"-") &amp; " / " &amp; IFERROR(VLOOKUP(MID(N28,O28,P28-O28),[6]skilldef!$A:$B,2,FALSE),"-")</f>
        <v>- / 連続攻撃</v>
      </c>
      <c r="T28" s="48" t="str">
        <f t="shared" si="27"/>
        <v>none</v>
      </c>
      <c r="U28" s="62" t="e">
        <f t="shared" si="28"/>
        <v>#VALUE!</v>
      </c>
      <c r="V28" s="62">
        <f t="shared" si="29"/>
        <v>4</v>
      </c>
      <c r="W28" s="62" t="e">
        <f t="shared" si="30"/>
        <v>#VALUE!</v>
      </c>
      <c r="X28" s="62" t="e">
        <f t="shared" si="31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  <c r="AC28" s="120" t="s">
        <v>280</v>
      </c>
      <c r="AD28" s="111" t="s">
        <v>265</v>
      </c>
      <c r="AE28" s="47" t="s">
        <v>365</v>
      </c>
      <c r="AG28" s="49">
        <v>1577</v>
      </c>
    </row>
    <row r="29" spans="1:33" ht="29" customHeight="1" x14ac:dyDescent="0.15">
      <c r="A29" s="109">
        <v>39013223</v>
      </c>
      <c r="B29" s="123" t="str">
        <f t="shared" si="16"/>
        <v>[effect:enemy_message, val1:1.2, val2:1.2],[effect:rush, count:1, val:1.2]</v>
      </c>
      <c r="C29" s="110">
        <v>1</v>
      </c>
      <c r="D29" s="110" t="s">
        <v>127</v>
      </c>
      <c r="E29" s="111" t="s">
        <v>332</v>
      </c>
      <c r="F29" s="111" t="s">
        <v>298</v>
      </c>
      <c r="G29" s="62" t="str">
        <f t="shared" si="17"/>
        <v>[effect:enemy_message, val1:1.2, val2:1.2]</v>
      </c>
      <c r="H29" s="62">
        <f t="shared" si="18"/>
        <v>9</v>
      </c>
      <c r="I29" s="62">
        <f t="shared" si="19"/>
        <v>22</v>
      </c>
      <c r="J29" s="62" t="e">
        <f t="shared" si="20"/>
        <v>#VALUE!</v>
      </c>
      <c r="K29" s="62">
        <f t="shared" si="21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22"/>
        <v>[effect:rush, count:1, val:1.2]</v>
      </c>
      <c r="N29" s="48" t="str">
        <f t="shared" si="144"/>
        <v>[effect:rush, count:1, val:1.2]</v>
      </c>
      <c r="O29" s="62">
        <f t="shared" si="23"/>
        <v>9</v>
      </c>
      <c r="P29" s="62">
        <f t="shared" si="24"/>
        <v>13</v>
      </c>
      <c r="Q29" s="62" t="e">
        <f t="shared" si="25"/>
        <v>#VALUE!</v>
      </c>
      <c r="R29" s="62">
        <f t="shared" si="26"/>
        <v>22</v>
      </c>
      <c r="S29" s="62" t="str">
        <f>IFERROR(VLOOKUP(MID(N29,Q29,R29-Q29),[6]skilldef!$C:$D,2,FALSE),"-") &amp; " / " &amp; IFERROR(VLOOKUP(MID(N29,O29,P29-O29),[6]skilldef!$A:$B,2,FALSE),"-")</f>
        <v>- / 連続攻撃</v>
      </c>
      <c r="T29" s="48" t="str">
        <f t="shared" si="27"/>
        <v>none</v>
      </c>
      <c r="U29" s="62" t="e">
        <f t="shared" si="28"/>
        <v>#VALUE!</v>
      </c>
      <c r="V29" s="62">
        <f t="shared" si="29"/>
        <v>4</v>
      </c>
      <c r="W29" s="62" t="e">
        <f t="shared" si="30"/>
        <v>#VALUE!</v>
      </c>
      <c r="X29" s="62" t="e">
        <f t="shared" si="31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  <c r="AC29" s="120" t="s">
        <v>281</v>
      </c>
      <c r="AD29" s="111" t="s">
        <v>287</v>
      </c>
      <c r="AE29" s="47" t="s">
        <v>365</v>
      </c>
      <c r="AG29" s="49">
        <v>1578</v>
      </c>
    </row>
    <row r="30" spans="1:33" ht="29" customHeight="1" x14ac:dyDescent="0.15">
      <c r="A30" s="109">
        <v>39013224</v>
      </c>
      <c r="B30" s="123" t="str">
        <f t="shared" si="16"/>
        <v>[effect:enemy_message, val1:1.2, val2:1.2],[effect:rush, count:1, val:1.3]</v>
      </c>
      <c r="C30" s="110">
        <v>1</v>
      </c>
      <c r="D30" s="110" t="s">
        <v>127</v>
      </c>
      <c r="E30" s="111" t="s">
        <v>332</v>
      </c>
      <c r="F30" s="111" t="s">
        <v>298</v>
      </c>
      <c r="G30" s="62" t="str">
        <f t="shared" si="17"/>
        <v>[effect:enemy_message, val1:1.2, val2:1.2]</v>
      </c>
      <c r="H30" s="62">
        <f t="shared" si="18"/>
        <v>9</v>
      </c>
      <c r="I30" s="62">
        <f t="shared" si="19"/>
        <v>22</v>
      </c>
      <c r="J30" s="62" t="e">
        <f t="shared" si="20"/>
        <v>#VALUE!</v>
      </c>
      <c r="K30" s="62">
        <f t="shared" si="21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22"/>
        <v>[effect:rush, count:1, val:1.3]</v>
      </c>
      <c r="N30" s="48" t="str">
        <f t="shared" si="144"/>
        <v>[effect:rush, count:1, val:1.3]</v>
      </c>
      <c r="O30" s="62">
        <f t="shared" si="23"/>
        <v>9</v>
      </c>
      <c r="P30" s="62">
        <f t="shared" si="24"/>
        <v>13</v>
      </c>
      <c r="Q30" s="62" t="e">
        <f t="shared" si="25"/>
        <v>#VALUE!</v>
      </c>
      <c r="R30" s="62">
        <f t="shared" si="26"/>
        <v>22</v>
      </c>
      <c r="S30" s="62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si="27"/>
        <v>none</v>
      </c>
      <c r="U30" s="62" t="e">
        <f t="shared" si="28"/>
        <v>#VALUE!</v>
      </c>
      <c r="V30" s="62">
        <f t="shared" si="29"/>
        <v>4</v>
      </c>
      <c r="W30" s="62" t="e">
        <f t="shared" si="30"/>
        <v>#VALUE!</v>
      </c>
      <c r="X30" s="62" t="e">
        <f t="shared" si="31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  <c r="AC30" s="120" t="s">
        <v>282</v>
      </c>
      <c r="AD30" s="111" t="s">
        <v>288</v>
      </c>
      <c r="AE30" s="47" t="s">
        <v>365</v>
      </c>
      <c r="AG30" s="49">
        <v>1579</v>
      </c>
    </row>
    <row r="31" spans="1:33" ht="29" customHeight="1" x14ac:dyDescent="0.15">
      <c r="A31" s="109">
        <v>39013225</v>
      </c>
      <c r="B31" s="123" t="str">
        <f t="shared" si="16"/>
        <v>[effect:enemy_message, val1:1.2, val2:1.2],[effect:rush, count:1, val:1.4]</v>
      </c>
      <c r="C31" s="110">
        <v>1</v>
      </c>
      <c r="D31" s="110" t="s">
        <v>127</v>
      </c>
      <c r="E31" s="111" t="s">
        <v>333</v>
      </c>
      <c r="F31" s="111" t="s">
        <v>298</v>
      </c>
      <c r="G31" s="62" t="str">
        <f t="shared" si="17"/>
        <v>[effect:enemy_message, val1:1.2, val2:1.2]</v>
      </c>
      <c r="H31" s="62">
        <f t="shared" si="18"/>
        <v>9</v>
      </c>
      <c r="I31" s="62">
        <f t="shared" si="19"/>
        <v>22</v>
      </c>
      <c r="J31" s="62" t="e">
        <f t="shared" si="20"/>
        <v>#VALUE!</v>
      </c>
      <c r="K31" s="62">
        <f t="shared" si="21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22"/>
        <v>[effect:rush, count:1, val:1.4]</v>
      </c>
      <c r="N31" s="48" t="str">
        <f t="shared" si="144"/>
        <v>[effect:rush, count:1, val:1.4]</v>
      </c>
      <c r="O31" s="62">
        <f t="shared" si="23"/>
        <v>9</v>
      </c>
      <c r="P31" s="62">
        <f t="shared" si="24"/>
        <v>13</v>
      </c>
      <c r="Q31" s="62" t="e">
        <f t="shared" si="25"/>
        <v>#VALUE!</v>
      </c>
      <c r="R31" s="62">
        <f t="shared" si="26"/>
        <v>22</v>
      </c>
      <c r="S31" s="62" t="str">
        <f>IFERROR(VLOOKUP(MID(N31,Q31,R31-Q31),[6]skilldef!$C:$D,2,FALSE),"-") &amp; " / " &amp; IFERROR(VLOOKUP(MID(N31,O31,P31-O31),[6]skilldef!$A:$B,2,FALSE),"-")</f>
        <v>- / 連続攻撃</v>
      </c>
      <c r="T31" s="48" t="str">
        <f t="shared" si="27"/>
        <v>none</v>
      </c>
      <c r="U31" s="62" t="e">
        <f t="shared" si="28"/>
        <v>#VALUE!</v>
      </c>
      <c r="V31" s="62">
        <f t="shared" si="29"/>
        <v>4</v>
      </c>
      <c r="W31" s="62" t="e">
        <f t="shared" si="30"/>
        <v>#VALUE!</v>
      </c>
      <c r="X31" s="62" t="e">
        <f t="shared" si="31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  <c r="AC31" s="120" t="s">
        <v>283</v>
      </c>
      <c r="AD31" s="111" t="s">
        <v>289</v>
      </c>
      <c r="AE31" s="47" t="s">
        <v>365</v>
      </c>
      <c r="AG31" s="49">
        <v>1580</v>
      </c>
    </row>
    <row r="32" spans="1:33" ht="29" customHeight="1" x14ac:dyDescent="0.15">
      <c r="A32" s="108">
        <v>39013311</v>
      </c>
      <c r="B32" s="123" t="str">
        <f t="shared" si="16"/>
        <v>[effect:enemy_message, val1:1.6, val2:1.2],[effect:tolerance, target:myself, turn:-1, count:-1, tolerance_effect:sleep, animation:enemy_tolerance]</v>
      </c>
      <c r="C32" s="112">
        <v>1</v>
      </c>
      <c r="D32" s="112" t="s">
        <v>127</v>
      </c>
      <c r="E32" s="113" t="s">
        <v>361</v>
      </c>
      <c r="F32" s="113" t="s">
        <v>296</v>
      </c>
      <c r="G32" s="62" t="str">
        <f t="shared" ref="G32:G42" si="177">IFERROR(LEFT(B32,FIND("],",B32)),B32)</f>
        <v>[effect:enemy_message, val1:1.6, val2:1.2]</v>
      </c>
      <c r="H32" s="62">
        <f t="shared" si="18"/>
        <v>9</v>
      </c>
      <c r="I32" s="62">
        <f t="shared" ref="I32:I42" si="178">IFERROR(FIND(",",G32),LEN(G32))</f>
        <v>22</v>
      </c>
      <c r="J32" s="62" t="e">
        <f t="shared" ref="J32:J42" si="179">FIND("target:",G32)+7</f>
        <v>#VALUE!</v>
      </c>
      <c r="K32" s="62">
        <f t="shared" ref="K32:K42" si="180">FIND(",",G32,I32+1)</f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ref="M32:M42" si="181">IFERROR(RIGHT(B32,LEN(B32)-FIND("],",B32)-1),"none")</f>
        <v>[effect:tolerance, target:myself, turn:-1, count:-1, tolerance_effect:sleep, animation:enemy_tolerance]</v>
      </c>
      <c r="N32" s="48" t="str">
        <f>IFERROR(LEFT(M32,FIND("],",M32)+S43),M32)</f>
        <v>[effect:tolerance, target:myself, turn:-1, count:-1, tolerance_effect:sleep, animation:enemy_tolerance]</v>
      </c>
      <c r="O32" s="62">
        <f t="shared" si="23"/>
        <v>9</v>
      </c>
      <c r="P32" s="62">
        <f t="shared" ref="P32:P42" si="182">IFERROR(FIND(",",N32),LEN(N32))</f>
        <v>18</v>
      </c>
      <c r="Q32" s="62">
        <f t="shared" ref="Q32:Q42" si="183">FIND("target:",N32)+7</f>
        <v>27</v>
      </c>
      <c r="R32" s="62">
        <f t="shared" ref="R32:R42" si="184">FIND(",",N32,P32+1)</f>
        <v>33</v>
      </c>
      <c r="S32" s="62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ref="T32:T42" si="185">IFERROR(RIGHT(M32,LEN(M32)-FIND("],",M32)-1),"none")</f>
        <v>none</v>
      </c>
      <c r="U32" s="62" t="e">
        <f t="shared" si="28"/>
        <v>#VALUE!</v>
      </c>
      <c r="V32" s="62">
        <f t="shared" ref="V32:V42" si="186">IFERROR(FIND(",",T32),LEN(T32))</f>
        <v>4</v>
      </c>
      <c r="W32" s="62" t="e">
        <f t="shared" ref="W32:W42" si="187">FIND("target:",T32)+7</f>
        <v>#VALUE!</v>
      </c>
      <c r="X32" s="62" t="e">
        <f t="shared" ref="X32:X42" si="188">FIND(",",T32,V32+1)</f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  <c r="AC32" s="121" t="s">
        <v>279</v>
      </c>
      <c r="AD32" s="113" t="s">
        <v>259</v>
      </c>
      <c r="AE32" s="47"/>
      <c r="AG32" s="49">
        <v>1581</v>
      </c>
    </row>
    <row r="33" spans="1:33" ht="35" customHeight="1" x14ac:dyDescent="0.15">
      <c r="A33" s="108">
        <v>39013312</v>
      </c>
      <c r="B33" s="123" t="str">
        <f t="shared" si="16"/>
        <v>[effect:enemy_message, val1:1.2, val2:2.0],[effect:damage_abnormal, target:unit_one, val:0.9, status:virus, turn:3, val_abnormal:0.3, animation:enemy_virus]</v>
      </c>
      <c r="C33" s="112">
        <v>1</v>
      </c>
      <c r="D33" s="112" t="s">
        <v>127</v>
      </c>
      <c r="E33" s="113" t="s">
        <v>319</v>
      </c>
      <c r="F33" s="113" t="s">
        <v>454</v>
      </c>
      <c r="G33" s="62" t="str">
        <f t="shared" si="177"/>
        <v>[effect:enemy_message, val1:1.2, val2:2.0]</v>
      </c>
      <c r="H33" s="62">
        <f t="shared" si="18"/>
        <v>9</v>
      </c>
      <c r="I33" s="62">
        <f t="shared" si="178"/>
        <v>22</v>
      </c>
      <c r="J33" s="62" t="e">
        <f t="shared" si="179"/>
        <v>#VALUE!</v>
      </c>
      <c r="K33" s="62">
        <f t="shared" si="180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181"/>
        <v>[effect:damage_abnormal, target:unit_one, val:0.9, status:virus, turn:3, val_abnormal:0.3, animation:enemy_virus]</v>
      </c>
      <c r="N33" s="48" t="str">
        <f>IFERROR(LEFT(M33,FIND("],",M33)+S44),M33)</f>
        <v>[effect:damage_abnormal, target:unit_one, val:0.9, status:virus, turn:3, val_abnormal:0.3, animation:enemy_virus]</v>
      </c>
      <c r="O33" s="62">
        <f t="shared" si="23"/>
        <v>9</v>
      </c>
      <c r="P33" s="62">
        <f t="shared" si="182"/>
        <v>24</v>
      </c>
      <c r="Q33" s="62">
        <f t="shared" si="183"/>
        <v>33</v>
      </c>
      <c r="R33" s="62">
        <f t="shared" si="184"/>
        <v>41</v>
      </c>
      <c r="S33" s="62" t="str">
        <f>IFERROR(VLOOKUP(MID(N33,Q33,R33-Q33),[6]skilldef!$C:$D,2,FALSE),"-") &amp; " / " &amp; IFERROR(VLOOKUP(MID(N33,O33,P33-O33),[6]skilldef!$A:$B,2,FALSE),"-")</f>
        <v>味方単体に / -</v>
      </c>
      <c r="T33" s="48" t="str">
        <f t="shared" si="185"/>
        <v>none</v>
      </c>
      <c r="U33" s="62" t="e">
        <f t="shared" si="28"/>
        <v>#VALUE!</v>
      </c>
      <c r="V33" s="62">
        <f t="shared" si="186"/>
        <v>4</v>
      </c>
      <c r="W33" s="62" t="e">
        <f t="shared" si="187"/>
        <v>#VALUE!</v>
      </c>
      <c r="X33" s="62" t="e">
        <f t="shared" si="188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  <c r="AC33" s="121" t="s">
        <v>349</v>
      </c>
      <c r="AD33" s="113" t="s">
        <v>260</v>
      </c>
      <c r="AE33" s="47"/>
      <c r="AG33" s="49">
        <v>1582</v>
      </c>
    </row>
    <row r="34" spans="1:33" ht="48" customHeight="1" x14ac:dyDescent="0.15">
      <c r="A34" s="108">
        <v>39013313</v>
      </c>
      <c r="B34" s="123" t="str">
        <f t="shared" si="16"/>
        <v>[effect:enemy_message, val1:1.2, val2:3.5],[effect:enemy_counter, target:myself, invoke_condition:unit_all, counter_target:attacker, turn:1, val:0.9, animation:enemy_counter],[effect:drop_block, block_type:crack_bomb, color:block_all, val:16, rate:0.2, turn:1, animation:bomb_influence04]</v>
      </c>
      <c r="C34" s="112">
        <v>1</v>
      </c>
      <c r="D34" s="112" t="s">
        <v>127</v>
      </c>
      <c r="E34" s="113" t="s">
        <v>347</v>
      </c>
      <c r="F34" s="113" t="s">
        <v>393</v>
      </c>
      <c r="G34" s="62" t="str">
        <f t="shared" si="177"/>
        <v>[effect:enemy_message, val1:1.2, val2:3.5]</v>
      </c>
      <c r="H34" s="62">
        <f t="shared" si="18"/>
        <v>9</v>
      </c>
      <c r="I34" s="62">
        <f t="shared" si="178"/>
        <v>22</v>
      </c>
      <c r="J34" s="62" t="e">
        <f t="shared" si="179"/>
        <v>#VALUE!</v>
      </c>
      <c r="K34" s="62">
        <f t="shared" si="180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181"/>
        <v>[effect:enemy_counter, target:myself, invoke_condition:unit_all, counter_target:attacker, turn:1, val:0.9, animation:enemy_counter],[effect:drop_block, block_type:crack_bomb, color:block_all, val:16, rate:0.2, turn:1, animation:bomb_influence04]</v>
      </c>
      <c r="N34" s="48" t="str">
        <f>IFERROR(LEFT(M34,FIND("],",M34)+S45),M34)</f>
        <v>[effect:enemy_counter, target:myself, invoke_condition:unit_all, counter_target:attacker, turn:1, val:0.9, animation:enemy_counter],[effect:drop_block, block_type:crack_bomb, color:block_all, val:16, rate:0.2, turn:1, animation:bomb_influence04]</v>
      </c>
      <c r="O34" s="62">
        <f t="shared" si="23"/>
        <v>9</v>
      </c>
      <c r="P34" s="62">
        <f t="shared" si="182"/>
        <v>22</v>
      </c>
      <c r="Q34" s="62">
        <f t="shared" si="183"/>
        <v>31</v>
      </c>
      <c r="R34" s="62">
        <f t="shared" si="184"/>
        <v>37</v>
      </c>
      <c r="S34" s="62" t="str">
        <f>IFERROR(VLOOKUP(MID(N34,Q34,R34-Q34),[6]skilldef!$C:$D,2,FALSE),"-") &amp; " / " &amp; IFERROR(VLOOKUP(MID(N34,O34,P34-O34),[6]skilldef!$A:$B,2,FALSE),"-")</f>
        <v>自分自身に / カウンター</v>
      </c>
      <c r="T34" s="48" t="str">
        <f t="shared" si="185"/>
        <v>[effect:drop_block, block_type:crack_bomb, color:block_all, val:16, rate:0.2, turn:1, animation:bomb_influence04]</v>
      </c>
      <c r="U34" s="62">
        <f t="shared" si="28"/>
        <v>9</v>
      </c>
      <c r="V34" s="62">
        <f t="shared" si="186"/>
        <v>19</v>
      </c>
      <c r="W34" s="62" t="e">
        <f t="shared" si="187"/>
        <v>#VALUE!</v>
      </c>
      <c r="X34" s="62">
        <f t="shared" si="188"/>
        <v>42</v>
      </c>
      <c r="Y34" s="62" t="str">
        <f>IFERROR(VLOOKUP(MID(T34,W34,X34-W34),[6]skilldef!$C:$D,2,FALSE),"-") &amp; " / " &amp; IFERROR(VLOOKUP(MID(T34,U34,V34-U34),[6]skilldef!$A:$B,2,FALSE),"-")</f>
        <v>- / 特定ブロックの割合ドロップ</v>
      </c>
      <c r="Z34" s="50"/>
      <c r="AA34" s="51"/>
      <c r="AB34" s="50"/>
      <c r="AC34" s="121" t="s">
        <v>337</v>
      </c>
      <c r="AD34" s="113" t="s">
        <v>261</v>
      </c>
      <c r="AE34" s="47"/>
      <c r="AG34" s="49">
        <v>1583</v>
      </c>
    </row>
    <row r="35" spans="1:33" ht="21" customHeight="1" x14ac:dyDescent="0.15">
      <c r="A35" s="108">
        <v>39013314</v>
      </c>
      <c r="B35" s="123" t="str">
        <f t="shared" si="16"/>
        <v>[effect:enemy_message, val1:1.2, val2:1.2],[effect:rush, count:3, val:0.52]</v>
      </c>
      <c r="C35" s="112">
        <v>1</v>
      </c>
      <c r="D35" s="112" t="s">
        <v>127</v>
      </c>
      <c r="E35" s="113" t="s">
        <v>315</v>
      </c>
      <c r="F35" s="113" t="s">
        <v>299</v>
      </c>
      <c r="G35" s="62" t="str">
        <f t="shared" ref="G35" si="189">IFERROR(LEFT(B35,FIND("],",B35)),B35)</f>
        <v>[effect:enemy_message, val1:1.2, val2:1.2]</v>
      </c>
      <c r="H35" s="62">
        <f t="shared" si="18"/>
        <v>9</v>
      </c>
      <c r="I35" s="62">
        <f t="shared" ref="I35" si="190">IFERROR(FIND(",",G35),LEN(G35))</f>
        <v>22</v>
      </c>
      <c r="J35" s="62" t="e">
        <f t="shared" ref="J35" si="191">FIND("target:",G35)+7</f>
        <v>#VALUE!</v>
      </c>
      <c r="K35" s="62">
        <f t="shared" ref="K35" si="192">FIND(",",G35,I35+1)</f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ref="M35" si="193">IFERROR(RIGHT(B35,LEN(B35)-FIND("],",B35)-1),"none")</f>
        <v>[effect:rush, count:3, val:0.52]</v>
      </c>
      <c r="N35" s="48" t="str">
        <f>IFERROR(LEFT(M35,FIND("],",M35)+S45),M35)</f>
        <v>[effect:rush, count:3, val:0.52]</v>
      </c>
      <c r="O35" s="62">
        <f t="shared" si="23"/>
        <v>9</v>
      </c>
      <c r="P35" s="62">
        <f t="shared" ref="P35" si="194">IFERROR(FIND(",",N35),LEN(N35))</f>
        <v>13</v>
      </c>
      <c r="Q35" s="62" t="e">
        <f t="shared" ref="Q35" si="195">FIND("target:",N35)+7</f>
        <v>#VALUE!</v>
      </c>
      <c r="R35" s="62">
        <f t="shared" ref="R35" si="196">FIND(",",N35,P35+1)</f>
        <v>22</v>
      </c>
      <c r="S35" s="62" t="str">
        <f>IFERROR(VLOOKUP(MID(N35,Q35,R35-Q35),[6]skilldef!$C:$D,2,FALSE),"-") &amp; " / " &amp; IFERROR(VLOOKUP(MID(N35,O35,P35-O35),[6]skilldef!$A:$B,2,FALSE),"-")</f>
        <v>- / 連続攻撃</v>
      </c>
      <c r="T35" s="48" t="str">
        <f t="shared" ref="T35" si="197">IFERROR(RIGHT(M35,LEN(M35)-FIND("],",M35)-1),"none")</f>
        <v>none</v>
      </c>
      <c r="U35" s="62" t="e">
        <f t="shared" si="28"/>
        <v>#VALUE!</v>
      </c>
      <c r="V35" s="62">
        <f t="shared" ref="V35" si="198">IFERROR(FIND(",",T35),LEN(T35))</f>
        <v>4</v>
      </c>
      <c r="W35" s="62" t="e">
        <f t="shared" ref="W35" si="199">FIND("target:",T35)+7</f>
        <v>#VALUE!</v>
      </c>
      <c r="X35" s="62" t="e">
        <f t="shared" ref="X35" si="200">FIND(",",T35,V35+1)</f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  <c r="AC35" s="121" t="s">
        <v>359</v>
      </c>
      <c r="AD35" s="113" t="s">
        <v>300</v>
      </c>
      <c r="AE35" s="47" t="s">
        <v>390</v>
      </c>
      <c r="AG35" s="49">
        <v>1584</v>
      </c>
    </row>
    <row r="36" spans="1:33" ht="35" customHeight="1" x14ac:dyDescent="0.15">
      <c r="A36" s="108">
        <v>39013315</v>
      </c>
      <c r="B36" s="123" t="str">
        <f t="shared" si="16"/>
        <v>[effect:enemy_message, val1:1.2, val2:1.2],[effect:rush, count:1, val:0.5],[effect:dark, target:unit_all, turn:1, animation:enemy_dark]</v>
      </c>
      <c r="C36" s="112">
        <v>1</v>
      </c>
      <c r="D36" s="112" t="s">
        <v>127</v>
      </c>
      <c r="E36" s="113" t="s">
        <v>318</v>
      </c>
      <c r="F36" s="113" t="s">
        <v>301</v>
      </c>
      <c r="G36" s="62" t="str">
        <f t="shared" si="177"/>
        <v>[effect:enemy_message, val1:1.2, val2:1.2]</v>
      </c>
      <c r="H36" s="62">
        <f t="shared" si="18"/>
        <v>9</v>
      </c>
      <c r="I36" s="62">
        <f t="shared" si="178"/>
        <v>22</v>
      </c>
      <c r="J36" s="62" t="e">
        <f t="shared" si="179"/>
        <v>#VALUE!</v>
      </c>
      <c r="K36" s="62">
        <f t="shared" si="180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181"/>
        <v>[effect:rush, count:1, val:0.5],[effect:dark, target:unit_all, turn:1, animation:enemy_dark]</v>
      </c>
      <c r="N36" s="48" t="str">
        <f>IFERROR(LEFT(M36,FIND("],",M36)+S46),M36)</f>
        <v>[effect:rush, count:1, val:0.5],[effect:dark, target:unit_all, turn:1, animation:enemy_dark]</v>
      </c>
      <c r="O36" s="62">
        <f t="shared" si="23"/>
        <v>9</v>
      </c>
      <c r="P36" s="62">
        <f t="shared" si="182"/>
        <v>13</v>
      </c>
      <c r="Q36" s="62">
        <f t="shared" si="183"/>
        <v>54</v>
      </c>
      <c r="R36" s="62">
        <f t="shared" si="184"/>
        <v>22</v>
      </c>
      <c r="S36" s="62" t="str">
        <f>IFERROR(VLOOKUP(MID(N36,Q36,R36-Q36),[6]skilldef!$C:$D,2,FALSE),"-") &amp; " / " &amp; IFERROR(VLOOKUP(MID(N36,O36,P36-O36),[6]skilldef!$A:$B,2,FALSE),"-")</f>
        <v>- / 連続攻撃</v>
      </c>
      <c r="T36" s="48" t="str">
        <f t="shared" si="185"/>
        <v>[effect:dark, target:unit_all, turn:1, animation:enemy_dark]</v>
      </c>
      <c r="U36" s="62">
        <f t="shared" si="28"/>
        <v>9</v>
      </c>
      <c r="V36" s="62">
        <f t="shared" si="186"/>
        <v>13</v>
      </c>
      <c r="W36" s="62">
        <f t="shared" si="187"/>
        <v>22</v>
      </c>
      <c r="X36" s="62">
        <f t="shared" si="188"/>
        <v>30</v>
      </c>
      <c r="Y36" s="62" t="str">
        <f>IFERROR(VLOOKUP(MID(T36,W36,X36-W36),[6]skilldef!$C:$D,2,FALSE),"-") &amp; " / " &amp; IFERROR(VLOOKUP(MID(T36,U36,V36-U36),[6]skilldef!$A:$B,2,FALSE),"-")</f>
        <v>味方全体に / 暗黒</v>
      </c>
      <c r="Z36" s="50"/>
      <c r="AA36" s="51"/>
      <c r="AB36" s="50"/>
      <c r="AC36" s="121" t="s">
        <v>360</v>
      </c>
      <c r="AD36" s="113" t="s">
        <v>302</v>
      </c>
      <c r="AE36" s="47" t="s">
        <v>389</v>
      </c>
      <c r="AG36" s="49">
        <v>1585</v>
      </c>
    </row>
    <row r="37" spans="1:33" ht="21" customHeight="1" x14ac:dyDescent="0.15">
      <c r="A37" s="108">
        <v>39013316</v>
      </c>
      <c r="B37" s="123" t="str">
        <f t="shared" si="16"/>
        <v>[effect:enemy_message, val1:1.2, val2:0.0]</v>
      </c>
      <c r="C37" s="112">
        <v>1</v>
      </c>
      <c r="D37" s="112" t="s">
        <v>127</v>
      </c>
      <c r="E37" s="113" t="s">
        <v>320</v>
      </c>
      <c r="F37" s="113" t="s">
        <v>321</v>
      </c>
      <c r="G37" s="62" t="str">
        <f t="shared" si="177"/>
        <v>[effect:enemy_message, val1:1.2, val2:0.0]</v>
      </c>
      <c r="H37" s="62">
        <f t="shared" si="18"/>
        <v>9</v>
      </c>
      <c r="I37" s="62">
        <f t="shared" si="178"/>
        <v>22</v>
      </c>
      <c r="J37" s="62" t="e">
        <f t="shared" si="179"/>
        <v>#VALUE!</v>
      </c>
      <c r="K37" s="62">
        <f t="shared" si="180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181"/>
        <v>none</v>
      </c>
      <c r="N37" s="48" t="str">
        <f>IFERROR(LEFT(M37,FIND("],",M37)+S47),M37)</f>
        <v>none</v>
      </c>
      <c r="O37" s="62" t="e">
        <f t="shared" si="23"/>
        <v>#VALUE!</v>
      </c>
      <c r="P37" s="62">
        <f t="shared" si="182"/>
        <v>4</v>
      </c>
      <c r="Q37" s="62" t="e">
        <f t="shared" si="183"/>
        <v>#VALUE!</v>
      </c>
      <c r="R37" s="62" t="e">
        <f t="shared" si="184"/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si="185"/>
        <v>none</v>
      </c>
      <c r="U37" s="62" t="e">
        <f t="shared" si="28"/>
        <v>#VALUE!</v>
      </c>
      <c r="V37" s="62">
        <f t="shared" si="186"/>
        <v>4</v>
      </c>
      <c r="W37" s="62" t="e">
        <f t="shared" si="187"/>
        <v>#VALUE!</v>
      </c>
      <c r="X37" s="62" t="e">
        <f t="shared" si="188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  <c r="AC37" s="121"/>
      <c r="AD37" s="113" t="s">
        <v>263</v>
      </c>
      <c r="AE37" s="47" t="s">
        <v>365</v>
      </c>
      <c r="AG37" s="49">
        <v>1586</v>
      </c>
    </row>
    <row r="38" spans="1:33" ht="35" customHeight="1" x14ac:dyDescent="0.15">
      <c r="A38" s="109">
        <v>39013321</v>
      </c>
      <c r="B38" s="123" t="str">
        <f t="shared" ref="B38" si="201">"[effect:enemy_message, val1:"&amp;TEXT(IF(TEXT(E38,0)="[表示しない]", "0", IF(LEN(SUBSTITUTE(E38,CHAR(13),""))*0.1&lt;1.2, 1.2, LEN(SUBSTITUTE(E38,CHAR(13),""))*0.1)), "0.0")&amp;", val2:"&amp;TEXT(IF(TEXT(F38,0)="[表示しない]", "0", IF(LEN(SUBSTITUTE(F38,CHAR(13),""))*0.1&lt;1.2, 1.2, LEN(SUBSTITUTE(F38,CHAR(13),""))*0.1)),"0.0")&amp;"]"&amp;IF(LEN(AC38)&gt;0, ","&amp;SUBSTITUTE(AC38,CHAR(13),""),SUBSTITUTE(AC38,CHAR(13),""))</f>
        <v>[effect:enemy_message, val1:1.2, val2:2.0],[effect:damage_abnormal, target:unit_one, val:1.2, status:virus, turn:2, val_abnormal:0.2, animation:enemy_virus]</v>
      </c>
      <c r="C38" s="110">
        <v>1</v>
      </c>
      <c r="D38" s="110" t="s">
        <v>127</v>
      </c>
      <c r="E38" s="111" t="s">
        <v>328</v>
      </c>
      <c r="F38" s="111" t="s">
        <v>455</v>
      </c>
      <c r="G38" s="62" t="str">
        <f t="shared" ref="G38" si="202">IFERROR(LEFT(B38,FIND("],",B38)),B38)</f>
        <v>[effect:enemy_message, val1:1.2, val2:2.0]</v>
      </c>
      <c r="H38" s="62">
        <f t="shared" ref="H38" si="203">FIND("effect:",G38)+7</f>
        <v>9</v>
      </c>
      <c r="I38" s="62">
        <f t="shared" ref="I38" si="204">IFERROR(FIND(",",G38),LEN(G38))</f>
        <v>22</v>
      </c>
      <c r="J38" s="62" t="e">
        <f t="shared" ref="J38" si="205">FIND("target:",G38)+7</f>
        <v>#VALUE!</v>
      </c>
      <c r="K38" s="62">
        <f t="shared" ref="K38" si="206">FIND(",",G38,I38+1)</f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ref="M38" si="207">IFERROR(RIGHT(B38,LEN(B38)-FIND("],",B38)-1),"none")</f>
        <v>[effect:damage_abnormal, target:unit_one, val:1.2, status:virus, turn:2, val_abnormal:0.2, animation:enemy_virus]</v>
      </c>
      <c r="N38" s="48" t="str">
        <f>IFERROR(LEFT(M38,FIND("],",M38)+S47),M38)</f>
        <v>[effect:damage_abnormal, target:unit_one, val:1.2, status:virus, turn:2, val_abnormal:0.2, animation:enemy_virus]</v>
      </c>
      <c r="O38" s="62">
        <f t="shared" ref="O38" si="208">FIND("effect:",N38)+7</f>
        <v>9</v>
      </c>
      <c r="P38" s="62">
        <f t="shared" ref="P38" si="209">IFERROR(FIND(",",N38),LEN(N38))</f>
        <v>24</v>
      </c>
      <c r="Q38" s="62">
        <f t="shared" ref="Q38" si="210">FIND("target:",N38)+7</f>
        <v>33</v>
      </c>
      <c r="R38" s="62">
        <f t="shared" ref="R38" si="211">FIND(",",N38,P38+1)</f>
        <v>41</v>
      </c>
      <c r="S38" s="62" t="str">
        <f>IFERROR(VLOOKUP(MID(N38,Q38,R38-Q38),[6]skilldef!$C:$D,2,FALSE),"-") &amp; " / " &amp; IFERROR(VLOOKUP(MID(N38,O38,P38-O38),[6]skilldef!$A:$B,2,FALSE),"-")</f>
        <v>味方単体に / -</v>
      </c>
      <c r="T38" s="48" t="str">
        <f t="shared" ref="T38" si="212">IFERROR(RIGHT(M38,LEN(M38)-FIND("],",M38)-1),"none")</f>
        <v>none</v>
      </c>
      <c r="U38" s="62" t="e">
        <f t="shared" ref="U38" si="213">FIND("effect:",T38)+7</f>
        <v>#VALUE!</v>
      </c>
      <c r="V38" s="62">
        <f t="shared" ref="V38" si="214">IFERROR(FIND(",",T38),LEN(T38))</f>
        <v>4</v>
      </c>
      <c r="W38" s="62" t="e">
        <f t="shared" ref="W38" si="215">FIND("target:",T38)+7</f>
        <v>#VALUE!</v>
      </c>
      <c r="X38" s="62" t="e">
        <f t="shared" ref="X38" si="216">FIND(",",T38,V38+1)</f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  <c r="AC38" s="120" t="s">
        <v>341</v>
      </c>
      <c r="AD38" s="111" t="s">
        <v>285</v>
      </c>
      <c r="AE38" s="47"/>
      <c r="AG38" s="49">
        <v>1587</v>
      </c>
    </row>
    <row r="39" spans="1:33" ht="35" customHeight="1" x14ac:dyDescent="0.15">
      <c r="A39" s="109">
        <v>39013322</v>
      </c>
      <c r="B39" s="123" t="str">
        <f t="shared" si="16"/>
        <v>[effect:enemy_message, val1:1.2, val2:2.0],[effect:damage_abnormal, target:unit_one, val:1.3, status:virus, turn:2, val_abnormal:0.2, animation:enemy_virus]</v>
      </c>
      <c r="C39" s="110">
        <v>1</v>
      </c>
      <c r="D39" s="110" t="s">
        <v>127</v>
      </c>
      <c r="E39" s="111" t="s">
        <v>314</v>
      </c>
      <c r="F39" s="111" t="s">
        <v>455</v>
      </c>
      <c r="G39" s="62" t="str">
        <f t="shared" si="177"/>
        <v>[effect:enemy_message, val1:1.2, val2:2.0]</v>
      </c>
      <c r="H39" s="62">
        <f t="shared" si="18"/>
        <v>9</v>
      </c>
      <c r="I39" s="62">
        <f t="shared" si="178"/>
        <v>22</v>
      </c>
      <c r="J39" s="62" t="e">
        <f t="shared" si="179"/>
        <v>#VALUE!</v>
      </c>
      <c r="K39" s="62">
        <f t="shared" si="180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181"/>
        <v>[effect:damage_abnormal, target:unit_one, val:1.3, status:virus, turn:2, val_abnormal:0.2, animation:enemy_virus]</v>
      </c>
      <c r="N39" s="48" t="str">
        <f>IFERROR(LEFT(M39,FIND("],",M39)+S48),M39)</f>
        <v>[effect:damage_abnormal, target:unit_one, val:1.3, status:virus, turn:2, val_abnormal:0.2, animation:enemy_virus]</v>
      </c>
      <c r="O39" s="62">
        <f t="shared" si="23"/>
        <v>9</v>
      </c>
      <c r="P39" s="62">
        <f t="shared" si="182"/>
        <v>24</v>
      </c>
      <c r="Q39" s="62">
        <f t="shared" si="183"/>
        <v>33</v>
      </c>
      <c r="R39" s="62">
        <f t="shared" si="184"/>
        <v>41</v>
      </c>
      <c r="S39" s="62" t="str">
        <f>IFERROR(VLOOKUP(MID(N39,Q39,R39-Q39),[6]skilldef!$C:$D,2,FALSE),"-") &amp; " / " &amp; IFERROR(VLOOKUP(MID(N39,O39,P39-O39),[6]skilldef!$A:$B,2,FALSE),"-")</f>
        <v>味方単体に / -</v>
      </c>
      <c r="T39" s="48" t="str">
        <f t="shared" si="185"/>
        <v>none</v>
      </c>
      <c r="U39" s="62" t="e">
        <f t="shared" si="28"/>
        <v>#VALUE!</v>
      </c>
      <c r="V39" s="62">
        <f t="shared" si="186"/>
        <v>4</v>
      </c>
      <c r="W39" s="62" t="e">
        <f t="shared" si="187"/>
        <v>#VALUE!</v>
      </c>
      <c r="X39" s="62" t="e">
        <f t="shared" si="188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  <c r="AC39" s="120" t="s">
        <v>342</v>
      </c>
      <c r="AD39" s="111" t="s">
        <v>265</v>
      </c>
      <c r="AE39" s="47"/>
      <c r="AG39" s="49">
        <v>1588</v>
      </c>
    </row>
    <row r="40" spans="1:33" ht="35" customHeight="1" x14ac:dyDescent="0.15">
      <c r="A40" s="109">
        <v>39013323</v>
      </c>
      <c r="B40" s="123" t="str">
        <f t="shared" si="16"/>
        <v>[effect:enemy_message, val1:1.2, val2:2.0],[effect:damage_abnormal, target:unit_one, val:1.4, status:virus, turn:2, val_abnormal:0.2, animation:enemy_virus]</v>
      </c>
      <c r="C40" s="110">
        <v>1</v>
      </c>
      <c r="D40" s="110" t="s">
        <v>127</v>
      </c>
      <c r="E40" s="111" t="s">
        <v>332</v>
      </c>
      <c r="F40" s="111" t="s">
        <v>455</v>
      </c>
      <c r="G40" s="62" t="str">
        <f t="shared" si="177"/>
        <v>[effect:enemy_message, val1:1.2, val2:2.0]</v>
      </c>
      <c r="H40" s="62">
        <f t="shared" si="18"/>
        <v>9</v>
      </c>
      <c r="I40" s="62">
        <f t="shared" si="178"/>
        <v>22</v>
      </c>
      <c r="J40" s="62" t="e">
        <f t="shared" si="179"/>
        <v>#VALUE!</v>
      </c>
      <c r="K40" s="62">
        <f t="shared" si="180"/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181"/>
        <v>[effect:damage_abnormal, target:unit_one, val:1.4, status:virus, turn:2, val_abnormal:0.2, animation:enemy_virus]</v>
      </c>
      <c r="N40" s="48" t="str">
        <f>IFERROR(LEFT(M40,FIND("],",M40)+S49),M40)</f>
        <v>[effect:damage_abnormal, target:unit_one, val:1.4, status:virus, turn:2, val_abnormal:0.2, animation:enemy_virus]</v>
      </c>
      <c r="O40" s="62">
        <f t="shared" si="23"/>
        <v>9</v>
      </c>
      <c r="P40" s="62">
        <f t="shared" si="182"/>
        <v>24</v>
      </c>
      <c r="Q40" s="62">
        <f t="shared" si="183"/>
        <v>33</v>
      </c>
      <c r="R40" s="62">
        <f t="shared" si="184"/>
        <v>41</v>
      </c>
      <c r="S40" s="62" t="str">
        <f>IFERROR(VLOOKUP(MID(N40,Q40,R40-Q40),[6]skilldef!$C:$D,2,FALSE),"-") &amp; " / " &amp; IFERROR(VLOOKUP(MID(N40,O40,P40-O40),[6]skilldef!$A:$B,2,FALSE),"-")</f>
        <v>味方単体に / -</v>
      </c>
      <c r="T40" s="48" t="str">
        <f t="shared" si="185"/>
        <v>none</v>
      </c>
      <c r="U40" s="62" t="e">
        <f t="shared" si="28"/>
        <v>#VALUE!</v>
      </c>
      <c r="V40" s="62">
        <f t="shared" si="186"/>
        <v>4</v>
      </c>
      <c r="W40" s="62" t="e">
        <f t="shared" si="187"/>
        <v>#VALUE!</v>
      </c>
      <c r="X40" s="62" t="e">
        <f t="shared" si="188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  <c r="AC40" s="120" t="s">
        <v>343</v>
      </c>
      <c r="AD40" s="111" t="s">
        <v>287</v>
      </c>
      <c r="AE40" s="47"/>
    </row>
    <row r="41" spans="1:33" ht="35" customHeight="1" x14ac:dyDescent="0.15">
      <c r="A41" s="109">
        <v>39013324</v>
      </c>
      <c r="B41" s="123" t="str">
        <f t="shared" si="16"/>
        <v>[effect:enemy_message, val1:1.2, val2:2.0],[effect:damage_abnormal, target:unit_one, val:1.5, status:virus, turn:2, val_abnormal:0.2, animation:enemy_virus]</v>
      </c>
      <c r="C41" s="110">
        <v>1</v>
      </c>
      <c r="D41" s="110" t="s">
        <v>127</v>
      </c>
      <c r="E41" s="111" t="s">
        <v>332</v>
      </c>
      <c r="F41" s="111" t="s">
        <v>455</v>
      </c>
      <c r="G41" s="62" t="str">
        <f t="shared" si="177"/>
        <v>[effect:enemy_message, val1:1.2, val2:2.0]</v>
      </c>
      <c r="H41" s="62">
        <f t="shared" si="18"/>
        <v>9</v>
      </c>
      <c r="I41" s="62">
        <f t="shared" si="178"/>
        <v>22</v>
      </c>
      <c r="J41" s="62" t="e">
        <f t="shared" si="179"/>
        <v>#VALUE!</v>
      </c>
      <c r="K41" s="62">
        <f t="shared" si="180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181"/>
        <v>[effect:damage_abnormal, target:unit_one, val:1.5, status:virus, turn:2, val_abnormal:0.2, animation:enemy_virus]</v>
      </c>
      <c r="N41" s="48" t="str">
        <f>IFERROR(LEFT(M41,FIND("],",M41)+S50),M41)</f>
        <v>[effect:damage_abnormal, target:unit_one, val:1.5, status:virus, turn:2, val_abnormal:0.2, animation:enemy_virus]</v>
      </c>
      <c r="O41" s="62">
        <f t="shared" si="23"/>
        <v>9</v>
      </c>
      <c r="P41" s="62">
        <f t="shared" si="182"/>
        <v>24</v>
      </c>
      <c r="Q41" s="62">
        <f t="shared" si="183"/>
        <v>33</v>
      </c>
      <c r="R41" s="62">
        <f t="shared" si="184"/>
        <v>41</v>
      </c>
      <c r="S41" s="62" t="str">
        <f>IFERROR(VLOOKUP(MID(N41,Q41,R41-Q41),[6]skilldef!$C:$D,2,FALSE),"-") &amp; " / " &amp; IFERROR(VLOOKUP(MID(N41,O41,P41-O41),[6]skilldef!$A:$B,2,FALSE),"-")</f>
        <v>味方単体に / -</v>
      </c>
      <c r="T41" s="48" t="str">
        <f t="shared" si="185"/>
        <v>none</v>
      </c>
      <c r="U41" s="62" t="e">
        <f t="shared" si="28"/>
        <v>#VALUE!</v>
      </c>
      <c r="V41" s="62">
        <f t="shared" si="186"/>
        <v>4</v>
      </c>
      <c r="W41" s="62" t="e">
        <f t="shared" si="187"/>
        <v>#VALUE!</v>
      </c>
      <c r="X41" s="62" t="e">
        <f t="shared" si="188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  <c r="AC41" s="120" t="s">
        <v>344</v>
      </c>
      <c r="AD41" s="111" t="s">
        <v>288</v>
      </c>
      <c r="AE41" s="47"/>
    </row>
    <row r="42" spans="1:33" ht="35" customHeight="1" x14ac:dyDescent="0.15">
      <c r="A42" s="109">
        <v>39013325</v>
      </c>
      <c r="B42" s="123" t="str">
        <f t="shared" si="16"/>
        <v>[effect:enemy_message, val1:1.2, val2:2.0],[effect:damage_abnormal, target:unit_one, val:1.6, status:virus, turn:2, val_abnormal:0.2, animation:enemy_virus]</v>
      </c>
      <c r="C42" s="110">
        <v>1</v>
      </c>
      <c r="D42" s="110" t="s">
        <v>127</v>
      </c>
      <c r="E42" s="111" t="s">
        <v>333</v>
      </c>
      <c r="F42" s="111" t="s">
        <v>455</v>
      </c>
      <c r="G42" s="62" t="str">
        <f t="shared" si="177"/>
        <v>[effect:enemy_message, val1:1.2, val2:2.0]</v>
      </c>
      <c r="H42" s="62">
        <f t="shared" si="18"/>
        <v>9</v>
      </c>
      <c r="I42" s="62">
        <f t="shared" si="178"/>
        <v>22</v>
      </c>
      <c r="J42" s="62" t="e">
        <f t="shared" si="179"/>
        <v>#VALUE!</v>
      </c>
      <c r="K42" s="62">
        <f t="shared" si="180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181"/>
        <v>[effect:damage_abnormal, target:unit_one, val:1.6, status:virus, turn:2, val_abnormal:0.2, animation:enemy_virus]</v>
      </c>
      <c r="N42" s="48" t="str">
        <f>IFERROR(LEFT(M42,FIND("],",M42)+S51),M42)</f>
        <v>[effect:damage_abnormal, target:unit_one, val:1.6, status:virus, turn:2, val_abnormal:0.2, animation:enemy_virus]</v>
      </c>
      <c r="O42" s="62">
        <f t="shared" si="23"/>
        <v>9</v>
      </c>
      <c r="P42" s="62">
        <f t="shared" si="182"/>
        <v>24</v>
      </c>
      <c r="Q42" s="62">
        <f t="shared" si="183"/>
        <v>33</v>
      </c>
      <c r="R42" s="62">
        <f t="shared" si="184"/>
        <v>41</v>
      </c>
      <c r="S42" s="62" t="str">
        <f>IFERROR(VLOOKUP(MID(N42,Q42,R42-Q42),[6]skilldef!$C:$D,2,FALSE),"-") &amp; " / " &amp; IFERROR(VLOOKUP(MID(N42,O42,P42-O42),[6]skilldef!$A:$B,2,FALSE),"-")</f>
        <v>味方単体に / -</v>
      </c>
      <c r="T42" s="48" t="str">
        <f t="shared" si="185"/>
        <v>none</v>
      </c>
      <c r="U42" s="62" t="e">
        <f t="shared" si="28"/>
        <v>#VALUE!</v>
      </c>
      <c r="V42" s="62">
        <f t="shared" si="186"/>
        <v>4</v>
      </c>
      <c r="W42" s="62" t="e">
        <f t="shared" si="187"/>
        <v>#VALUE!</v>
      </c>
      <c r="X42" s="62" t="e">
        <f t="shared" si="188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  <c r="AC42" s="120" t="s">
        <v>350</v>
      </c>
      <c r="AD42" s="111" t="s">
        <v>289</v>
      </c>
      <c r="AE42" s="47"/>
    </row>
    <row r="43" spans="1:33" ht="32" customHeight="1" x14ac:dyDescent="0.15">
      <c r="A43" s="114">
        <v>39013411</v>
      </c>
      <c r="B43" s="123" t="str">
        <f t="shared" si="16"/>
        <v>[effect:enemy_message, val1:1.9, val2:1.2],[effect:tolerance, target:myself, turn:-1, count:-1, tolerance_effect:sleep, animation:enemy_tolerance]</v>
      </c>
      <c r="C43" s="115">
        <v>1</v>
      </c>
      <c r="D43" s="115" t="s">
        <v>127</v>
      </c>
      <c r="E43" s="116" t="s">
        <v>381</v>
      </c>
      <c r="F43" s="116" t="s">
        <v>296</v>
      </c>
      <c r="G43" s="62" t="str">
        <f t="shared" ref="G43:G47" si="217">IFERROR(LEFT(B43,FIND("],",B43)),B43)</f>
        <v>[effect:enemy_message, val1:1.9, val2:1.2]</v>
      </c>
      <c r="H43" s="62">
        <f t="shared" si="18"/>
        <v>9</v>
      </c>
      <c r="I43" s="62">
        <f t="shared" ref="I43:I47" si="218">IFERROR(FIND(",",G43),LEN(G43))</f>
        <v>22</v>
      </c>
      <c r="J43" s="62" t="e">
        <f t="shared" ref="J43:J47" si="219">FIND("target:",G43)+7</f>
        <v>#VALUE!</v>
      </c>
      <c r="K43" s="62">
        <f t="shared" ref="K43:K47" si="220">FIND(",",G43,I43+1)</f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ref="M43:M47" si="221">IFERROR(RIGHT(B43,LEN(B43)-FIND("],",B43)-1),"none")</f>
        <v>[effect:tolerance, target:myself, turn:-1, count:-1, tolerance_effect:sleep, animation:enemy_tolerance]</v>
      </c>
      <c r="N43" s="48" t="str">
        <f>IFERROR(LEFT(M43,FIND("],",M43)+S57),M43)</f>
        <v>[effect:tolerance, target:myself, turn:-1, count:-1, tolerance_effect:sleep, animation:enemy_tolerance]</v>
      </c>
      <c r="O43" s="62">
        <f t="shared" si="23"/>
        <v>9</v>
      </c>
      <c r="P43" s="62">
        <f t="shared" ref="P43:P47" si="222">IFERROR(FIND(",",N43),LEN(N43))</f>
        <v>18</v>
      </c>
      <c r="Q43" s="62">
        <f t="shared" ref="Q43:Q47" si="223">FIND("target:",N43)+7</f>
        <v>27</v>
      </c>
      <c r="R43" s="62">
        <f t="shared" ref="R43:R47" si="224">FIND(",",N43,P43+1)</f>
        <v>33</v>
      </c>
      <c r="S43" s="62" t="str">
        <f>IFERROR(VLOOKUP(MID(N43,Q43,R43-Q43),[6]skilldef!$C:$D,2,FALSE),"-") &amp; " / " &amp; IFERROR(VLOOKUP(MID(N43,O43,P43-O43),[6]skilldef!$A:$B,2,FALSE),"-")</f>
        <v>自分自身に / 状態異常耐性</v>
      </c>
      <c r="T43" s="48" t="str">
        <f t="shared" ref="T43:T47" si="225">IFERROR(RIGHT(M43,LEN(M43)-FIND("],",M43)-1),"none")</f>
        <v>none</v>
      </c>
      <c r="U43" s="62" t="e">
        <f t="shared" si="28"/>
        <v>#VALUE!</v>
      </c>
      <c r="V43" s="62">
        <f t="shared" ref="V43:V47" si="226">IFERROR(FIND(",",T43),LEN(T43))</f>
        <v>4</v>
      </c>
      <c r="W43" s="62" t="e">
        <f t="shared" ref="W43:W47" si="227">FIND("target:",T43)+7</f>
        <v>#VALUE!</v>
      </c>
      <c r="X43" s="62" t="e">
        <f t="shared" ref="X43:X47" si="228">FIND(",",T43,V43+1)</f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  <c r="AC43" s="122" t="s">
        <v>279</v>
      </c>
      <c r="AD43" s="116" t="s">
        <v>363</v>
      </c>
      <c r="AE43" s="47" t="s">
        <v>362</v>
      </c>
    </row>
    <row r="44" spans="1:33" ht="136" customHeight="1" x14ac:dyDescent="0.15">
      <c r="A44" s="114">
        <v>39013412</v>
      </c>
      <c r="B44" s="123" t="str">
        <f t="shared" si="16"/>
        <v>[effect:enemy_message, val1:1.2, val2:6.7],[effect:change_range_block,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C44" s="115">
        <v>1</v>
      </c>
      <c r="D44" s="115" t="s">
        <v>127</v>
      </c>
      <c r="E44" s="116" t="s">
        <v>374</v>
      </c>
      <c r="F44" s="116" t="s">
        <v>395</v>
      </c>
      <c r="G44" s="62" t="str">
        <f t="shared" si="217"/>
        <v>[effect:enemy_message, val1:1.2, val2:6.7]</v>
      </c>
      <c r="H44" s="62">
        <f t="shared" si="18"/>
        <v>9</v>
      </c>
      <c r="I44" s="62">
        <f t="shared" si="218"/>
        <v>22</v>
      </c>
      <c r="J44" s="62" t="e">
        <f t="shared" si="219"/>
        <v>#VALUE!</v>
      </c>
      <c r="K44" s="62">
        <f t="shared" si="220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221"/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N44" s="48" t="str">
        <f>IFERROR(LEFT(M44,FIND("],",M44)+#REF!),M44)</f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O44" s="62">
        <f t="shared" si="23"/>
        <v>9</v>
      </c>
      <c r="P44" s="62">
        <f t="shared" si="222"/>
        <v>27</v>
      </c>
      <c r="Q44" s="62">
        <f t="shared" si="223"/>
        <v>143</v>
      </c>
      <c r="R44" s="62">
        <f t="shared" si="224"/>
        <v>43</v>
      </c>
      <c r="S44" s="62" t="str">
        <f>IFERROR(VLOOKUP(MID(N44,Q44,R44-Q44),[6]skilldef!$C:$D,2,FALSE),"-") &amp; " / " &amp; IFERROR(VLOOKUP(MID(N44,O44,P44-O44),[6]skilldef!$A:$B,2,FALSE),"-")</f>
        <v>- / -</v>
      </c>
      <c r="T44" s="48" t="str">
        <f t="shared" si="225"/>
        <v>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U44" s="62">
        <f t="shared" si="28"/>
        <v>9</v>
      </c>
      <c r="V44" s="62">
        <f t="shared" si="226"/>
        <v>27</v>
      </c>
      <c r="W44" s="62">
        <f t="shared" si="227"/>
        <v>142</v>
      </c>
      <c r="X44" s="62">
        <f t="shared" si="228"/>
        <v>43</v>
      </c>
      <c r="Y44" s="62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  <c r="AC44" s="122" t="s">
        <v>416</v>
      </c>
      <c r="AD44" s="116" t="s">
        <v>366</v>
      </c>
      <c r="AE44" s="224" t="s">
        <v>372</v>
      </c>
    </row>
    <row r="45" spans="1:33" ht="33" customHeight="1" x14ac:dyDescent="0.15">
      <c r="A45" s="114">
        <v>39013413</v>
      </c>
      <c r="B45" s="123" t="str">
        <f t="shared" si="16"/>
        <v>[effect:enemy_message, val1:1.2, val2:1.8],[effect:break_attack_fix, target:unit_one, val:360, lowest_val:1, count:24, color:yellow, block01:block_red]</v>
      </c>
      <c r="C45" s="115">
        <v>1</v>
      </c>
      <c r="D45" s="115" t="s">
        <v>127</v>
      </c>
      <c r="E45" s="116" t="s">
        <v>322</v>
      </c>
      <c r="F45" s="116" t="s">
        <v>399</v>
      </c>
      <c r="G45" s="62" t="str">
        <f t="shared" si="217"/>
        <v>[effect:enemy_message, val1:1.2, val2:1.8]</v>
      </c>
      <c r="H45" s="62">
        <f t="shared" si="18"/>
        <v>9</v>
      </c>
      <c r="I45" s="62">
        <f t="shared" si="218"/>
        <v>22</v>
      </c>
      <c r="J45" s="62" t="e">
        <f t="shared" si="219"/>
        <v>#VALUE!</v>
      </c>
      <c r="K45" s="62">
        <f t="shared" si="220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221"/>
        <v>[effect:break_attack_fix, target:unit_one, val:360, lowest_val:1, count:24, color:yellow, block01:block_red]</v>
      </c>
      <c r="N45" s="48" t="str">
        <f>IFERROR(LEFT(M45,FIND("],",M45)+S58),M45)</f>
        <v>[effect:break_attack_fix, target:unit_one, val:360, lowest_val:1, count:24, color:yellow, block01:block_red]</v>
      </c>
      <c r="O45" s="62">
        <f t="shared" si="23"/>
        <v>9</v>
      </c>
      <c r="P45" s="62">
        <f t="shared" si="222"/>
        <v>25</v>
      </c>
      <c r="Q45" s="62">
        <f t="shared" si="223"/>
        <v>34</v>
      </c>
      <c r="R45" s="62">
        <f t="shared" si="224"/>
        <v>42</v>
      </c>
      <c r="S45" s="62" t="str">
        <f>IFERROR(VLOOKUP(MID(N45,Q45,R45-Q45),[6]skilldef!$C:$D,2,FALSE),"-") &amp; " / " &amp; IFERROR(VLOOKUP(MID(N45,O45,P45-O45),[6]skilldef!$A:$B,2,FALSE),"-")</f>
        <v>味方単体に / -</v>
      </c>
      <c r="T45" s="48" t="str">
        <f t="shared" si="225"/>
        <v>none</v>
      </c>
      <c r="U45" s="62" t="e">
        <f t="shared" si="28"/>
        <v>#VALUE!</v>
      </c>
      <c r="V45" s="62">
        <f t="shared" si="226"/>
        <v>4</v>
      </c>
      <c r="W45" s="62" t="e">
        <f t="shared" si="227"/>
        <v>#VALUE!</v>
      </c>
      <c r="X45" s="62" t="e">
        <f t="shared" si="228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  <c r="AC45" s="122" t="s">
        <v>417</v>
      </c>
      <c r="AD45" s="116" t="s">
        <v>278</v>
      </c>
      <c r="AE45" s="47" t="s">
        <v>385</v>
      </c>
    </row>
    <row r="46" spans="1:33" ht="33" customHeight="1" x14ac:dyDescent="0.15">
      <c r="A46" s="114">
        <v>39013414</v>
      </c>
      <c r="B46" s="123" t="str">
        <f t="shared" si="16"/>
        <v>[effect:enemy_message, val1:1.2, val2:1.8],[effect:break_attack_fix, target:unit_one, val:360, lowest_val:1, count:24, color:yellow, block01:block_blue]</v>
      </c>
      <c r="C46" s="115">
        <v>1</v>
      </c>
      <c r="D46" s="115" t="s">
        <v>127</v>
      </c>
      <c r="E46" s="116" t="s">
        <v>323</v>
      </c>
      <c r="F46" s="116" t="s">
        <v>401</v>
      </c>
      <c r="G46" s="62" t="str">
        <f t="shared" si="217"/>
        <v>[effect:enemy_message, val1:1.2, val2:1.8]</v>
      </c>
      <c r="H46" s="62">
        <f t="shared" si="18"/>
        <v>9</v>
      </c>
      <c r="I46" s="62">
        <f t="shared" si="218"/>
        <v>22</v>
      </c>
      <c r="J46" s="62" t="e">
        <f t="shared" si="219"/>
        <v>#VALUE!</v>
      </c>
      <c r="K46" s="62">
        <f t="shared" si="220"/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221"/>
        <v>[effect:break_attack_fix, target:unit_one, val:360, lowest_val:1, count:24, color:yellow, block01:block_blue]</v>
      </c>
      <c r="N46" s="48" t="str">
        <f>IFERROR(LEFT(M46,FIND("],",M46)+S58),M46)</f>
        <v>[effect:break_attack_fix, target:unit_one, val:360, lowest_val:1, count:24, color:yellow, block01:block_blue]</v>
      </c>
      <c r="O46" s="62">
        <f t="shared" si="23"/>
        <v>9</v>
      </c>
      <c r="P46" s="62">
        <f t="shared" si="222"/>
        <v>25</v>
      </c>
      <c r="Q46" s="62">
        <f t="shared" si="223"/>
        <v>34</v>
      </c>
      <c r="R46" s="62">
        <f t="shared" si="224"/>
        <v>42</v>
      </c>
      <c r="S46" s="62" t="str">
        <f>IFERROR(VLOOKUP(MID(N46,Q46,R46-Q46),[6]skilldef!$C:$D,2,FALSE),"-") &amp; " / " &amp; IFERROR(VLOOKUP(MID(N46,O46,P46-O46),[6]skilldef!$A:$B,2,FALSE),"-")</f>
        <v>味方単体に / -</v>
      </c>
      <c r="T46" s="48" t="str">
        <f t="shared" si="225"/>
        <v>none</v>
      </c>
      <c r="U46" s="62" t="e">
        <f t="shared" si="28"/>
        <v>#VALUE!</v>
      </c>
      <c r="V46" s="62">
        <f t="shared" si="226"/>
        <v>4</v>
      </c>
      <c r="W46" s="62" t="e">
        <f t="shared" si="227"/>
        <v>#VALUE!</v>
      </c>
      <c r="X46" s="62" t="e">
        <f t="shared" si="228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  <c r="AC46" s="122" t="s">
        <v>402</v>
      </c>
      <c r="AD46" s="116" t="s">
        <v>277</v>
      </c>
      <c r="AE46" s="47" t="s">
        <v>384</v>
      </c>
    </row>
    <row r="47" spans="1:33" ht="21" customHeight="1" x14ac:dyDescent="0.15">
      <c r="A47" s="114">
        <v>39013415</v>
      </c>
      <c r="B47" s="123" t="str">
        <f t="shared" si="16"/>
        <v>[effect:enemy_message, val1:1.2, val2:1.2],[effect:critical, val:1.4, animation:enemy_critical]</v>
      </c>
      <c r="C47" s="115">
        <v>1</v>
      </c>
      <c r="D47" s="115" t="s">
        <v>127</v>
      </c>
      <c r="E47" s="116" t="s">
        <v>368</v>
      </c>
      <c r="F47" s="116" t="s">
        <v>290</v>
      </c>
      <c r="G47" s="62" t="str">
        <f t="shared" si="217"/>
        <v>[effect:enemy_message, val1:1.2, val2:1.2]</v>
      </c>
      <c r="H47" s="62">
        <f t="shared" si="18"/>
        <v>9</v>
      </c>
      <c r="I47" s="62">
        <f t="shared" si="218"/>
        <v>22</v>
      </c>
      <c r="J47" s="62" t="e">
        <f t="shared" si="219"/>
        <v>#VALUE!</v>
      </c>
      <c r="K47" s="62">
        <f t="shared" si="220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221"/>
        <v>[effect:critical, val:1.4, animation:enemy_critical]</v>
      </c>
      <c r="N47" s="48" t="str">
        <f>IFERROR(LEFT(M47,FIND("],",M47)+#REF!),M47)</f>
        <v>[effect:critical, val:1.4, animation:enemy_critical]</v>
      </c>
      <c r="O47" s="62">
        <f t="shared" si="23"/>
        <v>9</v>
      </c>
      <c r="P47" s="62">
        <f t="shared" si="222"/>
        <v>17</v>
      </c>
      <c r="Q47" s="62" t="e">
        <f t="shared" si="223"/>
        <v>#VALUE!</v>
      </c>
      <c r="R47" s="62">
        <f t="shared" si="224"/>
        <v>26</v>
      </c>
      <c r="S47" s="62" t="str">
        <f>IFERROR(VLOOKUP(MID(N47,Q47,R47-Q47),[6]skilldef!$C:$D,2,FALSE),"-") &amp; " / " &amp; IFERROR(VLOOKUP(MID(N47,O47,P47-O47),[6]skilldef!$A:$B,2,FALSE),"-")</f>
        <v>- / 大攻撃</v>
      </c>
      <c r="T47" s="48" t="str">
        <f t="shared" si="225"/>
        <v>none</v>
      </c>
      <c r="U47" s="62" t="e">
        <f t="shared" si="28"/>
        <v>#VALUE!</v>
      </c>
      <c r="V47" s="62">
        <f t="shared" si="226"/>
        <v>4</v>
      </c>
      <c r="W47" s="62" t="e">
        <f t="shared" si="227"/>
        <v>#VALUE!</v>
      </c>
      <c r="X47" s="62" t="e">
        <f t="shared" si="228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  <c r="AC47" s="122" t="s">
        <v>339</v>
      </c>
      <c r="AD47" s="116" t="s">
        <v>303</v>
      </c>
      <c r="AE47" s="47" t="s">
        <v>365</v>
      </c>
    </row>
    <row r="48" spans="1:33" ht="21" customHeight="1" x14ac:dyDescent="0.15">
      <c r="A48" s="114">
        <v>39013416</v>
      </c>
      <c r="B48" s="123" t="str">
        <f t="shared" si="16"/>
        <v>[effect:enemy_message, val1:1.2, val2:1.2],[effect:critical, val:1.4, animation:enemy_critical]</v>
      </c>
      <c r="C48" s="115">
        <v>1</v>
      </c>
      <c r="D48" s="115" t="s">
        <v>127</v>
      </c>
      <c r="E48" s="116" t="s">
        <v>370</v>
      </c>
      <c r="F48" s="116" t="s">
        <v>290</v>
      </c>
      <c r="G48" s="62" t="str">
        <f t="shared" ref="G48:G63" si="229">IFERROR(LEFT(B48,FIND("],",B48)),B48)</f>
        <v>[effect:enemy_message, val1:1.2, val2:1.2]</v>
      </c>
      <c r="H48" s="62">
        <f t="shared" si="18"/>
        <v>9</v>
      </c>
      <c r="I48" s="62">
        <f t="shared" ref="I48:I63" si="230">IFERROR(FIND(",",G48),LEN(G48))</f>
        <v>22</v>
      </c>
      <c r="J48" s="62" t="e">
        <f t="shared" ref="J48:J63" si="231">FIND("target:",G48)+7</f>
        <v>#VALUE!</v>
      </c>
      <c r="K48" s="62">
        <f t="shared" ref="K48:K63" si="232">FIND(",",G48,I48+1)</f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ref="M48:M63" si="233">IFERROR(RIGHT(B48,LEN(B48)-FIND("],",B48)-1),"none")</f>
        <v>[effect:critical, val:1.4, animation:enemy_critical]</v>
      </c>
      <c r="N48" s="48" t="str">
        <f>IFERROR(LEFT(M48,FIND("],",M48)+#REF!),M48)</f>
        <v>[effect:critical, val:1.4, animation:enemy_critical]</v>
      </c>
      <c r="O48" s="62">
        <f t="shared" si="23"/>
        <v>9</v>
      </c>
      <c r="P48" s="62">
        <f t="shared" ref="P48:P63" si="234">IFERROR(FIND(",",N48),LEN(N48))</f>
        <v>17</v>
      </c>
      <c r="Q48" s="62" t="e">
        <f t="shared" ref="Q48:Q63" si="235">FIND("target:",N48)+7</f>
        <v>#VALUE!</v>
      </c>
      <c r="R48" s="62">
        <f t="shared" ref="R48:R63" si="236">FIND(",",N48,P48+1)</f>
        <v>26</v>
      </c>
      <c r="S48" s="62" t="str">
        <f>IFERROR(VLOOKUP(MID(N48,Q48,R48-Q48),[6]skilldef!$C:$D,2,FALSE),"-") &amp; " / " &amp; IFERROR(VLOOKUP(MID(N48,O48,P48-O48),[6]skilldef!$A:$B,2,FALSE),"-")</f>
        <v>- / 大攻撃</v>
      </c>
      <c r="T48" s="48" t="str">
        <f t="shared" ref="T48:T63" si="237">IFERROR(RIGHT(M48,LEN(M48)-FIND("],",M48)-1),"none")</f>
        <v>none</v>
      </c>
      <c r="U48" s="62" t="e">
        <f t="shared" si="28"/>
        <v>#VALUE!</v>
      </c>
      <c r="V48" s="62">
        <f t="shared" ref="V48:V63" si="238">IFERROR(FIND(",",T48),LEN(T48))</f>
        <v>4</v>
      </c>
      <c r="W48" s="62" t="e">
        <f t="shared" ref="W48:W63" si="239">FIND("target:",T48)+7</f>
        <v>#VALUE!</v>
      </c>
      <c r="X48" s="62" t="e">
        <f t="shared" ref="X48:X63" si="240">FIND(",",T48,V48+1)</f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  <c r="AC48" s="122" t="s">
        <v>339</v>
      </c>
      <c r="AD48" s="116" t="s">
        <v>304</v>
      </c>
      <c r="AE48" s="47" t="s">
        <v>365</v>
      </c>
    </row>
    <row r="49" spans="1:31" ht="21" customHeight="1" x14ac:dyDescent="0.15">
      <c r="A49" s="114">
        <v>39013418</v>
      </c>
      <c r="B49" s="123" t="str">
        <f t="shared" si="16"/>
        <v>[effect:enemy_message, val1:1.2, val2:1.2],[effect:rush, count:3, val:0.6]</v>
      </c>
      <c r="C49" s="115">
        <v>1</v>
      </c>
      <c r="D49" s="115" t="s">
        <v>127</v>
      </c>
      <c r="E49" s="116" t="s">
        <v>315</v>
      </c>
      <c r="F49" s="116" t="s">
        <v>306</v>
      </c>
      <c r="G49" s="62" t="str">
        <f t="shared" si="229"/>
        <v>[effect:enemy_message, val1:1.2, val2:1.2]</v>
      </c>
      <c r="H49" s="62">
        <f t="shared" si="18"/>
        <v>9</v>
      </c>
      <c r="I49" s="62">
        <f t="shared" si="230"/>
        <v>22</v>
      </c>
      <c r="J49" s="62" t="e">
        <f t="shared" si="231"/>
        <v>#VALUE!</v>
      </c>
      <c r="K49" s="62">
        <f t="shared" si="232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233"/>
        <v>[effect:rush, count:3, val:0.6]</v>
      </c>
      <c r="N49" s="48" t="str">
        <f>IFERROR(LEFT(M49,FIND("],",M49)+#REF!),M49)</f>
        <v>[effect:rush, count:3, val:0.6]</v>
      </c>
      <c r="O49" s="62">
        <f t="shared" si="23"/>
        <v>9</v>
      </c>
      <c r="P49" s="62">
        <f t="shared" si="234"/>
        <v>13</v>
      </c>
      <c r="Q49" s="62" t="e">
        <f t="shared" si="235"/>
        <v>#VALUE!</v>
      </c>
      <c r="R49" s="62">
        <f t="shared" si="236"/>
        <v>22</v>
      </c>
      <c r="S49" s="62" t="str">
        <f>IFERROR(VLOOKUP(MID(N49,Q49,R49-Q49),[6]skilldef!$C:$D,2,FALSE),"-") &amp; " / " &amp; IFERROR(VLOOKUP(MID(N49,O49,P49-O49),[6]skilldef!$A:$B,2,FALSE),"-")</f>
        <v>- / 連続攻撃</v>
      </c>
      <c r="T49" s="48" t="str">
        <f t="shared" si="237"/>
        <v>none</v>
      </c>
      <c r="U49" s="62" t="e">
        <f t="shared" si="28"/>
        <v>#VALUE!</v>
      </c>
      <c r="V49" s="62">
        <f t="shared" si="238"/>
        <v>4</v>
      </c>
      <c r="W49" s="62" t="e">
        <f t="shared" si="239"/>
        <v>#VALUE!</v>
      </c>
      <c r="X49" s="62" t="e">
        <f t="shared" si="240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50"/>
      <c r="AA49" s="51"/>
      <c r="AB49" s="50"/>
      <c r="AC49" s="122" t="s">
        <v>284</v>
      </c>
      <c r="AD49" s="116" t="s">
        <v>305</v>
      </c>
      <c r="AE49" s="47" t="s">
        <v>390</v>
      </c>
    </row>
    <row r="50" spans="1:31" ht="33" customHeight="1" x14ac:dyDescent="0.15">
      <c r="A50" s="114">
        <v>39013419</v>
      </c>
      <c r="B50" s="123" t="str">
        <f t="shared" si="16"/>
        <v>[effect:enemy_message, val1:1.2, val2:2.0],[effect:damage_abnormal, target:unit_one, val:1.0, status:virus, turn:3, val_abnormal:0.4, animation:enemy_virus]</v>
      </c>
      <c r="C50" s="115">
        <v>1</v>
      </c>
      <c r="D50" s="115" t="s">
        <v>127</v>
      </c>
      <c r="E50" s="116" t="s">
        <v>396</v>
      </c>
      <c r="F50" s="116" t="s">
        <v>454</v>
      </c>
      <c r="G50" s="62" t="str">
        <f t="shared" si="229"/>
        <v>[effect:enemy_message, val1:1.2, val2:2.0]</v>
      </c>
      <c r="H50" s="62">
        <f t="shared" si="18"/>
        <v>9</v>
      </c>
      <c r="I50" s="62">
        <f t="shared" si="230"/>
        <v>22</v>
      </c>
      <c r="J50" s="62" t="e">
        <f t="shared" si="231"/>
        <v>#VALUE!</v>
      </c>
      <c r="K50" s="62">
        <f t="shared" si="232"/>
        <v>32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233"/>
        <v>[effect:damage_abnormal, target:unit_one, val:1.0, status:virus, turn:3, val_abnormal:0.4, animation:enemy_virus]</v>
      </c>
      <c r="N50" s="48" t="str">
        <f>IFERROR(LEFT(M50,FIND("],",M50)+#REF!),M50)</f>
        <v>[effect:damage_abnormal, target:unit_one, val:1.0, status:virus, turn:3, val_abnormal:0.4, animation:enemy_virus]</v>
      </c>
      <c r="O50" s="62">
        <f t="shared" si="23"/>
        <v>9</v>
      </c>
      <c r="P50" s="62">
        <f t="shared" si="234"/>
        <v>24</v>
      </c>
      <c r="Q50" s="62">
        <f t="shared" si="235"/>
        <v>33</v>
      </c>
      <c r="R50" s="62">
        <f t="shared" si="236"/>
        <v>41</v>
      </c>
      <c r="S50" s="62" t="str">
        <f>IFERROR(VLOOKUP(MID(N50,Q50,R50-Q50),[6]skilldef!$C:$D,2,FALSE),"-") &amp; " / " &amp; IFERROR(VLOOKUP(MID(N50,O50,P50-O50),[6]skilldef!$A:$B,2,FALSE),"-")</f>
        <v>味方単体に / -</v>
      </c>
      <c r="T50" s="48" t="str">
        <f t="shared" si="237"/>
        <v>none</v>
      </c>
      <c r="U50" s="62" t="e">
        <f t="shared" si="28"/>
        <v>#VALUE!</v>
      </c>
      <c r="V50" s="62">
        <f t="shared" si="238"/>
        <v>4</v>
      </c>
      <c r="W50" s="62" t="e">
        <f t="shared" si="239"/>
        <v>#VALUE!</v>
      </c>
      <c r="X50" s="62" t="e">
        <f t="shared" si="240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  <c r="AC50" s="122" t="s">
        <v>338</v>
      </c>
      <c r="AD50" s="116" t="s">
        <v>307</v>
      </c>
      <c r="AE50" s="47" t="s">
        <v>365</v>
      </c>
    </row>
    <row r="51" spans="1:31" ht="39" customHeight="1" x14ac:dyDescent="0.15">
      <c r="A51" s="114">
        <v>39013420</v>
      </c>
      <c r="B51" s="123" t="str">
        <f t="shared" si="16"/>
        <v>[effect:enemy_message, val1:1.2, val2:1.6],[effect:enemy_counter, target:myself, invoke_condition:unit_all, counter_target:attacker, turn:1, val:1.2, animation:enemy_counter]</v>
      </c>
      <c r="C51" s="115">
        <v>1</v>
      </c>
      <c r="D51" s="115" t="s">
        <v>127</v>
      </c>
      <c r="E51" s="116" t="s">
        <v>376</v>
      </c>
      <c r="F51" s="116" t="s">
        <v>418</v>
      </c>
      <c r="G51" s="62" t="str">
        <f t="shared" si="229"/>
        <v>[effect:enemy_message, val1:1.2, val2:1.6]</v>
      </c>
      <c r="H51" s="62">
        <f t="shared" si="18"/>
        <v>9</v>
      </c>
      <c r="I51" s="62">
        <f t="shared" si="230"/>
        <v>22</v>
      </c>
      <c r="J51" s="62" t="e">
        <f t="shared" si="231"/>
        <v>#VALUE!</v>
      </c>
      <c r="K51" s="62">
        <f t="shared" si="232"/>
        <v>32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233"/>
        <v>[effect:enemy_counter, target:myself, invoke_condition:unit_all, counter_target:attacker, turn:1, val:1.2, animation:enemy_counter]</v>
      </c>
      <c r="N51" s="48" t="str">
        <f>IFERROR(LEFT(M51,FIND("],",M51)+#REF!),M51)</f>
        <v>[effect:enemy_counter, target:myself, invoke_condition:unit_all, counter_target:attacker, turn:1, val:1.2, animation:enemy_counter]</v>
      </c>
      <c r="O51" s="62">
        <f t="shared" si="23"/>
        <v>9</v>
      </c>
      <c r="P51" s="62">
        <f t="shared" si="234"/>
        <v>22</v>
      </c>
      <c r="Q51" s="62">
        <f t="shared" si="235"/>
        <v>31</v>
      </c>
      <c r="R51" s="62">
        <f t="shared" si="236"/>
        <v>37</v>
      </c>
      <c r="S51" s="62" t="str">
        <f>IFERROR(VLOOKUP(MID(N51,Q51,R51-Q51),[6]skilldef!$C:$D,2,FALSE),"-") &amp; " / " &amp; IFERROR(VLOOKUP(MID(N51,O51,P51-O51),[6]skilldef!$A:$B,2,FALSE),"-")</f>
        <v>自分自身に / カウンター</v>
      </c>
      <c r="T51" s="48" t="str">
        <f t="shared" si="237"/>
        <v>none</v>
      </c>
      <c r="U51" s="62" t="e">
        <f t="shared" si="28"/>
        <v>#VALUE!</v>
      </c>
      <c r="V51" s="62">
        <f t="shared" si="238"/>
        <v>4</v>
      </c>
      <c r="W51" s="62" t="e">
        <f t="shared" si="239"/>
        <v>#VALUE!</v>
      </c>
      <c r="X51" s="62" t="e">
        <f t="shared" si="240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  <c r="AC51" s="122" t="s">
        <v>331</v>
      </c>
      <c r="AD51" s="116" t="s">
        <v>308</v>
      </c>
      <c r="AE51" s="47" t="s">
        <v>383</v>
      </c>
    </row>
    <row r="52" spans="1:31" ht="30" customHeight="1" x14ac:dyDescent="0.15">
      <c r="A52" s="109">
        <v>39013451</v>
      </c>
      <c r="B52" s="123" t="str">
        <f t="shared" si="16"/>
        <v>[effect:enemy_message, val1:1.2, val2:2.0],[effect:damage_abnormal, target:unit_one, val:1.2, status:virus, turn:2, val_abnormal:0.2, animation:enemy_virus]</v>
      </c>
      <c r="C52" s="110">
        <v>1</v>
      </c>
      <c r="D52" s="110" t="s">
        <v>127</v>
      </c>
      <c r="E52" s="111" t="s">
        <v>314</v>
      </c>
      <c r="F52" s="111" t="s">
        <v>455</v>
      </c>
      <c r="G52" s="62" t="str">
        <f t="shared" si="229"/>
        <v>[effect:enemy_message, val1:1.2, val2:2.0]</v>
      </c>
      <c r="H52" s="62">
        <f t="shared" si="18"/>
        <v>9</v>
      </c>
      <c r="I52" s="62">
        <f t="shared" si="230"/>
        <v>22</v>
      </c>
      <c r="J52" s="62" t="e">
        <f t="shared" si="231"/>
        <v>#VALUE!</v>
      </c>
      <c r="K52" s="62">
        <f t="shared" si="232"/>
        <v>32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233"/>
        <v>[effect:damage_abnormal, target:unit_one, val:1.2, status:virus, turn:2, val_abnormal:0.2, animation:enemy_virus]</v>
      </c>
      <c r="N52" s="48" t="str">
        <f>IFERROR(LEFT(M52,FIND("],",M52)+#REF!),M52)</f>
        <v>[effect:damage_abnormal, target:unit_one, val:1.2, status:virus, turn:2, val_abnormal:0.2, animation:enemy_virus]</v>
      </c>
      <c r="O52" s="62">
        <f t="shared" si="23"/>
        <v>9</v>
      </c>
      <c r="P52" s="62">
        <f t="shared" si="234"/>
        <v>24</v>
      </c>
      <c r="Q52" s="62">
        <f t="shared" si="235"/>
        <v>33</v>
      </c>
      <c r="R52" s="62">
        <f t="shared" si="236"/>
        <v>41</v>
      </c>
      <c r="S52" s="62" t="str">
        <f>IFERROR(VLOOKUP(MID(N52,Q52,R52-Q52),[6]skilldef!$C:$D,2,FALSE),"-") &amp; " / " &amp; IFERROR(VLOOKUP(MID(N52,O52,P52-O52),[6]skilldef!$A:$B,2,FALSE),"-")</f>
        <v>味方単体に / -</v>
      </c>
      <c r="T52" s="48" t="str">
        <f t="shared" si="237"/>
        <v>none</v>
      </c>
      <c r="U52" s="62" t="e">
        <f t="shared" si="28"/>
        <v>#VALUE!</v>
      </c>
      <c r="V52" s="62">
        <f t="shared" si="238"/>
        <v>4</v>
      </c>
      <c r="W52" s="62" t="e">
        <f t="shared" si="239"/>
        <v>#VALUE!</v>
      </c>
      <c r="X52" s="62" t="e">
        <f t="shared" si="240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  <c r="AC52" s="120" t="s">
        <v>341</v>
      </c>
      <c r="AD52" s="111" t="s">
        <v>285</v>
      </c>
      <c r="AE52" s="47"/>
    </row>
    <row r="53" spans="1:31" ht="30" customHeight="1" x14ac:dyDescent="0.15">
      <c r="A53" s="109">
        <v>39013452</v>
      </c>
      <c r="B53" s="123" t="str">
        <f t="shared" ref="B53:B56" si="241">"[effect:enemy_message, val1:"&amp;TEXT(IF(TEXT(E53,0)="[表示しない]", "0", IF(LEN(SUBSTITUTE(E53,CHAR(13),""))*0.1&lt;1.2, 1.2, LEN(SUBSTITUTE(E53,CHAR(13),""))*0.1)), "0.0")&amp;", val2:"&amp;TEXT(IF(TEXT(F53,0)="[表示しない]", "0", IF(LEN(SUBSTITUTE(F53,CHAR(13),""))*0.1&lt;1.2, 1.2, LEN(SUBSTITUTE(F53,CHAR(13),""))*0.1)),"0.0")&amp;"]"&amp;IF(LEN(AC53)&gt;0, ","&amp;SUBSTITUTE(AC53,CHAR(13),""),SUBSTITUTE(AC53,CHAR(13),""))</f>
        <v>[effect:enemy_message, val1:1.2, val2:2.0],[effect:damage_abnormal, target:unit_one, val:1.3, status:virus, turn:2, val_abnormal:0.2, animation:enemy_virus]</v>
      </c>
      <c r="C53" s="110">
        <v>1</v>
      </c>
      <c r="D53" s="110" t="s">
        <v>127</v>
      </c>
      <c r="E53" s="111" t="s">
        <v>314</v>
      </c>
      <c r="F53" s="111" t="s">
        <v>455</v>
      </c>
      <c r="G53" s="62" t="str">
        <f t="shared" si="229"/>
        <v>[effect:enemy_message, val1:1.2, val2:2.0]</v>
      </c>
      <c r="H53" s="62">
        <f t="shared" ref="H53:H56" si="242">FIND("effect:",G53)+7</f>
        <v>9</v>
      </c>
      <c r="I53" s="62">
        <f t="shared" si="230"/>
        <v>22</v>
      </c>
      <c r="J53" s="62" t="e">
        <f t="shared" si="231"/>
        <v>#VALUE!</v>
      </c>
      <c r="K53" s="62">
        <f t="shared" si="232"/>
        <v>32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233"/>
        <v>[effect:damage_abnormal, target:unit_one, val:1.3, status:virus, turn:2, val_abnormal:0.2, animation:enemy_virus]</v>
      </c>
      <c r="N53" s="48" t="str">
        <f>IFERROR(LEFT(M53,FIND("],",M53)+#REF!),M53)</f>
        <v>[effect:damage_abnormal, target:unit_one, val:1.3, status:virus, turn:2, val_abnormal:0.2, animation:enemy_virus]</v>
      </c>
      <c r="O53" s="62">
        <f t="shared" ref="O53:O56" si="243">FIND("effect:",N53)+7</f>
        <v>9</v>
      </c>
      <c r="P53" s="62">
        <f t="shared" si="234"/>
        <v>24</v>
      </c>
      <c r="Q53" s="62">
        <f t="shared" si="235"/>
        <v>33</v>
      </c>
      <c r="R53" s="62">
        <f t="shared" si="236"/>
        <v>41</v>
      </c>
      <c r="S53" s="62" t="str">
        <f>IFERROR(VLOOKUP(MID(N53,Q53,R53-Q53),[6]skilldef!$C:$D,2,FALSE),"-") &amp; " / " &amp; IFERROR(VLOOKUP(MID(N53,O53,P53-O53),[6]skilldef!$A:$B,2,FALSE),"-")</f>
        <v>味方単体に / -</v>
      </c>
      <c r="T53" s="48" t="str">
        <f t="shared" si="237"/>
        <v>none</v>
      </c>
      <c r="U53" s="62" t="e">
        <f t="shared" ref="U53:U56" si="244">FIND("effect:",T53)+7</f>
        <v>#VALUE!</v>
      </c>
      <c r="V53" s="62">
        <f t="shared" si="238"/>
        <v>4</v>
      </c>
      <c r="W53" s="62" t="e">
        <f t="shared" si="239"/>
        <v>#VALUE!</v>
      </c>
      <c r="X53" s="62" t="e">
        <f t="shared" si="240"/>
        <v>#VALUE!</v>
      </c>
      <c r="Y53" s="62" t="str">
        <f>IFERROR(VLOOKUP(MID(T53,W53,X53-W53),[6]skilldef!$C:$D,2,FALSE),"-") &amp; " / " &amp; IFERROR(VLOOKUP(MID(T53,U53,V53-U53),[6]skilldef!$A:$B,2,FALSE),"-")</f>
        <v>- / -</v>
      </c>
      <c r="Z53" s="50"/>
      <c r="AA53" s="51"/>
      <c r="AB53" s="50"/>
      <c r="AC53" s="120" t="s">
        <v>342</v>
      </c>
      <c r="AD53" s="111" t="s">
        <v>265</v>
      </c>
      <c r="AE53" s="47"/>
    </row>
    <row r="54" spans="1:31" ht="30" customHeight="1" x14ac:dyDescent="0.15">
      <c r="A54" s="109">
        <v>39013453</v>
      </c>
      <c r="B54" s="123" t="str">
        <f t="shared" si="241"/>
        <v>[effect:enemy_message, val1:1.2, val2:2.0],[effect:damage_abnormal, target:unit_one, val:1.4, status:virus, turn:2, val_abnormal:0.2, animation:enemy_virus]</v>
      </c>
      <c r="C54" s="110">
        <v>1</v>
      </c>
      <c r="D54" s="110" t="s">
        <v>127</v>
      </c>
      <c r="E54" s="111" t="s">
        <v>332</v>
      </c>
      <c r="F54" s="111" t="s">
        <v>455</v>
      </c>
      <c r="G54" s="62" t="str">
        <f t="shared" si="229"/>
        <v>[effect:enemy_message, val1:1.2, val2:2.0]</v>
      </c>
      <c r="H54" s="62">
        <f t="shared" si="242"/>
        <v>9</v>
      </c>
      <c r="I54" s="62">
        <f t="shared" si="230"/>
        <v>22</v>
      </c>
      <c r="J54" s="62" t="e">
        <f t="shared" si="231"/>
        <v>#VALUE!</v>
      </c>
      <c r="K54" s="62">
        <f t="shared" si="232"/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233"/>
        <v>[effect:damage_abnormal, target:unit_one, val:1.4, status:virus, turn:2, val_abnormal:0.2, animation:enemy_virus]</v>
      </c>
      <c r="N54" s="48" t="str">
        <f>IFERROR(LEFT(M54,FIND("],",M54)+#REF!),M54)</f>
        <v>[effect:damage_abnormal, target:unit_one, val:1.4, status:virus, turn:2, val_abnormal:0.2, animation:enemy_virus]</v>
      </c>
      <c r="O54" s="62">
        <f t="shared" si="243"/>
        <v>9</v>
      </c>
      <c r="P54" s="62">
        <f t="shared" si="234"/>
        <v>24</v>
      </c>
      <c r="Q54" s="62">
        <f t="shared" si="235"/>
        <v>33</v>
      </c>
      <c r="R54" s="62">
        <f t="shared" si="236"/>
        <v>41</v>
      </c>
      <c r="S54" s="62" t="str">
        <f>IFERROR(VLOOKUP(MID(N54,Q54,R54-Q54),[6]skilldef!$C:$D,2,FALSE),"-") &amp; " / " &amp; IFERROR(VLOOKUP(MID(N54,O54,P54-O54),[6]skilldef!$A:$B,2,FALSE),"-")</f>
        <v>味方単体に / -</v>
      </c>
      <c r="T54" s="48" t="str">
        <f t="shared" si="237"/>
        <v>none</v>
      </c>
      <c r="U54" s="62" t="e">
        <f t="shared" si="244"/>
        <v>#VALUE!</v>
      </c>
      <c r="V54" s="62">
        <f t="shared" si="238"/>
        <v>4</v>
      </c>
      <c r="W54" s="62" t="e">
        <f t="shared" si="239"/>
        <v>#VALUE!</v>
      </c>
      <c r="X54" s="62" t="e">
        <f t="shared" si="240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50"/>
      <c r="AA54" s="51"/>
      <c r="AB54" s="50"/>
      <c r="AC54" s="120" t="s">
        <v>343</v>
      </c>
      <c r="AD54" s="111" t="s">
        <v>287</v>
      </c>
      <c r="AE54" s="47"/>
    </row>
    <row r="55" spans="1:31" ht="30" customHeight="1" x14ac:dyDescent="0.15">
      <c r="A55" s="109">
        <v>39013454</v>
      </c>
      <c r="B55" s="123" t="str">
        <f t="shared" si="241"/>
        <v>[effect:enemy_message, val1:1.2, val2:2.0],[effect:damage_abnormal, target:unit_one, val:1.5, status:virus, turn:2, val_abnormal:0.2, animation:enemy_virus]</v>
      </c>
      <c r="C55" s="110">
        <v>1</v>
      </c>
      <c r="D55" s="110" t="s">
        <v>127</v>
      </c>
      <c r="E55" s="111" t="s">
        <v>332</v>
      </c>
      <c r="F55" s="111" t="s">
        <v>455</v>
      </c>
      <c r="G55" s="62" t="str">
        <f t="shared" si="229"/>
        <v>[effect:enemy_message, val1:1.2, val2:2.0]</v>
      </c>
      <c r="H55" s="62">
        <f t="shared" si="242"/>
        <v>9</v>
      </c>
      <c r="I55" s="62">
        <f t="shared" si="230"/>
        <v>22</v>
      </c>
      <c r="J55" s="62" t="e">
        <f t="shared" si="231"/>
        <v>#VALUE!</v>
      </c>
      <c r="K55" s="62">
        <f t="shared" si="232"/>
        <v>32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233"/>
        <v>[effect:damage_abnormal, target:unit_one, val:1.5, status:virus, turn:2, val_abnormal:0.2, animation:enemy_virus]</v>
      </c>
      <c r="N55" s="48" t="str">
        <f>IFERROR(LEFT(M55,FIND("],",M55)+#REF!),M55)</f>
        <v>[effect:damage_abnormal, target:unit_one, val:1.5, status:virus, turn:2, val_abnormal:0.2, animation:enemy_virus]</v>
      </c>
      <c r="O55" s="62">
        <f t="shared" si="243"/>
        <v>9</v>
      </c>
      <c r="P55" s="62">
        <f t="shared" si="234"/>
        <v>24</v>
      </c>
      <c r="Q55" s="62">
        <f t="shared" si="235"/>
        <v>33</v>
      </c>
      <c r="R55" s="62">
        <f t="shared" si="236"/>
        <v>41</v>
      </c>
      <c r="S55" s="62" t="str">
        <f>IFERROR(VLOOKUP(MID(N55,Q55,R55-Q55),[6]skilldef!$C:$D,2,FALSE),"-") &amp; " / " &amp; IFERROR(VLOOKUP(MID(N55,O55,P55-O55),[6]skilldef!$A:$B,2,FALSE),"-")</f>
        <v>味方単体に / -</v>
      </c>
      <c r="T55" s="48" t="str">
        <f t="shared" si="237"/>
        <v>none</v>
      </c>
      <c r="U55" s="62" t="e">
        <f t="shared" si="244"/>
        <v>#VALUE!</v>
      </c>
      <c r="V55" s="62">
        <f t="shared" si="238"/>
        <v>4</v>
      </c>
      <c r="W55" s="62" t="e">
        <f t="shared" si="239"/>
        <v>#VALUE!</v>
      </c>
      <c r="X55" s="62" t="e">
        <f t="shared" si="240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50"/>
      <c r="AA55" s="51"/>
      <c r="AB55" s="50"/>
      <c r="AC55" s="120" t="s">
        <v>344</v>
      </c>
      <c r="AD55" s="111" t="s">
        <v>288</v>
      </c>
      <c r="AE55" s="47"/>
    </row>
    <row r="56" spans="1:31" ht="30" customHeight="1" x14ac:dyDescent="0.15">
      <c r="A56" s="109">
        <v>39013455</v>
      </c>
      <c r="B56" s="123" t="str">
        <f t="shared" si="241"/>
        <v>[effect:enemy_message, val1:1.2, val2:2.0],[effect:damage_abnormal, target:unit_one, val:1.6, status:virus, turn:2, val_abnormal:0.2, animation:enemy_virus]</v>
      </c>
      <c r="C56" s="110">
        <v>1</v>
      </c>
      <c r="D56" s="110" t="s">
        <v>127</v>
      </c>
      <c r="E56" s="111" t="s">
        <v>333</v>
      </c>
      <c r="F56" s="111" t="s">
        <v>455</v>
      </c>
      <c r="G56" s="62" t="str">
        <f t="shared" si="229"/>
        <v>[effect:enemy_message, val1:1.2, val2:2.0]</v>
      </c>
      <c r="H56" s="62">
        <f t="shared" si="242"/>
        <v>9</v>
      </c>
      <c r="I56" s="62">
        <f t="shared" si="230"/>
        <v>22</v>
      </c>
      <c r="J56" s="62" t="e">
        <f t="shared" si="231"/>
        <v>#VALUE!</v>
      </c>
      <c r="K56" s="62">
        <f t="shared" si="232"/>
        <v>32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si="233"/>
        <v>[effect:damage_abnormal, target:unit_one, val:1.6, status:virus, turn:2, val_abnormal:0.2, animation:enemy_virus]</v>
      </c>
      <c r="N56" s="48" t="str">
        <f>IFERROR(LEFT(M56,FIND("],",M56)+S59),M56)</f>
        <v>[effect:damage_abnormal, target:unit_one, val:1.6, status:virus, turn:2, val_abnormal:0.2, animation:enemy_virus]</v>
      </c>
      <c r="O56" s="62">
        <f t="shared" si="243"/>
        <v>9</v>
      </c>
      <c r="P56" s="62">
        <f t="shared" si="234"/>
        <v>24</v>
      </c>
      <c r="Q56" s="62">
        <f t="shared" si="235"/>
        <v>33</v>
      </c>
      <c r="R56" s="62">
        <f t="shared" si="236"/>
        <v>41</v>
      </c>
      <c r="S56" s="62" t="str">
        <f>IFERROR(VLOOKUP(MID(N56,Q56,R56-Q56),[6]skilldef!$C:$D,2,FALSE),"-") &amp; " / " &amp; IFERROR(VLOOKUP(MID(N56,O56,P56-O56),[6]skilldef!$A:$B,2,FALSE),"-")</f>
        <v>味方単体に / -</v>
      </c>
      <c r="T56" s="48" t="str">
        <f t="shared" si="237"/>
        <v>none</v>
      </c>
      <c r="U56" s="62" t="e">
        <f t="shared" si="244"/>
        <v>#VALUE!</v>
      </c>
      <c r="V56" s="62">
        <f t="shared" si="238"/>
        <v>4</v>
      </c>
      <c r="W56" s="62" t="e">
        <f t="shared" si="239"/>
        <v>#VALUE!</v>
      </c>
      <c r="X56" s="62" t="e">
        <f t="shared" si="240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50"/>
      <c r="AA56" s="51"/>
      <c r="AB56" s="50"/>
      <c r="AC56" s="120" t="s">
        <v>350</v>
      </c>
      <c r="AD56" s="111" t="s">
        <v>289</v>
      </c>
      <c r="AE56" s="47"/>
    </row>
    <row r="57" spans="1:31" ht="28" customHeight="1" x14ac:dyDescent="0.15">
      <c r="A57" s="114">
        <v>39013444</v>
      </c>
      <c r="B57" s="123" t="s">
        <v>452</v>
      </c>
      <c r="C57" s="115">
        <v>1</v>
      </c>
      <c r="D57" s="115" t="s">
        <v>127</v>
      </c>
      <c r="E57" s="116" t="s">
        <v>441</v>
      </c>
      <c r="F57" s="116" t="s">
        <v>321</v>
      </c>
      <c r="G57" s="62" t="str">
        <f t="shared" si="229"/>
        <v>[effect:enemy_message, val1:2.0, val2:0.0]</v>
      </c>
      <c r="H57" s="62">
        <f t="shared" si="18"/>
        <v>9</v>
      </c>
      <c r="I57" s="62">
        <f t="shared" si="230"/>
        <v>22</v>
      </c>
      <c r="J57" s="62" t="e">
        <f t="shared" si="231"/>
        <v>#VALUE!</v>
      </c>
      <c r="K57" s="62">
        <f t="shared" si="232"/>
        <v>32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 t="shared" si="233"/>
        <v>none</v>
      </c>
      <c r="N57" s="48" t="str">
        <f>IFERROR(LEFT(M57,FIND("],",M57)+S59),M57)</f>
        <v>none</v>
      </c>
      <c r="O57" s="62" t="e">
        <f t="shared" si="23"/>
        <v>#VALUE!</v>
      </c>
      <c r="P57" s="62">
        <f t="shared" si="234"/>
        <v>4</v>
      </c>
      <c r="Q57" s="62" t="e">
        <f t="shared" si="235"/>
        <v>#VALUE!</v>
      </c>
      <c r="R57" s="62" t="e">
        <f t="shared" si="236"/>
        <v>#VALUE!</v>
      </c>
      <c r="S57" s="62" t="str">
        <f>IFERROR(VLOOKUP(MID(N57,Q57,R57-Q57),[6]skilldef!$C:$D,2,FALSE),"-") &amp; " / " &amp; IFERROR(VLOOKUP(MID(N57,O57,P57-O57),[6]skilldef!$A:$B,2,FALSE),"-")</f>
        <v>- / -</v>
      </c>
      <c r="T57" s="48" t="str">
        <f t="shared" si="237"/>
        <v>none</v>
      </c>
      <c r="U57" s="62" t="e">
        <f t="shared" si="28"/>
        <v>#VALUE!</v>
      </c>
      <c r="V57" s="62">
        <f t="shared" si="238"/>
        <v>4</v>
      </c>
      <c r="W57" s="62" t="e">
        <f t="shared" si="239"/>
        <v>#VALUE!</v>
      </c>
      <c r="X57" s="62" t="e">
        <f t="shared" si="240"/>
        <v>#VALUE!</v>
      </c>
      <c r="Y57" s="62" t="str">
        <f>IFERROR(VLOOKUP(MID(T57,W57,X57-W57),[6]skilldef!$C:$D,2,FALSE),"-") &amp; " / " &amp; IFERROR(VLOOKUP(MID(T57,U57,V57-U57),[6]skilldef!$A:$B,2,FALSE),"-")</f>
        <v>- / -</v>
      </c>
      <c r="Z57" s="50"/>
      <c r="AA57" s="51"/>
      <c r="AB57" s="50"/>
      <c r="AC57" s="122"/>
      <c r="AD57" s="116" t="s">
        <v>270</v>
      </c>
      <c r="AE57" s="224" t="s">
        <v>371</v>
      </c>
    </row>
    <row r="58" spans="1:31" ht="47" customHeight="1" thickBot="1" x14ac:dyDescent="0.2">
      <c r="A58" s="179">
        <v>39013700</v>
      </c>
      <c r="B58" s="123" t="s">
        <v>451</v>
      </c>
      <c r="C58" s="181">
        <v>1</v>
      </c>
      <c r="D58" s="181" t="s">
        <v>127</v>
      </c>
      <c r="E58" s="182" t="s">
        <v>442</v>
      </c>
      <c r="F58" s="182" t="s">
        <v>321</v>
      </c>
      <c r="G58" s="183" t="str">
        <f t="shared" si="229"/>
        <v>[effect:enemy_message, val1:1.8, val2:0.0]</v>
      </c>
      <c r="H58" s="183">
        <f t="shared" si="18"/>
        <v>9</v>
      </c>
      <c r="I58" s="183">
        <f t="shared" si="230"/>
        <v>22</v>
      </c>
      <c r="J58" s="183" t="e">
        <f t="shared" si="231"/>
        <v>#VALUE!</v>
      </c>
      <c r="K58" s="183">
        <f t="shared" si="232"/>
        <v>32</v>
      </c>
      <c r="L58" s="183" t="str">
        <f>IFERROR(VLOOKUP(MID(G58,J58,K58-J58),[6]skilldef!$C:$D,2,FALSE),"-") &amp; " / " &amp; IFERROR(VLOOKUP(MID(G58,H58,I58-H58),[6]skilldef!$A:$B,2,FALSE),"-")</f>
        <v>- / -</v>
      </c>
      <c r="M58" s="183" t="str">
        <f t="shared" si="233"/>
        <v>none</v>
      </c>
      <c r="N58" s="184" t="str">
        <f>IFERROR(LEFT(M58,FIND("],",M58)+S66),M58)</f>
        <v>none</v>
      </c>
      <c r="O58" s="183" t="e">
        <f t="shared" si="23"/>
        <v>#VALUE!</v>
      </c>
      <c r="P58" s="183">
        <f t="shared" si="234"/>
        <v>4</v>
      </c>
      <c r="Q58" s="183" t="e">
        <f t="shared" si="235"/>
        <v>#VALUE!</v>
      </c>
      <c r="R58" s="183" t="e">
        <f t="shared" si="236"/>
        <v>#VALUE!</v>
      </c>
      <c r="S58" s="183" t="str">
        <f>IFERROR(VLOOKUP(MID(N58,Q58,R58-Q58),[6]skilldef!$C:$D,2,FALSE),"-") &amp; " / " &amp; IFERROR(VLOOKUP(MID(N58,O58,P58-O58),[6]skilldef!$A:$B,2,FALSE),"-")</f>
        <v>- / -</v>
      </c>
      <c r="T58" s="184" t="str">
        <f t="shared" si="237"/>
        <v>none</v>
      </c>
      <c r="U58" s="183" t="e">
        <f t="shared" si="28"/>
        <v>#VALUE!</v>
      </c>
      <c r="V58" s="183">
        <f t="shared" si="238"/>
        <v>4</v>
      </c>
      <c r="W58" s="183" t="e">
        <f t="shared" si="239"/>
        <v>#VALUE!</v>
      </c>
      <c r="X58" s="183" t="e">
        <f t="shared" si="240"/>
        <v>#VALUE!</v>
      </c>
      <c r="Y58" s="183" t="str">
        <f>IFERROR(VLOOKUP(MID(T58,W58,X58-W58),[6]skilldef!$C:$D,2,FALSE),"-") &amp; " / " &amp; IFERROR(VLOOKUP(MID(T58,U58,V58-U58),[6]skilldef!$A:$B,2,FALSE),"-")</f>
        <v>- / -</v>
      </c>
      <c r="Z58" s="185"/>
      <c r="AA58" s="186"/>
      <c r="AB58" s="185"/>
      <c r="AC58" s="248"/>
      <c r="AD58" s="182" t="s">
        <v>426</v>
      </c>
      <c r="AE58" s="153"/>
    </row>
    <row r="59" spans="1:31" ht="32" customHeight="1" x14ac:dyDescent="0.15">
      <c r="A59" s="228">
        <v>39013500</v>
      </c>
      <c r="B59" s="235" t="str">
        <f t="shared" ref="B59:B95" si="245">"[effect:enemy_message, val1:"&amp;TEXT(IF(TEXT(E59,0)="[表示しない]", "0", IF(LEN(SUBSTITUTE(E59,CHAR(13),""))*0.1&lt;1.2, 1.2, LEN(SUBSTITUTE(E59,CHAR(13),""))*0.1)), "0.0")&amp;", val2:"&amp;TEXT(IF(TEXT(F59,0)="[表示しない]", "0", IF(LEN(SUBSTITUTE(F59,CHAR(13),""))*0.1&lt;1.2, 1.2, LEN(SUBSTITUTE(F59,CHAR(13),""))*0.1)),"0.0")&amp;"]"&amp;IF(LEN(AC59)&gt;0, ","&amp;SUBSTITUTE(AC59,CHAR(13),""),SUBSTITUTE(AC59,CHAR(13),""))</f>
        <v>[effect:enemy_message, val1:1.9, val2:1.2],[effect:tolerance, target:myself, turn:-1, count:-1, tolerance_effect:sleep, animation:enemy_tolerance]</v>
      </c>
      <c r="C59" s="206">
        <v>1</v>
      </c>
      <c r="D59" s="206" t="s">
        <v>127</v>
      </c>
      <c r="E59" s="207" t="s">
        <v>407</v>
      </c>
      <c r="F59" s="207" t="s">
        <v>408</v>
      </c>
      <c r="G59" s="237" t="str">
        <f t="shared" si="229"/>
        <v>[effect:enemy_message, val1:1.9, val2:1.2]</v>
      </c>
      <c r="H59" s="237">
        <f t="shared" ref="H59:H95" si="246">FIND("effect:",G59)+7</f>
        <v>9</v>
      </c>
      <c r="I59" s="237">
        <f t="shared" si="230"/>
        <v>22</v>
      </c>
      <c r="J59" s="237" t="e">
        <f t="shared" si="231"/>
        <v>#VALUE!</v>
      </c>
      <c r="K59" s="237">
        <f t="shared" si="232"/>
        <v>32</v>
      </c>
      <c r="L59" s="237" t="str">
        <f>IFERROR(VLOOKUP(MID(G59,J59,K59-J59),[6]skilldef!$C:$D,2,FALSE),"-") &amp; " / " &amp; IFERROR(VLOOKUP(MID(G59,H59,I59-H59),[6]skilldef!$A:$B,2,FALSE),"-")</f>
        <v>- / -</v>
      </c>
      <c r="M59" s="237" t="str">
        <f t="shared" si="233"/>
        <v>[effect:tolerance, target:myself, turn:-1, count:-1, tolerance_effect:sleep, animation:enemy_tolerance]</v>
      </c>
      <c r="N59" s="189" t="str">
        <f>IFERROR(LEFT(M59,FIND("],",M59)+#REF!),M59)</f>
        <v>[effect:tolerance, target:myself, turn:-1, count:-1, tolerance_effect:sleep, animation:enemy_tolerance]</v>
      </c>
      <c r="O59" s="237">
        <f t="shared" ref="O59:O95" si="247">FIND("effect:",N59)+7</f>
        <v>9</v>
      </c>
      <c r="P59" s="237">
        <f t="shared" si="234"/>
        <v>18</v>
      </c>
      <c r="Q59" s="237">
        <f t="shared" si="235"/>
        <v>27</v>
      </c>
      <c r="R59" s="237">
        <f t="shared" si="236"/>
        <v>33</v>
      </c>
      <c r="S59" s="237" t="str">
        <f>IFERROR(VLOOKUP(MID(N59,Q59,R59-Q59),[6]skilldef!$C:$D,2,FALSE),"-") &amp; " / " &amp; IFERROR(VLOOKUP(MID(N59,O59,P59-O59),[6]skilldef!$A:$B,2,FALSE),"-")</f>
        <v>自分自身に / 状態異常耐性</v>
      </c>
      <c r="T59" s="189" t="str">
        <f t="shared" si="237"/>
        <v>none</v>
      </c>
      <c r="U59" s="237" t="e">
        <f t="shared" ref="U59:U95" si="248">FIND("effect:",T59)+7</f>
        <v>#VALUE!</v>
      </c>
      <c r="V59" s="237">
        <f t="shared" si="238"/>
        <v>4</v>
      </c>
      <c r="W59" s="237" t="e">
        <f t="shared" si="239"/>
        <v>#VALUE!</v>
      </c>
      <c r="X59" s="237" t="e">
        <f t="shared" si="240"/>
        <v>#VALUE!</v>
      </c>
      <c r="Y59" s="237" t="str">
        <f>IFERROR(VLOOKUP(MID(T59,W59,X59-W59),[6]skilldef!$C:$D,2,FALSE),"-") &amp; " / " &amp; IFERROR(VLOOKUP(MID(T59,U59,V59-U59),[6]skilldef!$A:$B,2,FALSE),"-")</f>
        <v>- / -</v>
      </c>
      <c r="Z59" s="238"/>
      <c r="AA59" s="239"/>
      <c r="AB59" s="238"/>
      <c r="AC59" s="247" t="s">
        <v>279</v>
      </c>
      <c r="AD59" s="207" t="s">
        <v>363</v>
      </c>
      <c r="AE59" s="188" t="s">
        <v>362</v>
      </c>
    </row>
    <row r="60" spans="1:31" ht="129" customHeight="1" x14ac:dyDescent="0.15">
      <c r="A60" s="187">
        <v>39013501</v>
      </c>
      <c r="B60" s="123" t="str">
        <f t="shared" si="245"/>
        <v>[effect:enemy_message, val1:1.2, val2:6.7],[effect:change_range_block,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C60" s="115">
        <v>1</v>
      </c>
      <c r="D60" s="115" t="s">
        <v>127</v>
      </c>
      <c r="E60" s="194" t="s">
        <v>373</v>
      </c>
      <c r="F60" s="194" t="s">
        <v>397</v>
      </c>
      <c r="G60" s="62" t="str">
        <f t="shared" si="229"/>
        <v>[effect:enemy_message, val1:1.2, val2:6.7]</v>
      </c>
      <c r="H60" s="62">
        <f t="shared" si="246"/>
        <v>9</v>
      </c>
      <c r="I60" s="62">
        <f t="shared" si="230"/>
        <v>22</v>
      </c>
      <c r="J60" s="62" t="e">
        <f t="shared" si="231"/>
        <v>#VALUE!</v>
      </c>
      <c r="K60" s="62">
        <f t="shared" si="232"/>
        <v>32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233"/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N60" s="48" t="str">
        <f>IFERROR(LEFT(M60,FIND("],",M60)+#REF!),M60)</f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O60" s="62">
        <f t="shared" si="247"/>
        <v>9</v>
      </c>
      <c r="P60" s="62">
        <f t="shared" si="234"/>
        <v>27</v>
      </c>
      <c r="Q60" s="62">
        <f t="shared" si="235"/>
        <v>143</v>
      </c>
      <c r="R60" s="62">
        <f t="shared" si="236"/>
        <v>43</v>
      </c>
      <c r="S60" s="62" t="str">
        <f>IFERROR(VLOOKUP(MID(N60,Q60,R60-Q60),[6]skilldef!$C:$D,2,FALSE),"-") &amp; " / " &amp; IFERROR(VLOOKUP(MID(N60,O60,P60-O60),[6]skilldef!$A:$B,2,FALSE),"-")</f>
        <v>- / -</v>
      </c>
      <c r="T60" s="48" t="str">
        <f t="shared" si="237"/>
        <v>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U60" s="62">
        <f t="shared" si="248"/>
        <v>9</v>
      </c>
      <c r="V60" s="62">
        <f t="shared" si="238"/>
        <v>27</v>
      </c>
      <c r="W60" s="62">
        <f t="shared" si="239"/>
        <v>142</v>
      </c>
      <c r="X60" s="62">
        <f t="shared" si="240"/>
        <v>43</v>
      </c>
      <c r="Y60" s="62" t="str">
        <f>IFERROR(VLOOKUP(MID(T60,W60,X60-W60),[6]skilldef!$C:$D,2,FALSE),"-") &amp; " / " &amp; IFERROR(VLOOKUP(MID(T60,U60,V60-U60),[6]skilldef!$A:$B,2,FALSE),"-")</f>
        <v>- / -</v>
      </c>
      <c r="Z60" s="50"/>
      <c r="AA60" s="51"/>
      <c r="AB60" s="50"/>
      <c r="AC60" s="197" t="s">
        <v>415</v>
      </c>
      <c r="AD60" s="194" t="s">
        <v>364</v>
      </c>
      <c r="AE60" s="224" t="s">
        <v>372</v>
      </c>
    </row>
    <row r="61" spans="1:31" ht="33" customHeight="1" x14ac:dyDescent="0.15">
      <c r="A61" s="187">
        <v>39013502</v>
      </c>
      <c r="B61" s="123" t="str">
        <f t="shared" si="245"/>
        <v>[effect:enemy_message, val1:1.2, val2:1.8],[effect:break_attack_fix, target:unit_one, val:300, lowest_val:1, count:24, color:yellow, block01:block_red]</v>
      </c>
      <c r="C61" s="115">
        <v>1</v>
      </c>
      <c r="D61" s="115" t="s">
        <v>127</v>
      </c>
      <c r="E61" s="200" t="s">
        <v>377</v>
      </c>
      <c r="F61" s="200" t="s">
        <v>398</v>
      </c>
      <c r="G61" s="62" t="str">
        <f t="shared" si="229"/>
        <v>[effect:enemy_message, val1:1.2, val2:1.8]</v>
      </c>
      <c r="H61" s="62">
        <f t="shared" si="246"/>
        <v>9</v>
      </c>
      <c r="I61" s="62">
        <f t="shared" si="230"/>
        <v>22</v>
      </c>
      <c r="J61" s="62" t="e">
        <f t="shared" si="231"/>
        <v>#VALUE!</v>
      </c>
      <c r="K61" s="62">
        <f t="shared" si="232"/>
        <v>32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233"/>
        <v>[effect:break_attack_fix, target:unit_one, val:300, lowest_val:1, count:24, color:yellow, block01:block_red]</v>
      </c>
      <c r="N61" s="48" t="str">
        <f>IFERROR(LEFT(M61,FIND("],",M61)+#REF!),M61)</f>
        <v>[effect:break_attack_fix, target:unit_one, val:300, lowest_val:1, count:24, color:yellow, block01:block_red]</v>
      </c>
      <c r="O61" s="62">
        <f t="shared" si="247"/>
        <v>9</v>
      </c>
      <c r="P61" s="62">
        <f t="shared" si="234"/>
        <v>25</v>
      </c>
      <c r="Q61" s="62">
        <f t="shared" si="235"/>
        <v>34</v>
      </c>
      <c r="R61" s="62">
        <f t="shared" si="236"/>
        <v>42</v>
      </c>
      <c r="S61" s="62" t="str">
        <f>IFERROR(VLOOKUP(MID(N61,Q61,R61-Q61),[6]skilldef!$C:$D,2,FALSE),"-") &amp; " / " &amp; IFERROR(VLOOKUP(MID(N61,O61,P61-O61),[6]skilldef!$A:$B,2,FALSE),"-")</f>
        <v>味方単体に / -</v>
      </c>
      <c r="T61" s="48" t="str">
        <f t="shared" si="237"/>
        <v>none</v>
      </c>
      <c r="U61" s="62" t="e">
        <f t="shared" si="248"/>
        <v>#VALUE!</v>
      </c>
      <c r="V61" s="62">
        <f t="shared" si="238"/>
        <v>4</v>
      </c>
      <c r="W61" s="62" t="e">
        <f t="shared" si="239"/>
        <v>#VALUE!</v>
      </c>
      <c r="X61" s="62" t="e">
        <f t="shared" si="240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50"/>
      <c r="AA61" s="51"/>
      <c r="AB61" s="50"/>
      <c r="AC61" s="201" t="s">
        <v>403</v>
      </c>
      <c r="AD61" s="200" t="s">
        <v>278</v>
      </c>
      <c r="AE61" s="47"/>
    </row>
    <row r="62" spans="1:31" ht="33" customHeight="1" x14ac:dyDescent="0.15">
      <c r="A62" s="187">
        <v>39013503</v>
      </c>
      <c r="B62" s="123" t="str">
        <f t="shared" si="245"/>
        <v>[effect:enemy_message, val1:1.2, val2:1.8],[effect:break_attack_fix, target:unit_one, val:300, lowest_val:1, count:24, color:yellow, block01:block_blue]</v>
      </c>
      <c r="C62" s="115">
        <v>1</v>
      </c>
      <c r="D62" s="115" t="s">
        <v>127</v>
      </c>
      <c r="E62" s="200" t="s">
        <v>378</v>
      </c>
      <c r="F62" s="200" t="s">
        <v>400</v>
      </c>
      <c r="G62" s="62" t="str">
        <f t="shared" si="229"/>
        <v>[effect:enemy_message, val1:1.2, val2:1.8]</v>
      </c>
      <c r="H62" s="62">
        <f t="shared" si="246"/>
        <v>9</v>
      </c>
      <c r="I62" s="62">
        <f t="shared" si="230"/>
        <v>22</v>
      </c>
      <c r="J62" s="62" t="e">
        <f t="shared" si="231"/>
        <v>#VALUE!</v>
      </c>
      <c r="K62" s="62">
        <f t="shared" si="232"/>
        <v>32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si="233"/>
        <v>[effect:break_attack_fix, target:unit_one, val:300, lowest_val:1, count:24, color:yellow, block01:block_blue]</v>
      </c>
      <c r="N62" s="48" t="str">
        <f>IFERROR(LEFT(M62,FIND("],",M62)+#REF!),M62)</f>
        <v>[effect:break_attack_fix, target:unit_one, val:300, lowest_val:1, count:24, color:yellow, block01:block_blue]</v>
      </c>
      <c r="O62" s="62">
        <f t="shared" si="247"/>
        <v>9</v>
      </c>
      <c r="P62" s="62">
        <f t="shared" si="234"/>
        <v>25</v>
      </c>
      <c r="Q62" s="62">
        <f t="shared" si="235"/>
        <v>34</v>
      </c>
      <c r="R62" s="62">
        <f t="shared" si="236"/>
        <v>42</v>
      </c>
      <c r="S62" s="62" t="str">
        <f>IFERROR(VLOOKUP(MID(N62,Q62,R62-Q62),[6]skilldef!$C:$D,2,FALSE),"-") &amp; " / " &amp; IFERROR(VLOOKUP(MID(N62,O62,P62-O62),[6]skilldef!$A:$B,2,FALSE),"-")</f>
        <v>味方単体に / -</v>
      </c>
      <c r="T62" s="48" t="str">
        <f t="shared" si="237"/>
        <v>none</v>
      </c>
      <c r="U62" s="62" t="e">
        <f t="shared" si="248"/>
        <v>#VALUE!</v>
      </c>
      <c r="V62" s="62">
        <f t="shared" si="238"/>
        <v>4</v>
      </c>
      <c r="W62" s="62" t="e">
        <f t="shared" si="239"/>
        <v>#VALUE!</v>
      </c>
      <c r="X62" s="62" t="e">
        <f t="shared" si="240"/>
        <v>#VALUE!</v>
      </c>
      <c r="Y62" s="62" t="str">
        <f>IFERROR(VLOOKUP(MID(T62,W62,X62-W62),[6]skilldef!$C:$D,2,FALSE),"-") &amp; " / " &amp; IFERROR(VLOOKUP(MID(T62,U62,V62-U62),[6]skilldef!$A:$B,2,FALSE),"-")</f>
        <v>- / -</v>
      </c>
      <c r="Z62" s="50"/>
      <c r="AA62" s="51"/>
      <c r="AB62" s="50"/>
      <c r="AC62" s="201" t="s">
        <v>404</v>
      </c>
      <c r="AD62" s="200" t="s">
        <v>277</v>
      </c>
      <c r="AE62" s="47"/>
    </row>
    <row r="63" spans="1:31" ht="21" customHeight="1" x14ac:dyDescent="0.15">
      <c r="A63" s="187">
        <v>39013504</v>
      </c>
      <c r="B63" s="123" t="str">
        <f t="shared" si="245"/>
        <v>[effect:enemy_message, val1:1.2, val2:1.2],[effect:critical, val:1.4, animation:enemy_critical]</v>
      </c>
      <c r="C63" s="115">
        <v>1</v>
      </c>
      <c r="D63" s="115" t="s">
        <v>127</v>
      </c>
      <c r="E63" s="194" t="s">
        <v>367</v>
      </c>
      <c r="F63" s="194" t="s">
        <v>409</v>
      </c>
      <c r="G63" s="62" t="str">
        <f t="shared" si="229"/>
        <v>[effect:enemy_message, val1:1.2, val2:1.2]</v>
      </c>
      <c r="H63" s="62">
        <f t="shared" si="246"/>
        <v>9</v>
      </c>
      <c r="I63" s="62">
        <f t="shared" si="230"/>
        <v>22</v>
      </c>
      <c r="J63" s="62" t="e">
        <f t="shared" si="231"/>
        <v>#VALUE!</v>
      </c>
      <c r="K63" s="62">
        <f t="shared" si="232"/>
        <v>32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233"/>
        <v>[effect:critical, val:1.4, animation:enemy_critical]</v>
      </c>
      <c r="N63" s="48" t="str">
        <f>IFERROR(LEFT(M63,FIND("],",M63)+#REF!),M63)</f>
        <v>[effect:critical, val:1.4, animation:enemy_critical]</v>
      </c>
      <c r="O63" s="62">
        <f t="shared" si="247"/>
        <v>9</v>
      </c>
      <c r="P63" s="62">
        <f t="shared" si="234"/>
        <v>17</v>
      </c>
      <c r="Q63" s="62" t="e">
        <f t="shared" si="235"/>
        <v>#VALUE!</v>
      </c>
      <c r="R63" s="62">
        <f t="shared" si="236"/>
        <v>26</v>
      </c>
      <c r="S63" s="62" t="str">
        <f>IFERROR(VLOOKUP(MID(N63,Q63,R63-Q63),[6]skilldef!$C:$D,2,FALSE),"-") &amp; " / " &amp; IFERROR(VLOOKUP(MID(N63,O63,P63-O63),[6]skilldef!$A:$B,2,FALSE),"-")</f>
        <v>- / 大攻撃</v>
      </c>
      <c r="T63" s="48" t="str">
        <f t="shared" si="237"/>
        <v>none</v>
      </c>
      <c r="U63" s="62" t="e">
        <f t="shared" si="248"/>
        <v>#VALUE!</v>
      </c>
      <c r="V63" s="62">
        <f t="shared" si="238"/>
        <v>4</v>
      </c>
      <c r="W63" s="62" t="e">
        <f t="shared" si="239"/>
        <v>#VALUE!</v>
      </c>
      <c r="X63" s="62" t="e">
        <f t="shared" si="240"/>
        <v>#VALUE!</v>
      </c>
      <c r="Y63" s="62" t="str">
        <f>IFERROR(VLOOKUP(MID(T63,W63,X63-W63),[6]skilldef!$C:$D,2,FALSE),"-") &amp; " / " &amp; IFERROR(VLOOKUP(MID(T63,U63,V63-U63),[6]skilldef!$A:$B,2,FALSE),"-")</f>
        <v>- / -</v>
      </c>
      <c r="Z63" s="50"/>
      <c r="AA63" s="51"/>
      <c r="AB63" s="50"/>
      <c r="AC63" s="197" t="s">
        <v>339</v>
      </c>
      <c r="AD63" s="194" t="s">
        <v>303</v>
      </c>
      <c r="AE63" s="47"/>
    </row>
    <row r="64" spans="1:31" ht="21" customHeight="1" x14ac:dyDescent="0.15">
      <c r="A64" s="187">
        <v>39013505</v>
      </c>
      <c r="B64" s="123" t="str">
        <f t="shared" si="245"/>
        <v>[effect:enemy_message, val1:1.2, val2:1.2],[effect:critical, val:1.4, animation:enemy_critical]</v>
      </c>
      <c r="C64" s="115">
        <v>1</v>
      </c>
      <c r="D64" s="115" t="s">
        <v>127</v>
      </c>
      <c r="E64" s="194" t="s">
        <v>369</v>
      </c>
      <c r="F64" s="194" t="s">
        <v>409</v>
      </c>
      <c r="G64" s="62" t="str">
        <f t="shared" ref="G64:G95" si="249">IFERROR(LEFT(B64,FIND("],",B64)),B64)</f>
        <v>[effect:enemy_message, val1:1.2, val2:1.2]</v>
      </c>
      <c r="H64" s="62">
        <f t="shared" si="246"/>
        <v>9</v>
      </c>
      <c r="I64" s="62">
        <f t="shared" ref="I64:I95" si="250">IFERROR(FIND(",",G64),LEN(G64))</f>
        <v>22</v>
      </c>
      <c r="J64" s="62" t="e">
        <f t="shared" ref="J64:J95" si="251">FIND("target:",G64)+7</f>
        <v>#VALUE!</v>
      </c>
      <c r="K64" s="62">
        <f t="shared" ref="K64:K95" si="252">FIND(",",G64,I64+1)</f>
        <v>32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ref="M64:M95" si="253">IFERROR(RIGHT(B64,LEN(B64)-FIND("],",B64)-1),"none")</f>
        <v>[effect:critical, val:1.4, animation:enemy_critical]</v>
      </c>
      <c r="N64" s="48" t="str">
        <f>IFERROR(LEFT(M64,FIND("],",M64)+#REF!),M64)</f>
        <v>[effect:critical, val:1.4, animation:enemy_critical]</v>
      </c>
      <c r="O64" s="62">
        <f t="shared" si="247"/>
        <v>9</v>
      </c>
      <c r="P64" s="62">
        <f t="shared" ref="P64:P95" si="254">IFERROR(FIND(",",N64),LEN(N64))</f>
        <v>17</v>
      </c>
      <c r="Q64" s="62" t="e">
        <f t="shared" ref="Q64:Q95" si="255">FIND("target:",N64)+7</f>
        <v>#VALUE!</v>
      </c>
      <c r="R64" s="62">
        <f t="shared" ref="R64:R95" si="256">FIND(",",N64,P64+1)</f>
        <v>26</v>
      </c>
      <c r="S64" s="62" t="str">
        <f>IFERROR(VLOOKUP(MID(N64,Q64,R64-Q64),[6]skilldef!$C:$D,2,FALSE),"-") &amp; " / " &amp; IFERROR(VLOOKUP(MID(N64,O64,P64-O64),[6]skilldef!$A:$B,2,FALSE),"-")</f>
        <v>- / 大攻撃</v>
      </c>
      <c r="T64" s="48" t="str">
        <f t="shared" ref="T64:T95" si="257">IFERROR(RIGHT(M64,LEN(M64)-FIND("],",M64)-1),"none")</f>
        <v>none</v>
      </c>
      <c r="U64" s="62" t="e">
        <f t="shared" si="248"/>
        <v>#VALUE!</v>
      </c>
      <c r="V64" s="62">
        <f t="shared" ref="V64:V95" si="258">IFERROR(FIND(",",T64),LEN(T64))</f>
        <v>4</v>
      </c>
      <c r="W64" s="62" t="e">
        <f t="shared" ref="W64:W95" si="259">FIND("target:",T64)+7</f>
        <v>#VALUE!</v>
      </c>
      <c r="X64" s="62" t="e">
        <f t="shared" ref="X64:X95" si="260">FIND(",",T64,V64+1)</f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50"/>
      <c r="AA64" s="51"/>
      <c r="AB64" s="50"/>
      <c r="AC64" s="197" t="s">
        <v>339</v>
      </c>
      <c r="AD64" s="194" t="s">
        <v>304</v>
      </c>
      <c r="AE64" s="47"/>
    </row>
    <row r="65" spans="1:31" ht="21" customHeight="1" x14ac:dyDescent="0.15">
      <c r="A65" s="187">
        <v>39013506</v>
      </c>
      <c r="B65" s="123" t="str">
        <f t="shared" si="245"/>
        <v>[effect:enemy_message, val1:1.2, val2:1.2],[effect:rush, count:3, val:0.6]</v>
      </c>
      <c r="C65" s="115">
        <v>1</v>
      </c>
      <c r="D65" s="115" t="s">
        <v>127</v>
      </c>
      <c r="E65" s="194" t="s">
        <v>379</v>
      </c>
      <c r="F65" s="194" t="s">
        <v>410</v>
      </c>
      <c r="G65" s="62" t="str">
        <f t="shared" si="249"/>
        <v>[effect:enemy_message, val1:1.2, val2:1.2]</v>
      </c>
      <c r="H65" s="62">
        <f t="shared" si="246"/>
        <v>9</v>
      </c>
      <c r="I65" s="62">
        <f t="shared" si="250"/>
        <v>22</v>
      </c>
      <c r="J65" s="62" t="e">
        <f t="shared" si="251"/>
        <v>#VALUE!</v>
      </c>
      <c r="K65" s="62">
        <f t="shared" si="252"/>
        <v>32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253"/>
        <v>[effect:rush, count:3, val:0.6]</v>
      </c>
      <c r="N65" s="48" t="str">
        <f>IFERROR(LEFT(M65,FIND("],",M65)+#REF!),M65)</f>
        <v>[effect:rush, count:3, val:0.6]</v>
      </c>
      <c r="O65" s="62">
        <f t="shared" si="247"/>
        <v>9</v>
      </c>
      <c r="P65" s="62">
        <f t="shared" si="254"/>
        <v>13</v>
      </c>
      <c r="Q65" s="62" t="e">
        <f t="shared" si="255"/>
        <v>#VALUE!</v>
      </c>
      <c r="R65" s="62">
        <f t="shared" si="256"/>
        <v>22</v>
      </c>
      <c r="S65" s="62" t="str">
        <f>IFERROR(VLOOKUP(MID(N65,Q65,R65-Q65),[6]skilldef!$C:$D,2,FALSE),"-") &amp; " / " &amp; IFERROR(VLOOKUP(MID(N65,O65,P65-O65),[6]skilldef!$A:$B,2,FALSE),"-")</f>
        <v>- / 連続攻撃</v>
      </c>
      <c r="T65" s="48" t="str">
        <f t="shared" si="257"/>
        <v>none</v>
      </c>
      <c r="U65" s="62" t="e">
        <f t="shared" si="248"/>
        <v>#VALUE!</v>
      </c>
      <c r="V65" s="62">
        <f t="shared" si="258"/>
        <v>4</v>
      </c>
      <c r="W65" s="62" t="e">
        <f t="shared" si="259"/>
        <v>#VALUE!</v>
      </c>
      <c r="X65" s="62" t="e">
        <f t="shared" si="260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50"/>
      <c r="AA65" s="51"/>
      <c r="AB65" s="50"/>
      <c r="AC65" s="197" t="s">
        <v>284</v>
      </c>
      <c r="AD65" s="194" t="s">
        <v>305</v>
      </c>
      <c r="AE65" s="47"/>
    </row>
    <row r="66" spans="1:31" ht="34" customHeight="1" x14ac:dyDescent="0.15">
      <c r="A66" s="187">
        <v>39013507</v>
      </c>
      <c r="B66" s="123" t="str">
        <f t="shared" si="245"/>
        <v>[effect:enemy_message, val1:1.2, val2:2.0],[effect:damage_abnormal, target:unit_one, val:1.0, status:virus, turn:3, val_abnormal:0.4, animation:enemy_virus]</v>
      </c>
      <c r="C66" s="115">
        <v>1</v>
      </c>
      <c r="D66" s="115" t="s">
        <v>127</v>
      </c>
      <c r="E66" s="194" t="s">
        <v>411</v>
      </c>
      <c r="F66" s="194" t="s">
        <v>456</v>
      </c>
      <c r="G66" s="62" t="str">
        <f t="shared" si="249"/>
        <v>[effect:enemy_message, val1:1.2, val2:2.0]</v>
      </c>
      <c r="H66" s="62">
        <f t="shared" si="246"/>
        <v>9</v>
      </c>
      <c r="I66" s="62">
        <f t="shared" si="250"/>
        <v>22</v>
      </c>
      <c r="J66" s="62" t="e">
        <f t="shared" si="251"/>
        <v>#VALUE!</v>
      </c>
      <c r="K66" s="62">
        <f t="shared" si="252"/>
        <v>32</v>
      </c>
      <c r="L66" s="62" t="str">
        <f>IFERROR(VLOOKUP(MID(G66,J66,K66-J66),[6]skilldef!$C:$D,2,FALSE),"-") &amp; " / " &amp; IFERROR(VLOOKUP(MID(G66,H66,I66-H66),[6]skilldef!$A:$B,2,FALSE),"-")</f>
        <v>- / -</v>
      </c>
      <c r="M66" s="62" t="str">
        <f t="shared" si="253"/>
        <v>[effect:damage_abnormal, target:unit_one, val:1.0, status:virus, turn:3, val_abnormal:0.4, animation:enemy_virus]</v>
      </c>
      <c r="N66" s="48" t="str">
        <f>IFERROR(LEFT(M66,FIND("],",M66)+#REF!),M66)</f>
        <v>[effect:damage_abnormal, target:unit_one, val:1.0, status:virus, turn:3, val_abnormal:0.4, animation:enemy_virus]</v>
      </c>
      <c r="O66" s="62">
        <f t="shared" si="247"/>
        <v>9</v>
      </c>
      <c r="P66" s="62">
        <f t="shared" si="254"/>
        <v>24</v>
      </c>
      <c r="Q66" s="62">
        <f t="shared" si="255"/>
        <v>33</v>
      </c>
      <c r="R66" s="62">
        <f t="shared" si="256"/>
        <v>41</v>
      </c>
      <c r="S66" s="62" t="str">
        <f>IFERROR(VLOOKUP(MID(N66,Q66,R66-Q66),[6]skilldef!$C:$D,2,FALSE),"-") &amp; " / " &amp; IFERROR(VLOOKUP(MID(N66,O66,P66-O66),[6]skilldef!$A:$B,2,FALSE),"-")</f>
        <v>味方単体に / -</v>
      </c>
      <c r="T66" s="48" t="str">
        <f t="shared" si="257"/>
        <v>none</v>
      </c>
      <c r="U66" s="62" t="e">
        <f t="shared" si="248"/>
        <v>#VALUE!</v>
      </c>
      <c r="V66" s="62">
        <f t="shared" si="258"/>
        <v>4</v>
      </c>
      <c r="W66" s="62" t="e">
        <f t="shared" si="259"/>
        <v>#VALUE!</v>
      </c>
      <c r="X66" s="62" t="e">
        <f t="shared" si="260"/>
        <v>#VALUE!</v>
      </c>
      <c r="Y66" s="62" t="str">
        <f>IFERROR(VLOOKUP(MID(T66,W66,X66-W66),[6]skilldef!$C:$D,2,FALSE),"-") &amp; " / " &amp; IFERROR(VLOOKUP(MID(T66,U66,V66-U66),[6]skilldef!$A:$B,2,FALSE),"-")</f>
        <v>- / -</v>
      </c>
      <c r="Z66" s="50"/>
      <c r="AA66" s="51"/>
      <c r="AB66" s="50"/>
      <c r="AC66" s="197" t="s">
        <v>338</v>
      </c>
      <c r="AD66" s="194" t="s">
        <v>307</v>
      </c>
      <c r="AE66" s="47"/>
    </row>
    <row r="67" spans="1:31" ht="39" customHeight="1" x14ac:dyDescent="0.15">
      <c r="A67" s="187">
        <v>39013508</v>
      </c>
      <c r="B67" s="123" t="str">
        <f t="shared" si="245"/>
        <v>[effect:enemy_message, val1:1.2, val2:1.6],[effect:enemy_counter, target:myself, invoke_condition:unit_all, counter_target:attacker, turn:1, val:1.2, animation:enemy_counter]</v>
      </c>
      <c r="C67" s="115">
        <v>1</v>
      </c>
      <c r="D67" s="115" t="s">
        <v>127</v>
      </c>
      <c r="E67" s="194" t="s">
        <v>375</v>
      </c>
      <c r="F67" s="194" t="s">
        <v>425</v>
      </c>
      <c r="G67" s="62" t="str">
        <f t="shared" si="249"/>
        <v>[effect:enemy_message, val1:1.2, val2:1.6]</v>
      </c>
      <c r="H67" s="62">
        <f t="shared" si="246"/>
        <v>9</v>
      </c>
      <c r="I67" s="62">
        <f t="shared" si="250"/>
        <v>22</v>
      </c>
      <c r="J67" s="62" t="e">
        <f t="shared" si="251"/>
        <v>#VALUE!</v>
      </c>
      <c r="K67" s="62">
        <f t="shared" si="252"/>
        <v>32</v>
      </c>
      <c r="L67" s="62" t="str">
        <f>IFERROR(VLOOKUP(MID(G67,J67,K67-J67),[6]skilldef!$C:$D,2,FALSE),"-") &amp; " / " &amp; IFERROR(VLOOKUP(MID(G67,H67,I67-H67),[6]skilldef!$A:$B,2,FALSE),"-")</f>
        <v>- / -</v>
      </c>
      <c r="M67" s="62" t="str">
        <f t="shared" si="253"/>
        <v>[effect:enemy_counter, target:myself, invoke_condition:unit_all, counter_target:attacker, turn:1, val:1.2, animation:enemy_counter]</v>
      </c>
      <c r="N67" s="48" t="str">
        <f>IFERROR(LEFT(M67,FIND("],",M67)+#REF!),M67)</f>
        <v>[effect:enemy_counter, target:myself, invoke_condition:unit_all, counter_target:attacker, turn:1, val:1.2, animation:enemy_counter]</v>
      </c>
      <c r="O67" s="62">
        <f t="shared" si="247"/>
        <v>9</v>
      </c>
      <c r="P67" s="62">
        <f t="shared" si="254"/>
        <v>22</v>
      </c>
      <c r="Q67" s="62">
        <f t="shared" si="255"/>
        <v>31</v>
      </c>
      <c r="R67" s="62">
        <f t="shared" si="256"/>
        <v>37</v>
      </c>
      <c r="S67" s="62" t="str">
        <f>IFERROR(VLOOKUP(MID(N67,Q67,R67-Q67),[6]skilldef!$C:$D,2,FALSE),"-") &amp; " / " &amp; IFERROR(VLOOKUP(MID(N67,O67,P67-O67),[6]skilldef!$A:$B,2,FALSE),"-")</f>
        <v>自分自身に / カウンター</v>
      </c>
      <c r="T67" s="48" t="str">
        <f t="shared" si="257"/>
        <v>none</v>
      </c>
      <c r="U67" s="62" t="e">
        <f t="shared" si="248"/>
        <v>#VALUE!</v>
      </c>
      <c r="V67" s="62">
        <f t="shared" si="258"/>
        <v>4</v>
      </c>
      <c r="W67" s="62" t="e">
        <f t="shared" si="259"/>
        <v>#VALUE!</v>
      </c>
      <c r="X67" s="62" t="e">
        <f t="shared" si="260"/>
        <v>#VALUE!</v>
      </c>
      <c r="Y67" s="62" t="str">
        <f>IFERROR(VLOOKUP(MID(T67,W67,X67-W67),[6]skilldef!$C:$D,2,FALSE),"-") &amp; " / " &amp; IFERROR(VLOOKUP(MID(T67,U67,V67-U67),[6]skilldef!$A:$B,2,FALSE),"-")</f>
        <v>- / -</v>
      </c>
      <c r="Z67" s="50"/>
      <c r="AA67" s="51"/>
      <c r="AB67" s="50"/>
      <c r="AC67" s="197" t="s">
        <v>331</v>
      </c>
      <c r="AD67" s="194" t="s">
        <v>308</v>
      </c>
      <c r="AE67" s="47"/>
    </row>
    <row r="68" spans="1:31" ht="21" customHeight="1" x14ac:dyDescent="0.15">
      <c r="A68" s="187">
        <v>39013509</v>
      </c>
      <c r="B68" s="123" t="str">
        <f t="shared" si="245"/>
        <v>[effect:enemy_message, val1:1.2, val2:2.0],[effect:damage_abnormal, target:unit_one, val:1.2, status:virus, turn:2, val_abnormal:0.2, animation:enemy_virus]</v>
      </c>
      <c r="C68" s="110">
        <v>1</v>
      </c>
      <c r="D68" s="110" t="s">
        <v>127</v>
      </c>
      <c r="E68" s="111" t="s">
        <v>412</v>
      </c>
      <c r="F68" s="111" t="s">
        <v>457</v>
      </c>
      <c r="G68" s="62" t="str">
        <f t="shared" si="249"/>
        <v>[effect:enemy_message, val1:1.2, val2:2.0]</v>
      </c>
      <c r="H68" s="62">
        <f t="shared" si="246"/>
        <v>9</v>
      </c>
      <c r="I68" s="62">
        <f t="shared" si="250"/>
        <v>22</v>
      </c>
      <c r="J68" s="62" t="e">
        <f t="shared" si="251"/>
        <v>#VALUE!</v>
      </c>
      <c r="K68" s="62">
        <f t="shared" si="252"/>
        <v>32</v>
      </c>
      <c r="L68" s="62" t="str">
        <f>IFERROR(VLOOKUP(MID(G68,J68,K68-J68),[6]skilldef!$C:$D,2,FALSE),"-") &amp; " / " &amp; IFERROR(VLOOKUP(MID(G68,H68,I68-H68),[6]skilldef!$A:$B,2,FALSE),"-")</f>
        <v>- / -</v>
      </c>
      <c r="M68" s="62" t="str">
        <f t="shared" si="253"/>
        <v>[effect:damage_abnormal, target:unit_one, val:1.2, status:virus, turn:2, val_abnormal:0.2, animation:enemy_virus]</v>
      </c>
      <c r="N68" s="48" t="str">
        <f>IFERROR(LEFT(M68,FIND("],",M68)+#REF!),M68)</f>
        <v>[effect:damage_abnormal, target:unit_one, val:1.2, status:virus, turn:2, val_abnormal:0.2, animation:enemy_virus]</v>
      </c>
      <c r="O68" s="62">
        <f t="shared" si="247"/>
        <v>9</v>
      </c>
      <c r="P68" s="62">
        <f t="shared" si="254"/>
        <v>24</v>
      </c>
      <c r="Q68" s="62">
        <f t="shared" si="255"/>
        <v>33</v>
      </c>
      <c r="R68" s="62">
        <f t="shared" si="256"/>
        <v>41</v>
      </c>
      <c r="S68" s="62" t="str">
        <f>IFERROR(VLOOKUP(MID(N68,Q68,R68-Q68),[6]skilldef!$C:$D,2,FALSE),"-") &amp; " / " &amp; IFERROR(VLOOKUP(MID(N68,O68,P68-O68),[6]skilldef!$A:$B,2,FALSE),"-")</f>
        <v>味方単体に / -</v>
      </c>
      <c r="T68" s="48" t="str">
        <f t="shared" si="257"/>
        <v>none</v>
      </c>
      <c r="U68" s="62" t="e">
        <f t="shared" si="248"/>
        <v>#VALUE!</v>
      </c>
      <c r="V68" s="62">
        <f t="shared" si="258"/>
        <v>4</v>
      </c>
      <c r="W68" s="62" t="e">
        <f t="shared" si="259"/>
        <v>#VALUE!</v>
      </c>
      <c r="X68" s="62" t="e">
        <f t="shared" si="260"/>
        <v>#VALUE!</v>
      </c>
      <c r="Y68" s="62" t="str">
        <f>IFERROR(VLOOKUP(MID(T68,W68,X68-W68),[6]skilldef!$C:$D,2,FALSE),"-") &amp; " / " &amp; IFERROR(VLOOKUP(MID(T68,U68,V68-U68),[6]skilldef!$A:$B,2,FALSE),"-")</f>
        <v>- / -</v>
      </c>
      <c r="Z68" s="50"/>
      <c r="AA68" s="51"/>
      <c r="AB68" s="50"/>
      <c r="AC68" s="120" t="s">
        <v>341</v>
      </c>
      <c r="AD68" s="111" t="s">
        <v>285</v>
      </c>
      <c r="AE68" s="47"/>
    </row>
    <row r="69" spans="1:31" ht="21" customHeight="1" x14ac:dyDescent="0.15">
      <c r="A69" s="187">
        <v>39013510</v>
      </c>
      <c r="B69" s="123" t="str">
        <f t="shared" si="245"/>
        <v>[effect:enemy_message, val1:1.2, val2:2.0],[effect:damage_abnormal, target:unit_one, val:1.3, status:virus, turn:2, val_abnormal:0.2, animation:enemy_virus]</v>
      </c>
      <c r="C69" s="110">
        <v>1</v>
      </c>
      <c r="D69" s="110" t="s">
        <v>127</v>
      </c>
      <c r="E69" s="111" t="s">
        <v>412</v>
      </c>
      <c r="F69" s="111" t="s">
        <v>457</v>
      </c>
      <c r="G69" s="62" t="str">
        <f t="shared" si="249"/>
        <v>[effect:enemy_message, val1:1.2, val2:2.0]</v>
      </c>
      <c r="H69" s="62">
        <f t="shared" si="246"/>
        <v>9</v>
      </c>
      <c r="I69" s="62">
        <f t="shared" si="250"/>
        <v>22</v>
      </c>
      <c r="J69" s="62" t="e">
        <f t="shared" si="251"/>
        <v>#VALUE!</v>
      </c>
      <c r="K69" s="62">
        <f t="shared" si="252"/>
        <v>32</v>
      </c>
      <c r="L69" s="62" t="str">
        <f>IFERROR(VLOOKUP(MID(G69,J69,K69-J69),[6]skilldef!$C:$D,2,FALSE),"-") &amp; " / " &amp; IFERROR(VLOOKUP(MID(G69,H69,I69-H69),[6]skilldef!$A:$B,2,FALSE),"-")</f>
        <v>- / -</v>
      </c>
      <c r="M69" s="62" t="str">
        <f t="shared" si="253"/>
        <v>[effect:damage_abnormal, target:unit_one, val:1.3, status:virus, turn:2, val_abnormal:0.2, animation:enemy_virus]</v>
      </c>
      <c r="N69" s="48" t="str">
        <f>IFERROR(LEFT(M69,FIND("],",M69)+#REF!),M69)</f>
        <v>[effect:damage_abnormal, target:unit_one, val:1.3, status:virus, turn:2, val_abnormal:0.2, animation:enemy_virus]</v>
      </c>
      <c r="O69" s="62">
        <f t="shared" si="247"/>
        <v>9</v>
      </c>
      <c r="P69" s="62">
        <f t="shared" si="254"/>
        <v>24</v>
      </c>
      <c r="Q69" s="62">
        <f t="shared" si="255"/>
        <v>33</v>
      </c>
      <c r="R69" s="62">
        <f t="shared" si="256"/>
        <v>41</v>
      </c>
      <c r="S69" s="62" t="str">
        <f>IFERROR(VLOOKUP(MID(N69,Q69,R69-Q69),[6]skilldef!$C:$D,2,FALSE),"-") &amp; " / " &amp; IFERROR(VLOOKUP(MID(N69,O69,P69-O69),[6]skilldef!$A:$B,2,FALSE),"-")</f>
        <v>味方単体に / -</v>
      </c>
      <c r="T69" s="48" t="str">
        <f t="shared" si="257"/>
        <v>none</v>
      </c>
      <c r="U69" s="62" t="e">
        <f t="shared" si="248"/>
        <v>#VALUE!</v>
      </c>
      <c r="V69" s="62">
        <f t="shared" si="258"/>
        <v>4</v>
      </c>
      <c r="W69" s="62" t="e">
        <f t="shared" si="259"/>
        <v>#VALUE!</v>
      </c>
      <c r="X69" s="62" t="e">
        <f t="shared" si="260"/>
        <v>#VALUE!</v>
      </c>
      <c r="Y69" s="62" t="str">
        <f>IFERROR(VLOOKUP(MID(T69,W69,X69-W69),[6]skilldef!$C:$D,2,FALSE),"-") &amp; " / " &amp; IFERROR(VLOOKUP(MID(T69,U69,V69-U69),[6]skilldef!$A:$B,2,FALSE),"-")</f>
        <v>- / -</v>
      </c>
      <c r="Z69" s="50"/>
      <c r="AA69" s="51"/>
      <c r="AB69" s="50"/>
      <c r="AC69" s="120" t="s">
        <v>342</v>
      </c>
      <c r="AD69" s="111" t="s">
        <v>265</v>
      </c>
      <c r="AE69" s="47"/>
    </row>
    <row r="70" spans="1:31" ht="21" customHeight="1" x14ac:dyDescent="0.15">
      <c r="A70" s="187">
        <v>39013511</v>
      </c>
      <c r="B70" s="123" t="str">
        <f t="shared" si="245"/>
        <v>[effect:enemy_message, val1:1.2, val2:2.0],[effect:damage_abnormal, target:unit_one, val:1.4, status:virus, turn:2, val_abnormal:0.2, animation:enemy_virus]</v>
      </c>
      <c r="C70" s="110">
        <v>1</v>
      </c>
      <c r="D70" s="110" t="s">
        <v>127</v>
      </c>
      <c r="E70" s="111" t="s">
        <v>413</v>
      </c>
      <c r="F70" s="111" t="s">
        <v>457</v>
      </c>
      <c r="G70" s="62" t="str">
        <f t="shared" si="249"/>
        <v>[effect:enemy_message, val1:1.2, val2:2.0]</v>
      </c>
      <c r="H70" s="62">
        <f t="shared" si="246"/>
        <v>9</v>
      </c>
      <c r="I70" s="62">
        <f t="shared" si="250"/>
        <v>22</v>
      </c>
      <c r="J70" s="62" t="e">
        <f t="shared" si="251"/>
        <v>#VALUE!</v>
      </c>
      <c r="K70" s="62">
        <f t="shared" si="252"/>
        <v>32</v>
      </c>
      <c r="L70" s="62" t="str">
        <f>IFERROR(VLOOKUP(MID(G70,J70,K70-J70),[6]skilldef!$C:$D,2,FALSE),"-") &amp; " / " &amp; IFERROR(VLOOKUP(MID(G70,H70,I70-H70),[6]skilldef!$A:$B,2,FALSE),"-")</f>
        <v>- / -</v>
      </c>
      <c r="M70" s="62" t="str">
        <f t="shared" si="253"/>
        <v>[effect:damage_abnormal, target:unit_one, val:1.4, status:virus, turn:2, val_abnormal:0.2, animation:enemy_virus]</v>
      </c>
      <c r="N70" s="48" t="str">
        <f>IFERROR(LEFT(M70,FIND("],",M70)+#REF!),M70)</f>
        <v>[effect:damage_abnormal, target:unit_one, val:1.4, status:virus, turn:2, val_abnormal:0.2, animation:enemy_virus]</v>
      </c>
      <c r="O70" s="62">
        <f t="shared" si="247"/>
        <v>9</v>
      </c>
      <c r="P70" s="62">
        <f t="shared" si="254"/>
        <v>24</v>
      </c>
      <c r="Q70" s="62">
        <f t="shared" si="255"/>
        <v>33</v>
      </c>
      <c r="R70" s="62">
        <f t="shared" si="256"/>
        <v>41</v>
      </c>
      <c r="S70" s="62" t="str">
        <f>IFERROR(VLOOKUP(MID(N70,Q70,R70-Q70),[6]skilldef!$C:$D,2,FALSE),"-") &amp; " / " &amp; IFERROR(VLOOKUP(MID(N70,O70,P70-O70),[6]skilldef!$A:$B,2,FALSE),"-")</f>
        <v>味方単体に / -</v>
      </c>
      <c r="T70" s="48" t="str">
        <f t="shared" si="257"/>
        <v>none</v>
      </c>
      <c r="U70" s="62" t="e">
        <f t="shared" si="248"/>
        <v>#VALUE!</v>
      </c>
      <c r="V70" s="62">
        <f t="shared" si="258"/>
        <v>4</v>
      </c>
      <c r="W70" s="62" t="e">
        <f t="shared" si="259"/>
        <v>#VALUE!</v>
      </c>
      <c r="X70" s="62" t="e">
        <f t="shared" si="260"/>
        <v>#VALUE!</v>
      </c>
      <c r="Y70" s="62" t="str">
        <f>IFERROR(VLOOKUP(MID(T70,W70,X70-W70),[6]skilldef!$C:$D,2,FALSE),"-") &amp; " / " &amp; IFERROR(VLOOKUP(MID(T70,U70,V70-U70),[6]skilldef!$A:$B,2,FALSE),"-")</f>
        <v>- / -</v>
      </c>
      <c r="Z70" s="50"/>
      <c r="AA70" s="51"/>
      <c r="AB70" s="50"/>
      <c r="AC70" s="120" t="s">
        <v>343</v>
      </c>
      <c r="AD70" s="111" t="s">
        <v>287</v>
      </c>
      <c r="AE70" s="47"/>
    </row>
    <row r="71" spans="1:31" ht="21" customHeight="1" x14ac:dyDescent="0.15">
      <c r="A71" s="187">
        <v>39013512</v>
      </c>
      <c r="B71" s="123" t="str">
        <f t="shared" si="245"/>
        <v>[effect:enemy_message, val1:1.2, val2:2.0],[effect:damage_abnormal, target:unit_one, val:1.5, status:virus, turn:2, val_abnormal:0.2, animation:enemy_virus]</v>
      </c>
      <c r="C71" s="110">
        <v>1</v>
      </c>
      <c r="D71" s="110" t="s">
        <v>127</v>
      </c>
      <c r="E71" s="111" t="s">
        <v>413</v>
      </c>
      <c r="F71" s="111" t="s">
        <v>457</v>
      </c>
      <c r="G71" s="62" t="str">
        <f t="shared" si="249"/>
        <v>[effect:enemy_message, val1:1.2, val2:2.0]</v>
      </c>
      <c r="H71" s="62">
        <f t="shared" si="246"/>
        <v>9</v>
      </c>
      <c r="I71" s="62">
        <f t="shared" si="250"/>
        <v>22</v>
      </c>
      <c r="J71" s="62" t="e">
        <f t="shared" si="251"/>
        <v>#VALUE!</v>
      </c>
      <c r="K71" s="62">
        <f t="shared" si="252"/>
        <v>32</v>
      </c>
      <c r="L71" s="62" t="str">
        <f>IFERROR(VLOOKUP(MID(G71,J71,K71-J71),[6]skilldef!$C:$D,2,FALSE),"-") &amp; " / " &amp; IFERROR(VLOOKUP(MID(G71,H71,I71-H71),[6]skilldef!$A:$B,2,FALSE),"-")</f>
        <v>- / -</v>
      </c>
      <c r="M71" s="62" t="str">
        <f t="shared" si="253"/>
        <v>[effect:damage_abnormal, target:unit_one, val:1.5, status:virus, turn:2, val_abnormal:0.2, animation:enemy_virus]</v>
      </c>
      <c r="N71" s="48" t="str">
        <f>IFERROR(LEFT(M71,FIND("],",M71)+#REF!),M71)</f>
        <v>[effect:damage_abnormal, target:unit_one, val:1.5, status:virus, turn:2, val_abnormal:0.2, animation:enemy_virus]</v>
      </c>
      <c r="O71" s="62">
        <f t="shared" si="247"/>
        <v>9</v>
      </c>
      <c r="P71" s="62">
        <f t="shared" si="254"/>
        <v>24</v>
      </c>
      <c r="Q71" s="62">
        <f t="shared" si="255"/>
        <v>33</v>
      </c>
      <c r="R71" s="62">
        <f t="shared" si="256"/>
        <v>41</v>
      </c>
      <c r="S71" s="62" t="str">
        <f>IFERROR(VLOOKUP(MID(N71,Q71,R71-Q71),[6]skilldef!$C:$D,2,FALSE),"-") &amp; " / " &amp; IFERROR(VLOOKUP(MID(N71,O71,P71-O71),[6]skilldef!$A:$B,2,FALSE),"-")</f>
        <v>味方単体に / -</v>
      </c>
      <c r="T71" s="48" t="str">
        <f t="shared" si="257"/>
        <v>none</v>
      </c>
      <c r="U71" s="62" t="e">
        <f t="shared" si="248"/>
        <v>#VALUE!</v>
      </c>
      <c r="V71" s="62">
        <f t="shared" si="258"/>
        <v>4</v>
      </c>
      <c r="W71" s="62" t="e">
        <f t="shared" si="259"/>
        <v>#VALUE!</v>
      </c>
      <c r="X71" s="62" t="e">
        <f t="shared" si="260"/>
        <v>#VALUE!</v>
      </c>
      <c r="Y71" s="62" t="str">
        <f>IFERROR(VLOOKUP(MID(T71,W71,X71-W71),[6]skilldef!$C:$D,2,FALSE),"-") &amp; " / " &amp; IFERROR(VLOOKUP(MID(T71,U71,V71-U71),[6]skilldef!$A:$B,2,FALSE),"-")</f>
        <v>- / -</v>
      </c>
      <c r="Z71" s="50"/>
      <c r="AA71" s="51"/>
      <c r="AB71" s="50"/>
      <c r="AC71" s="120" t="s">
        <v>344</v>
      </c>
      <c r="AD71" s="111" t="s">
        <v>288</v>
      </c>
      <c r="AE71" s="47"/>
    </row>
    <row r="72" spans="1:31" ht="21" customHeight="1" thickBot="1" x14ac:dyDescent="0.2">
      <c r="A72" s="231">
        <v>39013513</v>
      </c>
      <c r="B72" s="180" t="str">
        <f t="shared" si="245"/>
        <v>[effect:enemy_message, val1:1.2, val2:2.0],[effect:damage_abnormal, target:unit_one, val:1.6, status:virus, turn:2, val_abnormal:0.2, animation:enemy_virus]</v>
      </c>
      <c r="C72" s="241">
        <v>1</v>
      </c>
      <c r="D72" s="241" t="s">
        <v>127</v>
      </c>
      <c r="E72" s="242" t="s">
        <v>414</v>
      </c>
      <c r="F72" s="111" t="s">
        <v>457</v>
      </c>
      <c r="G72" s="183" t="str">
        <f t="shared" si="249"/>
        <v>[effect:enemy_message, val1:1.2, val2:2.0]</v>
      </c>
      <c r="H72" s="183">
        <f t="shared" si="246"/>
        <v>9</v>
      </c>
      <c r="I72" s="183">
        <f t="shared" si="250"/>
        <v>22</v>
      </c>
      <c r="J72" s="183" t="e">
        <f t="shared" si="251"/>
        <v>#VALUE!</v>
      </c>
      <c r="K72" s="183">
        <f t="shared" si="252"/>
        <v>32</v>
      </c>
      <c r="L72" s="183" t="str">
        <f>IFERROR(VLOOKUP(MID(G72,J72,K72-J72),[6]skilldef!$C:$D,2,FALSE),"-") &amp; " / " &amp; IFERROR(VLOOKUP(MID(G72,H72,I72-H72),[6]skilldef!$A:$B,2,FALSE),"-")</f>
        <v>- / -</v>
      </c>
      <c r="M72" s="183" t="str">
        <f t="shared" si="253"/>
        <v>[effect:damage_abnormal, target:unit_one, val:1.6, status:virus, turn:2, val_abnormal:0.2, animation:enemy_virus]</v>
      </c>
      <c r="N72" s="184" t="str">
        <f>IFERROR(LEFT(M72,FIND("],",M72)+S73),M72)</f>
        <v>[effect:damage_abnormal, target:unit_one, val:1.6, status:virus, turn:2, val_abnormal:0.2, animation:enemy_virus]</v>
      </c>
      <c r="O72" s="183">
        <f t="shared" si="247"/>
        <v>9</v>
      </c>
      <c r="P72" s="183">
        <f t="shared" si="254"/>
        <v>24</v>
      </c>
      <c r="Q72" s="183">
        <f t="shared" si="255"/>
        <v>33</v>
      </c>
      <c r="R72" s="183">
        <f t="shared" si="256"/>
        <v>41</v>
      </c>
      <c r="S72" s="183" t="str">
        <f>IFERROR(VLOOKUP(MID(N72,Q72,R72-Q72),[6]skilldef!$C:$D,2,FALSE),"-") &amp; " / " &amp; IFERROR(VLOOKUP(MID(N72,O72,P72-O72),[6]skilldef!$A:$B,2,FALSE),"-")</f>
        <v>味方単体に / -</v>
      </c>
      <c r="T72" s="184" t="str">
        <f t="shared" si="257"/>
        <v>none</v>
      </c>
      <c r="U72" s="183" t="e">
        <f t="shared" si="248"/>
        <v>#VALUE!</v>
      </c>
      <c r="V72" s="183">
        <f t="shared" si="258"/>
        <v>4</v>
      </c>
      <c r="W72" s="183" t="e">
        <f t="shared" si="259"/>
        <v>#VALUE!</v>
      </c>
      <c r="X72" s="183" t="e">
        <f t="shared" si="260"/>
        <v>#VALUE!</v>
      </c>
      <c r="Y72" s="183" t="str">
        <f>IFERROR(VLOOKUP(MID(T72,W72,X72-W72),[6]skilldef!$C:$D,2,FALSE),"-") &amp; " / " &amp; IFERROR(VLOOKUP(MID(T72,U72,V72-U72),[6]skilldef!$A:$B,2,FALSE),"-")</f>
        <v>- / -</v>
      </c>
      <c r="Z72" s="185"/>
      <c r="AA72" s="186"/>
      <c r="AB72" s="185"/>
      <c r="AC72" s="243" t="s">
        <v>350</v>
      </c>
      <c r="AD72" s="242" t="s">
        <v>289</v>
      </c>
      <c r="AE72" s="153"/>
    </row>
    <row r="73" spans="1:31" ht="32" customHeight="1" x14ac:dyDescent="0.15">
      <c r="A73" s="229">
        <v>39013525</v>
      </c>
      <c r="B73" s="235" t="str">
        <f t="shared" si="245"/>
        <v>[effect:enemy_message, val1:1.9, val2:1.2],[effect:tolerance, target:myself, turn:-1, count:-1, tolerance_effect:sleep, animation:enemy_tolerance]</v>
      </c>
      <c r="C73" s="206">
        <v>1</v>
      </c>
      <c r="D73" s="206" t="s">
        <v>127</v>
      </c>
      <c r="E73" s="236" t="s">
        <v>407</v>
      </c>
      <c r="F73" s="236" t="s">
        <v>408</v>
      </c>
      <c r="G73" s="237" t="str">
        <f t="shared" si="249"/>
        <v>[effect:enemy_message, val1:1.9, val2:1.2]</v>
      </c>
      <c r="H73" s="237">
        <f t="shared" si="246"/>
        <v>9</v>
      </c>
      <c r="I73" s="237">
        <f t="shared" si="250"/>
        <v>22</v>
      </c>
      <c r="J73" s="237" t="e">
        <f t="shared" si="251"/>
        <v>#VALUE!</v>
      </c>
      <c r="K73" s="237">
        <f t="shared" si="252"/>
        <v>32</v>
      </c>
      <c r="L73" s="237" t="str">
        <f>IFERROR(VLOOKUP(MID(G73,J73,K73-J73),[6]skilldef!$C:$D,2,FALSE),"-") &amp; " / " &amp; IFERROR(VLOOKUP(MID(G73,H73,I73-H73),[6]skilldef!$A:$B,2,FALSE),"-")</f>
        <v>- / -</v>
      </c>
      <c r="M73" s="237" t="str">
        <f t="shared" si="253"/>
        <v>[effect:tolerance, target:myself, turn:-1, count:-1, tolerance_effect:sleep, animation:enemy_tolerance]</v>
      </c>
      <c r="N73" s="189" t="str">
        <f>IFERROR(LEFT(M73,FIND("],",M73)+#REF!),M73)</f>
        <v>[effect:tolerance, target:myself, turn:-1, count:-1, tolerance_effect:sleep, animation:enemy_tolerance]</v>
      </c>
      <c r="O73" s="237">
        <f t="shared" si="247"/>
        <v>9</v>
      </c>
      <c r="P73" s="237">
        <f t="shared" si="254"/>
        <v>18</v>
      </c>
      <c r="Q73" s="237">
        <f t="shared" si="255"/>
        <v>27</v>
      </c>
      <c r="R73" s="237">
        <f t="shared" si="256"/>
        <v>33</v>
      </c>
      <c r="S73" s="237" t="str">
        <f>IFERROR(VLOOKUP(MID(N73,Q73,R73-Q73),[6]skilldef!$C:$D,2,FALSE),"-") &amp; " / " &amp; IFERROR(VLOOKUP(MID(N73,O73,P73-O73),[6]skilldef!$A:$B,2,FALSE),"-")</f>
        <v>自分自身に / 状態異常耐性</v>
      </c>
      <c r="T73" s="189" t="str">
        <f t="shared" si="257"/>
        <v>none</v>
      </c>
      <c r="U73" s="237" t="e">
        <f t="shared" si="248"/>
        <v>#VALUE!</v>
      </c>
      <c r="V73" s="237">
        <f t="shared" si="258"/>
        <v>4</v>
      </c>
      <c r="W73" s="237" t="e">
        <f t="shared" si="259"/>
        <v>#VALUE!</v>
      </c>
      <c r="X73" s="237" t="e">
        <f t="shared" si="260"/>
        <v>#VALUE!</v>
      </c>
      <c r="Y73" s="237" t="str">
        <f>IFERROR(VLOOKUP(MID(T73,W73,X73-W73),[6]skilldef!$C:$D,2,FALSE),"-") &amp; " / " &amp; IFERROR(VLOOKUP(MID(T73,U73,V73-U73),[6]skilldef!$A:$B,2,FALSE),"-")</f>
        <v>- / -</v>
      </c>
      <c r="Z73" s="238"/>
      <c r="AA73" s="239"/>
      <c r="AB73" s="238"/>
      <c r="AC73" s="240" t="s">
        <v>279</v>
      </c>
      <c r="AD73" s="236" t="s">
        <v>259</v>
      </c>
      <c r="AE73" s="188" t="s">
        <v>362</v>
      </c>
    </row>
    <row r="74" spans="1:31" ht="123" customHeight="1" x14ac:dyDescent="0.15">
      <c r="A74" s="225">
        <v>39013526</v>
      </c>
      <c r="B74" s="123" t="str">
        <f t="shared" si="245"/>
        <v>[effect:enemy_message, val1:1.2, val2:6.7],[effect:change_range_block,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C74" s="115">
        <v>1</v>
      </c>
      <c r="D74" s="115" t="s">
        <v>127</v>
      </c>
      <c r="E74" s="198" t="s">
        <v>373</v>
      </c>
      <c r="F74" s="198" t="s">
        <v>397</v>
      </c>
      <c r="G74" s="62" t="str">
        <f t="shared" si="249"/>
        <v>[effect:enemy_message, val1:1.2, val2:6.7]</v>
      </c>
      <c r="H74" s="62">
        <f t="shared" si="246"/>
        <v>9</v>
      </c>
      <c r="I74" s="62">
        <f t="shared" si="250"/>
        <v>22</v>
      </c>
      <c r="J74" s="62" t="e">
        <f t="shared" si="251"/>
        <v>#VALUE!</v>
      </c>
      <c r="K74" s="62">
        <f t="shared" si="252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253"/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N74" s="48" t="str">
        <f>IFERROR(LEFT(M74,FIND("],",M74)+#REF!),M74)</f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O74" s="62">
        <f t="shared" si="247"/>
        <v>9</v>
      </c>
      <c r="P74" s="62">
        <f t="shared" si="254"/>
        <v>27</v>
      </c>
      <c r="Q74" s="62">
        <f t="shared" si="255"/>
        <v>143</v>
      </c>
      <c r="R74" s="62">
        <f t="shared" si="256"/>
        <v>43</v>
      </c>
      <c r="S74" s="62" t="str">
        <f>IFERROR(VLOOKUP(MID(N74,Q74,R74-Q74),[6]skilldef!$C:$D,2,FALSE),"-") &amp; " / " &amp; IFERROR(VLOOKUP(MID(N74,O74,P74-O74),[6]skilldef!$A:$B,2,FALSE),"-")</f>
        <v>- / -</v>
      </c>
      <c r="T74" s="48" t="str">
        <f t="shared" si="257"/>
        <v>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U74" s="62">
        <f t="shared" si="248"/>
        <v>9</v>
      </c>
      <c r="V74" s="62">
        <f t="shared" si="258"/>
        <v>27</v>
      </c>
      <c r="W74" s="62">
        <f t="shared" si="259"/>
        <v>142</v>
      </c>
      <c r="X74" s="62">
        <f t="shared" si="260"/>
        <v>43</v>
      </c>
      <c r="Y74" s="62" t="str">
        <f>IFERROR(VLOOKUP(MID(T74,W74,X74-W74),[6]skilldef!$C:$D,2,FALSE),"-") &amp; " / " &amp; IFERROR(VLOOKUP(MID(T74,U74,V74-U74),[6]skilldef!$A:$B,2,FALSE),"-")</f>
        <v>- / -</v>
      </c>
      <c r="Z74" s="50"/>
      <c r="AA74" s="51"/>
      <c r="AB74" s="50"/>
      <c r="AC74" s="199" t="s">
        <v>415</v>
      </c>
      <c r="AD74" s="198" t="s">
        <v>271</v>
      </c>
      <c r="AE74" s="224" t="s">
        <v>372</v>
      </c>
    </row>
    <row r="75" spans="1:31" ht="33" customHeight="1" x14ac:dyDescent="0.15">
      <c r="A75" s="225">
        <v>39013527</v>
      </c>
      <c r="B75" s="123" t="str">
        <f t="shared" si="245"/>
        <v>[effect:enemy_message, val1:1.2, val2:1.8],[effect:break_attack_fix, target:unit_one, val:250, lowest_val:1, count:24, color:yellow, block01:block_red]</v>
      </c>
      <c r="C75" s="115">
        <v>1</v>
      </c>
      <c r="D75" s="115" t="s">
        <v>127</v>
      </c>
      <c r="E75" s="200" t="s">
        <v>377</v>
      </c>
      <c r="F75" s="200" t="s">
        <v>398</v>
      </c>
      <c r="G75" s="62" t="str">
        <f t="shared" si="249"/>
        <v>[effect:enemy_message, val1:1.2, val2:1.8]</v>
      </c>
      <c r="H75" s="62">
        <f t="shared" si="246"/>
        <v>9</v>
      </c>
      <c r="I75" s="62">
        <f t="shared" si="250"/>
        <v>22</v>
      </c>
      <c r="J75" s="62" t="e">
        <f t="shared" si="251"/>
        <v>#VALUE!</v>
      </c>
      <c r="K75" s="62">
        <f t="shared" si="252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253"/>
        <v>[effect:break_attack_fix, target:unit_one, val:250, lowest_val:1, count:24, color:yellow, block01:block_red]</v>
      </c>
      <c r="N75" s="48" t="str">
        <f>IFERROR(LEFT(M75,FIND("],",M75)+#REF!),M75)</f>
        <v>[effect:break_attack_fix, target:unit_one, val:250, lowest_val:1, count:24, color:yellow, block01:block_red]</v>
      </c>
      <c r="O75" s="62">
        <f t="shared" si="247"/>
        <v>9</v>
      </c>
      <c r="P75" s="62">
        <f t="shared" si="254"/>
        <v>25</v>
      </c>
      <c r="Q75" s="62">
        <f t="shared" si="255"/>
        <v>34</v>
      </c>
      <c r="R75" s="62">
        <f t="shared" si="256"/>
        <v>42</v>
      </c>
      <c r="S75" s="62" t="str">
        <f>IFERROR(VLOOKUP(MID(N75,Q75,R75-Q75),[6]skilldef!$C:$D,2,FALSE),"-") &amp; " / " &amp; IFERROR(VLOOKUP(MID(N75,O75,P75-O75),[6]skilldef!$A:$B,2,FALSE),"-")</f>
        <v>味方単体に / -</v>
      </c>
      <c r="T75" s="48" t="str">
        <f t="shared" si="257"/>
        <v>none</v>
      </c>
      <c r="U75" s="62" t="e">
        <f t="shared" si="248"/>
        <v>#VALUE!</v>
      </c>
      <c r="V75" s="62">
        <f t="shared" si="258"/>
        <v>4</v>
      </c>
      <c r="W75" s="62" t="e">
        <f t="shared" si="259"/>
        <v>#VALUE!</v>
      </c>
      <c r="X75" s="62" t="e">
        <f t="shared" si="260"/>
        <v>#VALUE!</v>
      </c>
      <c r="Y75" s="62" t="str">
        <f>IFERROR(VLOOKUP(MID(T75,W75,X75-W75),[6]skilldef!$C:$D,2,FALSE),"-") &amp; " / " &amp; IFERROR(VLOOKUP(MID(T75,U75,V75-U75),[6]skilldef!$A:$B,2,FALSE),"-")</f>
        <v>- / -</v>
      </c>
      <c r="Z75" s="50"/>
      <c r="AA75" s="51"/>
      <c r="AB75" s="50"/>
      <c r="AC75" s="201" t="s">
        <v>420</v>
      </c>
      <c r="AD75" s="200" t="s">
        <v>278</v>
      </c>
      <c r="AE75" s="47"/>
    </row>
    <row r="76" spans="1:31" ht="33" customHeight="1" x14ac:dyDescent="0.15">
      <c r="A76" s="225">
        <v>39013528</v>
      </c>
      <c r="B76" s="123" t="str">
        <f t="shared" si="245"/>
        <v>[effect:enemy_message, val1:1.2, val2:1.8],[effect:break_attack_fix, target:unit_one, val:250, lowest_val:1, count:24, color:yellow, block01:block_blue]</v>
      </c>
      <c r="C76" s="115">
        <v>1</v>
      </c>
      <c r="D76" s="115" t="s">
        <v>127</v>
      </c>
      <c r="E76" s="200" t="s">
        <v>378</v>
      </c>
      <c r="F76" s="200" t="s">
        <v>400</v>
      </c>
      <c r="G76" s="62" t="str">
        <f t="shared" si="249"/>
        <v>[effect:enemy_message, val1:1.2, val2:1.8]</v>
      </c>
      <c r="H76" s="62">
        <f t="shared" si="246"/>
        <v>9</v>
      </c>
      <c r="I76" s="62">
        <f t="shared" si="250"/>
        <v>22</v>
      </c>
      <c r="J76" s="62" t="e">
        <f t="shared" si="251"/>
        <v>#VALUE!</v>
      </c>
      <c r="K76" s="62">
        <f t="shared" si="252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53"/>
        <v>[effect:break_attack_fix, target:unit_one, val:250, lowest_val:1, count:24, color:yellow, block01:block_blue]</v>
      </c>
      <c r="N76" s="48" t="str">
        <f>IFERROR(LEFT(M76,FIND("],",M76)+#REF!),M76)</f>
        <v>[effect:break_attack_fix, target:unit_one, val:250, lowest_val:1, count:24, color:yellow, block01:block_blue]</v>
      </c>
      <c r="O76" s="62">
        <f t="shared" si="247"/>
        <v>9</v>
      </c>
      <c r="P76" s="62">
        <f t="shared" si="254"/>
        <v>25</v>
      </c>
      <c r="Q76" s="62">
        <f t="shared" si="255"/>
        <v>34</v>
      </c>
      <c r="R76" s="62">
        <f t="shared" si="256"/>
        <v>42</v>
      </c>
      <c r="S76" s="62" t="str">
        <f>IFERROR(VLOOKUP(MID(N76,Q76,R76-Q76),[6]skilldef!$C:$D,2,FALSE),"-") &amp; " / " &amp; IFERROR(VLOOKUP(MID(N76,O76,P76-O76),[6]skilldef!$A:$B,2,FALSE),"-")</f>
        <v>味方単体に / -</v>
      </c>
      <c r="T76" s="48" t="str">
        <f t="shared" si="257"/>
        <v>none</v>
      </c>
      <c r="U76" s="62" t="e">
        <f t="shared" si="248"/>
        <v>#VALUE!</v>
      </c>
      <c r="V76" s="62">
        <f t="shared" si="258"/>
        <v>4</v>
      </c>
      <c r="W76" s="62" t="e">
        <f t="shared" si="259"/>
        <v>#VALUE!</v>
      </c>
      <c r="X76" s="62" t="e">
        <f t="shared" si="260"/>
        <v>#VALUE!</v>
      </c>
      <c r="Y76" s="62" t="str">
        <f>IFERROR(VLOOKUP(MID(T76,W76,X76-W76),[6]skilldef!$C:$D,2,FALSE),"-") &amp; " / " &amp; IFERROR(VLOOKUP(MID(T76,U76,V76-U76),[6]skilldef!$A:$B,2,FALSE),"-")</f>
        <v>- / -</v>
      </c>
      <c r="Z76" s="50"/>
      <c r="AA76" s="51"/>
      <c r="AB76" s="50"/>
      <c r="AC76" s="201" t="s">
        <v>421</v>
      </c>
      <c r="AD76" s="200" t="s">
        <v>277</v>
      </c>
      <c r="AE76" s="47"/>
    </row>
    <row r="77" spans="1:31" ht="21" customHeight="1" x14ac:dyDescent="0.15">
      <c r="A77" s="225">
        <v>39013529</v>
      </c>
      <c r="B77" s="123" t="str">
        <f t="shared" si="245"/>
        <v>[effect:enemy_message, val1:1.2, val2:1.2],[effect:critical, val:1.4, animation:enemy_critical]</v>
      </c>
      <c r="C77" s="115">
        <v>1</v>
      </c>
      <c r="D77" s="115" t="s">
        <v>127</v>
      </c>
      <c r="E77" s="198" t="s">
        <v>367</v>
      </c>
      <c r="F77" s="198" t="s">
        <v>409</v>
      </c>
      <c r="G77" s="62" t="str">
        <f t="shared" si="249"/>
        <v>[effect:enemy_message, val1:1.2, val2:1.2]</v>
      </c>
      <c r="H77" s="62">
        <f t="shared" si="246"/>
        <v>9</v>
      </c>
      <c r="I77" s="62">
        <f t="shared" si="250"/>
        <v>22</v>
      </c>
      <c r="J77" s="62" t="e">
        <f t="shared" si="251"/>
        <v>#VALUE!</v>
      </c>
      <c r="K77" s="62">
        <f t="shared" si="252"/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si="253"/>
        <v>[effect:critical, val:1.4, animation:enemy_critical]</v>
      </c>
      <c r="N77" s="48" t="str">
        <f>IFERROR(LEFT(M77,FIND("],",M77)+#REF!),M77)</f>
        <v>[effect:critical, val:1.4, animation:enemy_critical]</v>
      </c>
      <c r="O77" s="62">
        <f t="shared" si="247"/>
        <v>9</v>
      </c>
      <c r="P77" s="62">
        <f t="shared" si="254"/>
        <v>17</v>
      </c>
      <c r="Q77" s="62" t="e">
        <f t="shared" si="255"/>
        <v>#VALUE!</v>
      </c>
      <c r="R77" s="62">
        <f t="shared" si="256"/>
        <v>26</v>
      </c>
      <c r="S77" s="62" t="str">
        <f>IFERROR(VLOOKUP(MID(N77,Q77,R77-Q77),[6]skilldef!$C:$D,2,FALSE),"-") &amp; " / " &amp; IFERROR(VLOOKUP(MID(N77,O77,P77-O77),[6]skilldef!$A:$B,2,FALSE),"-")</f>
        <v>- / 大攻撃</v>
      </c>
      <c r="T77" s="48" t="str">
        <f t="shared" si="257"/>
        <v>none</v>
      </c>
      <c r="U77" s="62" t="e">
        <f t="shared" si="248"/>
        <v>#VALUE!</v>
      </c>
      <c r="V77" s="62">
        <f t="shared" si="258"/>
        <v>4</v>
      </c>
      <c r="W77" s="62" t="e">
        <f t="shared" si="259"/>
        <v>#VALUE!</v>
      </c>
      <c r="X77" s="62" t="e">
        <f t="shared" si="260"/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50"/>
      <c r="AA77" s="51"/>
      <c r="AB77" s="50"/>
      <c r="AC77" s="199" t="s">
        <v>339</v>
      </c>
      <c r="AD77" s="198" t="s">
        <v>303</v>
      </c>
      <c r="AE77" s="47"/>
    </row>
    <row r="78" spans="1:31" ht="21" customHeight="1" x14ac:dyDescent="0.15">
      <c r="A78" s="225">
        <v>39013530</v>
      </c>
      <c r="B78" s="123" t="str">
        <f t="shared" si="245"/>
        <v>[effect:enemy_message, val1:1.2, val2:1.2],[effect:critical, val:1.4, animation:enemy_critical]</v>
      </c>
      <c r="C78" s="115">
        <v>1</v>
      </c>
      <c r="D78" s="115" t="s">
        <v>127</v>
      </c>
      <c r="E78" s="198" t="s">
        <v>369</v>
      </c>
      <c r="F78" s="198" t="s">
        <v>409</v>
      </c>
      <c r="G78" s="62" t="str">
        <f t="shared" si="249"/>
        <v>[effect:enemy_message, val1:1.2, val2:1.2]</v>
      </c>
      <c r="H78" s="62">
        <f t="shared" si="246"/>
        <v>9</v>
      </c>
      <c r="I78" s="62">
        <f t="shared" si="250"/>
        <v>22</v>
      </c>
      <c r="J78" s="62" t="e">
        <f t="shared" si="251"/>
        <v>#VALUE!</v>
      </c>
      <c r="K78" s="62">
        <f t="shared" si="252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253"/>
        <v>[effect:critical, val:1.4, animation:enemy_critical]</v>
      </c>
      <c r="N78" s="48" t="str">
        <f>IFERROR(LEFT(M78,FIND("],",M78)+#REF!),M78)</f>
        <v>[effect:critical, val:1.4, animation:enemy_critical]</v>
      </c>
      <c r="O78" s="62">
        <f t="shared" si="247"/>
        <v>9</v>
      </c>
      <c r="P78" s="62">
        <f t="shared" si="254"/>
        <v>17</v>
      </c>
      <c r="Q78" s="62" t="e">
        <f t="shared" si="255"/>
        <v>#VALUE!</v>
      </c>
      <c r="R78" s="62">
        <f t="shared" si="256"/>
        <v>26</v>
      </c>
      <c r="S78" s="62" t="str">
        <f>IFERROR(VLOOKUP(MID(N78,Q78,R78-Q78),[6]skilldef!$C:$D,2,FALSE),"-") &amp; " / " &amp; IFERROR(VLOOKUP(MID(N78,O78,P78-O78),[6]skilldef!$A:$B,2,FALSE),"-")</f>
        <v>- / 大攻撃</v>
      </c>
      <c r="T78" s="48" t="str">
        <f t="shared" si="257"/>
        <v>none</v>
      </c>
      <c r="U78" s="62" t="e">
        <f t="shared" si="248"/>
        <v>#VALUE!</v>
      </c>
      <c r="V78" s="62">
        <f t="shared" si="258"/>
        <v>4</v>
      </c>
      <c r="W78" s="62" t="e">
        <f t="shared" si="259"/>
        <v>#VALUE!</v>
      </c>
      <c r="X78" s="62" t="e">
        <f t="shared" si="260"/>
        <v>#VALUE!</v>
      </c>
      <c r="Y78" s="62" t="str">
        <f>IFERROR(VLOOKUP(MID(T78,W78,X78-W78),[6]skilldef!$C:$D,2,FALSE),"-") &amp; " / " &amp; IFERROR(VLOOKUP(MID(T78,U78,V78-U78),[6]skilldef!$A:$B,2,FALSE),"-")</f>
        <v>- / -</v>
      </c>
      <c r="Z78" s="50"/>
      <c r="AA78" s="51"/>
      <c r="AB78" s="50"/>
      <c r="AC78" s="199" t="s">
        <v>339</v>
      </c>
      <c r="AD78" s="198" t="s">
        <v>304</v>
      </c>
      <c r="AE78" s="47"/>
    </row>
    <row r="79" spans="1:31" ht="21" customHeight="1" x14ac:dyDescent="0.15">
      <c r="A79" s="225">
        <v>39013531</v>
      </c>
      <c r="B79" s="123" t="str">
        <f t="shared" si="245"/>
        <v>[effect:enemy_message, val1:1.2, val2:1.2],[effect:rush, count:3, val:0.6]</v>
      </c>
      <c r="C79" s="115">
        <v>1</v>
      </c>
      <c r="D79" s="115" t="s">
        <v>127</v>
      </c>
      <c r="E79" s="198" t="s">
        <v>379</v>
      </c>
      <c r="F79" s="198" t="s">
        <v>410</v>
      </c>
      <c r="G79" s="62" t="str">
        <f t="shared" si="249"/>
        <v>[effect:enemy_message, val1:1.2, val2:1.2]</v>
      </c>
      <c r="H79" s="62">
        <f t="shared" si="246"/>
        <v>9</v>
      </c>
      <c r="I79" s="62">
        <f t="shared" si="250"/>
        <v>22</v>
      </c>
      <c r="J79" s="62" t="e">
        <f t="shared" si="251"/>
        <v>#VALUE!</v>
      </c>
      <c r="K79" s="62">
        <f t="shared" si="252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253"/>
        <v>[effect:rush, count:3, val:0.6]</v>
      </c>
      <c r="N79" s="48" t="str">
        <f>IFERROR(LEFT(M79,FIND("],",M79)+#REF!),M79)</f>
        <v>[effect:rush, count:3, val:0.6]</v>
      </c>
      <c r="O79" s="62">
        <f t="shared" si="247"/>
        <v>9</v>
      </c>
      <c r="P79" s="62">
        <f t="shared" si="254"/>
        <v>13</v>
      </c>
      <c r="Q79" s="62" t="e">
        <f t="shared" si="255"/>
        <v>#VALUE!</v>
      </c>
      <c r="R79" s="62">
        <f t="shared" si="256"/>
        <v>22</v>
      </c>
      <c r="S79" s="62" t="str">
        <f>IFERROR(VLOOKUP(MID(N79,Q79,R79-Q79),[6]skilldef!$C:$D,2,FALSE),"-") &amp; " / " &amp; IFERROR(VLOOKUP(MID(N79,O79,P79-O79),[6]skilldef!$A:$B,2,FALSE),"-")</f>
        <v>- / 連続攻撃</v>
      </c>
      <c r="T79" s="48" t="str">
        <f t="shared" si="257"/>
        <v>none</v>
      </c>
      <c r="U79" s="62" t="e">
        <f t="shared" si="248"/>
        <v>#VALUE!</v>
      </c>
      <c r="V79" s="62">
        <f t="shared" si="258"/>
        <v>4</v>
      </c>
      <c r="W79" s="62" t="e">
        <f t="shared" si="259"/>
        <v>#VALUE!</v>
      </c>
      <c r="X79" s="62" t="e">
        <f t="shared" si="260"/>
        <v>#VALUE!</v>
      </c>
      <c r="Y79" s="62" t="str">
        <f>IFERROR(VLOOKUP(MID(T79,W79,X79-W79),[6]skilldef!$C:$D,2,FALSE),"-") &amp; " / " &amp; IFERROR(VLOOKUP(MID(T79,U79,V79-U79),[6]skilldef!$A:$B,2,FALSE),"-")</f>
        <v>- / -</v>
      </c>
      <c r="Z79" s="50"/>
      <c r="AA79" s="51"/>
      <c r="AB79" s="50"/>
      <c r="AC79" s="199" t="s">
        <v>284</v>
      </c>
      <c r="AD79" s="198" t="s">
        <v>305</v>
      </c>
      <c r="AE79" s="47"/>
    </row>
    <row r="80" spans="1:31" ht="21" customHeight="1" x14ac:dyDescent="0.15">
      <c r="A80" s="225">
        <v>39013532</v>
      </c>
      <c r="B80" s="123" t="str">
        <f t="shared" si="245"/>
        <v>[effect:enemy_message, val1:1.2, val2:2.0],[effect:damage_abnormal, target:unit_one, val:1.0, status:virus, turn:3, val_abnormal:0.4, animation:enemy_virus]</v>
      </c>
      <c r="C80" s="115">
        <v>1</v>
      </c>
      <c r="D80" s="115" t="s">
        <v>127</v>
      </c>
      <c r="E80" s="198" t="s">
        <v>411</v>
      </c>
      <c r="F80" s="194" t="s">
        <v>456</v>
      </c>
      <c r="G80" s="62" t="str">
        <f t="shared" si="249"/>
        <v>[effect:enemy_message, val1:1.2, val2:2.0]</v>
      </c>
      <c r="H80" s="62">
        <f t="shared" si="246"/>
        <v>9</v>
      </c>
      <c r="I80" s="62">
        <f t="shared" si="250"/>
        <v>22</v>
      </c>
      <c r="J80" s="62" t="e">
        <f t="shared" si="251"/>
        <v>#VALUE!</v>
      </c>
      <c r="K80" s="62">
        <f t="shared" si="252"/>
        <v>32</v>
      </c>
      <c r="L80" s="62" t="str">
        <f>IFERROR(VLOOKUP(MID(G80,J80,K80-J80),[6]skilldef!$C:$D,2,FALSE),"-") &amp; " / " &amp; IFERROR(VLOOKUP(MID(G80,H80,I80-H80),[6]skilldef!$A:$B,2,FALSE),"-")</f>
        <v>- / -</v>
      </c>
      <c r="M80" s="62" t="str">
        <f t="shared" si="253"/>
        <v>[effect:damage_abnormal, target:unit_one, val:1.0, status:virus, turn:3, val_abnormal:0.4, animation:enemy_virus]</v>
      </c>
      <c r="N80" s="48" t="str">
        <f>IFERROR(LEFT(M80,FIND("],",M80)+#REF!),M80)</f>
        <v>[effect:damage_abnormal, target:unit_one, val:1.0, status:virus, turn:3, val_abnormal:0.4, animation:enemy_virus]</v>
      </c>
      <c r="O80" s="62">
        <f t="shared" si="247"/>
        <v>9</v>
      </c>
      <c r="P80" s="62">
        <f t="shared" si="254"/>
        <v>24</v>
      </c>
      <c r="Q80" s="62">
        <f t="shared" si="255"/>
        <v>33</v>
      </c>
      <c r="R80" s="62">
        <f t="shared" si="256"/>
        <v>41</v>
      </c>
      <c r="S80" s="62" t="str">
        <f>IFERROR(VLOOKUP(MID(N80,Q80,R80-Q80),[6]skilldef!$C:$D,2,FALSE),"-") &amp; " / " &amp; IFERROR(VLOOKUP(MID(N80,O80,P80-O80),[6]skilldef!$A:$B,2,FALSE),"-")</f>
        <v>味方単体に / -</v>
      </c>
      <c r="T80" s="48" t="str">
        <f t="shared" si="257"/>
        <v>none</v>
      </c>
      <c r="U80" s="62" t="e">
        <f t="shared" si="248"/>
        <v>#VALUE!</v>
      </c>
      <c r="V80" s="62">
        <f t="shared" si="258"/>
        <v>4</v>
      </c>
      <c r="W80" s="62" t="e">
        <f t="shared" si="259"/>
        <v>#VALUE!</v>
      </c>
      <c r="X80" s="62" t="e">
        <f t="shared" si="260"/>
        <v>#VALUE!</v>
      </c>
      <c r="Y80" s="62" t="str">
        <f>IFERROR(VLOOKUP(MID(T80,W80,X80-W80),[6]skilldef!$C:$D,2,FALSE),"-") &amp; " / " &amp; IFERROR(VLOOKUP(MID(T80,U80,V80-U80),[6]skilldef!$A:$B,2,FALSE),"-")</f>
        <v>- / -</v>
      </c>
      <c r="Z80" s="50"/>
      <c r="AA80" s="51"/>
      <c r="AB80" s="50"/>
      <c r="AC80" s="199" t="s">
        <v>338</v>
      </c>
      <c r="AD80" s="198" t="s">
        <v>307</v>
      </c>
      <c r="AE80" s="47"/>
    </row>
    <row r="81" spans="1:31" ht="39" customHeight="1" x14ac:dyDescent="0.15">
      <c r="A81" s="225">
        <v>39013533</v>
      </c>
      <c r="B81" s="123" t="str">
        <f t="shared" si="245"/>
        <v>[effect:enemy_message, val1:1.2, val2:1.6],[effect:enemy_counter, target:myself, invoke_condition:unit_all, counter_target:attacker, turn:1, val:1.2, animation:enemy_counter]</v>
      </c>
      <c r="C81" s="115">
        <v>1</v>
      </c>
      <c r="D81" s="115" t="s">
        <v>127</v>
      </c>
      <c r="E81" s="198" t="s">
        <v>375</v>
      </c>
      <c r="F81" s="194" t="s">
        <v>425</v>
      </c>
      <c r="G81" s="62" t="str">
        <f t="shared" si="249"/>
        <v>[effect:enemy_message, val1:1.2, val2:1.6]</v>
      </c>
      <c r="H81" s="62">
        <f t="shared" si="246"/>
        <v>9</v>
      </c>
      <c r="I81" s="62">
        <f t="shared" si="250"/>
        <v>22</v>
      </c>
      <c r="J81" s="62" t="e">
        <f t="shared" si="251"/>
        <v>#VALUE!</v>
      </c>
      <c r="K81" s="62">
        <f t="shared" si="252"/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53"/>
        <v>[effect:enemy_counter, target:myself, invoke_condition:unit_all, counter_target:attacker, turn:1, val:1.2, animation:enemy_counter]</v>
      </c>
      <c r="N81" s="48" t="str">
        <f>IFERROR(LEFT(M81,FIND("],",M81)+#REF!),M81)</f>
        <v>[effect:enemy_counter, target:myself, invoke_condition:unit_all, counter_target:attacker, turn:1, val:1.2, animation:enemy_counter]</v>
      </c>
      <c r="O81" s="62">
        <f t="shared" si="247"/>
        <v>9</v>
      </c>
      <c r="P81" s="62">
        <f t="shared" si="254"/>
        <v>22</v>
      </c>
      <c r="Q81" s="62">
        <f t="shared" si="255"/>
        <v>31</v>
      </c>
      <c r="R81" s="62">
        <f t="shared" si="256"/>
        <v>37</v>
      </c>
      <c r="S81" s="62" t="str">
        <f>IFERROR(VLOOKUP(MID(N81,Q81,R81-Q81),[6]skilldef!$C:$D,2,FALSE),"-") &amp; " / " &amp; IFERROR(VLOOKUP(MID(N81,O81,P81-O81),[6]skilldef!$A:$B,2,FALSE),"-")</f>
        <v>自分自身に / カウンター</v>
      </c>
      <c r="T81" s="48" t="str">
        <f t="shared" si="257"/>
        <v>none</v>
      </c>
      <c r="U81" s="62" t="e">
        <f t="shared" si="248"/>
        <v>#VALUE!</v>
      </c>
      <c r="V81" s="62">
        <f t="shared" si="258"/>
        <v>4</v>
      </c>
      <c r="W81" s="62" t="e">
        <f t="shared" si="259"/>
        <v>#VALUE!</v>
      </c>
      <c r="X81" s="62" t="e">
        <f t="shared" si="260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50"/>
      <c r="AA81" s="51"/>
      <c r="AB81" s="50"/>
      <c r="AC81" s="199" t="s">
        <v>331</v>
      </c>
      <c r="AD81" s="198" t="s">
        <v>308</v>
      </c>
      <c r="AE81" s="47"/>
    </row>
    <row r="82" spans="1:31" ht="21" customHeight="1" x14ac:dyDescent="0.15">
      <c r="A82" s="225">
        <v>39013534</v>
      </c>
      <c r="B82" s="123" t="str">
        <f t="shared" si="245"/>
        <v>[effect:enemy_message, val1:1.2, val2:2.0],[effect:damage_abnormal, target:unit_one, val:1.2, status:virus, turn:2, val_abnormal:0.2, animation:enemy_virus]</v>
      </c>
      <c r="C82" s="110">
        <v>1</v>
      </c>
      <c r="D82" s="110" t="s">
        <v>127</v>
      </c>
      <c r="E82" s="111" t="s">
        <v>412</v>
      </c>
      <c r="F82" s="111" t="s">
        <v>457</v>
      </c>
      <c r="G82" s="62" t="str">
        <f t="shared" si="249"/>
        <v>[effect:enemy_message, val1:1.2, val2:2.0]</v>
      </c>
      <c r="H82" s="62">
        <f t="shared" si="246"/>
        <v>9</v>
      </c>
      <c r="I82" s="62">
        <f t="shared" si="250"/>
        <v>22</v>
      </c>
      <c r="J82" s="62" t="e">
        <f t="shared" si="251"/>
        <v>#VALUE!</v>
      </c>
      <c r="K82" s="62">
        <f t="shared" si="252"/>
        <v>32</v>
      </c>
      <c r="L82" s="62" t="str">
        <f>IFERROR(VLOOKUP(MID(G82,J82,K82-J82),[6]skilldef!$C:$D,2,FALSE),"-") &amp; " / " &amp; IFERROR(VLOOKUP(MID(G82,H82,I82-H82),[6]skilldef!$A:$B,2,FALSE),"-")</f>
        <v>- / -</v>
      </c>
      <c r="M82" s="62" t="str">
        <f t="shared" si="253"/>
        <v>[effect:damage_abnormal, target:unit_one, val:1.2, status:virus, turn:2, val_abnormal:0.2, animation:enemy_virus]</v>
      </c>
      <c r="N82" s="48" t="str">
        <f>IFERROR(LEFT(M82,FIND("],",M82)+#REF!),M82)</f>
        <v>[effect:damage_abnormal, target:unit_one, val:1.2, status:virus, turn:2, val_abnormal:0.2, animation:enemy_virus]</v>
      </c>
      <c r="O82" s="62">
        <f t="shared" si="247"/>
        <v>9</v>
      </c>
      <c r="P82" s="62">
        <f t="shared" si="254"/>
        <v>24</v>
      </c>
      <c r="Q82" s="62">
        <f t="shared" si="255"/>
        <v>33</v>
      </c>
      <c r="R82" s="62">
        <f t="shared" si="256"/>
        <v>41</v>
      </c>
      <c r="S82" s="62" t="str">
        <f>IFERROR(VLOOKUP(MID(N82,Q82,R82-Q82),[6]skilldef!$C:$D,2,FALSE),"-") &amp; " / " &amp; IFERROR(VLOOKUP(MID(N82,O82,P82-O82),[6]skilldef!$A:$B,2,FALSE),"-")</f>
        <v>味方単体に / -</v>
      </c>
      <c r="T82" s="48" t="str">
        <f t="shared" si="257"/>
        <v>none</v>
      </c>
      <c r="U82" s="62" t="e">
        <f t="shared" si="248"/>
        <v>#VALUE!</v>
      </c>
      <c r="V82" s="62">
        <f t="shared" si="258"/>
        <v>4</v>
      </c>
      <c r="W82" s="62" t="e">
        <f t="shared" si="259"/>
        <v>#VALUE!</v>
      </c>
      <c r="X82" s="62" t="e">
        <f t="shared" si="260"/>
        <v>#VALUE!</v>
      </c>
      <c r="Y82" s="62" t="str">
        <f>IFERROR(VLOOKUP(MID(T82,W82,X82-W82),[6]skilldef!$C:$D,2,FALSE),"-") &amp; " / " &amp; IFERROR(VLOOKUP(MID(T82,U82,V82-U82),[6]skilldef!$A:$B,2,FALSE),"-")</f>
        <v>- / -</v>
      </c>
      <c r="Z82" s="50"/>
      <c r="AA82" s="51"/>
      <c r="AB82" s="50"/>
      <c r="AC82" s="120" t="s">
        <v>341</v>
      </c>
      <c r="AD82" s="111" t="s">
        <v>285</v>
      </c>
      <c r="AE82" s="47"/>
    </row>
    <row r="83" spans="1:31" ht="21" customHeight="1" x14ac:dyDescent="0.15">
      <c r="A83" s="225">
        <v>39013535</v>
      </c>
      <c r="B83" s="123" t="str">
        <f t="shared" si="245"/>
        <v>[effect:enemy_message, val1:1.2, val2:2.0],[effect:damage_abnormal, target:unit_one, val:1.3, status:virus, turn:2, val_abnormal:0.2, animation:enemy_virus]</v>
      </c>
      <c r="C83" s="110">
        <v>1</v>
      </c>
      <c r="D83" s="110" t="s">
        <v>127</v>
      </c>
      <c r="E83" s="111" t="s">
        <v>412</v>
      </c>
      <c r="F83" s="111" t="s">
        <v>457</v>
      </c>
      <c r="G83" s="62" t="str">
        <f t="shared" si="249"/>
        <v>[effect:enemy_message, val1:1.2, val2:2.0]</v>
      </c>
      <c r="H83" s="62">
        <f t="shared" si="246"/>
        <v>9</v>
      </c>
      <c r="I83" s="62">
        <f t="shared" si="250"/>
        <v>22</v>
      </c>
      <c r="J83" s="62" t="e">
        <f t="shared" si="251"/>
        <v>#VALUE!</v>
      </c>
      <c r="K83" s="62">
        <f t="shared" si="252"/>
        <v>32</v>
      </c>
      <c r="L83" s="62" t="str">
        <f>IFERROR(VLOOKUP(MID(G83,J83,K83-J83),[6]skilldef!$C:$D,2,FALSE),"-") &amp; " / " &amp; IFERROR(VLOOKUP(MID(G83,H83,I83-H83),[6]skilldef!$A:$B,2,FALSE),"-")</f>
        <v>- / -</v>
      </c>
      <c r="M83" s="62" t="str">
        <f t="shared" si="253"/>
        <v>[effect:damage_abnormal, target:unit_one, val:1.3, status:virus, turn:2, val_abnormal:0.2, animation:enemy_virus]</v>
      </c>
      <c r="N83" s="48" t="str">
        <f>IFERROR(LEFT(M83,FIND("],",M83)+#REF!),M83)</f>
        <v>[effect:damage_abnormal, target:unit_one, val:1.3, status:virus, turn:2, val_abnormal:0.2, animation:enemy_virus]</v>
      </c>
      <c r="O83" s="62">
        <f t="shared" si="247"/>
        <v>9</v>
      </c>
      <c r="P83" s="62">
        <f t="shared" si="254"/>
        <v>24</v>
      </c>
      <c r="Q83" s="62">
        <f t="shared" si="255"/>
        <v>33</v>
      </c>
      <c r="R83" s="62">
        <f t="shared" si="256"/>
        <v>41</v>
      </c>
      <c r="S83" s="62" t="str">
        <f>IFERROR(VLOOKUP(MID(N83,Q83,R83-Q83),[6]skilldef!$C:$D,2,FALSE),"-") &amp; " / " &amp; IFERROR(VLOOKUP(MID(N83,O83,P83-O83),[6]skilldef!$A:$B,2,FALSE),"-")</f>
        <v>味方単体に / -</v>
      </c>
      <c r="T83" s="48" t="str">
        <f t="shared" si="257"/>
        <v>none</v>
      </c>
      <c r="U83" s="62" t="e">
        <f t="shared" si="248"/>
        <v>#VALUE!</v>
      </c>
      <c r="V83" s="62">
        <f t="shared" si="258"/>
        <v>4</v>
      </c>
      <c r="W83" s="62" t="e">
        <f t="shared" si="259"/>
        <v>#VALUE!</v>
      </c>
      <c r="X83" s="62" t="e">
        <f t="shared" si="260"/>
        <v>#VALUE!</v>
      </c>
      <c r="Y83" s="62" t="str">
        <f>IFERROR(VLOOKUP(MID(T83,W83,X83-W83),[6]skilldef!$C:$D,2,FALSE),"-") &amp; " / " &amp; IFERROR(VLOOKUP(MID(T83,U83,V83-U83),[6]skilldef!$A:$B,2,FALSE),"-")</f>
        <v>- / -</v>
      </c>
      <c r="Z83" s="50"/>
      <c r="AA83" s="51"/>
      <c r="AB83" s="50"/>
      <c r="AC83" s="120" t="s">
        <v>342</v>
      </c>
      <c r="AD83" s="111" t="s">
        <v>265</v>
      </c>
      <c r="AE83" s="47"/>
    </row>
    <row r="84" spans="1:31" ht="21" customHeight="1" x14ac:dyDescent="0.15">
      <c r="A84" s="225">
        <v>39013536</v>
      </c>
      <c r="B84" s="123" t="str">
        <f t="shared" si="245"/>
        <v>[effect:enemy_message, val1:1.2, val2:2.0],[effect:damage_abnormal, target:unit_one, val:1.4, status:virus, turn:2, val_abnormal:0.2, animation:enemy_virus]</v>
      </c>
      <c r="C84" s="110">
        <v>1</v>
      </c>
      <c r="D84" s="110" t="s">
        <v>127</v>
      </c>
      <c r="E84" s="111" t="s">
        <v>413</v>
      </c>
      <c r="F84" s="111" t="s">
        <v>457</v>
      </c>
      <c r="G84" s="62" t="str">
        <f t="shared" si="249"/>
        <v>[effect:enemy_message, val1:1.2, val2:2.0]</v>
      </c>
      <c r="H84" s="62">
        <f t="shared" si="246"/>
        <v>9</v>
      </c>
      <c r="I84" s="62">
        <f t="shared" si="250"/>
        <v>22</v>
      </c>
      <c r="J84" s="62" t="e">
        <f t="shared" si="251"/>
        <v>#VALUE!</v>
      </c>
      <c r="K84" s="62">
        <f t="shared" si="252"/>
        <v>32</v>
      </c>
      <c r="L84" s="62" t="str">
        <f>IFERROR(VLOOKUP(MID(G84,J84,K84-J84),[6]skilldef!$C:$D,2,FALSE),"-") &amp; " / " &amp; IFERROR(VLOOKUP(MID(G84,H84,I84-H84),[6]skilldef!$A:$B,2,FALSE),"-")</f>
        <v>- / -</v>
      </c>
      <c r="M84" s="62" t="str">
        <f t="shared" si="253"/>
        <v>[effect:damage_abnormal, target:unit_one, val:1.4, status:virus, turn:2, val_abnormal:0.2, animation:enemy_virus]</v>
      </c>
      <c r="N84" s="48" t="str">
        <f>IFERROR(LEFT(M84,FIND("],",M84)+#REF!),M84)</f>
        <v>[effect:damage_abnormal, target:unit_one, val:1.4, status:virus, turn:2, val_abnormal:0.2, animation:enemy_virus]</v>
      </c>
      <c r="O84" s="62">
        <f t="shared" si="247"/>
        <v>9</v>
      </c>
      <c r="P84" s="62">
        <f t="shared" si="254"/>
        <v>24</v>
      </c>
      <c r="Q84" s="62">
        <f t="shared" si="255"/>
        <v>33</v>
      </c>
      <c r="R84" s="62">
        <f t="shared" si="256"/>
        <v>41</v>
      </c>
      <c r="S84" s="62" t="str">
        <f>IFERROR(VLOOKUP(MID(N84,Q84,R84-Q84),[6]skilldef!$C:$D,2,FALSE),"-") &amp; " / " &amp; IFERROR(VLOOKUP(MID(N84,O84,P84-O84),[6]skilldef!$A:$B,2,FALSE),"-")</f>
        <v>味方単体に / -</v>
      </c>
      <c r="T84" s="48" t="str">
        <f t="shared" si="257"/>
        <v>none</v>
      </c>
      <c r="U84" s="62" t="e">
        <f t="shared" si="248"/>
        <v>#VALUE!</v>
      </c>
      <c r="V84" s="62">
        <f t="shared" si="258"/>
        <v>4</v>
      </c>
      <c r="W84" s="62" t="e">
        <f t="shared" si="259"/>
        <v>#VALUE!</v>
      </c>
      <c r="X84" s="62" t="e">
        <f t="shared" si="260"/>
        <v>#VALUE!</v>
      </c>
      <c r="Y84" s="62" t="str">
        <f>IFERROR(VLOOKUP(MID(T84,W84,X84-W84),[6]skilldef!$C:$D,2,FALSE),"-") &amp; " / " &amp; IFERROR(VLOOKUP(MID(T84,U84,V84-U84),[6]skilldef!$A:$B,2,FALSE),"-")</f>
        <v>- / -</v>
      </c>
      <c r="Z84" s="50"/>
      <c r="AA84" s="51"/>
      <c r="AB84" s="50"/>
      <c r="AC84" s="120" t="s">
        <v>343</v>
      </c>
      <c r="AD84" s="111" t="s">
        <v>287</v>
      </c>
      <c r="AE84" s="47"/>
    </row>
    <row r="85" spans="1:31" ht="21" customHeight="1" x14ac:dyDescent="0.15">
      <c r="A85" s="225">
        <v>39013537</v>
      </c>
      <c r="B85" s="123" t="str">
        <f t="shared" si="245"/>
        <v>[effect:enemy_message, val1:1.2, val2:2.0],[effect:damage_abnormal, target:unit_one, val:1.5, status:virus, turn:2, val_abnormal:0.2, animation:enemy_virus]</v>
      </c>
      <c r="C85" s="110">
        <v>1</v>
      </c>
      <c r="D85" s="110" t="s">
        <v>127</v>
      </c>
      <c r="E85" s="111" t="s">
        <v>413</v>
      </c>
      <c r="F85" s="111" t="s">
        <v>457</v>
      </c>
      <c r="G85" s="62" t="str">
        <f t="shared" si="249"/>
        <v>[effect:enemy_message, val1:1.2, val2:2.0]</v>
      </c>
      <c r="H85" s="62">
        <f t="shared" si="246"/>
        <v>9</v>
      </c>
      <c r="I85" s="62">
        <f t="shared" si="250"/>
        <v>22</v>
      </c>
      <c r="J85" s="62" t="e">
        <f t="shared" si="251"/>
        <v>#VALUE!</v>
      </c>
      <c r="K85" s="62">
        <f t="shared" si="252"/>
        <v>32</v>
      </c>
      <c r="L85" s="62" t="str">
        <f>IFERROR(VLOOKUP(MID(G85,J85,K85-J85),[6]skilldef!$C:$D,2,FALSE),"-") &amp; " / " &amp; IFERROR(VLOOKUP(MID(G85,H85,I85-H85),[6]skilldef!$A:$B,2,FALSE),"-")</f>
        <v>- / -</v>
      </c>
      <c r="M85" s="62" t="str">
        <f t="shared" si="253"/>
        <v>[effect:damage_abnormal, target:unit_one, val:1.5, status:virus, turn:2, val_abnormal:0.2, animation:enemy_virus]</v>
      </c>
      <c r="N85" s="48" t="str">
        <f>IFERROR(LEFT(M85,FIND("],",M85)+#REF!),M85)</f>
        <v>[effect:damage_abnormal, target:unit_one, val:1.5, status:virus, turn:2, val_abnormal:0.2, animation:enemy_virus]</v>
      </c>
      <c r="O85" s="62">
        <f t="shared" si="247"/>
        <v>9</v>
      </c>
      <c r="P85" s="62">
        <f t="shared" si="254"/>
        <v>24</v>
      </c>
      <c r="Q85" s="62">
        <f t="shared" si="255"/>
        <v>33</v>
      </c>
      <c r="R85" s="62">
        <f t="shared" si="256"/>
        <v>41</v>
      </c>
      <c r="S85" s="62" t="str">
        <f>IFERROR(VLOOKUP(MID(N85,Q85,R85-Q85),[6]skilldef!$C:$D,2,FALSE),"-") &amp; " / " &amp; IFERROR(VLOOKUP(MID(N85,O85,P85-O85),[6]skilldef!$A:$B,2,FALSE),"-")</f>
        <v>味方単体に / -</v>
      </c>
      <c r="T85" s="48" t="str">
        <f t="shared" si="257"/>
        <v>none</v>
      </c>
      <c r="U85" s="62" t="e">
        <f t="shared" si="248"/>
        <v>#VALUE!</v>
      </c>
      <c r="V85" s="62">
        <f t="shared" si="258"/>
        <v>4</v>
      </c>
      <c r="W85" s="62" t="e">
        <f t="shared" si="259"/>
        <v>#VALUE!</v>
      </c>
      <c r="X85" s="62" t="e">
        <f t="shared" si="260"/>
        <v>#VALUE!</v>
      </c>
      <c r="Y85" s="62" t="str">
        <f>IFERROR(VLOOKUP(MID(T85,W85,X85-W85),[6]skilldef!$C:$D,2,FALSE),"-") &amp; " / " &amp; IFERROR(VLOOKUP(MID(T85,U85,V85-U85),[6]skilldef!$A:$B,2,FALSE),"-")</f>
        <v>- / -</v>
      </c>
      <c r="Z85" s="50"/>
      <c r="AA85" s="51"/>
      <c r="AB85" s="50"/>
      <c r="AC85" s="120" t="s">
        <v>344</v>
      </c>
      <c r="AD85" s="111" t="s">
        <v>288</v>
      </c>
      <c r="AE85" s="47"/>
    </row>
    <row r="86" spans="1:31" ht="21" customHeight="1" thickBot="1" x14ac:dyDescent="0.2">
      <c r="A86" s="230">
        <v>39013538</v>
      </c>
      <c r="B86" s="180" t="str">
        <f t="shared" si="245"/>
        <v>[effect:enemy_message, val1:1.2, val2:2.0],[effect:damage_abnormal, target:unit_one, val:1.6, status:virus, turn:2, val_abnormal:0.2, animation:enemy_virus]</v>
      </c>
      <c r="C86" s="241">
        <v>1</v>
      </c>
      <c r="D86" s="241" t="s">
        <v>127</v>
      </c>
      <c r="E86" s="242" t="s">
        <v>414</v>
      </c>
      <c r="F86" s="111" t="s">
        <v>457</v>
      </c>
      <c r="G86" s="183" t="str">
        <f t="shared" si="249"/>
        <v>[effect:enemy_message, val1:1.2, val2:2.0]</v>
      </c>
      <c r="H86" s="183">
        <f t="shared" si="246"/>
        <v>9</v>
      </c>
      <c r="I86" s="183">
        <f t="shared" si="250"/>
        <v>22</v>
      </c>
      <c r="J86" s="183" t="e">
        <f t="shared" si="251"/>
        <v>#VALUE!</v>
      </c>
      <c r="K86" s="183">
        <f t="shared" si="252"/>
        <v>32</v>
      </c>
      <c r="L86" s="183" t="str">
        <f>IFERROR(VLOOKUP(MID(G86,J86,K86-J86),[6]skilldef!$C:$D,2,FALSE),"-") &amp; " / " &amp; IFERROR(VLOOKUP(MID(G86,H86,I86-H86),[6]skilldef!$A:$B,2,FALSE),"-")</f>
        <v>- / -</v>
      </c>
      <c r="M86" s="183" t="str">
        <f t="shared" si="253"/>
        <v>[effect:damage_abnormal, target:unit_one, val:1.6, status:virus, turn:2, val_abnormal:0.2, animation:enemy_virus]</v>
      </c>
      <c r="N86" s="184" t="str">
        <f>IFERROR(LEFT(M86,FIND("],",M86)+S87),M86)</f>
        <v>[effect:damage_abnormal, target:unit_one, val:1.6, status:virus, turn:2, val_abnormal:0.2, animation:enemy_virus]</v>
      </c>
      <c r="O86" s="183">
        <f t="shared" si="247"/>
        <v>9</v>
      </c>
      <c r="P86" s="183">
        <f t="shared" si="254"/>
        <v>24</v>
      </c>
      <c r="Q86" s="183">
        <f t="shared" si="255"/>
        <v>33</v>
      </c>
      <c r="R86" s="183">
        <f t="shared" si="256"/>
        <v>41</v>
      </c>
      <c r="S86" s="183" t="str">
        <f>IFERROR(VLOOKUP(MID(N86,Q86,R86-Q86),[6]skilldef!$C:$D,2,FALSE),"-") &amp; " / " &amp; IFERROR(VLOOKUP(MID(N86,O86,P86-O86),[6]skilldef!$A:$B,2,FALSE),"-")</f>
        <v>味方単体に / -</v>
      </c>
      <c r="T86" s="184" t="str">
        <f t="shared" si="257"/>
        <v>none</v>
      </c>
      <c r="U86" s="183" t="e">
        <f t="shared" si="248"/>
        <v>#VALUE!</v>
      </c>
      <c r="V86" s="183">
        <f t="shared" si="258"/>
        <v>4</v>
      </c>
      <c r="W86" s="183" t="e">
        <f t="shared" si="259"/>
        <v>#VALUE!</v>
      </c>
      <c r="X86" s="183" t="e">
        <f t="shared" si="260"/>
        <v>#VALUE!</v>
      </c>
      <c r="Y86" s="183" t="str">
        <f>IFERROR(VLOOKUP(MID(T86,W86,X86-W86),[6]skilldef!$C:$D,2,FALSE),"-") &amp; " / " &amp; IFERROR(VLOOKUP(MID(T86,U86,V86-U86),[6]skilldef!$A:$B,2,FALSE),"-")</f>
        <v>- / -</v>
      </c>
      <c r="Z86" s="185"/>
      <c r="AA86" s="186"/>
      <c r="AB86" s="185"/>
      <c r="AC86" s="243" t="s">
        <v>350</v>
      </c>
      <c r="AD86" s="242" t="s">
        <v>289</v>
      </c>
      <c r="AE86" s="153"/>
    </row>
    <row r="87" spans="1:31" ht="32" customHeight="1" x14ac:dyDescent="0.15">
      <c r="A87" s="227">
        <v>39013550</v>
      </c>
      <c r="B87" s="235" t="str">
        <f t="shared" si="245"/>
        <v>[effect:enemy_message, val1:1.9, val2:1.2],[effect:tolerance, target:myself, turn:-1, count:-1, tolerance_effect:sleep, animation:enemy_tolerance]</v>
      </c>
      <c r="C87" s="206">
        <v>1</v>
      </c>
      <c r="D87" s="206" t="s">
        <v>127</v>
      </c>
      <c r="E87" s="244" t="s">
        <v>407</v>
      </c>
      <c r="F87" s="244" t="s">
        <v>408</v>
      </c>
      <c r="G87" s="237" t="str">
        <f t="shared" si="249"/>
        <v>[effect:enemy_message, val1:1.9, val2:1.2]</v>
      </c>
      <c r="H87" s="237">
        <f t="shared" si="246"/>
        <v>9</v>
      </c>
      <c r="I87" s="237">
        <f t="shared" si="250"/>
        <v>22</v>
      </c>
      <c r="J87" s="237" t="e">
        <f t="shared" si="251"/>
        <v>#VALUE!</v>
      </c>
      <c r="K87" s="237">
        <f t="shared" si="252"/>
        <v>32</v>
      </c>
      <c r="L87" s="237" t="str">
        <f>IFERROR(VLOOKUP(MID(G87,J87,K87-J87),[6]skilldef!$C:$D,2,FALSE),"-") &amp; " / " &amp; IFERROR(VLOOKUP(MID(G87,H87,I87-H87),[6]skilldef!$A:$B,2,FALSE),"-")</f>
        <v>- / -</v>
      </c>
      <c r="M87" s="237" t="str">
        <f t="shared" si="253"/>
        <v>[effect:tolerance, target:myself, turn:-1, count:-1, tolerance_effect:sleep, animation:enemy_tolerance]</v>
      </c>
      <c r="N87" s="189" t="str">
        <f>IFERROR(LEFT(M87,FIND("],",M87)+#REF!),M87)</f>
        <v>[effect:tolerance, target:myself, turn:-1, count:-1, tolerance_effect:sleep, animation:enemy_tolerance]</v>
      </c>
      <c r="O87" s="237">
        <f t="shared" si="247"/>
        <v>9</v>
      </c>
      <c r="P87" s="237">
        <f t="shared" si="254"/>
        <v>18</v>
      </c>
      <c r="Q87" s="237">
        <f t="shared" si="255"/>
        <v>27</v>
      </c>
      <c r="R87" s="237">
        <f t="shared" si="256"/>
        <v>33</v>
      </c>
      <c r="S87" s="237" t="str">
        <f>IFERROR(VLOOKUP(MID(N87,Q87,R87-Q87),[6]skilldef!$C:$D,2,FALSE),"-") &amp; " / " &amp; IFERROR(VLOOKUP(MID(N87,O87,P87-O87),[6]skilldef!$A:$B,2,FALSE),"-")</f>
        <v>自分自身に / 状態異常耐性</v>
      </c>
      <c r="T87" s="189" t="str">
        <f t="shared" si="257"/>
        <v>none</v>
      </c>
      <c r="U87" s="237" t="e">
        <f t="shared" si="248"/>
        <v>#VALUE!</v>
      </c>
      <c r="V87" s="237">
        <f t="shared" si="258"/>
        <v>4</v>
      </c>
      <c r="W87" s="237" t="e">
        <f t="shared" si="259"/>
        <v>#VALUE!</v>
      </c>
      <c r="X87" s="237" t="e">
        <f t="shared" si="260"/>
        <v>#VALUE!</v>
      </c>
      <c r="Y87" s="237" t="str">
        <f>IFERROR(VLOOKUP(MID(T87,W87,X87-W87),[6]skilldef!$C:$D,2,FALSE),"-") &amp; " / " &amp; IFERROR(VLOOKUP(MID(T87,U87,V87-U87),[6]skilldef!$A:$B,2,FALSE),"-")</f>
        <v>- / -</v>
      </c>
      <c r="Z87" s="238"/>
      <c r="AA87" s="239"/>
      <c r="AB87" s="238"/>
      <c r="AC87" s="245" t="s">
        <v>279</v>
      </c>
      <c r="AD87" s="244" t="s">
        <v>259</v>
      </c>
      <c r="AE87" s="188" t="s">
        <v>362</v>
      </c>
    </row>
    <row r="88" spans="1:31" ht="127" customHeight="1" x14ac:dyDescent="0.15">
      <c r="A88" s="226">
        <v>39013551</v>
      </c>
      <c r="B88" s="123" t="str">
        <f t="shared" si="245"/>
        <v>[effect:enemy_message, val1:1.2, val2:6.7],[effect:change_range_block,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C88" s="115">
        <v>1</v>
      </c>
      <c r="D88" s="115" t="s">
        <v>127</v>
      </c>
      <c r="E88" s="195" t="s">
        <v>373</v>
      </c>
      <c r="F88" s="195" t="s">
        <v>397</v>
      </c>
      <c r="G88" s="62" t="str">
        <f t="shared" si="249"/>
        <v>[effect:enemy_message, val1:1.2, val2:6.7]</v>
      </c>
      <c r="H88" s="62">
        <f t="shared" si="246"/>
        <v>9</v>
      </c>
      <c r="I88" s="62">
        <f t="shared" si="250"/>
        <v>22</v>
      </c>
      <c r="J88" s="62" t="e">
        <f t="shared" si="251"/>
        <v>#VALUE!</v>
      </c>
      <c r="K88" s="62">
        <f t="shared" si="252"/>
        <v>32</v>
      </c>
      <c r="L88" s="62" t="str">
        <f>IFERROR(VLOOKUP(MID(G88,J88,K88-J88),[6]skilldef!$C:$D,2,FALSE),"-") &amp; " / " &amp; IFERROR(VLOOKUP(MID(G88,H88,I88-H88),[6]skilldef!$A:$B,2,FALSE),"-")</f>
        <v>- / -</v>
      </c>
      <c r="M88" s="62" t="str">
        <f t="shared" si="253"/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N88" s="48" t="str">
        <f>IFERROR(LEFT(M88,FIND("],",M88)+#REF!),M88)</f>
        <v>[effect:change_range_block, block_change:1, base_type:0, square_count:2, position01:0, value_h01:1, value_w01:2, new_block:block_blue, target:block_all, ignore01:block_positive, count:0, val:0, animation:change_range_block],[effect:change_range_block,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O88" s="62">
        <f t="shared" si="247"/>
        <v>9</v>
      </c>
      <c r="P88" s="62">
        <f t="shared" si="254"/>
        <v>27</v>
      </c>
      <c r="Q88" s="62">
        <f t="shared" si="255"/>
        <v>143</v>
      </c>
      <c r="R88" s="62">
        <f t="shared" si="256"/>
        <v>43</v>
      </c>
      <c r="S88" s="62" t="str">
        <f>IFERROR(VLOOKUP(MID(N88,Q88,R88-Q88),[6]skilldef!$C:$D,2,FALSE),"-") &amp; " / " &amp; IFERROR(VLOOKUP(MID(N88,O88,P88-O88),[6]skilldef!$A:$B,2,FALSE),"-")</f>
        <v>- / -</v>
      </c>
      <c r="T88" s="48" t="str">
        <f t="shared" si="257"/>
        <v>[effect:change_range_block, block_change:1, base_type:0, square_count:2, position01:2, value_h01:1, value_w01:2, new_block:block_red, target:block_all, ignore01:block_positive, count:0, val:0, animation:change_range_block],[effect:degrade_unit, target:unit_all, turn:1, status:action, val:2, calc:add, animation:enemy_tap_down],[effect:rush, count:1, val:0.6],[effect:change_panel_ratio, turn:1, block_type:blue, val:0],[effect:change_panel_ratio, turn:1, block_type:red, val:0]</v>
      </c>
      <c r="U88" s="62">
        <f t="shared" si="248"/>
        <v>9</v>
      </c>
      <c r="V88" s="62">
        <f t="shared" si="258"/>
        <v>27</v>
      </c>
      <c r="W88" s="62">
        <f t="shared" si="259"/>
        <v>142</v>
      </c>
      <c r="X88" s="62">
        <f t="shared" si="260"/>
        <v>43</v>
      </c>
      <c r="Y88" s="62" t="str">
        <f>IFERROR(VLOOKUP(MID(T88,W88,X88-W88),[6]skilldef!$C:$D,2,FALSE),"-") &amp; " / " &amp; IFERROR(VLOOKUP(MID(T88,U88,V88-U88),[6]skilldef!$A:$B,2,FALSE),"-")</f>
        <v>- / -</v>
      </c>
      <c r="Z88" s="50"/>
      <c r="AA88" s="51"/>
      <c r="AB88" s="50"/>
      <c r="AC88" s="196" t="s">
        <v>415</v>
      </c>
      <c r="AD88" s="195" t="s">
        <v>271</v>
      </c>
      <c r="AE88" s="224" t="s">
        <v>372</v>
      </c>
    </row>
    <row r="89" spans="1:31" ht="33" customHeight="1" x14ac:dyDescent="0.15">
      <c r="A89" s="226">
        <v>39013552</v>
      </c>
      <c r="B89" s="123" t="str">
        <f t="shared" si="245"/>
        <v>[effect:enemy_message, val1:1.2, val2:1.8],[effect:break_attack_fix, target:unit_one, val:130, lowest_val:1, count:24, color:yellow, block01:block_red]</v>
      </c>
      <c r="C89" s="115">
        <v>1</v>
      </c>
      <c r="D89" s="115" t="s">
        <v>127</v>
      </c>
      <c r="E89" s="200" t="s">
        <v>377</v>
      </c>
      <c r="F89" s="200" t="s">
        <v>398</v>
      </c>
      <c r="G89" s="62" t="str">
        <f t="shared" si="249"/>
        <v>[effect:enemy_message, val1:1.2, val2:1.8]</v>
      </c>
      <c r="H89" s="62">
        <f t="shared" si="246"/>
        <v>9</v>
      </c>
      <c r="I89" s="62">
        <f t="shared" si="250"/>
        <v>22</v>
      </c>
      <c r="J89" s="62" t="e">
        <f t="shared" si="251"/>
        <v>#VALUE!</v>
      </c>
      <c r="K89" s="62">
        <f t="shared" si="252"/>
        <v>32</v>
      </c>
      <c r="L89" s="62" t="str">
        <f>IFERROR(VLOOKUP(MID(G89,J89,K89-J89),[6]skilldef!$C:$D,2,FALSE),"-") &amp; " / " &amp; IFERROR(VLOOKUP(MID(G89,H89,I89-H89),[6]skilldef!$A:$B,2,FALSE),"-")</f>
        <v>- / -</v>
      </c>
      <c r="M89" s="62" t="str">
        <f t="shared" si="253"/>
        <v>[effect:break_attack_fix, target:unit_one, val:130, lowest_val:1, count:24, color:yellow, block01:block_red]</v>
      </c>
      <c r="N89" s="48" t="str">
        <f>IFERROR(LEFT(M89,FIND("],",M89)+#REF!),M89)</f>
        <v>[effect:break_attack_fix, target:unit_one, val:130, lowest_val:1, count:24, color:yellow, block01:block_red]</v>
      </c>
      <c r="O89" s="62">
        <f t="shared" si="247"/>
        <v>9</v>
      </c>
      <c r="P89" s="62">
        <f t="shared" si="254"/>
        <v>25</v>
      </c>
      <c r="Q89" s="62">
        <f t="shared" si="255"/>
        <v>34</v>
      </c>
      <c r="R89" s="62">
        <f t="shared" si="256"/>
        <v>42</v>
      </c>
      <c r="S89" s="62" t="str">
        <f>IFERROR(VLOOKUP(MID(N89,Q89,R89-Q89),[6]skilldef!$C:$D,2,FALSE),"-") &amp; " / " &amp; IFERROR(VLOOKUP(MID(N89,O89,P89-O89),[6]skilldef!$A:$B,2,FALSE),"-")</f>
        <v>味方単体に / -</v>
      </c>
      <c r="T89" s="48" t="str">
        <f t="shared" si="257"/>
        <v>none</v>
      </c>
      <c r="U89" s="62" t="e">
        <f t="shared" si="248"/>
        <v>#VALUE!</v>
      </c>
      <c r="V89" s="62">
        <f t="shared" si="258"/>
        <v>4</v>
      </c>
      <c r="W89" s="62" t="e">
        <f t="shared" si="259"/>
        <v>#VALUE!</v>
      </c>
      <c r="X89" s="62" t="e">
        <f t="shared" si="260"/>
        <v>#VALUE!</v>
      </c>
      <c r="Y89" s="62" t="str">
        <f>IFERROR(VLOOKUP(MID(T89,W89,X89-W89),[6]skilldef!$C:$D,2,FALSE),"-") &amp; " / " &amp; IFERROR(VLOOKUP(MID(T89,U89,V89-U89),[6]skilldef!$A:$B,2,FALSE),"-")</f>
        <v>- / -</v>
      </c>
      <c r="Z89" s="50"/>
      <c r="AA89" s="51"/>
      <c r="AB89" s="50"/>
      <c r="AC89" s="201" t="s">
        <v>405</v>
      </c>
      <c r="AD89" s="200" t="s">
        <v>278</v>
      </c>
      <c r="AE89" s="47"/>
    </row>
    <row r="90" spans="1:31" ht="33" customHeight="1" x14ac:dyDescent="0.15">
      <c r="A90" s="226">
        <v>39013553</v>
      </c>
      <c r="B90" s="123" t="str">
        <f t="shared" si="245"/>
        <v>[effect:enemy_message, val1:1.2, val2:1.8],[effect:break_attack_fix, target:unit_one, val:130, lowest_val:1, count:24, color:yellow, block01:block_blue]</v>
      </c>
      <c r="C90" s="115">
        <v>1</v>
      </c>
      <c r="D90" s="115" t="s">
        <v>127</v>
      </c>
      <c r="E90" s="200" t="s">
        <v>378</v>
      </c>
      <c r="F90" s="200" t="s">
        <v>400</v>
      </c>
      <c r="G90" s="62" t="str">
        <f t="shared" si="249"/>
        <v>[effect:enemy_message, val1:1.2, val2:1.8]</v>
      </c>
      <c r="H90" s="62">
        <f t="shared" si="246"/>
        <v>9</v>
      </c>
      <c r="I90" s="62">
        <f t="shared" si="250"/>
        <v>22</v>
      </c>
      <c r="J90" s="62" t="e">
        <f t="shared" si="251"/>
        <v>#VALUE!</v>
      </c>
      <c r="K90" s="62">
        <f t="shared" si="252"/>
        <v>32</v>
      </c>
      <c r="L90" s="62" t="str">
        <f>IFERROR(VLOOKUP(MID(G90,J90,K90-J90),[6]skilldef!$C:$D,2,FALSE),"-") &amp; " / " &amp; IFERROR(VLOOKUP(MID(G90,H90,I90-H90),[6]skilldef!$A:$B,2,FALSE),"-")</f>
        <v>- / -</v>
      </c>
      <c r="M90" s="62" t="str">
        <f t="shared" si="253"/>
        <v>[effect:break_attack_fix, target:unit_one, val:130, lowest_val:1, count:24, color:yellow, block01:block_blue]</v>
      </c>
      <c r="N90" s="48" t="str">
        <f>IFERROR(LEFT(M90,FIND("],",M90)+#REF!),M90)</f>
        <v>[effect:break_attack_fix, target:unit_one, val:130, lowest_val:1, count:24, color:yellow, block01:block_blue]</v>
      </c>
      <c r="O90" s="62">
        <f t="shared" si="247"/>
        <v>9</v>
      </c>
      <c r="P90" s="62">
        <f t="shared" si="254"/>
        <v>25</v>
      </c>
      <c r="Q90" s="62">
        <f t="shared" si="255"/>
        <v>34</v>
      </c>
      <c r="R90" s="62">
        <f t="shared" si="256"/>
        <v>42</v>
      </c>
      <c r="S90" s="62" t="str">
        <f>IFERROR(VLOOKUP(MID(N90,Q90,R90-Q90),[6]skilldef!$C:$D,2,FALSE),"-") &amp; " / " &amp; IFERROR(VLOOKUP(MID(N90,O90,P90-O90),[6]skilldef!$A:$B,2,FALSE),"-")</f>
        <v>味方単体に / -</v>
      </c>
      <c r="T90" s="48" t="str">
        <f t="shared" si="257"/>
        <v>none</v>
      </c>
      <c r="U90" s="62" t="e">
        <f t="shared" si="248"/>
        <v>#VALUE!</v>
      </c>
      <c r="V90" s="62">
        <f t="shared" si="258"/>
        <v>4</v>
      </c>
      <c r="W90" s="62" t="e">
        <f t="shared" si="259"/>
        <v>#VALUE!</v>
      </c>
      <c r="X90" s="62" t="e">
        <f t="shared" si="260"/>
        <v>#VALUE!</v>
      </c>
      <c r="Y90" s="62" t="str">
        <f>IFERROR(VLOOKUP(MID(T90,W90,X90-W90),[6]skilldef!$C:$D,2,FALSE),"-") &amp; " / " &amp; IFERROR(VLOOKUP(MID(T90,U90,V90-U90),[6]skilldef!$A:$B,2,FALSE),"-")</f>
        <v>- / -</v>
      </c>
      <c r="Z90" s="50"/>
      <c r="AA90" s="51"/>
      <c r="AB90" s="50"/>
      <c r="AC90" s="201" t="s">
        <v>406</v>
      </c>
      <c r="AD90" s="200" t="s">
        <v>277</v>
      </c>
      <c r="AE90" s="47"/>
    </row>
    <row r="91" spans="1:31" ht="21" customHeight="1" x14ac:dyDescent="0.15">
      <c r="A91" s="226">
        <v>39013554</v>
      </c>
      <c r="B91" s="123" t="str">
        <f t="shared" si="245"/>
        <v>[effect:enemy_message, val1:1.2, val2:1.2],[effect:critical, val:1.4, animation:enemy_critical]</v>
      </c>
      <c r="C91" s="115">
        <v>1</v>
      </c>
      <c r="D91" s="115" t="s">
        <v>127</v>
      </c>
      <c r="E91" s="195" t="s">
        <v>367</v>
      </c>
      <c r="F91" s="195" t="s">
        <v>409</v>
      </c>
      <c r="G91" s="62" t="str">
        <f t="shared" si="249"/>
        <v>[effect:enemy_message, val1:1.2, val2:1.2]</v>
      </c>
      <c r="H91" s="62">
        <f t="shared" si="246"/>
        <v>9</v>
      </c>
      <c r="I91" s="62">
        <f t="shared" si="250"/>
        <v>22</v>
      </c>
      <c r="J91" s="62" t="e">
        <f t="shared" si="251"/>
        <v>#VALUE!</v>
      </c>
      <c r="K91" s="62">
        <f t="shared" si="252"/>
        <v>32</v>
      </c>
      <c r="L91" s="62" t="str">
        <f>IFERROR(VLOOKUP(MID(G91,J91,K91-J91),[6]skilldef!$C:$D,2,FALSE),"-") &amp; " / " &amp; IFERROR(VLOOKUP(MID(G91,H91,I91-H91),[6]skilldef!$A:$B,2,FALSE),"-")</f>
        <v>- / -</v>
      </c>
      <c r="M91" s="62" t="str">
        <f t="shared" si="253"/>
        <v>[effect:critical, val:1.4, animation:enemy_critical]</v>
      </c>
      <c r="N91" s="48" t="str">
        <f>IFERROR(LEFT(M91,FIND("],",M91)+#REF!),M91)</f>
        <v>[effect:critical, val:1.4, animation:enemy_critical]</v>
      </c>
      <c r="O91" s="62">
        <f t="shared" si="247"/>
        <v>9</v>
      </c>
      <c r="P91" s="62">
        <f t="shared" si="254"/>
        <v>17</v>
      </c>
      <c r="Q91" s="62" t="e">
        <f t="shared" si="255"/>
        <v>#VALUE!</v>
      </c>
      <c r="R91" s="62">
        <f t="shared" si="256"/>
        <v>26</v>
      </c>
      <c r="S91" s="62" t="str">
        <f>IFERROR(VLOOKUP(MID(N91,Q91,R91-Q91),[6]skilldef!$C:$D,2,FALSE),"-") &amp; " / " &amp; IFERROR(VLOOKUP(MID(N91,O91,P91-O91),[6]skilldef!$A:$B,2,FALSE),"-")</f>
        <v>- / 大攻撃</v>
      </c>
      <c r="T91" s="48" t="str">
        <f t="shared" si="257"/>
        <v>none</v>
      </c>
      <c r="U91" s="62" t="e">
        <f t="shared" si="248"/>
        <v>#VALUE!</v>
      </c>
      <c r="V91" s="62">
        <f t="shared" si="258"/>
        <v>4</v>
      </c>
      <c r="W91" s="62" t="e">
        <f t="shared" si="259"/>
        <v>#VALUE!</v>
      </c>
      <c r="X91" s="62" t="e">
        <f t="shared" si="260"/>
        <v>#VALUE!</v>
      </c>
      <c r="Y91" s="62" t="str">
        <f>IFERROR(VLOOKUP(MID(T91,W91,X91-W91),[6]skilldef!$C:$D,2,FALSE),"-") &amp; " / " &amp; IFERROR(VLOOKUP(MID(T91,U91,V91-U91),[6]skilldef!$A:$B,2,FALSE),"-")</f>
        <v>- / -</v>
      </c>
      <c r="Z91" s="50"/>
      <c r="AA91" s="51"/>
      <c r="AB91" s="50"/>
      <c r="AC91" s="196" t="s">
        <v>339</v>
      </c>
      <c r="AD91" s="195" t="s">
        <v>303</v>
      </c>
      <c r="AE91" s="47"/>
    </row>
    <row r="92" spans="1:31" ht="21" customHeight="1" x14ac:dyDescent="0.15">
      <c r="A92" s="226">
        <v>39013555</v>
      </c>
      <c r="B92" s="123" t="str">
        <f t="shared" si="245"/>
        <v>[effect:enemy_message, val1:1.2, val2:1.2],[effect:critical, val:1.4, animation:enemy_critical]</v>
      </c>
      <c r="C92" s="115">
        <v>1</v>
      </c>
      <c r="D92" s="115" t="s">
        <v>127</v>
      </c>
      <c r="E92" s="195" t="s">
        <v>369</v>
      </c>
      <c r="F92" s="195" t="s">
        <v>409</v>
      </c>
      <c r="G92" s="62" t="str">
        <f t="shared" si="249"/>
        <v>[effect:enemy_message, val1:1.2, val2:1.2]</v>
      </c>
      <c r="H92" s="62">
        <f t="shared" si="246"/>
        <v>9</v>
      </c>
      <c r="I92" s="62">
        <f t="shared" si="250"/>
        <v>22</v>
      </c>
      <c r="J92" s="62" t="e">
        <f t="shared" si="251"/>
        <v>#VALUE!</v>
      </c>
      <c r="K92" s="62">
        <f t="shared" si="252"/>
        <v>32</v>
      </c>
      <c r="L92" s="62" t="str">
        <f>IFERROR(VLOOKUP(MID(G92,J92,K92-J92),[6]skilldef!$C:$D,2,FALSE),"-") &amp; " / " &amp; IFERROR(VLOOKUP(MID(G92,H92,I92-H92),[6]skilldef!$A:$B,2,FALSE),"-")</f>
        <v>- / -</v>
      </c>
      <c r="M92" s="62" t="str">
        <f t="shared" si="253"/>
        <v>[effect:critical, val:1.4, animation:enemy_critical]</v>
      </c>
      <c r="N92" s="48" t="str">
        <f>IFERROR(LEFT(M92,FIND("],",M92)+#REF!),M92)</f>
        <v>[effect:critical, val:1.4, animation:enemy_critical]</v>
      </c>
      <c r="O92" s="62">
        <f t="shared" si="247"/>
        <v>9</v>
      </c>
      <c r="P92" s="62">
        <f t="shared" si="254"/>
        <v>17</v>
      </c>
      <c r="Q92" s="62" t="e">
        <f t="shared" si="255"/>
        <v>#VALUE!</v>
      </c>
      <c r="R92" s="62">
        <f t="shared" si="256"/>
        <v>26</v>
      </c>
      <c r="S92" s="62" t="str">
        <f>IFERROR(VLOOKUP(MID(N92,Q92,R92-Q92),[6]skilldef!$C:$D,2,FALSE),"-") &amp; " / " &amp; IFERROR(VLOOKUP(MID(N92,O92,P92-O92),[6]skilldef!$A:$B,2,FALSE),"-")</f>
        <v>- / 大攻撃</v>
      </c>
      <c r="T92" s="48" t="str">
        <f t="shared" si="257"/>
        <v>none</v>
      </c>
      <c r="U92" s="62" t="e">
        <f t="shared" si="248"/>
        <v>#VALUE!</v>
      </c>
      <c r="V92" s="62">
        <f t="shared" si="258"/>
        <v>4</v>
      </c>
      <c r="W92" s="62" t="e">
        <f t="shared" si="259"/>
        <v>#VALUE!</v>
      </c>
      <c r="X92" s="62" t="e">
        <f t="shared" si="260"/>
        <v>#VALUE!</v>
      </c>
      <c r="Y92" s="62" t="str">
        <f>IFERROR(VLOOKUP(MID(T92,W92,X92-W92),[6]skilldef!$C:$D,2,FALSE),"-") &amp; " / " &amp; IFERROR(VLOOKUP(MID(T92,U92,V92-U92),[6]skilldef!$A:$B,2,FALSE),"-")</f>
        <v>- / -</v>
      </c>
      <c r="Z92" s="50"/>
      <c r="AA92" s="51"/>
      <c r="AB92" s="50"/>
      <c r="AC92" s="196" t="s">
        <v>339</v>
      </c>
      <c r="AD92" s="195" t="s">
        <v>304</v>
      </c>
      <c r="AE92" s="47"/>
    </row>
    <row r="93" spans="1:31" ht="21" customHeight="1" x14ac:dyDescent="0.15">
      <c r="A93" s="226">
        <v>39013556</v>
      </c>
      <c r="B93" s="123" t="str">
        <f t="shared" si="245"/>
        <v>[effect:enemy_message, val1:1.2, val2:1.2],[effect:rush, count:3, val:0.6]</v>
      </c>
      <c r="C93" s="115">
        <v>1</v>
      </c>
      <c r="D93" s="115" t="s">
        <v>127</v>
      </c>
      <c r="E93" s="195" t="s">
        <v>379</v>
      </c>
      <c r="F93" s="195" t="s">
        <v>410</v>
      </c>
      <c r="G93" s="62" t="str">
        <f t="shared" si="249"/>
        <v>[effect:enemy_message, val1:1.2, val2:1.2]</v>
      </c>
      <c r="H93" s="62">
        <f t="shared" si="246"/>
        <v>9</v>
      </c>
      <c r="I93" s="62">
        <f t="shared" si="250"/>
        <v>22</v>
      </c>
      <c r="J93" s="62" t="e">
        <f t="shared" si="251"/>
        <v>#VALUE!</v>
      </c>
      <c r="K93" s="62">
        <f t="shared" si="252"/>
        <v>32</v>
      </c>
      <c r="L93" s="62" t="str">
        <f>IFERROR(VLOOKUP(MID(G93,J93,K93-J93),[6]skilldef!$C:$D,2,FALSE),"-") &amp; " / " &amp; IFERROR(VLOOKUP(MID(G93,H93,I93-H93),[6]skilldef!$A:$B,2,FALSE),"-")</f>
        <v>- / -</v>
      </c>
      <c r="M93" s="62" t="str">
        <f t="shared" si="253"/>
        <v>[effect:rush, count:3, val:0.6]</v>
      </c>
      <c r="N93" s="48" t="str">
        <f>IFERROR(LEFT(M93,FIND("],",M93)+#REF!),M93)</f>
        <v>[effect:rush, count:3, val:0.6]</v>
      </c>
      <c r="O93" s="62">
        <f t="shared" si="247"/>
        <v>9</v>
      </c>
      <c r="P93" s="62">
        <f t="shared" si="254"/>
        <v>13</v>
      </c>
      <c r="Q93" s="62" t="e">
        <f t="shared" si="255"/>
        <v>#VALUE!</v>
      </c>
      <c r="R93" s="62">
        <f t="shared" si="256"/>
        <v>22</v>
      </c>
      <c r="S93" s="62" t="str">
        <f>IFERROR(VLOOKUP(MID(N93,Q93,R93-Q93),[6]skilldef!$C:$D,2,FALSE),"-") &amp; " / " &amp; IFERROR(VLOOKUP(MID(N93,O93,P93-O93),[6]skilldef!$A:$B,2,FALSE),"-")</f>
        <v>- / 連続攻撃</v>
      </c>
      <c r="T93" s="48" t="str">
        <f t="shared" si="257"/>
        <v>none</v>
      </c>
      <c r="U93" s="62" t="e">
        <f t="shared" si="248"/>
        <v>#VALUE!</v>
      </c>
      <c r="V93" s="62">
        <f t="shared" si="258"/>
        <v>4</v>
      </c>
      <c r="W93" s="62" t="e">
        <f t="shared" si="259"/>
        <v>#VALUE!</v>
      </c>
      <c r="X93" s="62" t="e">
        <f t="shared" si="260"/>
        <v>#VALUE!</v>
      </c>
      <c r="Y93" s="62" t="str">
        <f>IFERROR(VLOOKUP(MID(T93,W93,X93-W93),[6]skilldef!$C:$D,2,FALSE),"-") &amp; " / " &amp; IFERROR(VLOOKUP(MID(T93,U93,V93-U93),[6]skilldef!$A:$B,2,FALSE),"-")</f>
        <v>- / -</v>
      </c>
      <c r="Z93" s="50"/>
      <c r="AA93" s="51"/>
      <c r="AB93" s="50"/>
      <c r="AC93" s="196" t="s">
        <v>284</v>
      </c>
      <c r="AD93" s="195" t="s">
        <v>305</v>
      </c>
      <c r="AE93" s="47"/>
    </row>
    <row r="94" spans="1:31" ht="21" customHeight="1" x14ac:dyDescent="0.15">
      <c r="A94" s="226">
        <v>39013557</v>
      </c>
      <c r="B94" s="123" t="str">
        <f t="shared" si="245"/>
        <v>[effect:enemy_message, val1:1.2, val2:2.0],[effect:damage_abnormal, target:unit_one, val:1.0, status:virus, turn:2, val_abnormal:0.2, animation:enemy_virus]</v>
      </c>
      <c r="C94" s="115">
        <v>1</v>
      </c>
      <c r="D94" s="115" t="s">
        <v>127</v>
      </c>
      <c r="E94" s="200" t="s">
        <v>411</v>
      </c>
      <c r="F94" s="200" t="s">
        <v>455</v>
      </c>
      <c r="G94" s="62" t="str">
        <f t="shared" si="249"/>
        <v>[effect:enemy_message, val1:1.2, val2:2.0]</v>
      </c>
      <c r="H94" s="62">
        <f t="shared" si="246"/>
        <v>9</v>
      </c>
      <c r="I94" s="62">
        <f t="shared" si="250"/>
        <v>22</v>
      </c>
      <c r="J94" s="62" t="e">
        <f t="shared" si="251"/>
        <v>#VALUE!</v>
      </c>
      <c r="K94" s="62">
        <f t="shared" si="252"/>
        <v>32</v>
      </c>
      <c r="L94" s="62" t="str">
        <f>IFERROR(VLOOKUP(MID(G94,J94,K94-J94),[6]skilldef!$C:$D,2,FALSE),"-") &amp; " / " &amp; IFERROR(VLOOKUP(MID(G94,H94,I94-H94),[6]skilldef!$A:$B,2,FALSE),"-")</f>
        <v>- / -</v>
      </c>
      <c r="M94" s="62" t="str">
        <f t="shared" si="253"/>
        <v>[effect:damage_abnormal, target:unit_one, val:1.0, status:virus, turn:2, val_abnormal:0.2, animation:enemy_virus]</v>
      </c>
      <c r="N94" s="48" t="str">
        <f>IFERROR(LEFT(M94,FIND("],",M94)+#REF!),M94)</f>
        <v>[effect:damage_abnormal, target:unit_one, val:1.0, status:virus, turn:2, val_abnormal:0.2, animation:enemy_virus]</v>
      </c>
      <c r="O94" s="62">
        <f t="shared" si="247"/>
        <v>9</v>
      </c>
      <c r="P94" s="62">
        <f t="shared" si="254"/>
        <v>24</v>
      </c>
      <c r="Q94" s="62">
        <f t="shared" si="255"/>
        <v>33</v>
      </c>
      <c r="R94" s="62">
        <f t="shared" si="256"/>
        <v>41</v>
      </c>
      <c r="S94" s="62" t="str">
        <f>IFERROR(VLOOKUP(MID(N94,Q94,R94-Q94),[6]skilldef!$C:$D,2,FALSE),"-") &amp; " / " &amp; IFERROR(VLOOKUP(MID(N94,O94,P94-O94),[6]skilldef!$A:$B,2,FALSE),"-")</f>
        <v>味方単体に / -</v>
      </c>
      <c r="T94" s="48" t="str">
        <f t="shared" si="257"/>
        <v>none</v>
      </c>
      <c r="U94" s="62" t="e">
        <f t="shared" si="248"/>
        <v>#VALUE!</v>
      </c>
      <c r="V94" s="62">
        <f t="shared" si="258"/>
        <v>4</v>
      </c>
      <c r="W94" s="62" t="e">
        <f t="shared" si="259"/>
        <v>#VALUE!</v>
      </c>
      <c r="X94" s="62" t="e">
        <f t="shared" si="260"/>
        <v>#VALUE!</v>
      </c>
      <c r="Y94" s="62" t="str">
        <f>IFERROR(VLOOKUP(MID(T94,W94,X94-W94),[6]skilldef!$C:$D,2,FALSE),"-") &amp; " / " &amp; IFERROR(VLOOKUP(MID(T94,U94,V94-U94),[6]skilldef!$A:$B,2,FALSE),"-")</f>
        <v>- / -</v>
      </c>
      <c r="Z94" s="50"/>
      <c r="AA94" s="51"/>
      <c r="AB94" s="50"/>
      <c r="AC94" s="201" t="s">
        <v>354</v>
      </c>
      <c r="AD94" s="200" t="s">
        <v>307</v>
      </c>
      <c r="AE94" s="47"/>
    </row>
    <row r="95" spans="1:31" ht="39" customHeight="1" x14ac:dyDescent="0.15">
      <c r="A95" s="226">
        <v>39013558</v>
      </c>
      <c r="B95" s="123" t="str">
        <f t="shared" si="245"/>
        <v>[effect:enemy_message, val1:1.2, val2:1.6],[effect:enemy_counter, target:myself, invoke_condition:unit_all, counter_target:attacker, turn:1, val:1.0, animation:enemy_counter]</v>
      </c>
      <c r="C95" s="115">
        <v>1</v>
      </c>
      <c r="D95" s="115" t="s">
        <v>127</v>
      </c>
      <c r="E95" s="200" t="s">
        <v>375</v>
      </c>
      <c r="F95" s="200" t="s">
        <v>418</v>
      </c>
      <c r="G95" s="62" t="str">
        <f t="shared" si="249"/>
        <v>[effect:enemy_message, val1:1.2, val2:1.6]</v>
      </c>
      <c r="H95" s="62">
        <f t="shared" si="246"/>
        <v>9</v>
      </c>
      <c r="I95" s="62">
        <f t="shared" si="250"/>
        <v>22</v>
      </c>
      <c r="J95" s="62" t="e">
        <f t="shared" si="251"/>
        <v>#VALUE!</v>
      </c>
      <c r="K95" s="62">
        <f t="shared" si="252"/>
        <v>32</v>
      </c>
      <c r="L95" s="62" t="str">
        <f>IFERROR(VLOOKUP(MID(G95,J95,K95-J95),[6]skilldef!$C:$D,2,FALSE),"-") &amp; " / " &amp; IFERROR(VLOOKUP(MID(G95,H95,I95-H95),[6]skilldef!$A:$B,2,FALSE),"-")</f>
        <v>- / -</v>
      </c>
      <c r="M95" s="62" t="str">
        <f t="shared" si="253"/>
        <v>[effect:enemy_counter, target:myself, invoke_condition:unit_all, counter_target:attacker, turn:1, val:1.0, animation:enemy_counter]</v>
      </c>
      <c r="N95" s="48" t="str">
        <f>IFERROR(LEFT(M95,FIND("],",M95)+#REF!),M95)</f>
        <v>[effect:enemy_counter, target:myself, invoke_condition:unit_all, counter_target:attacker, turn:1, val:1.0, animation:enemy_counter]</v>
      </c>
      <c r="O95" s="62">
        <f t="shared" si="247"/>
        <v>9</v>
      </c>
      <c r="P95" s="62">
        <f t="shared" si="254"/>
        <v>22</v>
      </c>
      <c r="Q95" s="62">
        <f t="shared" si="255"/>
        <v>31</v>
      </c>
      <c r="R95" s="62">
        <f t="shared" si="256"/>
        <v>37</v>
      </c>
      <c r="S95" s="62" t="str">
        <f>IFERROR(VLOOKUP(MID(N95,Q95,R95-Q95),[6]skilldef!$C:$D,2,FALSE),"-") &amp; " / " &amp; IFERROR(VLOOKUP(MID(N95,O95,P95-O95),[6]skilldef!$A:$B,2,FALSE),"-")</f>
        <v>自分自身に / カウンター</v>
      </c>
      <c r="T95" s="48" t="str">
        <f t="shared" si="257"/>
        <v>none</v>
      </c>
      <c r="U95" s="62" t="e">
        <f t="shared" si="248"/>
        <v>#VALUE!</v>
      </c>
      <c r="V95" s="62">
        <f t="shared" si="258"/>
        <v>4</v>
      </c>
      <c r="W95" s="62" t="e">
        <f t="shared" si="259"/>
        <v>#VALUE!</v>
      </c>
      <c r="X95" s="62" t="e">
        <f t="shared" si="260"/>
        <v>#VALUE!</v>
      </c>
      <c r="Y95" s="62" t="str">
        <f>IFERROR(VLOOKUP(MID(T95,W95,X95-W95),[6]skilldef!$C:$D,2,FALSE),"-") &amp; " / " &amp; IFERROR(VLOOKUP(MID(T95,U95,V95-U95),[6]skilldef!$A:$B,2,FALSE),"-")</f>
        <v>- / -</v>
      </c>
      <c r="Z95" s="50"/>
      <c r="AA95" s="51"/>
      <c r="AB95" s="50"/>
      <c r="AC95" s="201" t="s">
        <v>356</v>
      </c>
      <c r="AD95" s="200" t="s">
        <v>308</v>
      </c>
      <c r="AE95" s="47"/>
    </row>
    <row r="96" spans="1:31" ht="21" customHeight="1" x14ac:dyDescent="0.15">
      <c r="A96" s="226">
        <v>39013559</v>
      </c>
      <c r="B96" s="123" t="str">
        <f t="shared" ref="B96:B100" si="261">"[effect:enemy_message, val1:"&amp;TEXT(IF(TEXT(E96,0)="[表示しない]", "0", IF(LEN(SUBSTITUTE(E96,CHAR(13),""))*0.1&lt;1.2, 1.2, LEN(SUBSTITUTE(E96,CHAR(13),""))*0.1)), "0.0")&amp;", val2:"&amp;TEXT(IF(TEXT(F96,0)="[表示しない]", "0", IF(LEN(SUBSTITUTE(F96,CHAR(13),""))*0.1&lt;1.2, 1.2, LEN(SUBSTITUTE(F96,CHAR(13),""))*0.1)),"0.0")&amp;"]"&amp;IF(LEN(AC96)&gt;0, ","&amp;SUBSTITUTE(AC96,CHAR(13),""),SUBSTITUTE(AC96,CHAR(13),""))</f>
        <v>[effect:enemy_message, val1:1.2, val2:2.0],[effect:damage_abnormal, target:unit_one, val:1.2, status:virus, turn:2, val_abnormal:0.2, animation:enemy_virus]</v>
      </c>
      <c r="C96" s="110">
        <v>1</v>
      </c>
      <c r="D96" s="110" t="s">
        <v>127</v>
      </c>
      <c r="E96" s="111" t="s">
        <v>412</v>
      </c>
      <c r="F96" s="111" t="s">
        <v>457</v>
      </c>
      <c r="G96" s="62" t="str">
        <f t="shared" ref="G96:G100" si="262">IFERROR(LEFT(B96,FIND("],",B96)),B96)</f>
        <v>[effect:enemy_message, val1:1.2, val2:2.0]</v>
      </c>
      <c r="H96" s="62">
        <f t="shared" ref="H96:H100" si="263">FIND("effect:",G96)+7</f>
        <v>9</v>
      </c>
      <c r="I96" s="62">
        <f t="shared" ref="I96:I100" si="264">IFERROR(FIND(",",G96),LEN(G96))</f>
        <v>22</v>
      </c>
      <c r="J96" s="62" t="e">
        <f t="shared" ref="J96:J100" si="265">FIND("target:",G96)+7</f>
        <v>#VALUE!</v>
      </c>
      <c r="K96" s="62">
        <f t="shared" ref="K96:K100" si="266">FIND(",",G96,I96+1)</f>
        <v>32</v>
      </c>
      <c r="L96" s="62" t="str">
        <f>IFERROR(VLOOKUP(MID(G96,J96,K96-J96),[6]skilldef!$C:$D,2,FALSE),"-") &amp; " / " &amp; IFERROR(VLOOKUP(MID(G96,H96,I96-H96),[6]skilldef!$A:$B,2,FALSE),"-")</f>
        <v>- / -</v>
      </c>
      <c r="M96" s="62" t="str">
        <f t="shared" ref="M96:M100" si="267">IFERROR(RIGHT(B96,LEN(B96)-FIND("],",B96)-1),"none")</f>
        <v>[effect:damage_abnormal, target:unit_one, val:1.2, status:virus, turn:2, val_abnormal:0.2, animation:enemy_virus]</v>
      </c>
      <c r="N96" s="48" t="str">
        <f>IFERROR(LEFT(M96,FIND("],",M96)+#REF!),M96)</f>
        <v>[effect:damage_abnormal, target:unit_one, val:1.2, status:virus, turn:2, val_abnormal:0.2, animation:enemy_virus]</v>
      </c>
      <c r="O96" s="62">
        <f t="shared" ref="O96:O100" si="268">FIND("effect:",N96)+7</f>
        <v>9</v>
      </c>
      <c r="P96" s="62">
        <f t="shared" ref="P96:P100" si="269">IFERROR(FIND(",",N96),LEN(N96))</f>
        <v>24</v>
      </c>
      <c r="Q96" s="62">
        <f t="shared" ref="Q96:Q100" si="270">FIND("target:",N96)+7</f>
        <v>33</v>
      </c>
      <c r="R96" s="62">
        <f t="shared" ref="R96:R100" si="271">FIND(",",N96,P96+1)</f>
        <v>41</v>
      </c>
      <c r="S96" s="62" t="str">
        <f>IFERROR(VLOOKUP(MID(N96,Q96,R96-Q96),[6]skilldef!$C:$D,2,FALSE),"-") &amp; " / " &amp; IFERROR(VLOOKUP(MID(N96,O96,P96-O96),[6]skilldef!$A:$B,2,FALSE),"-")</f>
        <v>味方単体に / -</v>
      </c>
      <c r="T96" s="48" t="str">
        <f t="shared" ref="T96:T100" si="272">IFERROR(RIGHT(M96,LEN(M96)-FIND("],",M96)-1),"none")</f>
        <v>none</v>
      </c>
      <c r="U96" s="62" t="e">
        <f t="shared" ref="U96:U100" si="273">FIND("effect:",T96)+7</f>
        <v>#VALUE!</v>
      </c>
      <c r="V96" s="62">
        <f t="shared" ref="V96:V100" si="274">IFERROR(FIND(",",T96),LEN(T96))</f>
        <v>4</v>
      </c>
      <c r="W96" s="62" t="e">
        <f t="shared" ref="W96:W100" si="275">FIND("target:",T96)+7</f>
        <v>#VALUE!</v>
      </c>
      <c r="X96" s="62" t="e">
        <f t="shared" ref="X96:X100" si="276">FIND(",",T96,V96+1)</f>
        <v>#VALUE!</v>
      </c>
      <c r="Y96" s="62" t="str">
        <f>IFERROR(VLOOKUP(MID(T96,W96,X96-W96),[6]skilldef!$C:$D,2,FALSE),"-") &amp; " / " &amp; IFERROR(VLOOKUP(MID(T96,U96,V96-U96),[6]skilldef!$A:$B,2,FALSE),"-")</f>
        <v>- / -</v>
      </c>
      <c r="Z96" s="50"/>
      <c r="AA96" s="51"/>
      <c r="AB96" s="50"/>
      <c r="AC96" s="120" t="s">
        <v>341</v>
      </c>
      <c r="AD96" s="111" t="s">
        <v>285</v>
      </c>
      <c r="AE96" s="47"/>
    </row>
    <row r="97" spans="1:31" ht="21" customHeight="1" x14ac:dyDescent="0.15">
      <c r="A97" s="226">
        <v>39013560</v>
      </c>
      <c r="B97" s="123" t="str">
        <f t="shared" si="261"/>
        <v>[effect:enemy_message, val1:1.2, val2:2.0],[effect:damage_abnormal, target:unit_one, val:1.3, status:virus, turn:2, val_abnormal:0.2, animation:enemy_virus]</v>
      </c>
      <c r="C97" s="110">
        <v>1</v>
      </c>
      <c r="D97" s="110" t="s">
        <v>127</v>
      </c>
      <c r="E97" s="111" t="s">
        <v>412</v>
      </c>
      <c r="F97" s="111" t="s">
        <v>457</v>
      </c>
      <c r="G97" s="62" t="str">
        <f t="shared" si="262"/>
        <v>[effect:enemy_message, val1:1.2, val2:2.0]</v>
      </c>
      <c r="H97" s="62">
        <f t="shared" si="263"/>
        <v>9</v>
      </c>
      <c r="I97" s="62">
        <f t="shared" si="264"/>
        <v>22</v>
      </c>
      <c r="J97" s="62" t="e">
        <f t="shared" si="265"/>
        <v>#VALUE!</v>
      </c>
      <c r="K97" s="62">
        <f t="shared" si="266"/>
        <v>32</v>
      </c>
      <c r="L97" s="62" t="str">
        <f>IFERROR(VLOOKUP(MID(G97,J97,K97-J97),[6]skilldef!$C:$D,2,FALSE),"-") &amp; " / " &amp; IFERROR(VLOOKUP(MID(G97,H97,I97-H97),[6]skilldef!$A:$B,2,FALSE),"-")</f>
        <v>- / -</v>
      </c>
      <c r="M97" s="62" t="str">
        <f t="shared" si="267"/>
        <v>[effect:damage_abnormal, target:unit_one, val:1.3, status:virus, turn:2, val_abnormal:0.2, animation:enemy_virus]</v>
      </c>
      <c r="N97" s="48" t="str">
        <f>IFERROR(LEFT(M97,FIND("],",M97)+#REF!),M97)</f>
        <v>[effect:damage_abnormal, target:unit_one, val:1.3, status:virus, turn:2, val_abnormal:0.2, animation:enemy_virus]</v>
      </c>
      <c r="O97" s="62">
        <f t="shared" si="268"/>
        <v>9</v>
      </c>
      <c r="P97" s="62">
        <f t="shared" si="269"/>
        <v>24</v>
      </c>
      <c r="Q97" s="62">
        <f t="shared" si="270"/>
        <v>33</v>
      </c>
      <c r="R97" s="62">
        <f t="shared" si="271"/>
        <v>41</v>
      </c>
      <c r="S97" s="62" t="str">
        <f>IFERROR(VLOOKUP(MID(N97,Q97,R97-Q97),[6]skilldef!$C:$D,2,FALSE),"-") &amp; " / " &amp; IFERROR(VLOOKUP(MID(N97,O97,P97-O97),[6]skilldef!$A:$B,2,FALSE),"-")</f>
        <v>味方単体に / -</v>
      </c>
      <c r="T97" s="48" t="str">
        <f t="shared" si="272"/>
        <v>none</v>
      </c>
      <c r="U97" s="62" t="e">
        <f t="shared" si="273"/>
        <v>#VALUE!</v>
      </c>
      <c r="V97" s="62">
        <f t="shared" si="274"/>
        <v>4</v>
      </c>
      <c r="W97" s="62" t="e">
        <f t="shared" si="275"/>
        <v>#VALUE!</v>
      </c>
      <c r="X97" s="62" t="e">
        <f t="shared" si="276"/>
        <v>#VALUE!</v>
      </c>
      <c r="Y97" s="62" t="str">
        <f>IFERROR(VLOOKUP(MID(T97,W97,X97-W97),[6]skilldef!$C:$D,2,FALSE),"-") &amp; " / " &amp; IFERROR(VLOOKUP(MID(T97,U97,V97-U97),[6]skilldef!$A:$B,2,FALSE),"-")</f>
        <v>- / -</v>
      </c>
      <c r="Z97" s="50"/>
      <c r="AA97" s="51"/>
      <c r="AB97" s="50"/>
      <c r="AC97" s="120" t="s">
        <v>342</v>
      </c>
      <c r="AD97" s="111" t="s">
        <v>265</v>
      </c>
      <c r="AE97" s="47"/>
    </row>
    <row r="98" spans="1:31" ht="21" customHeight="1" x14ac:dyDescent="0.15">
      <c r="A98" s="226">
        <v>39013561</v>
      </c>
      <c r="B98" s="123" t="str">
        <f t="shared" si="261"/>
        <v>[effect:enemy_message, val1:1.2, val2:2.0],[effect:damage_abnormal, target:unit_one, val:1.4, status:virus, turn:2, val_abnormal:0.2, animation:enemy_virus]</v>
      </c>
      <c r="C98" s="110">
        <v>1</v>
      </c>
      <c r="D98" s="110" t="s">
        <v>127</v>
      </c>
      <c r="E98" s="111" t="s">
        <v>413</v>
      </c>
      <c r="F98" s="111" t="s">
        <v>457</v>
      </c>
      <c r="G98" s="62" t="str">
        <f t="shared" si="262"/>
        <v>[effect:enemy_message, val1:1.2, val2:2.0]</v>
      </c>
      <c r="H98" s="62">
        <f t="shared" si="263"/>
        <v>9</v>
      </c>
      <c r="I98" s="62">
        <f t="shared" si="264"/>
        <v>22</v>
      </c>
      <c r="J98" s="62" t="e">
        <f t="shared" si="265"/>
        <v>#VALUE!</v>
      </c>
      <c r="K98" s="62">
        <f t="shared" si="266"/>
        <v>32</v>
      </c>
      <c r="L98" s="62" t="str">
        <f>IFERROR(VLOOKUP(MID(G98,J98,K98-J98),[6]skilldef!$C:$D,2,FALSE),"-") &amp; " / " &amp; IFERROR(VLOOKUP(MID(G98,H98,I98-H98),[6]skilldef!$A:$B,2,FALSE),"-")</f>
        <v>- / -</v>
      </c>
      <c r="M98" s="62" t="str">
        <f t="shared" si="267"/>
        <v>[effect:damage_abnormal, target:unit_one, val:1.4, status:virus, turn:2, val_abnormal:0.2, animation:enemy_virus]</v>
      </c>
      <c r="N98" s="48" t="str">
        <f>IFERROR(LEFT(M98,FIND("],",M98)+#REF!),M98)</f>
        <v>[effect:damage_abnormal, target:unit_one, val:1.4, status:virus, turn:2, val_abnormal:0.2, animation:enemy_virus]</v>
      </c>
      <c r="O98" s="62">
        <f t="shared" si="268"/>
        <v>9</v>
      </c>
      <c r="P98" s="62">
        <f t="shared" si="269"/>
        <v>24</v>
      </c>
      <c r="Q98" s="62">
        <f t="shared" si="270"/>
        <v>33</v>
      </c>
      <c r="R98" s="62">
        <f t="shared" si="271"/>
        <v>41</v>
      </c>
      <c r="S98" s="62" t="str">
        <f>IFERROR(VLOOKUP(MID(N98,Q98,R98-Q98),[6]skilldef!$C:$D,2,FALSE),"-") &amp; " / " &amp; IFERROR(VLOOKUP(MID(N98,O98,P98-O98),[6]skilldef!$A:$B,2,FALSE),"-")</f>
        <v>味方単体に / -</v>
      </c>
      <c r="T98" s="48" t="str">
        <f t="shared" si="272"/>
        <v>none</v>
      </c>
      <c r="U98" s="62" t="e">
        <f t="shared" si="273"/>
        <v>#VALUE!</v>
      </c>
      <c r="V98" s="62">
        <f t="shared" si="274"/>
        <v>4</v>
      </c>
      <c r="W98" s="62" t="e">
        <f t="shared" si="275"/>
        <v>#VALUE!</v>
      </c>
      <c r="X98" s="62" t="e">
        <f t="shared" si="276"/>
        <v>#VALUE!</v>
      </c>
      <c r="Y98" s="62" t="str">
        <f>IFERROR(VLOOKUP(MID(T98,W98,X98-W98),[6]skilldef!$C:$D,2,FALSE),"-") &amp; " / " &amp; IFERROR(VLOOKUP(MID(T98,U98,V98-U98),[6]skilldef!$A:$B,2,FALSE),"-")</f>
        <v>- / -</v>
      </c>
      <c r="Z98" s="50"/>
      <c r="AA98" s="51"/>
      <c r="AB98" s="50"/>
      <c r="AC98" s="120" t="s">
        <v>343</v>
      </c>
      <c r="AD98" s="111" t="s">
        <v>287</v>
      </c>
      <c r="AE98" s="47"/>
    </row>
    <row r="99" spans="1:31" ht="21" customHeight="1" x14ac:dyDescent="0.15">
      <c r="A99" s="226">
        <v>39013562</v>
      </c>
      <c r="B99" s="123" t="str">
        <f t="shared" si="261"/>
        <v>[effect:enemy_message, val1:1.2, val2:2.0],[effect:damage_abnormal, target:unit_one, val:1.5, status:virus, turn:2, val_abnormal:0.2, animation:enemy_virus]</v>
      </c>
      <c r="C99" s="110">
        <v>1</v>
      </c>
      <c r="D99" s="110" t="s">
        <v>127</v>
      </c>
      <c r="E99" s="111" t="s">
        <v>413</v>
      </c>
      <c r="F99" s="111" t="s">
        <v>457</v>
      </c>
      <c r="G99" s="62" t="str">
        <f t="shared" si="262"/>
        <v>[effect:enemy_message, val1:1.2, val2:2.0]</v>
      </c>
      <c r="H99" s="62">
        <f t="shared" si="263"/>
        <v>9</v>
      </c>
      <c r="I99" s="62">
        <f t="shared" si="264"/>
        <v>22</v>
      </c>
      <c r="J99" s="62" t="e">
        <f t="shared" si="265"/>
        <v>#VALUE!</v>
      </c>
      <c r="K99" s="62">
        <f t="shared" si="266"/>
        <v>32</v>
      </c>
      <c r="L99" s="62" t="str">
        <f>IFERROR(VLOOKUP(MID(G99,J99,K99-J99),[6]skilldef!$C:$D,2,FALSE),"-") &amp; " / " &amp; IFERROR(VLOOKUP(MID(G99,H99,I99-H99),[6]skilldef!$A:$B,2,FALSE),"-")</f>
        <v>- / -</v>
      </c>
      <c r="M99" s="62" t="str">
        <f t="shared" si="267"/>
        <v>[effect:damage_abnormal, target:unit_one, val:1.5, status:virus, turn:2, val_abnormal:0.2, animation:enemy_virus]</v>
      </c>
      <c r="N99" s="48" t="str">
        <f>IFERROR(LEFT(M99,FIND("],",M99)+#REF!),M99)</f>
        <v>[effect:damage_abnormal, target:unit_one, val:1.5, status:virus, turn:2, val_abnormal:0.2, animation:enemy_virus]</v>
      </c>
      <c r="O99" s="62">
        <f t="shared" si="268"/>
        <v>9</v>
      </c>
      <c r="P99" s="62">
        <f t="shared" si="269"/>
        <v>24</v>
      </c>
      <c r="Q99" s="62">
        <f t="shared" si="270"/>
        <v>33</v>
      </c>
      <c r="R99" s="62">
        <f t="shared" si="271"/>
        <v>41</v>
      </c>
      <c r="S99" s="62" t="str">
        <f>IFERROR(VLOOKUP(MID(N99,Q99,R99-Q99),[6]skilldef!$C:$D,2,FALSE),"-") &amp; " / " &amp; IFERROR(VLOOKUP(MID(N99,O99,P99-O99),[6]skilldef!$A:$B,2,FALSE),"-")</f>
        <v>味方単体に / -</v>
      </c>
      <c r="T99" s="48" t="str">
        <f t="shared" si="272"/>
        <v>none</v>
      </c>
      <c r="U99" s="62" t="e">
        <f t="shared" si="273"/>
        <v>#VALUE!</v>
      </c>
      <c r="V99" s="62">
        <f t="shared" si="274"/>
        <v>4</v>
      </c>
      <c r="W99" s="62" t="e">
        <f t="shared" si="275"/>
        <v>#VALUE!</v>
      </c>
      <c r="X99" s="62" t="e">
        <f t="shared" si="276"/>
        <v>#VALUE!</v>
      </c>
      <c r="Y99" s="62" t="str">
        <f>IFERROR(VLOOKUP(MID(T99,W99,X99-W99),[6]skilldef!$C:$D,2,FALSE),"-") &amp; " / " &amp; IFERROR(VLOOKUP(MID(T99,U99,V99-U99),[6]skilldef!$A:$B,2,FALSE),"-")</f>
        <v>- / -</v>
      </c>
      <c r="Z99" s="50"/>
      <c r="AA99" s="51"/>
      <c r="AB99" s="50"/>
      <c r="AC99" s="120" t="s">
        <v>344</v>
      </c>
      <c r="AD99" s="111" t="s">
        <v>288</v>
      </c>
      <c r="AE99" s="47"/>
    </row>
    <row r="100" spans="1:31" ht="21" customHeight="1" thickBot="1" x14ac:dyDescent="0.2">
      <c r="A100" s="246">
        <v>39013563</v>
      </c>
      <c r="B100" s="180" t="str">
        <f t="shared" si="261"/>
        <v>[effect:enemy_message, val1:1.2, val2:2.0],[effect:damage_abnormal, target:unit_one, val:1.6, status:virus, turn:2, val_abnormal:0.2, animation:enemy_virus]</v>
      </c>
      <c r="C100" s="241">
        <v>1</v>
      </c>
      <c r="D100" s="241" t="s">
        <v>127</v>
      </c>
      <c r="E100" s="242" t="s">
        <v>414</v>
      </c>
      <c r="F100" s="111" t="s">
        <v>457</v>
      </c>
      <c r="G100" s="183" t="str">
        <f t="shared" si="262"/>
        <v>[effect:enemy_message, val1:1.2, val2:2.0]</v>
      </c>
      <c r="H100" s="183">
        <f t="shared" si="263"/>
        <v>9</v>
      </c>
      <c r="I100" s="183">
        <f t="shared" si="264"/>
        <v>22</v>
      </c>
      <c r="J100" s="183" t="e">
        <f t="shared" si="265"/>
        <v>#VALUE!</v>
      </c>
      <c r="K100" s="183">
        <f t="shared" si="266"/>
        <v>32</v>
      </c>
      <c r="L100" s="183" t="str">
        <f>IFERROR(VLOOKUP(MID(G100,J100,K100-J100),[6]skilldef!$C:$D,2,FALSE),"-") &amp; " / " &amp; IFERROR(VLOOKUP(MID(G100,H100,I100-H100),[6]skilldef!$A:$B,2,FALSE),"-")</f>
        <v>- / -</v>
      </c>
      <c r="M100" s="183" t="str">
        <f t="shared" si="267"/>
        <v>[effect:damage_abnormal, target:unit_one, val:1.6, status:virus, turn:2, val_abnormal:0.2, animation:enemy_virus]</v>
      </c>
      <c r="N100" s="184" t="str">
        <f>IFERROR(LEFT(M100,FIND("],",M100)+S101),M100)</f>
        <v>[effect:damage_abnormal, target:unit_one, val:1.6, status:virus, turn:2, val_abnormal:0.2, animation:enemy_virus]</v>
      </c>
      <c r="O100" s="183">
        <f t="shared" si="268"/>
        <v>9</v>
      </c>
      <c r="P100" s="183">
        <f t="shared" si="269"/>
        <v>24</v>
      </c>
      <c r="Q100" s="183">
        <f t="shared" si="270"/>
        <v>33</v>
      </c>
      <c r="R100" s="183">
        <f t="shared" si="271"/>
        <v>41</v>
      </c>
      <c r="S100" s="183" t="str">
        <f>IFERROR(VLOOKUP(MID(N100,Q100,R100-Q100),[6]skilldef!$C:$D,2,FALSE),"-") &amp; " / " &amp; IFERROR(VLOOKUP(MID(N100,O100,P100-O100),[6]skilldef!$A:$B,2,FALSE),"-")</f>
        <v>味方単体に / -</v>
      </c>
      <c r="T100" s="184" t="str">
        <f t="shared" si="272"/>
        <v>none</v>
      </c>
      <c r="U100" s="183" t="e">
        <f t="shared" si="273"/>
        <v>#VALUE!</v>
      </c>
      <c r="V100" s="183">
        <f t="shared" si="274"/>
        <v>4</v>
      </c>
      <c r="W100" s="183" t="e">
        <f t="shared" si="275"/>
        <v>#VALUE!</v>
      </c>
      <c r="X100" s="183" t="e">
        <f t="shared" si="276"/>
        <v>#VALUE!</v>
      </c>
      <c r="Y100" s="183" t="str">
        <f>IFERROR(VLOOKUP(MID(T100,W100,X100-W100),[6]skilldef!$C:$D,2,FALSE),"-") &amp; " / " &amp; IFERROR(VLOOKUP(MID(T100,U100,V100-U100),[6]skilldef!$A:$B,2,FALSE),"-")</f>
        <v>- / -</v>
      </c>
      <c r="Z100" s="185"/>
      <c r="AA100" s="186"/>
      <c r="AB100" s="185"/>
      <c r="AC100" s="243" t="s">
        <v>350</v>
      </c>
      <c r="AD100" s="242" t="s">
        <v>289</v>
      </c>
      <c r="AE100" s="15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P159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10" width="13.83203125" style="49" customWidth="1"/>
    <col min="11" max="11" width="22.83203125" style="39" bestFit="1" customWidth="1"/>
    <col min="12" max="13" width="25.1640625" style="45" customWidth="1"/>
    <col min="14" max="14" width="12.83203125" style="45"/>
    <col min="15" max="15" width="20.83203125" style="45" customWidth="1"/>
    <col min="16" max="16" width="17.83203125" style="45" customWidth="1"/>
    <col min="17" max="16384" width="12.83203125" style="45"/>
  </cols>
  <sheetData>
    <row r="1" spans="1:16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6" ht="21" customHeight="1" x14ac:dyDescent="0.15">
      <c r="A2" s="102">
        <v>39013110</v>
      </c>
      <c r="B2" s="47">
        <v>1</v>
      </c>
      <c r="C2" s="47">
        <v>600</v>
      </c>
      <c r="D2" s="47">
        <v>100</v>
      </c>
      <c r="E2" s="47" t="s">
        <v>253</v>
      </c>
      <c r="F2" s="47" t="s">
        <v>89</v>
      </c>
      <c r="G2" s="47">
        <v>1</v>
      </c>
      <c r="H2" s="47">
        <v>1</v>
      </c>
      <c r="I2" s="47" t="s">
        <v>89</v>
      </c>
      <c r="J2" s="48">
        <f t="shared" ref="J2" si="0">D2</f>
        <v>100</v>
      </c>
      <c r="L2" s="103" t="s">
        <v>310</v>
      </c>
      <c r="M2" s="103" t="s">
        <v>310</v>
      </c>
      <c r="O2" s="234"/>
    </row>
    <row r="3" spans="1:16" ht="21" customHeight="1" x14ac:dyDescent="0.15">
      <c r="A3" s="102">
        <v>39013111</v>
      </c>
      <c r="B3" s="47">
        <v>0</v>
      </c>
      <c r="C3" s="47">
        <v>500</v>
      </c>
      <c r="D3" s="47">
        <v>100</v>
      </c>
      <c r="E3" s="47" t="s">
        <v>253</v>
      </c>
      <c r="F3" s="47" t="s">
        <v>89</v>
      </c>
      <c r="G3" s="47" t="s">
        <v>253</v>
      </c>
      <c r="H3" s="47">
        <v>3</v>
      </c>
      <c r="I3" s="47" t="s">
        <v>89</v>
      </c>
      <c r="J3" s="48">
        <f t="shared" ref="J3:J4" si="1">D3</f>
        <v>100</v>
      </c>
      <c r="L3" s="103" t="s">
        <v>254</v>
      </c>
      <c r="M3" s="103" t="s">
        <v>295</v>
      </c>
    </row>
    <row r="4" spans="1:16" ht="21" customHeight="1" x14ac:dyDescent="0.15">
      <c r="A4" s="102">
        <v>39013120</v>
      </c>
      <c r="B4" s="47">
        <v>1</v>
      </c>
      <c r="C4" s="47">
        <v>600</v>
      </c>
      <c r="D4" s="47">
        <v>100</v>
      </c>
      <c r="E4" s="47" t="s">
        <v>253</v>
      </c>
      <c r="F4" s="47" t="s">
        <v>89</v>
      </c>
      <c r="G4" s="47">
        <v>1</v>
      </c>
      <c r="H4" s="47">
        <v>1</v>
      </c>
      <c r="I4" s="47" t="s">
        <v>89</v>
      </c>
      <c r="J4" s="48">
        <f t="shared" si="1"/>
        <v>100</v>
      </c>
      <c r="L4" s="103" t="s">
        <v>310</v>
      </c>
      <c r="M4" s="103" t="s">
        <v>310</v>
      </c>
      <c r="O4" s="234"/>
      <c r="P4" s="45">
        <v>1551</v>
      </c>
    </row>
    <row r="5" spans="1:16" ht="21" customHeight="1" x14ac:dyDescent="0.15">
      <c r="A5" s="102">
        <v>39013121</v>
      </c>
      <c r="B5" s="47">
        <v>0</v>
      </c>
      <c r="C5" s="47">
        <v>500</v>
      </c>
      <c r="D5" s="47">
        <v>100</v>
      </c>
      <c r="E5" s="47" t="s">
        <v>253</v>
      </c>
      <c r="F5" s="47" t="s">
        <v>89</v>
      </c>
      <c r="G5" s="47" t="s">
        <v>253</v>
      </c>
      <c r="H5" s="47">
        <v>2</v>
      </c>
      <c r="I5" s="47" t="s">
        <v>89</v>
      </c>
      <c r="J5" s="48">
        <f t="shared" ref="J5:J48" si="2">D5</f>
        <v>100</v>
      </c>
      <c r="L5" s="103" t="s">
        <v>255</v>
      </c>
      <c r="M5" s="103" t="s">
        <v>255</v>
      </c>
      <c r="P5" s="45">
        <v>1553</v>
      </c>
    </row>
    <row r="6" spans="1:16" ht="21" customHeight="1" x14ac:dyDescent="0.15">
      <c r="A6" s="102">
        <v>39013130</v>
      </c>
      <c r="B6" s="47">
        <v>1</v>
      </c>
      <c r="C6" s="47">
        <v>600</v>
      </c>
      <c r="D6" s="47">
        <v>100</v>
      </c>
      <c r="E6" s="47" t="s">
        <v>253</v>
      </c>
      <c r="F6" s="47" t="s">
        <v>89</v>
      </c>
      <c r="G6" s="47">
        <v>1</v>
      </c>
      <c r="H6" s="47">
        <v>1</v>
      </c>
      <c r="I6" s="47" t="s">
        <v>89</v>
      </c>
      <c r="J6" s="48">
        <f t="shared" ref="J6" si="3">D6</f>
        <v>100</v>
      </c>
      <c r="L6" s="103" t="s">
        <v>310</v>
      </c>
      <c r="M6" s="103" t="s">
        <v>310</v>
      </c>
      <c r="P6" s="45">
        <v>1555</v>
      </c>
    </row>
    <row r="7" spans="1:16" ht="21" customHeight="1" x14ac:dyDescent="0.15">
      <c r="A7" s="102">
        <v>39013131</v>
      </c>
      <c r="B7" s="47">
        <v>0</v>
      </c>
      <c r="C7" s="47">
        <v>500</v>
      </c>
      <c r="D7" s="47">
        <v>100</v>
      </c>
      <c r="E7" s="47" t="s">
        <v>253</v>
      </c>
      <c r="F7" s="47" t="s">
        <v>89</v>
      </c>
      <c r="G7" s="47" t="s">
        <v>253</v>
      </c>
      <c r="H7" s="47">
        <v>2</v>
      </c>
      <c r="I7" s="47" t="s">
        <v>89</v>
      </c>
      <c r="J7" s="48">
        <f t="shared" si="2"/>
        <v>100</v>
      </c>
      <c r="L7" s="103" t="s">
        <v>256</v>
      </c>
      <c r="M7" s="103" t="s">
        <v>256</v>
      </c>
      <c r="P7" s="45">
        <v>1556</v>
      </c>
    </row>
    <row r="8" spans="1:16" ht="21" customHeight="1" x14ac:dyDescent="0.15">
      <c r="A8" s="102">
        <v>39013140</v>
      </c>
      <c r="B8" s="47">
        <v>1</v>
      </c>
      <c r="C8" s="47">
        <v>600</v>
      </c>
      <c r="D8" s="47">
        <v>100</v>
      </c>
      <c r="E8" s="47" t="s">
        <v>253</v>
      </c>
      <c r="F8" s="47" t="s">
        <v>89</v>
      </c>
      <c r="G8" s="47">
        <v>1</v>
      </c>
      <c r="H8" s="47">
        <v>1</v>
      </c>
      <c r="I8" s="47" t="s">
        <v>89</v>
      </c>
      <c r="J8" s="48">
        <f t="shared" ref="J8" si="4">D8</f>
        <v>100</v>
      </c>
      <c r="L8" s="103" t="s">
        <v>310</v>
      </c>
      <c r="M8" s="103" t="s">
        <v>310</v>
      </c>
      <c r="P8" s="45">
        <v>1558</v>
      </c>
    </row>
    <row r="9" spans="1:16" ht="21" customHeight="1" x14ac:dyDescent="0.15">
      <c r="A9" s="102">
        <v>39013141</v>
      </c>
      <c r="B9" s="47">
        <v>0</v>
      </c>
      <c r="C9" s="47">
        <v>500</v>
      </c>
      <c r="D9" s="47">
        <v>100</v>
      </c>
      <c r="E9" s="47" t="s">
        <v>253</v>
      </c>
      <c r="F9" s="47" t="s">
        <v>89</v>
      </c>
      <c r="G9" s="47" t="s">
        <v>253</v>
      </c>
      <c r="H9" s="47">
        <v>2</v>
      </c>
      <c r="I9" s="47" t="s">
        <v>89</v>
      </c>
      <c r="J9" s="48">
        <f t="shared" si="2"/>
        <v>100</v>
      </c>
      <c r="L9" s="103" t="s">
        <v>257</v>
      </c>
      <c r="M9" s="103" t="s">
        <v>257</v>
      </c>
      <c r="P9" s="45">
        <v>1560</v>
      </c>
    </row>
    <row r="10" spans="1:16" ht="21" customHeight="1" x14ac:dyDescent="0.15">
      <c r="A10" s="102">
        <v>39013142</v>
      </c>
      <c r="B10" s="47">
        <v>0</v>
      </c>
      <c r="C10" s="47">
        <v>510</v>
      </c>
      <c r="D10" s="47">
        <v>100</v>
      </c>
      <c r="E10" s="47" t="s">
        <v>253</v>
      </c>
      <c r="F10" s="47" t="s">
        <v>89</v>
      </c>
      <c r="G10" s="47" t="s">
        <v>253</v>
      </c>
      <c r="H10" s="47">
        <v>3</v>
      </c>
      <c r="I10" s="47" t="s">
        <v>89</v>
      </c>
      <c r="J10" s="48">
        <f t="shared" si="2"/>
        <v>100</v>
      </c>
      <c r="L10" s="103" t="s">
        <v>258</v>
      </c>
      <c r="M10" s="103" t="s">
        <v>258</v>
      </c>
      <c r="P10" s="45">
        <v>1561</v>
      </c>
    </row>
    <row r="11" spans="1:16" ht="21" customHeight="1" x14ac:dyDescent="0.15">
      <c r="A11" s="105">
        <v>39013211</v>
      </c>
      <c r="B11" s="47">
        <v>1</v>
      </c>
      <c r="C11" s="47">
        <v>600</v>
      </c>
      <c r="D11" s="47">
        <v>100</v>
      </c>
      <c r="E11" s="47" t="s">
        <v>253</v>
      </c>
      <c r="F11" s="47" t="s">
        <v>89</v>
      </c>
      <c r="G11" s="47">
        <v>1</v>
      </c>
      <c r="H11" s="47">
        <v>1</v>
      </c>
      <c r="I11" s="47" t="s">
        <v>169</v>
      </c>
      <c r="J11" s="48">
        <f t="shared" si="2"/>
        <v>100</v>
      </c>
      <c r="L11" s="107" t="s">
        <v>259</v>
      </c>
      <c r="M11" s="107" t="s">
        <v>259</v>
      </c>
      <c r="P11" s="45">
        <v>1563</v>
      </c>
    </row>
    <row r="12" spans="1:16" ht="21" customHeight="1" x14ac:dyDescent="0.15">
      <c r="A12" s="164">
        <v>39013600</v>
      </c>
      <c r="B12" s="47">
        <v>1</v>
      </c>
      <c r="C12" s="47">
        <v>810</v>
      </c>
      <c r="D12" s="47">
        <v>100</v>
      </c>
      <c r="E12" s="47" t="s">
        <v>89</v>
      </c>
      <c r="F12" s="47" t="s">
        <v>89</v>
      </c>
      <c r="G12" s="47">
        <v>1</v>
      </c>
      <c r="H12" s="47">
        <v>1</v>
      </c>
      <c r="I12" s="47">
        <v>1552</v>
      </c>
      <c r="J12" s="48">
        <f t="shared" ref="J12:J21" si="5">D12</f>
        <v>100</v>
      </c>
      <c r="L12" s="166" t="s">
        <v>259</v>
      </c>
      <c r="M12" s="166" t="s">
        <v>427</v>
      </c>
      <c r="P12" s="45">
        <v>1565</v>
      </c>
    </row>
    <row r="13" spans="1:16" ht="21" customHeight="1" x14ac:dyDescent="0.15">
      <c r="A13" s="164">
        <v>39013601</v>
      </c>
      <c r="B13" s="47">
        <v>1</v>
      </c>
      <c r="C13" s="47">
        <v>809</v>
      </c>
      <c r="D13" s="47">
        <v>100</v>
      </c>
      <c r="E13" s="47" t="s">
        <v>89</v>
      </c>
      <c r="F13" s="47" t="s">
        <v>89</v>
      </c>
      <c r="G13" s="47">
        <v>1</v>
      </c>
      <c r="H13" s="47">
        <v>1</v>
      </c>
      <c r="I13" s="47">
        <v>1551</v>
      </c>
      <c r="J13" s="48">
        <f t="shared" si="5"/>
        <v>100</v>
      </c>
      <c r="L13" s="166" t="s">
        <v>259</v>
      </c>
      <c r="M13" s="166" t="s">
        <v>428</v>
      </c>
      <c r="P13" s="45">
        <v>1566</v>
      </c>
    </row>
    <row r="14" spans="1:16" ht="21" customHeight="1" x14ac:dyDescent="0.15">
      <c r="A14" s="164">
        <v>39013602</v>
      </c>
      <c r="B14" s="47">
        <v>1</v>
      </c>
      <c r="C14" s="47">
        <v>808</v>
      </c>
      <c r="D14" s="47">
        <v>100</v>
      </c>
      <c r="E14" s="47" t="s">
        <v>89</v>
      </c>
      <c r="F14" s="47" t="s">
        <v>89</v>
      </c>
      <c r="G14" s="47">
        <v>1</v>
      </c>
      <c r="H14" s="47">
        <v>1</v>
      </c>
      <c r="I14" s="47">
        <v>1567</v>
      </c>
      <c r="J14" s="48">
        <f t="shared" si="5"/>
        <v>100</v>
      </c>
      <c r="L14" s="166" t="s">
        <v>259</v>
      </c>
      <c r="M14" s="166" t="s">
        <v>429</v>
      </c>
      <c r="P14" s="45">
        <v>1568</v>
      </c>
    </row>
    <row r="15" spans="1:16" ht="21" customHeight="1" x14ac:dyDescent="0.15">
      <c r="A15" s="164">
        <v>39013603</v>
      </c>
      <c r="B15" s="47">
        <v>1</v>
      </c>
      <c r="C15" s="47">
        <v>807</v>
      </c>
      <c r="D15" s="47">
        <v>100</v>
      </c>
      <c r="E15" s="47" t="s">
        <v>89</v>
      </c>
      <c r="F15" s="47" t="s">
        <v>89</v>
      </c>
      <c r="G15" s="47">
        <v>1</v>
      </c>
      <c r="H15" s="47">
        <v>1</v>
      </c>
      <c r="I15" s="47">
        <v>1566</v>
      </c>
      <c r="J15" s="48">
        <f t="shared" si="5"/>
        <v>100</v>
      </c>
      <c r="L15" s="166" t="s">
        <v>259</v>
      </c>
      <c r="M15" s="166" t="s">
        <v>430</v>
      </c>
      <c r="P15" s="45">
        <v>1570</v>
      </c>
    </row>
    <row r="16" spans="1:16" ht="21" customHeight="1" x14ac:dyDescent="0.15">
      <c r="A16" s="164">
        <v>39013604</v>
      </c>
      <c r="B16" s="47">
        <v>1</v>
      </c>
      <c r="C16" s="47">
        <v>806</v>
      </c>
      <c r="D16" s="47">
        <v>100</v>
      </c>
      <c r="E16" s="47" t="s">
        <v>89</v>
      </c>
      <c r="F16" s="47" t="s">
        <v>89</v>
      </c>
      <c r="G16" s="47">
        <v>1</v>
      </c>
      <c r="H16" s="47">
        <v>1</v>
      </c>
      <c r="I16" s="47">
        <v>1562</v>
      </c>
      <c r="J16" s="48">
        <f t="shared" si="5"/>
        <v>100</v>
      </c>
      <c r="L16" s="166" t="s">
        <v>259</v>
      </c>
      <c r="M16" s="166" t="s">
        <v>431</v>
      </c>
      <c r="P16" s="45">
        <v>1571</v>
      </c>
    </row>
    <row r="17" spans="1:16" ht="21" customHeight="1" x14ac:dyDescent="0.15">
      <c r="A17" s="164">
        <v>39013605</v>
      </c>
      <c r="B17" s="47">
        <v>1</v>
      </c>
      <c r="C17" s="47">
        <v>805</v>
      </c>
      <c r="D17" s="47">
        <v>100</v>
      </c>
      <c r="E17" s="47" t="s">
        <v>89</v>
      </c>
      <c r="F17" s="47" t="s">
        <v>89</v>
      </c>
      <c r="G17" s="47">
        <v>1</v>
      </c>
      <c r="H17" s="47">
        <v>1</v>
      </c>
      <c r="I17" s="47">
        <v>1561</v>
      </c>
      <c r="J17" s="48">
        <f t="shared" si="5"/>
        <v>100</v>
      </c>
      <c r="L17" s="166" t="s">
        <v>259</v>
      </c>
      <c r="M17" s="166" t="s">
        <v>432</v>
      </c>
      <c r="P17" s="45">
        <v>1573</v>
      </c>
    </row>
    <row r="18" spans="1:16" ht="21" customHeight="1" x14ac:dyDescent="0.15">
      <c r="A18" s="164">
        <v>39013606</v>
      </c>
      <c r="B18" s="47">
        <v>1</v>
      </c>
      <c r="C18" s="47">
        <v>804</v>
      </c>
      <c r="D18" s="47">
        <v>100</v>
      </c>
      <c r="E18" s="47" t="s">
        <v>89</v>
      </c>
      <c r="F18" s="47" t="s">
        <v>89</v>
      </c>
      <c r="G18" s="47">
        <v>1</v>
      </c>
      <c r="H18" s="47">
        <v>1</v>
      </c>
      <c r="I18" s="47">
        <v>1588</v>
      </c>
      <c r="J18" s="48">
        <f t="shared" ref="J18:J19" si="6">D18</f>
        <v>100</v>
      </c>
      <c r="L18" s="166" t="s">
        <v>259</v>
      </c>
      <c r="M18" s="166" t="s">
        <v>433</v>
      </c>
      <c r="P18" s="45">
        <v>1574</v>
      </c>
    </row>
    <row r="19" spans="1:16" ht="21" customHeight="1" x14ac:dyDescent="0.15">
      <c r="A19" s="164">
        <v>39013607</v>
      </c>
      <c r="B19" s="47">
        <v>1</v>
      </c>
      <c r="C19" s="47">
        <v>803</v>
      </c>
      <c r="D19" s="47">
        <v>100</v>
      </c>
      <c r="E19" s="47" t="s">
        <v>89</v>
      </c>
      <c r="F19" s="47" t="s">
        <v>89</v>
      </c>
      <c r="G19" s="47">
        <v>1</v>
      </c>
      <c r="H19" s="47">
        <v>1</v>
      </c>
      <c r="I19" s="47">
        <v>1587</v>
      </c>
      <c r="J19" s="48">
        <f t="shared" si="6"/>
        <v>100</v>
      </c>
      <c r="L19" s="166" t="s">
        <v>259</v>
      </c>
      <c r="M19" s="166" t="s">
        <v>434</v>
      </c>
      <c r="P19" s="45">
        <v>1575</v>
      </c>
    </row>
    <row r="20" spans="1:16" ht="21" customHeight="1" x14ac:dyDescent="0.15">
      <c r="A20" s="164">
        <v>39013608</v>
      </c>
      <c r="B20" s="47">
        <v>1</v>
      </c>
      <c r="C20" s="47">
        <v>802</v>
      </c>
      <c r="D20" s="47">
        <v>100</v>
      </c>
      <c r="E20" s="47" t="s">
        <v>89</v>
      </c>
      <c r="F20" s="47" t="s">
        <v>89</v>
      </c>
      <c r="G20" s="47">
        <v>1</v>
      </c>
      <c r="H20" s="47">
        <v>1</v>
      </c>
      <c r="I20" s="47">
        <v>1580</v>
      </c>
      <c r="J20" s="48">
        <f t="shared" si="5"/>
        <v>100</v>
      </c>
      <c r="L20" s="166" t="s">
        <v>259</v>
      </c>
      <c r="M20" s="166" t="s">
        <v>435</v>
      </c>
      <c r="P20" s="45">
        <v>1577</v>
      </c>
    </row>
    <row r="21" spans="1:16" ht="21" customHeight="1" x14ac:dyDescent="0.15">
      <c r="A21" s="164">
        <v>39013609</v>
      </c>
      <c r="B21" s="47">
        <v>1</v>
      </c>
      <c r="C21" s="47">
        <v>801</v>
      </c>
      <c r="D21" s="47">
        <v>100</v>
      </c>
      <c r="E21" s="47" t="s">
        <v>89</v>
      </c>
      <c r="F21" s="47" t="s">
        <v>89</v>
      </c>
      <c r="G21" s="47">
        <v>1</v>
      </c>
      <c r="H21" s="47">
        <v>1</v>
      </c>
      <c r="I21" s="47">
        <v>1579</v>
      </c>
      <c r="J21" s="48">
        <f t="shared" si="5"/>
        <v>100</v>
      </c>
      <c r="L21" s="166" t="s">
        <v>259</v>
      </c>
      <c r="M21" s="166" t="s">
        <v>436</v>
      </c>
      <c r="P21" s="45">
        <v>1578</v>
      </c>
    </row>
    <row r="22" spans="1:16" ht="21" customHeight="1" x14ac:dyDescent="0.15">
      <c r="A22" s="105">
        <v>39013212</v>
      </c>
      <c r="B22" s="47">
        <v>0</v>
      </c>
      <c r="C22" s="47">
        <v>555</v>
      </c>
      <c r="D22" s="47">
        <v>100</v>
      </c>
      <c r="E22" s="47" t="s">
        <v>253</v>
      </c>
      <c r="F22" s="47" t="s">
        <v>89</v>
      </c>
      <c r="G22" s="47">
        <v>1</v>
      </c>
      <c r="H22" s="47">
        <v>1</v>
      </c>
      <c r="I22" s="47" t="s">
        <v>89</v>
      </c>
      <c r="J22" s="48">
        <f t="shared" si="2"/>
        <v>100</v>
      </c>
      <c r="L22" s="107" t="s">
        <v>260</v>
      </c>
      <c r="M22" s="107" t="s">
        <v>297</v>
      </c>
      <c r="P22" s="45">
        <v>1579</v>
      </c>
    </row>
    <row r="23" spans="1:16" ht="21" customHeight="1" x14ac:dyDescent="0.15">
      <c r="A23" s="105">
        <v>39013213</v>
      </c>
      <c r="B23" s="47">
        <v>0</v>
      </c>
      <c r="C23" s="47">
        <v>520</v>
      </c>
      <c r="D23" s="47">
        <v>100</v>
      </c>
      <c r="E23" s="47" t="s">
        <v>253</v>
      </c>
      <c r="F23" s="47" t="s">
        <v>89</v>
      </c>
      <c r="G23" s="47" t="s">
        <v>253</v>
      </c>
      <c r="H23" s="47">
        <v>3</v>
      </c>
      <c r="I23" s="47" t="s">
        <v>89</v>
      </c>
      <c r="J23" s="48">
        <f t="shared" si="2"/>
        <v>100</v>
      </c>
      <c r="L23" s="107" t="s">
        <v>261</v>
      </c>
      <c r="M23" s="107" t="s">
        <v>291</v>
      </c>
      <c r="P23" s="45">
        <v>1581</v>
      </c>
    </row>
    <row r="24" spans="1:16" ht="21" customHeight="1" x14ac:dyDescent="0.15">
      <c r="A24" s="105">
        <v>39013214</v>
      </c>
      <c r="B24" s="47">
        <v>0</v>
      </c>
      <c r="C24" s="47">
        <v>510</v>
      </c>
      <c r="D24" s="47">
        <v>20</v>
      </c>
      <c r="E24" s="47" t="s">
        <v>253</v>
      </c>
      <c r="F24" s="47" t="s">
        <v>89</v>
      </c>
      <c r="G24" s="47" t="s">
        <v>253</v>
      </c>
      <c r="H24" s="47">
        <v>1</v>
      </c>
      <c r="I24" s="47" t="s">
        <v>89</v>
      </c>
      <c r="J24" s="48">
        <f t="shared" si="2"/>
        <v>20</v>
      </c>
      <c r="L24" s="107" t="s">
        <v>262</v>
      </c>
      <c r="M24" s="107" t="s">
        <v>292</v>
      </c>
      <c r="P24" s="45">
        <v>1584</v>
      </c>
    </row>
    <row r="25" spans="1:16" ht="21" customHeight="1" x14ac:dyDescent="0.15">
      <c r="A25" s="105">
        <v>39013215</v>
      </c>
      <c r="B25" s="47">
        <v>0</v>
      </c>
      <c r="C25" s="47">
        <v>200</v>
      </c>
      <c r="D25" s="47">
        <v>100</v>
      </c>
      <c r="E25" s="47" t="s">
        <v>253</v>
      </c>
      <c r="F25" s="47" t="s">
        <v>89</v>
      </c>
      <c r="G25" s="47" t="s">
        <v>253</v>
      </c>
      <c r="H25" s="47">
        <v>1</v>
      </c>
      <c r="I25" s="47" t="s">
        <v>89</v>
      </c>
      <c r="J25" s="48">
        <f t="shared" si="2"/>
        <v>100</v>
      </c>
      <c r="L25" s="107" t="s">
        <v>263</v>
      </c>
      <c r="M25" s="107" t="s">
        <v>263</v>
      </c>
      <c r="P25" s="45">
        <v>1587</v>
      </c>
    </row>
    <row r="26" spans="1:16" ht="21" customHeight="1" x14ac:dyDescent="0.15">
      <c r="A26" s="105">
        <v>39013216</v>
      </c>
      <c r="B26" s="47">
        <v>0</v>
      </c>
      <c r="C26" s="47">
        <v>900</v>
      </c>
      <c r="D26" s="47">
        <v>100</v>
      </c>
      <c r="E26" s="47" t="s">
        <v>253</v>
      </c>
      <c r="F26" s="47" t="s">
        <v>89</v>
      </c>
      <c r="G26" s="47">
        <v>0</v>
      </c>
      <c r="H26" s="47">
        <v>1</v>
      </c>
      <c r="I26" s="47">
        <v>0</v>
      </c>
      <c r="J26" s="48">
        <f t="shared" ref="J26" si="7">D26</f>
        <v>100</v>
      </c>
      <c r="L26" s="107" t="s">
        <v>346</v>
      </c>
      <c r="M26" s="107"/>
    </row>
    <row r="27" spans="1:16" ht="21" customHeight="1" x14ac:dyDescent="0.15">
      <c r="A27" s="109">
        <v>39013221</v>
      </c>
      <c r="B27" s="47">
        <v>0</v>
      </c>
      <c r="C27" s="47">
        <v>400</v>
      </c>
      <c r="D27" s="47">
        <v>100</v>
      </c>
      <c r="E27" s="47" t="s">
        <v>53</v>
      </c>
      <c r="F27" s="47">
        <v>81</v>
      </c>
      <c r="G27" s="47" t="s">
        <v>253</v>
      </c>
      <c r="H27" s="47">
        <v>2</v>
      </c>
      <c r="I27" s="47" t="s">
        <v>53</v>
      </c>
      <c r="J27" s="48">
        <f t="shared" ref="J27" si="8">D27</f>
        <v>100</v>
      </c>
      <c r="L27" s="111" t="s">
        <v>264</v>
      </c>
      <c r="M27" s="111" t="s">
        <v>285</v>
      </c>
    </row>
    <row r="28" spans="1:16" ht="21" customHeight="1" x14ac:dyDescent="0.15">
      <c r="A28" s="109">
        <v>39013222</v>
      </c>
      <c r="B28" s="47">
        <v>0</v>
      </c>
      <c r="C28" s="47">
        <v>401</v>
      </c>
      <c r="D28" s="47">
        <v>100</v>
      </c>
      <c r="E28" s="47">
        <v>80</v>
      </c>
      <c r="F28" s="47">
        <v>61</v>
      </c>
      <c r="G28" s="47" t="s">
        <v>253</v>
      </c>
      <c r="H28" s="47">
        <v>2</v>
      </c>
      <c r="I28" s="47" t="s">
        <v>89</v>
      </c>
      <c r="J28" s="48">
        <f t="shared" si="2"/>
        <v>100</v>
      </c>
      <c r="L28" s="111" t="s">
        <v>264</v>
      </c>
      <c r="M28" s="111" t="s">
        <v>265</v>
      </c>
    </row>
    <row r="29" spans="1:16" ht="21" customHeight="1" x14ac:dyDescent="0.15">
      <c r="A29" s="109">
        <v>39013223</v>
      </c>
      <c r="B29" s="47">
        <v>0</v>
      </c>
      <c r="C29" s="47">
        <v>402</v>
      </c>
      <c r="D29" s="47">
        <v>100</v>
      </c>
      <c r="E29" s="47">
        <v>60</v>
      </c>
      <c r="F29" s="47">
        <v>41</v>
      </c>
      <c r="G29" s="47" t="s">
        <v>253</v>
      </c>
      <c r="H29" s="47">
        <v>2</v>
      </c>
      <c r="I29" s="47" t="s">
        <v>89</v>
      </c>
      <c r="J29" s="48">
        <f t="shared" si="2"/>
        <v>100</v>
      </c>
      <c r="L29" s="111" t="s">
        <v>264</v>
      </c>
      <c r="M29" s="111" t="s">
        <v>287</v>
      </c>
    </row>
    <row r="30" spans="1:16" ht="21" customHeight="1" x14ac:dyDescent="0.15">
      <c r="A30" s="109">
        <v>39013224</v>
      </c>
      <c r="B30" s="47">
        <v>0</v>
      </c>
      <c r="C30" s="47">
        <v>403</v>
      </c>
      <c r="D30" s="47">
        <v>100</v>
      </c>
      <c r="E30" s="47">
        <v>40</v>
      </c>
      <c r="F30" s="47">
        <v>21</v>
      </c>
      <c r="G30" s="47" t="s">
        <v>253</v>
      </c>
      <c r="H30" s="47">
        <v>2</v>
      </c>
      <c r="I30" s="47" t="s">
        <v>89</v>
      </c>
      <c r="J30" s="48">
        <f t="shared" si="2"/>
        <v>100</v>
      </c>
      <c r="L30" s="111" t="s">
        <v>264</v>
      </c>
      <c r="M30" s="111" t="s">
        <v>288</v>
      </c>
    </row>
    <row r="31" spans="1:16" ht="21" customHeight="1" x14ac:dyDescent="0.15">
      <c r="A31" s="109">
        <v>39013225</v>
      </c>
      <c r="B31" s="47">
        <v>0</v>
      </c>
      <c r="C31" s="47">
        <v>404</v>
      </c>
      <c r="D31" s="47">
        <v>100</v>
      </c>
      <c r="E31" s="47">
        <v>20</v>
      </c>
      <c r="F31" s="47" t="s">
        <v>89</v>
      </c>
      <c r="G31" s="47" t="s">
        <v>253</v>
      </c>
      <c r="H31" s="47">
        <v>2</v>
      </c>
      <c r="I31" s="47" t="s">
        <v>89</v>
      </c>
      <c r="J31" s="48">
        <f t="shared" si="2"/>
        <v>100</v>
      </c>
      <c r="L31" s="111" t="s">
        <v>264</v>
      </c>
      <c r="M31" s="111" t="s">
        <v>289</v>
      </c>
    </row>
    <row r="32" spans="1:16" ht="21" customHeight="1" x14ac:dyDescent="0.15">
      <c r="A32" s="108">
        <v>39013311</v>
      </c>
      <c r="B32" s="47">
        <v>1</v>
      </c>
      <c r="C32" s="47">
        <v>600</v>
      </c>
      <c r="D32" s="47">
        <v>100</v>
      </c>
      <c r="E32" s="47" t="s">
        <v>253</v>
      </c>
      <c r="F32" s="47" t="s">
        <v>89</v>
      </c>
      <c r="G32" s="47">
        <v>1</v>
      </c>
      <c r="H32" s="47">
        <v>1</v>
      </c>
      <c r="I32" s="47" t="s">
        <v>89</v>
      </c>
      <c r="J32" s="48">
        <f t="shared" si="2"/>
        <v>100</v>
      </c>
      <c r="L32" s="113" t="s">
        <v>259</v>
      </c>
      <c r="M32" s="113" t="s">
        <v>259</v>
      </c>
    </row>
    <row r="33" spans="1:13" ht="21" customHeight="1" x14ac:dyDescent="0.15">
      <c r="A33" s="108">
        <v>39013312</v>
      </c>
      <c r="B33" s="47">
        <v>0</v>
      </c>
      <c r="C33" s="47">
        <v>490</v>
      </c>
      <c r="D33" s="47">
        <v>100</v>
      </c>
      <c r="E33" s="47" t="s">
        <v>253</v>
      </c>
      <c r="F33" s="47" t="s">
        <v>89</v>
      </c>
      <c r="G33" s="47">
        <v>1</v>
      </c>
      <c r="H33" s="47">
        <v>1</v>
      </c>
      <c r="I33" s="47" t="s">
        <v>89</v>
      </c>
      <c r="J33" s="48">
        <f t="shared" si="2"/>
        <v>100</v>
      </c>
      <c r="L33" s="113" t="s">
        <v>260</v>
      </c>
      <c r="M33" s="113" t="s">
        <v>260</v>
      </c>
    </row>
    <row r="34" spans="1:13" ht="21" customHeight="1" x14ac:dyDescent="0.15">
      <c r="A34" s="108">
        <v>39013313</v>
      </c>
      <c r="B34" s="47">
        <v>0</v>
      </c>
      <c r="C34" s="47">
        <v>500</v>
      </c>
      <c r="D34" s="47">
        <v>100</v>
      </c>
      <c r="E34" s="47" t="s">
        <v>253</v>
      </c>
      <c r="F34" s="47" t="s">
        <v>89</v>
      </c>
      <c r="G34" s="47" t="s">
        <v>253</v>
      </c>
      <c r="H34" s="47">
        <v>3</v>
      </c>
      <c r="I34" s="47" t="s">
        <v>89</v>
      </c>
      <c r="J34" s="48">
        <f t="shared" si="2"/>
        <v>100</v>
      </c>
      <c r="L34" s="113" t="s">
        <v>261</v>
      </c>
      <c r="M34" s="113" t="s">
        <v>261</v>
      </c>
    </row>
    <row r="35" spans="1:13" ht="21" customHeight="1" x14ac:dyDescent="0.15">
      <c r="A35" s="108">
        <v>39013314</v>
      </c>
      <c r="B35" s="47">
        <v>0</v>
      </c>
      <c r="C35" s="47">
        <v>510</v>
      </c>
      <c r="D35" s="47">
        <v>100</v>
      </c>
      <c r="E35" s="47" t="s">
        <v>253</v>
      </c>
      <c r="F35" s="47" t="s">
        <v>89</v>
      </c>
      <c r="G35" s="47" t="s">
        <v>253</v>
      </c>
      <c r="H35" s="47">
        <v>4</v>
      </c>
      <c r="I35" s="47" t="s">
        <v>89</v>
      </c>
      <c r="J35" s="48">
        <f t="shared" si="2"/>
        <v>100</v>
      </c>
      <c r="L35" s="113" t="s">
        <v>266</v>
      </c>
      <c r="M35" s="113" t="s">
        <v>300</v>
      </c>
    </row>
    <row r="36" spans="1:13" ht="21" customHeight="1" x14ac:dyDescent="0.15">
      <c r="A36" s="108">
        <v>39013315</v>
      </c>
      <c r="B36" s="47">
        <v>0</v>
      </c>
      <c r="C36" s="47">
        <v>520</v>
      </c>
      <c r="D36" s="47">
        <v>10</v>
      </c>
      <c r="E36" s="47" t="s">
        <v>253</v>
      </c>
      <c r="F36" s="47" t="s">
        <v>89</v>
      </c>
      <c r="G36" s="47" t="s">
        <v>253</v>
      </c>
      <c r="H36" s="47">
        <v>1</v>
      </c>
      <c r="I36" s="47" t="s">
        <v>89</v>
      </c>
      <c r="J36" s="48">
        <f t="shared" si="2"/>
        <v>10</v>
      </c>
      <c r="L36" s="113" t="s">
        <v>267</v>
      </c>
      <c r="M36" s="113" t="s">
        <v>302</v>
      </c>
    </row>
    <row r="37" spans="1:13" ht="21" customHeight="1" x14ac:dyDescent="0.15">
      <c r="A37" s="108">
        <v>39013316</v>
      </c>
      <c r="B37" s="47">
        <v>0</v>
      </c>
      <c r="C37" s="47">
        <v>200</v>
      </c>
      <c r="D37" s="47">
        <v>100</v>
      </c>
      <c r="E37" s="47" t="s">
        <v>253</v>
      </c>
      <c r="F37" s="47" t="s">
        <v>89</v>
      </c>
      <c r="G37" s="47" t="s">
        <v>253</v>
      </c>
      <c r="H37" s="47">
        <v>1</v>
      </c>
      <c r="I37" s="47" t="s">
        <v>89</v>
      </c>
      <c r="J37" s="48">
        <f t="shared" si="2"/>
        <v>100</v>
      </c>
      <c r="L37" s="113" t="s">
        <v>263</v>
      </c>
      <c r="M37" s="113" t="s">
        <v>263</v>
      </c>
    </row>
    <row r="38" spans="1:13" ht="21" customHeight="1" x14ac:dyDescent="0.15">
      <c r="A38" s="109">
        <v>39013321</v>
      </c>
      <c r="B38" s="47">
        <v>0</v>
      </c>
      <c r="C38" s="47">
        <v>400</v>
      </c>
      <c r="D38" s="47">
        <v>100</v>
      </c>
      <c r="E38" s="47" t="s">
        <v>53</v>
      </c>
      <c r="F38" s="47">
        <v>81</v>
      </c>
      <c r="G38" s="47" t="s">
        <v>169</v>
      </c>
      <c r="H38" s="47">
        <v>2</v>
      </c>
      <c r="I38" s="47" t="s">
        <v>53</v>
      </c>
      <c r="J38" s="48">
        <f t="shared" ref="J38" si="9">D38</f>
        <v>100</v>
      </c>
      <c r="L38" s="111" t="s">
        <v>264</v>
      </c>
      <c r="M38" s="111" t="s">
        <v>285</v>
      </c>
    </row>
    <row r="39" spans="1:13" ht="21" customHeight="1" x14ac:dyDescent="0.15">
      <c r="A39" s="109">
        <v>39013322</v>
      </c>
      <c r="B39" s="47">
        <v>0</v>
      </c>
      <c r="C39" s="47">
        <v>401</v>
      </c>
      <c r="D39" s="47">
        <v>100</v>
      </c>
      <c r="E39" s="47">
        <v>80</v>
      </c>
      <c r="F39" s="47">
        <v>61</v>
      </c>
      <c r="G39" s="47" t="s">
        <v>169</v>
      </c>
      <c r="H39" s="47">
        <v>2</v>
      </c>
      <c r="I39" s="47" t="s">
        <v>89</v>
      </c>
      <c r="J39" s="48">
        <f t="shared" si="2"/>
        <v>100</v>
      </c>
      <c r="L39" s="111" t="s">
        <v>264</v>
      </c>
      <c r="M39" s="111" t="s">
        <v>265</v>
      </c>
    </row>
    <row r="40" spans="1:13" ht="21" customHeight="1" x14ac:dyDescent="0.15">
      <c r="A40" s="109">
        <v>39013323</v>
      </c>
      <c r="B40" s="47">
        <v>0</v>
      </c>
      <c r="C40" s="47">
        <v>402</v>
      </c>
      <c r="D40" s="47">
        <v>100</v>
      </c>
      <c r="E40" s="47">
        <v>60</v>
      </c>
      <c r="F40" s="47">
        <v>41</v>
      </c>
      <c r="G40" s="47" t="s">
        <v>169</v>
      </c>
      <c r="H40" s="47">
        <v>2</v>
      </c>
      <c r="I40" s="47" t="s">
        <v>89</v>
      </c>
      <c r="J40" s="48">
        <f t="shared" si="2"/>
        <v>100</v>
      </c>
      <c r="L40" s="111" t="s">
        <v>264</v>
      </c>
      <c r="M40" s="111" t="s">
        <v>287</v>
      </c>
    </row>
    <row r="41" spans="1:13" ht="21" customHeight="1" x14ac:dyDescent="0.15">
      <c r="A41" s="109">
        <v>39013324</v>
      </c>
      <c r="B41" s="47">
        <v>0</v>
      </c>
      <c r="C41" s="47">
        <v>403</v>
      </c>
      <c r="D41" s="47">
        <v>100</v>
      </c>
      <c r="E41" s="47">
        <v>40</v>
      </c>
      <c r="F41" s="47">
        <v>21</v>
      </c>
      <c r="G41" s="47" t="s">
        <v>169</v>
      </c>
      <c r="H41" s="47">
        <v>2</v>
      </c>
      <c r="I41" s="47" t="s">
        <v>89</v>
      </c>
      <c r="J41" s="48">
        <f t="shared" si="2"/>
        <v>100</v>
      </c>
      <c r="L41" s="111" t="s">
        <v>264</v>
      </c>
      <c r="M41" s="111" t="s">
        <v>288</v>
      </c>
    </row>
    <row r="42" spans="1:13" ht="21" customHeight="1" x14ac:dyDescent="0.15">
      <c r="A42" s="109">
        <v>39013325</v>
      </c>
      <c r="B42" s="47">
        <v>0</v>
      </c>
      <c r="C42" s="47">
        <v>404</v>
      </c>
      <c r="D42" s="47">
        <v>100</v>
      </c>
      <c r="E42" s="47">
        <v>20</v>
      </c>
      <c r="F42" s="47" t="s">
        <v>89</v>
      </c>
      <c r="G42" s="47" t="s">
        <v>169</v>
      </c>
      <c r="H42" s="47">
        <v>2</v>
      </c>
      <c r="I42" s="47" t="s">
        <v>89</v>
      </c>
      <c r="J42" s="48">
        <f t="shared" si="2"/>
        <v>100</v>
      </c>
      <c r="L42" s="111" t="s">
        <v>264</v>
      </c>
      <c r="M42" s="111" t="s">
        <v>289</v>
      </c>
    </row>
    <row r="43" spans="1:13" ht="21" customHeight="1" x14ac:dyDescent="0.15">
      <c r="A43" s="114">
        <v>39013411</v>
      </c>
      <c r="B43" s="47">
        <v>1</v>
      </c>
      <c r="C43" s="47">
        <v>600</v>
      </c>
      <c r="D43" s="47">
        <v>100</v>
      </c>
      <c r="E43" s="47" t="s">
        <v>253</v>
      </c>
      <c r="F43" s="47" t="s">
        <v>89</v>
      </c>
      <c r="G43" s="47">
        <v>1</v>
      </c>
      <c r="H43" s="47">
        <v>1</v>
      </c>
      <c r="I43" s="47" t="s">
        <v>89</v>
      </c>
      <c r="J43" s="48">
        <f t="shared" si="2"/>
        <v>100</v>
      </c>
      <c r="L43" s="116" t="s">
        <v>259</v>
      </c>
      <c r="M43" s="116" t="s">
        <v>259</v>
      </c>
    </row>
    <row r="44" spans="1:13" ht="21" customHeight="1" x14ac:dyDescent="0.15">
      <c r="A44" s="114">
        <v>39013412</v>
      </c>
      <c r="B44" s="47">
        <v>0</v>
      </c>
      <c r="C44" s="47">
        <v>400</v>
      </c>
      <c r="D44" s="47">
        <v>100</v>
      </c>
      <c r="E44" s="47" t="s">
        <v>253</v>
      </c>
      <c r="F44" s="47" t="s">
        <v>89</v>
      </c>
      <c r="G44" s="47">
        <v>2</v>
      </c>
      <c r="H44" s="47">
        <v>1</v>
      </c>
      <c r="I44" s="47" t="s">
        <v>89</v>
      </c>
      <c r="J44" s="48">
        <f t="shared" si="2"/>
        <v>100</v>
      </c>
      <c r="L44" s="171" t="s">
        <v>271</v>
      </c>
      <c r="M44" s="171" t="s">
        <v>271</v>
      </c>
    </row>
    <row r="45" spans="1:13" ht="21" customHeight="1" x14ac:dyDescent="0.15">
      <c r="A45" s="114">
        <v>39013413</v>
      </c>
      <c r="B45" s="47">
        <v>0</v>
      </c>
      <c r="C45" s="47">
        <v>420</v>
      </c>
      <c r="D45" s="47">
        <v>100</v>
      </c>
      <c r="E45" s="47" t="s">
        <v>253</v>
      </c>
      <c r="F45" s="47" t="s">
        <v>53</v>
      </c>
      <c r="G45" s="47">
        <v>1</v>
      </c>
      <c r="H45" s="47">
        <v>2</v>
      </c>
      <c r="I45" s="47" t="s">
        <v>53</v>
      </c>
      <c r="J45" s="48">
        <f t="shared" si="2"/>
        <v>100</v>
      </c>
      <c r="L45" s="171" t="s">
        <v>278</v>
      </c>
      <c r="M45" s="171" t="s">
        <v>278</v>
      </c>
    </row>
    <row r="46" spans="1:13" ht="21" customHeight="1" x14ac:dyDescent="0.15">
      <c r="A46" s="114">
        <v>39013414</v>
      </c>
      <c r="B46" s="47">
        <v>0</v>
      </c>
      <c r="C46" s="47">
        <v>420</v>
      </c>
      <c r="D46" s="47">
        <v>100</v>
      </c>
      <c r="E46" s="47" t="s">
        <v>253</v>
      </c>
      <c r="F46" s="47" t="s">
        <v>53</v>
      </c>
      <c r="G46" s="47">
        <v>1</v>
      </c>
      <c r="H46" s="47">
        <v>2</v>
      </c>
      <c r="I46" s="47" t="s">
        <v>53</v>
      </c>
      <c r="J46" s="48">
        <f t="shared" si="2"/>
        <v>100</v>
      </c>
      <c r="L46" s="171" t="s">
        <v>277</v>
      </c>
      <c r="M46" s="171" t="s">
        <v>277</v>
      </c>
    </row>
    <row r="47" spans="1:13" ht="21" customHeight="1" x14ac:dyDescent="0.15">
      <c r="A47" s="114">
        <v>39013415</v>
      </c>
      <c r="B47" s="47">
        <v>0</v>
      </c>
      <c r="C47" s="47">
        <v>500</v>
      </c>
      <c r="D47" s="47">
        <v>100</v>
      </c>
      <c r="E47" s="47" t="s">
        <v>253</v>
      </c>
      <c r="F47" s="47" t="s">
        <v>169</v>
      </c>
      <c r="G47" s="47">
        <v>1</v>
      </c>
      <c r="H47" s="47">
        <v>1</v>
      </c>
      <c r="I47" s="47" t="s">
        <v>53</v>
      </c>
      <c r="J47" s="48">
        <f t="shared" si="2"/>
        <v>100</v>
      </c>
      <c r="L47" s="116" t="s">
        <v>272</v>
      </c>
      <c r="M47" s="116" t="s">
        <v>303</v>
      </c>
    </row>
    <row r="48" spans="1:13" ht="21" customHeight="1" x14ac:dyDescent="0.15">
      <c r="A48" s="114">
        <v>39013416</v>
      </c>
      <c r="B48" s="47">
        <v>0</v>
      </c>
      <c r="C48" s="47">
        <v>510</v>
      </c>
      <c r="D48" s="47">
        <v>100</v>
      </c>
      <c r="E48" s="47" t="s">
        <v>253</v>
      </c>
      <c r="F48" s="47" t="s">
        <v>169</v>
      </c>
      <c r="G48" s="47">
        <v>1</v>
      </c>
      <c r="H48" s="47">
        <v>2</v>
      </c>
      <c r="I48" s="47" t="s">
        <v>53</v>
      </c>
      <c r="J48" s="48">
        <f t="shared" si="2"/>
        <v>100</v>
      </c>
      <c r="L48" s="116" t="s">
        <v>273</v>
      </c>
      <c r="M48" s="116" t="s">
        <v>304</v>
      </c>
    </row>
    <row r="49" spans="1:13" ht="21" customHeight="1" x14ac:dyDescent="0.15">
      <c r="A49" s="114">
        <v>39013418</v>
      </c>
      <c r="B49" s="47">
        <v>0</v>
      </c>
      <c r="C49" s="47">
        <v>530</v>
      </c>
      <c r="D49" s="47">
        <v>100</v>
      </c>
      <c r="E49" s="47" t="s">
        <v>253</v>
      </c>
      <c r="F49" s="47" t="s">
        <v>53</v>
      </c>
      <c r="G49" s="47">
        <v>2</v>
      </c>
      <c r="H49" s="47">
        <v>6</v>
      </c>
      <c r="I49" s="47" t="s">
        <v>53</v>
      </c>
      <c r="J49" s="48">
        <f t="shared" ref="J49" si="10">D49</f>
        <v>100</v>
      </c>
      <c r="L49" s="116" t="s">
        <v>274</v>
      </c>
      <c r="M49" s="116" t="s">
        <v>305</v>
      </c>
    </row>
    <row r="50" spans="1:13" ht="21" customHeight="1" x14ac:dyDescent="0.15">
      <c r="A50" s="114">
        <v>39013419</v>
      </c>
      <c r="B50" s="47">
        <v>0</v>
      </c>
      <c r="C50" s="47">
        <v>540</v>
      </c>
      <c r="D50" s="47">
        <v>100</v>
      </c>
      <c r="E50" s="47" t="s">
        <v>253</v>
      </c>
      <c r="F50" s="47" t="s">
        <v>53</v>
      </c>
      <c r="G50" s="47">
        <v>1</v>
      </c>
      <c r="H50" s="47">
        <v>9</v>
      </c>
      <c r="I50" s="47" t="s">
        <v>53</v>
      </c>
      <c r="J50" s="48">
        <f t="shared" ref="J50" si="11">D50</f>
        <v>100</v>
      </c>
      <c r="L50" s="116" t="s">
        <v>275</v>
      </c>
      <c r="M50" s="116" t="s">
        <v>307</v>
      </c>
    </row>
    <row r="51" spans="1:13" ht="21" customHeight="1" x14ac:dyDescent="0.15">
      <c r="A51" s="114">
        <v>39013420</v>
      </c>
      <c r="B51" s="47">
        <v>0</v>
      </c>
      <c r="C51" s="47">
        <v>550</v>
      </c>
      <c r="D51" s="47">
        <v>100</v>
      </c>
      <c r="E51" s="47" t="s">
        <v>253</v>
      </c>
      <c r="F51" s="47" t="s">
        <v>53</v>
      </c>
      <c r="G51" s="47">
        <v>1</v>
      </c>
      <c r="H51" s="47">
        <v>11</v>
      </c>
      <c r="I51" s="47" t="s">
        <v>53</v>
      </c>
      <c r="J51" s="48">
        <f t="shared" ref="J51:J56" si="12">D51</f>
        <v>100</v>
      </c>
      <c r="L51" s="116" t="s">
        <v>276</v>
      </c>
      <c r="M51" s="116" t="s">
        <v>308</v>
      </c>
    </row>
    <row r="52" spans="1:13" ht="21" customHeight="1" x14ac:dyDescent="0.15">
      <c r="A52" s="109">
        <v>39013451</v>
      </c>
      <c r="B52" s="47">
        <v>0</v>
      </c>
      <c r="C52" s="47">
        <v>520</v>
      </c>
      <c r="D52" s="47">
        <v>100</v>
      </c>
      <c r="E52" s="47" t="s">
        <v>53</v>
      </c>
      <c r="F52" s="47">
        <v>81</v>
      </c>
      <c r="G52" s="47" t="s">
        <v>169</v>
      </c>
      <c r="H52" s="47">
        <v>5</v>
      </c>
      <c r="I52" s="47" t="s">
        <v>53</v>
      </c>
      <c r="J52" s="48">
        <f t="shared" si="12"/>
        <v>100</v>
      </c>
      <c r="L52" s="111" t="s">
        <v>264</v>
      </c>
      <c r="M52" s="111" t="s">
        <v>285</v>
      </c>
    </row>
    <row r="53" spans="1:13" ht="21" customHeight="1" x14ac:dyDescent="0.15">
      <c r="A53" s="109">
        <v>39013452</v>
      </c>
      <c r="B53" s="47">
        <v>0</v>
      </c>
      <c r="C53" s="47">
        <v>521</v>
      </c>
      <c r="D53" s="47">
        <v>100</v>
      </c>
      <c r="E53" s="47">
        <v>80</v>
      </c>
      <c r="F53" s="47">
        <v>61</v>
      </c>
      <c r="G53" s="47" t="s">
        <v>169</v>
      </c>
      <c r="H53" s="47">
        <v>5</v>
      </c>
      <c r="I53" s="47" t="s">
        <v>89</v>
      </c>
      <c r="J53" s="48">
        <f t="shared" si="12"/>
        <v>100</v>
      </c>
      <c r="L53" s="111" t="s">
        <v>264</v>
      </c>
      <c r="M53" s="111" t="s">
        <v>265</v>
      </c>
    </row>
    <row r="54" spans="1:13" ht="21" customHeight="1" x14ac:dyDescent="0.15">
      <c r="A54" s="109">
        <v>39013453</v>
      </c>
      <c r="B54" s="47">
        <v>0</v>
      </c>
      <c r="C54" s="47">
        <v>522</v>
      </c>
      <c r="D54" s="47">
        <v>100</v>
      </c>
      <c r="E54" s="47">
        <v>60</v>
      </c>
      <c r="F54" s="47">
        <v>41</v>
      </c>
      <c r="G54" s="47" t="s">
        <v>169</v>
      </c>
      <c r="H54" s="47">
        <v>5</v>
      </c>
      <c r="I54" s="47" t="s">
        <v>89</v>
      </c>
      <c r="J54" s="48">
        <f t="shared" si="12"/>
        <v>100</v>
      </c>
      <c r="L54" s="111" t="s">
        <v>264</v>
      </c>
      <c r="M54" s="111" t="s">
        <v>287</v>
      </c>
    </row>
    <row r="55" spans="1:13" ht="21" customHeight="1" x14ac:dyDescent="0.15">
      <c r="A55" s="109">
        <v>39013454</v>
      </c>
      <c r="B55" s="47">
        <v>0</v>
      </c>
      <c r="C55" s="47">
        <v>523</v>
      </c>
      <c r="D55" s="47">
        <v>100</v>
      </c>
      <c r="E55" s="47">
        <v>40</v>
      </c>
      <c r="F55" s="47">
        <v>21</v>
      </c>
      <c r="G55" s="47" t="s">
        <v>169</v>
      </c>
      <c r="H55" s="47">
        <v>5</v>
      </c>
      <c r="I55" s="47" t="s">
        <v>89</v>
      </c>
      <c r="J55" s="48">
        <f t="shared" si="12"/>
        <v>100</v>
      </c>
      <c r="L55" s="111" t="s">
        <v>264</v>
      </c>
      <c r="M55" s="111" t="s">
        <v>288</v>
      </c>
    </row>
    <row r="56" spans="1:13" ht="21" customHeight="1" x14ac:dyDescent="0.15">
      <c r="A56" s="109">
        <v>39013455</v>
      </c>
      <c r="B56" s="47">
        <v>0</v>
      </c>
      <c r="C56" s="47">
        <v>524</v>
      </c>
      <c r="D56" s="47">
        <v>100</v>
      </c>
      <c r="E56" s="47">
        <v>20</v>
      </c>
      <c r="F56" s="47" t="s">
        <v>89</v>
      </c>
      <c r="G56" s="47" t="s">
        <v>169</v>
      </c>
      <c r="H56" s="47">
        <v>5</v>
      </c>
      <c r="I56" s="47" t="s">
        <v>89</v>
      </c>
      <c r="J56" s="48">
        <f t="shared" si="12"/>
        <v>100</v>
      </c>
      <c r="L56" s="111" t="s">
        <v>264</v>
      </c>
      <c r="M56" s="111" t="s">
        <v>289</v>
      </c>
    </row>
    <row r="57" spans="1:13" ht="21" customHeight="1" x14ac:dyDescent="0.15">
      <c r="A57" s="114">
        <v>39013444</v>
      </c>
      <c r="B57" s="47">
        <v>0</v>
      </c>
      <c r="C57" s="47">
        <v>610</v>
      </c>
      <c r="D57" s="47">
        <v>100</v>
      </c>
      <c r="E57" s="47" t="s">
        <v>169</v>
      </c>
      <c r="F57" s="47" t="s">
        <v>89</v>
      </c>
      <c r="G57" s="47">
        <v>0</v>
      </c>
      <c r="H57" s="47">
        <v>1</v>
      </c>
      <c r="I57" s="47">
        <v>0</v>
      </c>
      <c r="J57" s="48">
        <f t="shared" ref="J57" si="13">D57</f>
        <v>100</v>
      </c>
      <c r="L57" s="116" t="s">
        <v>270</v>
      </c>
      <c r="M57" s="116" t="s">
        <v>270</v>
      </c>
    </row>
    <row r="58" spans="1:13" ht="21" customHeight="1" x14ac:dyDescent="0.15">
      <c r="A58" s="164">
        <v>39013701</v>
      </c>
      <c r="B58" s="47">
        <v>0</v>
      </c>
      <c r="C58" s="47">
        <v>801</v>
      </c>
      <c r="D58" s="47">
        <v>100</v>
      </c>
      <c r="E58" s="47" t="s">
        <v>89</v>
      </c>
      <c r="F58" s="47" t="s">
        <v>89</v>
      </c>
      <c r="G58" s="47">
        <v>0</v>
      </c>
      <c r="H58" s="47">
        <v>1</v>
      </c>
      <c r="I58" s="249">
        <v>1551</v>
      </c>
      <c r="J58" s="48">
        <f t="shared" ref="J58:J93" si="14">D58</f>
        <v>100</v>
      </c>
      <c r="L58" s="166" t="s">
        <v>270</v>
      </c>
      <c r="M58" s="166" t="s">
        <v>443</v>
      </c>
    </row>
    <row r="59" spans="1:13" ht="21" customHeight="1" x14ac:dyDescent="0.15">
      <c r="A59" s="164">
        <v>39013702</v>
      </c>
      <c r="B59" s="47">
        <v>0</v>
      </c>
      <c r="C59" s="47">
        <v>802</v>
      </c>
      <c r="D59" s="47">
        <v>100</v>
      </c>
      <c r="E59" s="47" t="s">
        <v>89</v>
      </c>
      <c r="F59" s="47" t="s">
        <v>89</v>
      </c>
      <c r="G59" s="47">
        <v>0</v>
      </c>
      <c r="H59" s="47">
        <v>1</v>
      </c>
      <c r="I59" s="249">
        <v>1553</v>
      </c>
      <c r="J59" s="48">
        <f t="shared" ref="J59:J79" si="15">D59</f>
        <v>100</v>
      </c>
      <c r="L59" s="166" t="s">
        <v>270</v>
      </c>
      <c r="M59" s="166" t="s">
        <v>443</v>
      </c>
    </row>
    <row r="60" spans="1:13" ht="21" customHeight="1" x14ac:dyDescent="0.15">
      <c r="A60" s="164">
        <v>39013703</v>
      </c>
      <c r="B60" s="47">
        <v>0</v>
      </c>
      <c r="C60" s="47">
        <v>803</v>
      </c>
      <c r="D60" s="47">
        <v>100</v>
      </c>
      <c r="E60" s="47" t="s">
        <v>89</v>
      </c>
      <c r="F60" s="47" t="s">
        <v>89</v>
      </c>
      <c r="G60" s="47">
        <v>0</v>
      </c>
      <c r="H60" s="47">
        <v>1</v>
      </c>
      <c r="I60" s="249">
        <v>1555</v>
      </c>
      <c r="J60" s="48">
        <f t="shared" si="15"/>
        <v>100</v>
      </c>
      <c r="L60" s="166" t="s">
        <v>270</v>
      </c>
      <c r="M60" s="166" t="s">
        <v>443</v>
      </c>
    </row>
    <row r="61" spans="1:13" ht="21" customHeight="1" x14ac:dyDescent="0.15">
      <c r="A61" s="164">
        <v>39013704</v>
      </c>
      <c r="B61" s="47">
        <v>0</v>
      </c>
      <c r="C61" s="47">
        <v>804</v>
      </c>
      <c r="D61" s="47">
        <v>100</v>
      </c>
      <c r="E61" s="47" t="s">
        <v>89</v>
      </c>
      <c r="F61" s="47" t="s">
        <v>89</v>
      </c>
      <c r="G61" s="47">
        <v>0</v>
      </c>
      <c r="H61" s="47">
        <v>1</v>
      </c>
      <c r="I61" s="249">
        <v>1556</v>
      </c>
      <c r="J61" s="48">
        <f t="shared" si="15"/>
        <v>100</v>
      </c>
      <c r="L61" s="166" t="s">
        <v>270</v>
      </c>
      <c r="M61" s="166" t="s">
        <v>443</v>
      </c>
    </row>
    <row r="62" spans="1:13" ht="21" customHeight="1" x14ac:dyDescent="0.15">
      <c r="A62" s="164">
        <v>39013705</v>
      </c>
      <c r="B62" s="47">
        <v>0</v>
      </c>
      <c r="C62" s="47">
        <v>805</v>
      </c>
      <c r="D62" s="47">
        <v>100</v>
      </c>
      <c r="E62" s="47" t="s">
        <v>89</v>
      </c>
      <c r="F62" s="47" t="s">
        <v>89</v>
      </c>
      <c r="G62" s="47">
        <v>0</v>
      </c>
      <c r="H62" s="47">
        <v>1</v>
      </c>
      <c r="I62" s="249">
        <v>1558</v>
      </c>
      <c r="J62" s="48">
        <f t="shared" si="15"/>
        <v>100</v>
      </c>
      <c r="L62" s="166" t="s">
        <v>270</v>
      </c>
      <c r="M62" s="166" t="s">
        <v>443</v>
      </c>
    </row>
    <row r="63" spans="1:13" ht="21" customHeight="1" x14ac:dyDescent="0.15">
      <c r="A63" s="164">
        <v>39013706</v>
      </c>
      <c r="B63" s="47">
        <v>0</v>
      </c>
      <c r="C63" s="47">
        <v>806</v>
      </c>
      <c r="D63" s="47">
        <v>100</v>
      </c>
      <c r="E63" s="47" t="s">
        <v>89</v>
      </c>
      <c r="F63" s="47" t="s">
        <v>89</v>
      </c>
      <c r="G63" s="47">
        <v>0</v>
      </c>
      <c r="H63" s="47">
        <v>1</v>
      </c>
      <c r="I63" s="249">
        <v>1560</v>
      </c>
      <c r="J63" s="48">
        <f t="shared" si="15"/>
        <v>100</v>
      </c>
      <c r="L63" s="166" t="s">
        <v>270</v>
      </c>
      <c r="M63" s="166" t="s">
        <v>443</v>
      </c>
    </row>
    <row r="64" spans="1:13" ht="21" customHeight="1" x14ac:dyDescent="0.15">
      <c r="A64" s="164">
        <v>39013707</v>
      </c>
      <c r="B64" s="47">
        <v>0</v>
      </c>
      <c r="C64" s="47">
        <v>807</v>
      </c>
      <c r="D64" s="47">
        <v>100</v>
      </c>
      <c r="E64" s="47" t="s">
        <v>89</v>
      </c>
      <c r="F64" s="47" t="s">
        <v>89</v>
      </c>
      <c r="G64" s="47">
        <v>0</v>
      </c>
      <c r="H64" s="47">
        <v>1</v>
      </c>
      <c r="I64" s="249">
        <v>1561</v>
      </c>
      <c r="J64" s="48">
        <f t="shared" si="15"/>
        <v>100</v>
      </c>
      <c r="L64" s="166" t="s">
        <v>270</v>
      </c>
      <c r="M64" s="166" t="s">
        <v>443</v>
      </c>
    </row>
    <row r="65" spans="1:13" ht="21" customHeight="1" x14ac:dyDescent="0.15">
      <c r="A65" s="164">
        <v>39013708</v>
      </c>
      <c r="B65" s="47">
        <v>0</v>
      </c>
      <c r="C65" s="47">
        <v>808</v>
      </c>
      <c r="D65" s="47">
        <v>100</v>
      </c>
      <c r="E65" s="47" t="s">
        <v>89</v>
      </c>
      <c r="F65" s="47" t="s">
        <v>89</v>
      </c>
      <c r="G65" s="47">
        <v>0</v>
      </c>
      <c r="H65" s="47">
        <v>1</v>
      </c>
      <c r="I65" s="249">
        <v>1563</v>
      </c>
      <c r="J65" s="48">
        <f t="shared" si="15"/>
        <v>100</v>
      </c>
      <c r="L65" s="166" t="s">
        <v>270</v>
      </c>
      <c r="M65" s="166" t="s">
        <v>443</v>
      </c>
    </row>
    <row r="66" spans="1:13" ht="21" customHeight="1" x14ac:dyDescent="0.15">
      <c r="A66" s="164">
        <v>39013709</v>
      </c>
      <c r="B66" s="47">
        <v>0</v>
      </c>
      <c r="C66" s="47">
        <v>809</v>
      </c>
      <c r="D66" s="47">
        <v>100</v>
      </c>
      <c r="E66" s="47" t="s">
        <v>89</v>
      </c>
      <c r="F66" s="47" t="s">
        <v>89</v>
      </c>
      <c r="G66" s="47">
        <v>0</v>
      </c>
      <c r="H66" s="47">
        <v>1</v>
      </c>
      <c r="I66" s="249">
        <v>1565</v>
      </c>
      <c r="J66" s="48">
        <f t="shared" si="15"/>
        <v>100</v>
      </c>
      <c r="L66" s="166" t="s">
        <v>270</v>
      </c>
      <c r="M66" s="166" t="s">
        <v>443</v>
      </c>
    </row>
    <row r="67" spans="1:13" ht="21" customHeight="1" x14ac:dyDescent="0.15">
      <c r="A67" s="164">
        <v>39013710</v>
      </c>
      <c r="B67" s="47">
        <v>0</v>
      </c>
      <c r="C67" s="47">
        <v>810</v>
      </c>
      <c r="D67" s="47">
        <v>100</v>
      </c>
      <c r="E67" s="47" t="s">
        <v>89</v>
      </c>
      <c r="F67" s="47" t="s">
        <v>89</v>
      </c>
      <c r="G67" s="47">
        <v>0</v>
      </c>
      <c r="H67" s="47">
        <v>1</v>
      </c>
      <c r="I67" s="249">
        <v>1566</v>
      </c>
      <c r="J67" s="48">
        <f t="shared" si="15"/>
        <v>100</v>
      </c>
      <c r="L67" s="166" t="s">
        <v>270</v>
      </c>
      <c r="M67" s="166" t="s">
        <v>443</v>
      </c>
    </row>
    <row r="68" spans="1:13" ht="21" customHeight="1" x14ac:dyDescent="0.15">
      <c r="A68" s="164">
        <v>39013711</v>
      </c>
      <c r="B68" s="47">
        <v>0</v>
      </c>
      <c r="C68" s="47">
        <v>811</v>
      </c>
      <c r="D68" s="47">
        <v>100</v>
      </c>
      <c r="E68" s="47" t="s">
        <v>89</v>
      </c>
      <c r="F68" s="47" t="s">
        <v>89</v>
      </c>
      <c r="G68" s="47">
        <v>0</v>
      </c>
      <c r="H68" s="47">
        <v>1</v>
      </c>
      <c r="I68" s="249">
        <v>1568</v>
      </c>
      <c r="J68" s="48">
        <f t="shared" si="15"/>
        <v>100</v>
      </c>
      <c r="L68" s="166" t="s">
        <v>270</v>
      </c>
      <c r="M68" s="166" t="s">
        <v>443</v>
      </c>
    </row>
    <row r="69" spans="1:13" ht="21" customHeight="1" x14ac:dyDescent="0.15">
      <c r="A69" s="164">
        <v>39013712</v>
      </c>
      <c r="B69" s="47">
        <v>0</v>
      </c>
      <c r="C69" s="47">
        <v>812</v>
      </c>
      <c r="D69" s="47">
        <v>100</v>
      </c>
      <c r="E69" s="47" t="s">
        <v>89</v>
      </c>
      <c r="F69" s="47" t="s">
        <v>89</v>
      </c>
      <c r="G69" s="47">
        <v>0</v>
      </c>
      <c r="H69" s="47">
        <v>1</v>
      </c>
      <c r="I69" s="249">
        <v>1570</v>
      </c>
      <c r="J69" s="48">
        <f t="shared" si="15"/>
        <v>100</v>
      </c>
      <c r="L69" s="166" t="s">
        <v>270</v>
      </c>
      <c r="M69" s="166" t="s">
        <v>443</v>
      </c>
    </row>
    <row r="70" spans="1:13" ht="21" customHeight="1" x14ac:dyDescent="0.15">
      <c r="A70" s="164">
        <v>39013713</v>
      </c>
      <c r="B70" s="47">
        <v>0</v>
      </c>
      <c r="C70" s="47">
        <v>813</v>
      </c>
      <c r="D70" s="47">
        <v>100</v>
      </c>
      <c r="E70" s="47" t="s">
        <v>89</v>
      </c>
      <c r="F70" s="47" t="s">
        <v>89</v>
      </c>
      <c r="G70" s="47">
        <v>0</v>
      </c>
      <c r="H70" s="47">
        <v>1</v>
      </c>
      <c r="I70" s="249">
        <v>1571</v>
      </c>
      <c r="J70" s="48">
        <f t="shared" si="15"/>
        <v>100</v>
      </c>
      <c r="L70" s="166" t="s">
        <v>270</v>
      </c>
      <c r="M70" s="166" t="s">
        <v>443</v>
      </c>
    </row>
    <row r="71" spans="1:13" ht="21" customHeight="1" x14ac:dyDescent="0.15">
      <c r="A71" s="164">
        <v>39013714</v>
      </c>
      <c r="B71" s="47">
        <v>0</v>
      </c>
      <c r="C71" s="47">
        <v>814</v>
      </c>
      <c r="D71" s="47">
        <v>100</v>
      </c>
      <c r="E71" s="47" t="s">
        <v>89</v>
      </c>
      <c r="F71" s="47" t="s">
        <v>89</v>
      </c>
      <c r="G71" s="47">
        <v>0</v>
      </c>
      <c r="H71" s="47">
        <v>1</v>
      </c>
      <c r="I71" s="249">
        <v>1573</v>
      </c>
      <c r="J71" s="48">
        <f t="shared" si="15"/>
        <v>100</v>
      </c>
      <c r="L71" s="166" t="s">
        <v>270</v>
      </c>
      <c r="M71" s="166" t="s">
        <v>443</v>
      </c>
    </row>
    <row r="72" spans="1:13" ht="21" customHeight="1" x14ac:dyDescent="0.15">
      <c r="A72" s="164">
        <v>39013715</v>
      </c>
      <c r="B72" s="47">
        <v>0</v>
      </c>
      <c r="C72" s="47">
        <v>815</v>
      </c>
      <c r="D72" s="47">
        <v>100</v>
      </c>
      <c r="E72" s="47" t="s">
        <v>89</v>
      </c>
      <c r="F72" s="47" t="s">
        <v>89</v>
      </c>
      <c r="G72" s="47">
        <v>0</v>
      </c>
      <c r="H72" s="47">
        <v>1</v>
      </c>
      <c r="I72" s="249">
        <v>1574</v>
      </c>
      <c r="J72" s="48">
        <f t="shared" si="15"/>
        <v>100</v>
      </c>
      <c r="L72" s="166" t="s">
        <v>270</v>
      </c>
      <c r="M72" s="166" t="s">
        <v>443</v>
      </c>
    </row>
    <row r="73" spans="1:13" ht="21" customHeight="1" x14ac:dyDescent="0.15">
      <c r="A73" s="164">
        <v>39013716</v>
      </c>
      <c r="B73" s="47">
        <v>0</v>
      </c>
      <c r="C73" s="47">
        <v>816</v>
      </c>
      <c r="D73" s="47">
        <v>100</v>
      </c>
      <c r="E73" s="47" t="s">
        <v>89</v>
      </c>
      <c r="F73" s="47" t="s">
        <v>89</v>
      </c>
      <c r="G73" s="47">
        <v>0</v>
      </c>
      <c r="H73" s="47">
        <v>1</v>
      </c>
      <c r="I73" s="249">
        <v>1575</v>
      </c>
      <c r="J73" s="48">
        <f t="shared" si="15"/>
        <v>100</v>
      </c>
      <c r="L73" s="166" t="s">
        <v>270</v>
      </c>
      <c r="M73" s="166" t="s">
        <v>443</v>
      </c>
    </row>
    <row r="74" spans="1:13" ht="21" customHeight="1" x14ac:dyDescent="0.15">
      <c r="A74" s="164">
        <v>39013717</v>
      </c>
      <c r="B74" s="47">
        <v>0</v>
      </c>
      <c r="C74" s="47">
        <v>817</v>
      </c>
      <c r="D74" s="47">
        <v>100</v>
      </c>
      <c r="E74" s="47" t="s">
        <v>89</v>
      </c>
      <c r="F74" s="47" t="s">
        <v>89</v>
      </c>
      <c r="G74" s="47">
        <v>0</v>
      </c>
      <c r="H74" s="47">
        <v>1</v>
      </c>
      <c r="I74" s="249">
        <v>1577</v>
      </c>
      <c r="J74" s="48">
        <f t="shared" si="15"/>
        <v>100</v>
      </c>
      <c r="L74" s="166" t="s">
        <v>270</v>
      </c>
      <c r="M74" s="166" t="s">
        <v>443</v>
      </c>
    </row>
    <row r="75" spans="1:13" ht="21" customHeight="1" x14ac:dyDescent="0.15">
      <c r="A75" s="164">
        <v>39013718</v>
      </c>
      <c r="B75" s="47">
        <v>0</v>
      </c>
      <c r="C75" s="47">
        <v>818</v>
      </c>
      <c r="D75" s="47">
        <v>100</v>
      </c>
      <c r="E75" s="47" t="s">
        <v>89</v>
      </c>
      <c r="F75" s="47" t="s">
        <v>89</v>
      </c>
      <c r="G75" s="47">
        <v>0</v>
      </c>
      <c r="H75" s="47">
        <v>1</v>
      </c>
      <c r="I75" s="249">
        <v>1578</v>
      </c>
      <c r="J75" s="48">
        <f t="shared" si="15"/>
        <v>100</v>
      </c>
      <c r="L75" s="166" t="s">
        <v>270</v>
      </c>
      <c r="M75" s="166" t="s">
        <v>443</v>
      </c>
    </row>
    <row r="76" spans="1:13" ht="21" customHeight="1" x14ac:dyDescent="0.15">
      <c r="A76" s="164">
        <v>39013719</v>
      </c>
      <c r="B76" s="47">
        <v>0</v>
      </c>
      <c r="C76" s="47">
        <v>819</v>
      </c>
      <c r="D76" s="47">
        <v>100</v>
      </c>
      <c r="E76" s="47" t="s">
        <v>89</v>
      </c>
      <c r="F76" s="47" t="s">
        <v>89</v>
      </c>
      <c r="G76" s="47">
        <v>0</v>
      </c>
      <c r="H76" s="47">
        <v>1</v>
      </c>
      <c r="I76" s="249">
        <v>1579</v>
      </c>
      <c r="J76" s="48">
        <f t="shared" si="15"/>
        <v>100</v>
      </c>
      <c r="L76" s="166" t="s">
        <v>270</v>
      </c>
      <c r="M76" s="166" t="s">
        <v>443</v>
      </c>
    </row>
    <row r="77" spans="1:13" ht="21" customHeight="1" x14ac:dyDescent="0.15">
      <c r="A77" s="164">
        <v>39013720</v>
      </c>
      <c r="B77" s="47">
        <v>0</v>
      </c>
      <c r="C77" s="47">
        <v>820</v>
      </c>
      <c r="D77" s="47">
        <v>100</v>
      </c>
      <c r="E77" s="47" t="s">
        <v>89</v>
      </c>
      <c r="F77" s="47" t="s">
        <v>89</v>
      </c>
      <c r="G77" s="47">
        <v>0</v>
      </c>
      <c r="H77" s="47">
        <v>1</v>
      </c>
      <c r="I77" s="249">
        <v>1581</v>
      </c>
      <c r="J77" s="48">
        <f t="shared" si="15"/>
        <v>100</v>
      </c>
      <c r="L77" s="166" t="s">
        <v>270</v>
      </c>
      <c r="M77" s="166" t="s">
        <v>443</v>
      </c>
    </row>
    <row r="78" spans="1:13" ht="21" customHeight="1" x14ac:dyDescent="0.15">
      <c r="A78" s="164">
        <v>39013721</v>
      </c>
      <c r="B78" s="47">
        <v>0</v>
      </c>
      <c r="C78" s="47">
        <v>821</v>
      </c>
      <c r="D78" s="47">
        <v>100</v>
      </c>
      <c r="E78" s="47" t="s">
        <v>89</v>
      </c>
      <c r="F78" s="47" t="s">
        <v>89</v>
      </c>
      <c r="G78" s="47">
        <v>0</v>
      </c>
      <c r="H78" s="47">
        <v>1</v>
      </c>
      <c r="I78" s="249">
        <v>1584</v>
      </c>
      <c r="J78" s="48">
        <f t="shared" si="15"/>
        <v>100</v>
      </c>
      <c r="L78" s="166" t="s">
        <v>270</v>
      </c>
      <c r="M78" s="166" t="s">
        <v>443</v>
      </c>
    </row>
    <row r="79" spans="1:13" ht="21" customHeight="1" thickBot="1" x14ac:dyDescent="0.2">
      <c r="A79" s="179">
        <v>39013722</v>
      </c>
      <c r="B79" s="153">
        <v>0</v>
      </c>
      <c r="C79" s="153">
        <v>822</v>
      </c>
      <c r="D79" s="153">
        <v>100</v>
      </c>
      <c r="E79" s="153" t="s">
        <v>89</v>
      </c>
      <c r="F79" s="153" t="s">
        <v>89</v>
      </c>
      <c r="G79" s="153">
        <v>0</v>
      </c>
      <c r="H79" s="153">
        <v>1</v>
      </c>
      <c r="I79" s="250">
        <v>1587</v>
      </c>
      <c r="J79" s="184">
        <f t="shared" si="15"/>
        <v>100</v>
      </c>
      <c r="K79" s="191"/>
      <c r="L79" s="182" t="s">
        <v>270</v>
      </c>
      <c r="M79" s="182"/>
    </row>
    <row r="80" spans="1:13" ht="21" customHeight="1" x14ac:dyDescent="0.15">
      <c r="A80" s="228">
        <v>39013500</v>
      </c>
      <c r="B80" s="188">
        <v>1</v>
      </c>
      <c r="C80" s="188">
        <v>600</v>
      </c>
      <c r="D80" s="188">
        <v>100</v>
      </c>
      <c r="E80" s="188" t="s">
        <v>53</v>
      </c>
      <c r="F80" s="188" t="s">
        <v>53</v>
      </c>
      <c r="G80" s="188">
        <v>1</v>
      </c>
      <c r="H80" s="188">
        <v>1</v>
      </c>
      <c r="I80" s="188" t="s">
        <v>53</v>
      </c>
      <c r="J80" s="189">
        <f t="shared" si="14"/>
        <v>100</v>
      </c>
      <c r="L80" s="190" t="s">
        <v>259</v>
      </c>
      <c r="M80" s="190" t="s">
        <v>259</v>
      </c>
    </row>
    <row r="81" spans="1:13" ht="21" customHeight="1" x14ac:dyDescent="0.15">
      <c r="A81" s="187">
        <v>39013501</v>
      </c>
      <c r="B81" s="47">
        <v>0</v>
      </c>
      <c r="C81" s="47">
        <v>400</v>
      </c>
      <c r="D81" s="47">
        <v>100</v>
      </c>
      <c r="E81" s="47" t="s">
        <v>53</v>
      </c>
      <c r="F81" s="47" t="s">
        <v>53</v>
      </c>
      <c r="G81" s="47">
        <v>2</v>
      </c>
      <c r="H81" s="47">
        <v>1</v>
      </c>
      <c r="I81" s="47" t="s">
        <v>53</v>
      </c>
      <c r="J81" s="48">
        <f t="shared" si="14"/>
        <v>100</v>
      </c>
      <c r="L81" s="116" t="s">
        <v>271</v>
      </c>
      <c r="M81" s="116" t="s">
        <v>271</v>
      </c>
    </row>
    <row r="82" spans="1:13" ht="21" customHeight="1" x14ac:dyDescent="0.15">
      <c r="A82" s="187">
        <v>39013502</v>
      </c>
      <c r="B82" s="47">
        <v>0</v>
      </c>
      <c r="C82" s="47">
        <v>420</v>
      </c>
      <c r="D82" s="47">
        <v>100</v>
      </c>
      <c r="E82" s="47" t="s">
        <v>53</v>
      </c>
      <c r="F82" s="47" t="s">
        <v>53</v>
      </c>
      <c r="G82" s="47">
        <v>1</v>
      </c>
      <c r="H82" s="47">
        <v>2</v>
      </c>
      <c r="I82" s="47" t="s">
        <v>53</v>
      </c>
      <c r="J82" s="48">
        <f t="shared" si="14"/>
        <v>100</v>
      </c>
      <c r="L82" s="116" t="s">
        <v>278</v>
      </c>
      <c r="M82" s="116" t="s">
        <v>278</v>
      </c>
    </row>
    <row r="83" spans="1:13" ht="21" customHeight="1" x14ac:dyDescent="0.15">
      <c r="A83" s="187">
        <v>39013503</v>
      </c>
      <c r="B83" s="47">
        <v>0</v>
      </c>
      <c r="C83" s="47">
        <v>420</v>
      </c>
      <c r="D83" s="47">
        <v>100</v>
      </c>
      <c r="E83" s="47" t="s">
        <v>53</v>
      </c>
      <c r="F83" s="47" t="s">
        <v>53</v>
      </c>
      <c r="G83" s="47">
        <v>1</v>
      </c>
      <c r="H83" s="47">
        <v>2</v>
      </c>
      <c r="I83" s="47" t="s">
        <v>53</v>
      </c>
      <c r="J83" s="48">
        <f t="shared" si="14"/>
        <v>100</v>
      </c>
      <c r="L83" s="116" t="s">
        <v>277</v>
      </c>
      <c r="M83" s="116" t="s">
        <v>277</v>
      </c>
    </row>
    <row r="84" spans="1:13" ht="21" customHeight="1" x14ac:dyDescent="0.15">
      <c r="A84" s="187">
        <v>39013504</v>
      </c>
      <c r="B84" s="47">
        <v>0</v>
      </c>
      <c r="C84" s="47">
        <v>500</v>
      </c>
      <c r="D84" s="47">
        <v>100</v>
      </c>
      <c r="E84" s="47" t="s">
        <v>53</v>
      </c>
      <c r="F84" s="47" t="s">
        <v>53</v>
      </c>
      <c r="G84" s="47">
        <v>1</v>
      </c>
      <c r="H84" s="47">
        <v>1</v>
      </c>
      <c r="I84" s="47" t="s">
        <v>53</v>
      </c>
      <c r="J84" s="48">
        <f t="shared" si="14"/>
        <v>100</v>
      </c>
      <c r="L84" s="116" t="s">
        <v>272</v>
      </c>
      <c r="M84" s="116" t="s">
        <v>303</v>
      </c>
    </row>
    <row r="85" spans="1:13" ht="21" customHeight="1" x14ac:dyDescent="0.15">
      <c r="A85" s="187">
        <v>39013505</v>
      </c>
      <c r="B85" s="47">
        <v>0</v>
      </c>
      <c r="C85" s="47">
        <v>510</v>
      </c>
      <c r="D85" s="47">
        <v>100</v>
      </c>
      <c r="E85" s="47" t="s">
        <v>53</v>
      </c>
      <c r="F85" s="47" t="s">
        <v>53</v>
      </c>
      <c r="G85" s="47">
        <v>1</v>
      </c>
      <c r="H85" s="47">
        <v>2</v>
      </c>
      <c r="I85" s="47" t="s">
        <v>53</v>
      </c>
      <c r="J85" s="48">
        <f t="shared" si="14"/>
        <v>100</v>
      </c>
      <c r="L85" s="116" t="s">
        <v>273</v>
      </c>
      <c r="M85" s="116" t="s">
        <v>304</v>
      </c>
    </row>
    <row r="86" spans="1:13" ht="21" customHeight="1" x14ac:dyDescent="0.15">
      <c r="A86" s="187">
        <v>39013506</v>
      </c>
      <c r="B86" s="47">
        <v>0</v>
      </c>
      <c r="C86" s="47">
        <v>530</v>
      </c>
      <c r="D86" s="47">
        <v>100</v>
      </c>
      <c r="E86" s="47" t="s">
        <v>53</v>
      </c>
      <c r="F86" s="47" t="s">
        <v>53</v>
      </c>
      <c r="G86" s="47">
        <v>2</v>
      </c>
      <c r="H86" s="47">
        <v>6</v>
      </c>
      <c r="I86" s="47" t="s">
        <v>53</v>
      </c>
      <c r="J86" s="48">
        <f t="shared" si="14"/>
        <v>100</v>
      </c>
      <c r="L86" s="116" t="s">
        <v>274</v>
      </c>
      <c r="M86" s="116" t="s">
        <v>305</v>
      </c>
    </row>
    <row r="87" spans="1:13" ht="21" customHeight="1" x14ac:dyDescent="0.15">
      <c r="A87" s="187">
        <v>39013507</v>
      </c>
      <c r="B87" s="47">
        <v>0</v>
      </c>
      <c r="C87" s="47">
        <v>540</v>
      </c>
      <c r="D87" s="47">
        <v>100</v>
      </c>
      <c r="E87" s="47" t="s">
        <v>53</v>
      </c>
      <c r="F87" s="47" t="s">
        <v>53</v>
      </c>
      <c r="G87" s="47">
        <v>1</v>
      </c>
      <c r="H87" s="47">
        <v>9</v>
      </c>
      <c r="I87" s="47" t="s">
        <v>53</v>
      </c>
      <c r="J87" s="48">
        <f t="shared" si="14"/>
        <v>100</v>
      </c>
      <c r="L87" s="116" t="s">
        <v>275</v>
      </c>
      <c r="M87" s="116" t="s">
        <v>307</v>
      </c>
    </row>
    <row r="88" spans="1:13" ht="21" customHeight="1" x14ac:dyDescent="0.15">
      <c r="A88" s="187">
        <v>39013508</v>
      </c>
      <c r="B88" s="47">
        <v>0</v>
      </c>
      <c r="C88" s="47">
        <v>550</v>
      </c>
      <c r="D88" s="47">
        <v>100</v>
      </c>
      <c r="E88" s="47" t="s">
        <v>53</v>
      </c>
      <c r="F88" s="47" t="s">
        <v>53</v>
      </c>
      <c r="G88" s="47">
        <v>1</v>
      </c>
      <c r="H88" s="47">
        <v>11</v>
      </c>
      <c r="I88" s="47" t="s">
        <v>53</v>
      </c>
      <c r="J88" s="48">
        <f t="shared" si="14"/>
        <v>100</v>
      </c>
      <c r="L88" s="116" t="s">
        <v>276</v>
      </c>
      <c r="M88" s="116" t="s">
        <v>308</v>
      </c>
    </row>
    <row r="89" spans="1:13" ht="21" customHeight="1" x14ac:dyDescent="0.15">
      <c r="A89" s="187">
        <v>39013509</v>
      </c>
      <c r="B89" s="47">
        <v>0</v>
      </c>
      <c r="C89" s="47">
        <v>520</v>
      </c>
      <c r="D89" s="47">
        <v>100</v>
      </c>
      <c r="E89" s="47" t="s">
        <v>53</v>
      </c>
      <c r="F89" s="47">
        <v>81</v>
      </c>
      <c r="G89" s="47" t="s">
        <v>53</v>
      </c>
      <c r="H89" s="47">
        <v>5</v>
      </c>
      <c r="I89" s="47" t="s">
        <v>53</v>
      </c>
      <c r="J89" s="48">
        <f t="shared" si="14"/>
        <v>100</v>
      </c>
      <c r="L89" s="111" t="s">
        <v>264</v>
      </c>
      <c r="M89" s="111" t="s">
        <v>285</v>
      </c>
    </row>
    <row r="90" spans="1:13" ht="21" customHeight="1" x14ac:dyDescent="0.15">
      <c r="A90" s="187">
        <v>39013510</v>
      </c>
      <c r="B90" s="47">
        <v>0</v>
      </c>
      <c r="C90" s="47">
        <v>521</v>
      </c>
      <c r="D90" s="47">
        <v>100</v>
      </c>
      <c r="E90" s="47">
        <v>80</v>
      </c>
      <c r="F90" s="47">
        <v>61</v>
      </c>
      <c r="G90" s="47" t="s">
        <v>53</v>
      </c>
      <c r="H90" s="47">
        <v>5</v>
      </c>
      <c r="I90" s="47" t="s">
        <v>53</v>
      </c>
      <c r="J90" s="48">
        <f t="shared" si="14"/>
        <v>100</v>
      </c>
      <c r="L90" s="111" t="s">
        <v>264</v>
      </c>
      <c r="M90" s="111" t="s">
        <v>265</v>
      </c>
    </row>
    <row r="91" spans="1:13" ht="21" customHeight="1" x14ac:dyDescent="0.15">
      <c r="A91" s="187">
        <v>39013511</v>
      </c>
      <c r="B91" s="47">
        <v>0</v>
      </c>
      <c r="C91" s="47">
        <v>522</v>
      </c>
      <c r="D91" s="47">
        <v>100</v>
      </c>
      <c r="E91" s="47">
        <v>60</v>
      </c>
      <c r="F91" s="47">
        <v>41</v>
      </c>
      <c r="G91" s="47" t="s">
        <v>53</v>
      </c>
      <c r="H91" s="47">
        <v>5</v>
      </c>
      <c r="I91" s="47" t="s">
        <v>53</v>
      </c>
      <c r="J91" s="48">
        <f t="shared" si="14"/>
        <v>100</v>
      </c>
      <c r="L91" s="111" t="s">
        <v>264</v>
      </c>
      <c r="M91" s="111" t="s">
        <v>287</v>
      </c>
    </row>
    <row r="92" spans="1:13" ht="21" customHeight="1" x14ac:dyDescent="0.15">
      <c r="A92" s="187">
        <v>39013512</v>
      </c>
      <c r="B92" s="47">
        <v>0</v>
      </c>
      <c r="C92" s="47">
        <v>523</v>
      </c>
      <c r="D92" s="47">
        <v>100</v>
      </c>
      <c r="E92" s="47">
        <v>40</v>
      </c>
      <c r="F92" s="47">
        <v>21</v>
      </c>
      <c r="G92" s="47" t="s">
        <v>53</v>
      </c>
      <c r="H92" s="47">
        <v>5</v>
      </c>
      <c r="I92" s="47" t="s">
        <v>53</v>
      </c>
      <c r="J92" s="48">
        <f t="shared" si="14"/>
        <v>100</v>
      </c>
      <c r="L92" s="111" t="s">
        <v>264</v>
      </c>
      <c r="M92" s="111" t="s">
        <v>288</v>
      </c>
    </row>
    <row r="93" spans="1:13" ht="21" customHeight="1" thickBot="1" x14ac:dyDescent="0.2">
      <c r="A93" s="231">
        <v>39013513</v>
      </c>
      <c r="B93" s="153">
        <v>0</v>
      </c>
      <c r="C93" s="153">
        <v>524</v>
      </c>
      <c r="D93" s="153">
        <v>100</v>
      </c>
      <c r="E93" s="153">
        <v>20</v>
      </c>
      <c r="F93" s="153" t="s">
        <v>53</v>
      </c>
      <c r="G93" s="153" t="s">
        <v>53</v>
      </c>
      <c r="H93" s="153">
        <v>5</v>
      </c>
      <c r="I93" s="153" t="s">
        <v>53</v>
      </c>
      <c r="J93" s="184">
        <f t="shared" si="14"/>
        <v>100</v>
      </c>
      <c r="K93" s="191"/>
      <c r="L93" s="242" t="s">
        <v>264</v>
      </c>
      <c r="M93" s="242" t="s">
        <v>289</v>
      </c>
    </row>
    <row r="94" spans="1:13" ht="21" customHeight="1" x14ac:dyDescent="0.15">
      <c r="A94" s="229">
        <v>39013525</v>
      </c>
      <c r="B94" s="188">
        <v>1</v>
      </c>
      <c r="C94" s="188">
        <v>600</v>
      </c>
      <c r="D94" s="188">
        <v>100</v>
      </c>
      <c r="E94" s="188" t="s">
        <v>53</v>
      </c>
      <c r="F94" s="188" t="s">
        <v>53</v>
      </c>
      <c r="G94" s="188">
        <v>1</v>
      </c>
      <c r="H94" s="188">
        <v>1</v>
      </c>
      <c r="I94" s="188" t="s">
        <v>53</v>
      </c>
      <c r="J94" s="189">
        <f t="shared" ref="J94:J157" si="16">D94</f>
        <v>100</v>
      </c>
      <c r="L94" s="190" t="s">
        <v>259</v>
      </c>
      <c r="M94" s="190" t="s">
        <v>259</v>
      </c>
    </row>
    <row r="95" spans="1:13" ht="21" customHeight="1" x14ac:dyDescent="0.15">
      <c r="A95" s="225">
        <v>39013526</v>
      </c>
      <c r="B95" s="47">
        <v>0</v>
      </c>
      <c r="C95" s="47">
        <v>400</v>
      </c>
      <c r="D95" s="47">
        <v>100</v>
      </c>
      <c r="E95" s="47" t="s">
        <v>53</v>
      </c>
      <c r="F95" s="47" t="s">
        <v>53</v>
      </c>
      <c r="G95" s="47">
        <v>2</v>
      </c>
      <c r="H95" s="47">
        <v>1</v>
      </c>
      <c r="I95" s="47" t="s">
        <v>53</v>
      </c>
      <c r="J95" s="48">
        <f t="shared" si="16"/>
        <v>100</v>
      </c>
      <c r="L95" s="116" t="s">
        <v>271</v>
      </c>
      <c r="M95" s="116" t="s">
        <v>271</v>
      </c>
    </row>
    <row r="96" spans="1:13" ht="21" customHeight="1" x14ac:dyDescent="0.15">
      <c r="A96" s="225">
        <v>39013527</v>
      </c>
      <c r="B96" s="47">
        <v>0</v>
      </c>
      <c r="C96" s="47">
        <v>420</v>
      </c>
      <c r="D96" s="47">
        <v>100</v>
      </c>
      <c r="E96" s="47" t="s">
        <v>53</v>
      </c>
      <c r="F96" s="47" t="s">
        <v>53</v>
      </c>
      <c r="G96" s="47">
        <v>1</v>
      </c>
      <c r="H96" s="47">
        <v>2</v>
      </c>
      <c r="I96" s="47" t="s">
        <v>53</v>
      </c>
      <c r="J96" s="48">
        <f t="shared" si="16"/>
        <v>100</v>
      </c>
      <c r="L96" s="116" t="s">
        <v>278</v>
      </c>
      <c r="M96" s="116" t="s">
        <v>278</v>
      </c>
    </row>
    <row r="97" spans="1:13" ht="21" customHeight="1" x14ac:dyDescent="0.15">
      <c r="A97" s="225">
        <v>39013528</v>
      </c>
      <c r="B97" s="47">
        <v>0</v>
      </c>
      <c r="C97" s="47">
        <v>420</v>
      </c>
      <c r="D97" s="47">
        <v>100</v>
      </c>
      <c r="E97" s="47" t="s">
        <v>53</v>
      </c>
      <c r="F97" s="47" t="s">
        <v>53</v>
      </c>
      <c r="G97" s="47">
        <v>1</v>
      </c>
      <c r="H97" s="47">
        <v>2</v>
      </c>
      <c r="I97" s="47" t="s">
        <v>53</v>
      </c>
      <c r="J97" s="48">
        <f t="shared" si="16"/>
        <v>100</v>
      </c>
      <c r="L97" s="116" t="s">
        <v>277</v>
      </c>
      <c r="M97" s="116" t="s">
        <v>277</v>
      </c>
    </row>
    <row r="98" spans="1:13" ht="21" customHeight="1" x14ac:dyDescent="0.15">
      <c r="A98" s="225">
        <v>39013529</v>
      </c>
      <c r="B98" s="47">
        <v>0</v>
      </c>
      <c r="C98" s="47">
        <v>500</v>
      </c>
      <c r="D98" s="47">
        <v>100</v>
      </c>
      <c r="E98" s="47" t="s">
        <v>53</v>
      </c>
      <c r="F98" s="47" t="s">
        <v>53</v>
      </c>
      <c r="G98" s="47">
        <v>1</v>
      </c>
      <c r="H98" s="47">
        <v>1</v>
      </c>
      <c r="I98" s="47" t="s">
        <v>53</v>
      </c>
      <c r="J98" s="48">
        <f t="shared" si="16"/>
        <v>100</v>
      </c>
      <c r="L98" s="116" t="s">
        <v>272</v>
      </c>
      <c r="M98" s="116" t="s">
        <v>303</v>
      </c>
    </row>
    <row r="99" spans="1:13" ht="21" customHeight="1" x14ac:dyDescent="0.15">
      <c r="A99" s="225">
        <v>39013530</v>
      </c>
      <c r="B99" s="47">
        <v>0</v>
      </c>
      <c r="C99" s="47">
        <v>510</v>
      </c>
      <c r="D99" s="47">
        <v>100</v>
      </c>
      <c r="E99" s="47" t="s">
        <v>53</v>
      </c>
      <c r="F99" s="47" t="s">
        <v>53</v>
      </c>
      <c r="G99" s="47">
        <v>1</v>
      </c>
      <c r="H99" s="47">
        <v>2</v>
      </c>
      <c r="I99" s="47" t="s">
        <v>53</v>
      </c>
      <c r="J99" s="48">
        <f t="shared" si="16"/>
        <v>100</v>
      </c>
      <c r="L99" s="116" t="s">
        <v>273</v>
      </c>
      <c r="M99" s="116" t="s">
        <v>304</v>
      </c>
    </row>
    <row r="100" spans="1:13" ht="21" customHeight="1" x14ac:dyDescent="0.15">
      <c r="A100" s="225">
        <v>39013531</v>
      </c>
      <c r="B100" s="47">
        <v>0</v>
      </c>
      <c r="C100" s="47">
        <v>530</v>
      </c>
      <c r="D100" s="47">
        <v>100</v>
      </c>
      <c r="E100" s="47" t="s">
        <v>53</v>
      </c>
      <c r="F100" s="47" t="s">
        <v>53</v>
      </c>
      <c r="G100" s="47">
        <v>2</v>
      </c>
      <c r="H100" s="47">
        <v>6</v>
      </c>
      <c r="I100" s="47" t="s">
        <v>53</v>
      </c>
      <c r="J100" s="48">
        <f t="shared" si="16"/>
        <v>100</v>
      </c>
      <c r="L100" s="116" t="s">
        <v>274</v>
      </c>
      <c r="M100" s="116" t="s">
        <v>305</v>
      </c>
    </row>
    <row r="101" spans="1:13" ht="21" customHeight="1" x14ac:dyDescent="0.15">
      <c r="A101" s="225">
        <v>39013532</v>
      </c>
      <c r="B101" s="47">
        <v>0</v>
      </c>
      <c r="C101" s="47">
        <v>540</v>
      </c>
      <c r="D101" s="47">
        <v>100</v>
      </c>
      <c r="E101" s="47" t="s">
        <v>53</v>
      </c>
      <c r="F101" s="47" t="s">
        <v>53</v>
      </c>
      <c r="G101" s="47">
        <v>1</v>
      </c>
      <c r="H101" s="47">
        <v>9</v>
      </c>
      <c r="I101" s="47" t="s">
        <v>53</v>
      </c>
      <c r="J101" s="48">
        <f t="shared" si="16"/>
        <v>100</v>
      </c>
      <c r="L101" s="116" t="s">
        <v>275</v>
      </c>
      <c r="M101" s="116" t="s">
        <v>307</v>
      </c>
    </row>
    <row r="102" spans="1:13" ht="21" customHeight="1" x14ac:dyDescent="0.15">
      <c r="A102" s="225">
        <v>39013533</v>
      </c>
      <c r="B102" s="47">
        <v>0</v>
      </c>
      <c r="C102" s="47">
        <v>550</v>
      </c>
      <c r="D102" s="47">
        <v>100</v>
      </c>
      <c r="E102" s="47" t="s">
        <v>53</v>
      </c>
      <c r="F102" s="47" t="s">
        <v>53</v>
      </c>
      <c r="G102" s="47">
        <v>1</v>
      </c>
      <c r="H102" s="47">
        <v>11</v>
      </c>
      <c r="I102" s="47" t="s">
        <v>53</v>
      </c>
      <c r="J102" s="48">
        <f t="shared" si="16"/>
        <v>100</v>
      </c>
      <c r="L102" s="116" t="s">
        <v>276</v>
      </c>
      <c r="M102" s="116" t="s">
        <v>308</v>
      </c>
    </row>
    <row r="103" spans="1:13" ht="21" customHeight="1" x14ac:dyDescent="0.15">
      <c r="A103" s="225">
        <v>39013534</v>
      </c>
      <c r="B103" s="47">
        <v>0</v>
      </c>
      <c r="C103" s="47">
        <v>520</v>
      </c>
      <c r="D103" s="47">
        <v>100</v>
      </c>
      <c r="E103" s="47" t="s">
        <v>53</v>
      </c>
      <c r="F103" s="47">
        <v>81</v>
      </c>
      <c r="G103" s="47" t="s">
        <v>53</v>
      </c>
      <c r="H103" s="47">
        <v>5</v>
      </c>
      <c r="I103" s="47" t="s">
        <v>53</v>
      </c>
      <c r="J103" s="48">
        <f t="shared" si="16"/>
        <v>100</v>
      </c>
      <c r="L103" s="111" t="s">
        <v>264</v>
      </c>
      <c r="M103" s="111" t="s">
        <v>285</v>
      </c>
    </row>
    <row r="104" spans="1:13" ht="21" customHeight="1" x14ac:dyDescent="0.15">
      <c r="A104" s="225">
        <v>39013535</v>
      </c>
      <c r="B104" s="47">
        <v>0</v>
      </c>
      <c r="C104" s="47">
        <v>521</v>
      </c>
      <c r="D104" s="47">
        <v>100</v>
      </c>
      <c r="E104" s="47">
        <v>80</v>
      </c>
      <c r="F104" s="47">
        <v>61</v>
      </c>
      <c r="G104" s="47" t="s">
        <v>53</v>
      </c>
      <c r="H104" s="47">
        <v>5</v>
      </c>
      <c r="I104" s="47" t="s">
        <v>53</v>
      </c>
      <c r="J104" s="48">
        <f t="shared" si="16"/>
        <v>100</v>
      </c>
      <c r="L104" s="111" t="s">
        <v>264</v>
      </c>
      <c r="M104" s="111" t="s">
        <v>265</v>
      </c>
    </row>
    <row r="105" spans="1:13" ht="21" customHeight="1" x14ac:dyDescent="0.15">
      <c r="A105" s="225">
        <v>39013536</v>
      </c>
      <c r="B105" s="47">
        <v>0</v>
      </c>
      <c r="C105" s="47">
        <v>522</v>
      </c>
      <c r="D105" s="47">
        <v>100</v>
      </c>
      <c r="E105" s="47">
        <v>60</v>
      </c>
      <c r="F105" s="47">
        <v>41</v>
      </c>
      <c r="G105" s="47" t="s">
        <v>53</v>
      </c>
      <c r="H105" s="47">
        <v>5</v>
      </c>
      <c r="I105" s="47" t="s">
        <v>53</v>
      </c>
      <c r="J105" s="48">
        <f t="shared" si="16"/>
        <v>100</v>
      </c>
      <c r="L105" s="111" t="s">
        <v>264</v>
      </c>
      <c r="M105" s="111" t="s">
        <v>287</v>
      </c>
    </row>
    <row r="106" spans="1:13" ht="21" customHeight="1" x14ac:dyDescent="0.15">
      <c r="A106" s="225">
        <v>39013537</v>
      </c>
      <c r="B106" s="47">
        <v>0</v>
      </c>
      <c r="C106" s="47">
        <v>523</v>
      </c>
      <c r="D106" s="47">
        <v>100</v>
      </c>
      <c r="E106" s="47">
        <v>40</v>
      </c>
      <c r="F106" s="47">
        <v>21</v>
      </c>
      <c r="G106" s="47" t="s">
        <v>53</v>
      </c>
      <c r="H106" s="47">
        <v>5</v>
      </c>
      <c r="I106" s="47" t="s">
        <v>53</v>
      </c>
      <c r="J106" s="48">
        <f t="shared" si="16"/>
        <v>100</v>
      </c>
      <c r="L106" s="111" t="s">
        <v>264</v>
      </c>
      <c r="M106" s="111" t="s">
        <v>288</v>
      </c>
    </row>
    <row r="107" spans="1:13" ht="21" customHeight="1" thickBot="1" x14ac:dyDescent="0.2">
      <c r="A107" s="230">
        <v>39013538</v>
      </c>
      <c r="B107" s="153">
        <v>0</v>
      </c>
      <c r="C107" s="153">
        <v>524</v>
      </c>
      <c r="D107" s="153">
        <v>100</v>
      </c>
      <c r="E107" s="153">
        <v>20</v>
      </c>
      <c r="F107" s="153" t="s">
        <v>53</v>
      </c>
      <c r="G107" s="153" t="s">
        <v>53</v>
      </c>
      <c r="H107" s="153">
        <v>5</v>
      </c>
      <c r="I107" s="153" t="s">
        <v>53</v>
      </c>
      <c r="J107" s="184">
        <f t="shared" si="16"/>
        <v>100</v>
      </c>
      <c r="K107" s="191"/>
      <c r="L107" s="242" t="s">
        <v>264</v>
      </c>
      <c r="M107" s="242" t="s">
        <v>289</v>
      </c>
    </row>
    <row r="108" spans="1:13" ht="21" customHeight="1" x14ac:dyDescent="0.15">
      <c r="A108" s="227">
        <v>39013550</v>
      </c>
      <c r="B108" s="188">
        <v>1</v>
      </c>
      <c r="C108" s="188">
        <v>600</v>
      </c>
      <c r="D108" s="188">
        <v>100</v>
      </c>
      <c r="E108" s="188" t="s">
        <v>53</v>
      </c>
      <c r="F108" s="188" t="s">
        <v>53</v>
      </c>
      <c r="G108" s="188">
        <v>1</v>
      </c>
      <c r="H108" s="188">
        <v>1</v>
      </c>
      <c r="I108" s="188" t="s">
        <v>53</v>
      </c>
      <c r="J108" s="189">
        <f t="shared" si="16"/>
        <v>100</v>
      </c>
      <c r="L108" s="190" t="s">
        <v>259</v>
      </c>
      <c r="M108" s="190" t="s">
        <v>259</v>
      </c>
    </row>
    <row r="109" spans="1:13" ht="21" customHeight="1" x14ac:dyDescent="0.15">
      <c r="A109" s="226">
        <v>39013551</v>
      </c>
      <c r="B109" s="47">
        <v>0</v>
      </c>
      <c r="C109" s="47">
        <v>400</v>
      </c>
      <c r="D109" s="47">
        <v>100</v>
      </c>
      <c r="E109" s="47" t="s">
        <v>53</v>
      </c>
      <c r="F109" s="47" t="s">
        <v>53</v>
      </c>
      <c r="G109" s="47">
        <v>2</v>
      </c>
      <c r="H109" s="47">
        <v>1</v>
      </c>
      <c r="I109" s="47" t="s">
        <v>53</v>
      </c>
      <c r="J109" s="48">
        <f t="shared" si="16"/>
        <v>100</v>
      </c>
      <c r="L109" s="116" t="s">
        <v>271</v>
      </c>
      <c r="M109" s="116" t="s">
        <v>271</v>
      </c>
    </row>
    <row r="110" spans="1:13" ht="21" customHeight="1" x14ac:dyDescent="0.15">
      <c r="A110" s="226">
        <v>39013552</v>
      </c>
      <c r="B110" s="47">
        <v>0</v>
      </c>
      <c r="C110" s="47">
        <v>420</v>
      </c>
      <c r="D110" s="47">
        <v>100</v>
      </c>
      <c r="E110" s="47" t="s">
        <v>53</v>
      </c>
      <c r="F110" s="47" t="s">
        <v>53</v>
      </c>
      <c r="G110" s="47">
        <v>1</v>
      </c>
      <c r="H110" s="47">
        <v>2</v>
      </c>
      <c r="I110" s="47" t="s">
        <v>53</v>
      </c>
      <c r="J110" s="48">
        <f t="shared" si="16"/>
        <v>100</v>
      </c>
      <c r="L110" s="116" t="s">
        <v>278</v>
      </c>
      <c r="M110" s="116" t="s">
        <v>278</v>
      </c>
    </row>
    <row r="111" spans="1:13" ht="21" customHeight="1" x14ac:dyDescent="0.15">
      <c r="A111" s="226">
        <v>39013553</v>
      </c>
      <c r="B111" s="47">
        <v>0</v>
      </c>
      <c r="C111" s="47">
        <v>420</v>
      </c>
      <c r="D111" s="47">
        <v>100</v>
      </c>
      <c r="E111" s="47" t="s">
        <v>53</v>
      </c>
      <c r="F111" s="47" t="s">
        <v>53</v>
      </c>
      <c r="G111" s="47">
        <v>1</v>
      </c>
      <c r="H111" s="47">
        <v>2</v>
      </c>
      <c r="I111" s="47" t="s">
        <v>53</v>
      </c>
      <c r="J111" s="48">
        <f t="shared" si="16"/>
        <v>100</v>
      </c>
      <c r="L111" s="116" t="s">
        <v>277</v>
      </c>
      <c r="M111" s="116" t="s">
        <v>277</v>
      </c>
    </row>
    <row r="112" spans="1:13" ht="21" customHeight="1" x14ac:dyDescent="0.15">
      <c r="A112" s="226">
        <v>39013554</v>
      </c>
      <c r="B112" s="47">
        <v>0</v>
      </c>
      <c r="C112" s="47">
        <v>500</v>
      </c>
      <c r="D112" s="47">
        <v>100</v>
      </c>
      <c r="E112" s="47" t="s">
        <v>53</v>
      </c>
      <c r="F112" s="47" t="s">
        <v>53</v>
      </c>
      <c r="G112" s="47">
        <v>1</v>
      </c>
      <c r="H112" s="47">
        <v>1</v>
      </c>
      <c r="I112" s="47" t="s">
        <v>53</v>
      </c>
      <c r="J112" s="48">
        <f t="shared" si="16"/>
        <v>100</v>
      </c>
      <c r="L112" s="116" t="s">
        <v>272</v>
      </c>
      <c r="M112" s="116" t="s">
        <v>303</v>
      </c>
    </row>
    <row r="113" spans="1:13" ht="21" customHeight="1" x14ac:dyDescent="0.15">
      <c r="A113" s="226">
        <v>39013555</v>
      </c>
      <c r="B113" s="47">
        <v>0</v>
      </c>
      <c r="C113" s="47">
        <v>510</v>
      </c>
      <c r="D113" s="47">
        <v>100</v>
      </c>
      <c r="E113" s="47" t="s">
        <v>53</v>
      </c>
      <c r="F113" s="47" t="s">
        <v>53</v>
      </c>
      <c r="G113" s="47">
        <v>1</v>
      </c>
      <c r="H113" s="47">
        <v>2</v>
      </c>
      <c r="I113" s="47" t="s">
        <v>53</v>
      </c>
      <c r="J113" s="48">
        <f t="shared" si="16"/>
        <v>100</v>
      </c>
      <c r="L113" s="116" t="s">
        <v>273</v>
      </c>
      <c r="M113" s="116" t="s">
        <v>304</v>
      </c>
    </row>
    <row r="114" spans="1:13" ht="21" customHeight="1" x14ac:dyDescent="0.15">
      <c r="A114" s="226">
        <v>39013556</v>
      </c>
      <c r="B114" s="47">
        <v>0</v>
      </c>
      <c r="C114" s="47">
        <v>530</v>
      </c>
      <c r="D114" s="47">
        <v>100</v>
      </c>
      <c r="E114" s="47" t="s">
        <v>53</v>
      </c>
      <c r="F114" s="47" t="s">
        <v>53</v>
      </c>
      <c r="G114" s="47">
        <v>2</v>
      </c>
      <c r="H114" s="47">
        <v>6</v>
      </c>
      <c r="I114" s="47" t="s">
        <v>53</v>
      </c>
      <c r="J114" s="48">
        <f t="shared" si="16"/>
        <v>100</v>
      </c>
      <c r="L114" s="116" t="s">
        <v>274</v>
      </c>
      <c r="M114" s="116" t="s">
        <v>305</v>
      </c>
    </row>
    <row r="115" spans="1:13" ht="21" customHeight="1" x14ac:dyDescent="0.15">
      <c r="A115" s="226">
        <v>39013557</v>
      </c>
      <c r="B115" s="47">
        <v>0</v>
      </c>
      <c r="C115" s="47">
        <v>540</v>
      </c>
      <c r="D115" s="47">
        <v>100</v>
      </c>
      <c r="E115" s="47" t="s">
        <v>53</v>
      </c>
      <c r="F115" s="47" t="s">
        <v>53</v>
      </c>
      <c r="G115" s="47">
        <v>1</v>
      </c>
      <c r="H115" s="47">
        <v>9</v>
      </c>
      <c r="I115" s="47" t="s">
        <v>53</v>
      </c>
      <c r="J115" s="48">
        <f t="shared" si="16"/>
        <v>100</v>
      </c>
      <c r="L115" s="116" t="s">
        <v>275</v>
      </c>
      <c r="M115" s="116" t="s">
        <v>307</v>
      </c>
    </row>
    <row r="116" spans="1:13" ht="21" customHeight="1" x14ac:dyDescent="0.15">
      <c r="A116" s="226">
        <v>39013558</v>
      </c>
      <c r="B116" s="47">
        <v>0</v>
      </c>
      <c r="C116" s="47">
        <v>550</v>
      </c>
      <c r="D116" s="47">
        <v>100</v>
      </c>
      <c r="E116" s="47" t="s">
        <v>53</v>
      </c>
      <c r="F116" s="47" t="s">
        <v>53</v>
      </c>
      <c r="G116" s="47">
        <v>1</v>
      </c>
      <c r="H116" s="47">
        <v>11</v>
      </c>
      <c r="I116" s="47" t="s">
        <v>53</v>
      </c>
      <c r="J116" s="48">
        <f t="shared" si="16"/>
        <v>100</v>
      </c>
      <c r="L116" s="116" t="s">
        <v>276</v>
      </c>
      <c r="M116" s="116" t="s">
        <v>308</v>
      </c>
    </row>
    <row r="117" spans="1:13" ht="21" customHeight="1" x14ac:dyDescent="0.15">
      <c r="A117" s="226">
        <v>39013559</v>
      </c>
      <c r="B117" s="47">
        <v>0</v>
      </c>
      <c r="C117" s="47">
        <v>520</v>
      </c>
      <c r="D117" s="47">
        <v>100</v>
      </c>
      <c r="E117" s="47" t="s">
        <v>53</v>
      </c>
      <c r="F117" s="47">
        <v>81</v>
      </c>
      <c r="G117" s="47" t="s">
        <v>53</v>
      </c>
      <c r="H117" s="47">
        <v>5</v>
      </c>
      <c r="I117" s="47" t="s">
        <v>53</v>
      </c>
      <c r="J117" s="48">
        <f t="shared" si="16"/>
        <v>100</v>
      </c>
      <c r="L117" s="111" t="s">
        <v>264</v>
      </c>
      <c r="M117" s="111" t="s">
        <v>285</v>
      </c>
    </row>
    <row r="118" spans="1:13" ht="21" customHeight="1" x14ac:dyDescent="0.15">
      <c r="A118" s="226">
        <v>39013560</v>
      </c>
      <c r="B118" s="47">
        <v>0</v>
      </c>
      <c r="C118" s="47">
        <v>521</v>
      </c>
      <c r="D118" s="47">
        <v>100</v>
      </c>
      <c r="E118" s="47">
        <v>80</v>
      </c>
      <c r="F118" s="47">
        <v>61</v>
      </c>
      <c r="G118" s="47" t="s">
        <v>53</v>
      </c>
      <c r="H118" s="47">
        <v>5</v>
      </c>
      <c r="I118" s="47" t="s">
        <v>53</v>
      </c>
      <c r="J118" s="48">
        <f t="shared" si="16"/>
        <v>100</v>
      </c>
      <c r="L118" s="111" t="s">
        <v>264</v>
      </c>
      <c r="M118" s="111" t="s">
        <v>265</v>
      </c>
    </row>
    <row r="119" spans="1:13" ht="21" customHeight="1" x14ac:dyDescent="0.15">
      <c r="A119" s="226">
        <v>39013561</v>
      </c>
      <c r="B119" s="47">
        <v>0</v>
      </c>
      <c r="C119" s="47">
        <v>522</v>
      </c>
      <c r="D119" s="47">
        <v>100</v>
      </c>
      <c r="E119" s="47">
        <v>60</v>
      </c>
      <c r="F119" s="47">
        <v>41</v>
      </c>
      <c r="G119" s="47" t="s">
        <v>53</v>
      </c>
      <c r="H119" s="47">
        <v>5</v>
      </c>
      <c r="I119" s="47" t="s">
        <v>53</v>
      </c>
      <c r="J119" s="48">
        <f t="shared" si="16"/>
        <v>100</v>
      </c>
      <c r="L119" s="111" t="s">
        <v>264</v>
      </c>
      <c r="M119" s="111" t="s">
        <v>287</v>
      </c>
    </row>
    <row r="120" spans="1:13" ht="21" customHeight="1" x14ac:dyDescent="0.15">
      <c r="A120" s="226">
        <v>39013562</v>
      </c>
      <c r="B120" s="47">
        <v>0</v>
      </c>
      <c r="C120" s="47">
        <v>523</v>
      </c>
      <c r="D120" s="47">
        <v>100</v>
      </c>
      <c r="E120" s="47">
        <v>40</v>
      </c>
      <c r="F120" s="47">
        <v>21</v>
      </c>
      <c r="G120" s="47" t="s">
        <v>53</v>
      </c>
      <c r="H120" s="47">
        <v>5</v>
      </c>
      <c r="I120" s="47" t="s">
        <v>53</v>
      </c>
      <c r="J120" s="48">
        <f t="shared" si="16"/>
        <v>100</v>
      </c>
      <c r="L120" s="111" t="s">
        <v>264</v>
      </c>
      <c r="M120" s="111" t="s">
        <v>288</v>
      </c>
    </row>
    <row r="121" spans="1:13" ht="21" customHeight="1" thickBot="1" x14ac:dyDescent="0.2">
      <c r="A121" s="246">
        <v>39013563</v>
      </c>
      <c r="B121" s="153">
        <v>0</v>
      </c>
      <c r="C121" s="153">
        <v>524</v>
      </c>
      <c r="D121" s="153">
        <v>100</v>
      </c>
      <c r="E121" s="153">
        <v>20</v>
      </c>
      <c r="F121" s="153" t="s">
        <v>53</v>
      </c>
      <c r="G121" s="153" t="s">
        <v>53</v>
      </c>
      <c r="H121" s="153">
        <v>5</v>
      </c>
      <c r="I121" s="153" t="s">
        <v>53</v>
      </c>
      <c r="J121" s="184">
        <f t="shared" si="16"/>
        <v>100</v>
      </c>
      <c r="K121" s="191"/>
      <c r="L121" s="242" t="s">
        <v>264</v>
      </c>
      <c r="M121" s="242" t="s">
        <v>289</v>
      </c>
    </row>
    <row r="122" spans="1:13" ht="21" customHeight="1" x14ac:dyDescent="0.15">
      <c r="A122" s="164">
        <v>39013801</v>
      </c>
      <c r="B122" s="47">
        <v>0</v>
      </c>
      <c r="C122" s="47">
        <v>801</v>
      </c>
      <c r="D122" s="47">
        <v>100</v>
      </c>
      <c r="E122" s="47" t="s">
        <v>53</v>
      </c>
      <c r="F122" s="47" t="s">
        <v>53</v>
      </c>
      <c r="G122" s="47">
        <v>0</v>
      </c>
      <c r="H122" s="47">
        <v>1</v>
      </c>
      <c r="I122" s="188">
        <v>1551</v>
      </c>
      <c r="J122" s="48">
        <f t="shared" si="16"/>
        <v>100</v>
      </c>
      <c r="L122" s="166" t="s">
        <v>270</v>
      </c>
      <c r="M122" s="166" t="s">
        <v>450</v>
      </c>
    </row>
    <row r="123" spans="1:13" ht="21" customHeight="1" x14ac:dyDescent="0.15">
      <c r="A123" s="164">
        <v>39013802</v>
      </c>
      <c r="B123" s="47">
        <v>0</v>
      </c>
      <c r="C123" s="47">
        <v>802</v>
      </c>
      <c r="D123" s="47">
        <v>100</v>
      </c>
      <c r="E123" s="47" t="s">
        <v>53</v>
      </c>
      <c r="F123" s="47" t="s">
        <v>53</v>
      </c>
      <c r="G123" s="47">
        <v>0</v>
      </c>
      <c r="H123" s="47">
        <v>1</v>
      </c>
      <c r="I123" s="47">
        <v>1552</v>
      </c>
      <c r="J123" s="48">
        <f t="shared" si="16"/>
        <v>100</v>
      </c>
      <c r="L123" s="166" t="s">
        <v>270</v>
      </c>
      <c r="M123" s="166" t="s">
        <v>450</v>
      </c>
    </row>
    <row r="124" spans="1:13" ht="21" customHeight="1" x14ac:dyDescent="0.15">
      <c r="A124" s="164">
        <v>39013803</v>
      </c>
      <c r="B124" s="47">
        <v>0</v>
      </c>
      <c r="C124" s="47">
        <v>803</v>
      </c>
      <c r="D124" s="47">
        <v>100</v>
      </c>
      <c r="E124" s="47" t="s">
        <v>53</v>
      </c>
      <c r="F124" s="47" t="s">
        <v>53</v>
      </c>
      <c r="G124" s="47">
        <v>0</v>
      </c>
      <c r="H124" s="47">
        <v>1</v>
      </c>
      <c r="I124" s="47">
        <v>1553</v>
      </c>
      <c r="J124" s="48">
        <f t="shared" si="16"/>
        <v>100</v>
      </c>
      <c r="L124" s="166" t="s">
        <v>270</v>
      </c>
      <c r="M124" s="166" t="s">
        <v>450</v>
      </c>
    </row>
    <row r="125" spans="1:13" ht="21" customHeight="1" x14ac:dyDescent="0.15">
      <c r="A125" s="164">
        <v>39013804</v>
      </c>
      <c r="B125" s="47">
        <v>0</v>
      </c>
      <c r="C125" s="47">
        <v>804</v>
      </c>
      <c r="D125" s="47">
        <v>100</v>
      </c>
      <c r="E125" s="47" t="s">
        <v>53</v>
      </c>
      <c r="F125" s="47" t="s">
        <v>53</v>
      </c>
      <c r="G125" s="47">
        <v>0</v>
      </c>
      <c r="H125" s="47">
        <v>1</v>
      </c>
      <c r="I125" s="47">
        <v>1554</v>
      </c>
      <c r="J125" s="48">
        <f t="shared" si="16"/>
        <v>100</v>
      </c>
      <c r="L125" s="166" t="s">
        <v>270</v>
      </c>
      <c r="M125" s="166" t="s">
        <v>450</v>
      </c>
    </row>
    <row r="126" spans="1:13" ht="21" customHeight="1" x14ac:dyDescent="0.15">
      <c r="A126" s="164">
        <v>39013805</v>
      </c>
      <c r="B126" s="47">
        <v>0</v>
      </c>
      <c r="C126" s="47">
        <v>805</v>
      </c>
      <c r="D126" s="47">
        <v>100</v>
      </c>
      <c r="E126" s="47" t="s">
        <v>53</v>
      </c>
      <c r="F126" s="47" t="s">
        <v>53</v>
      </c>
      <c r="G126" s="47">
        <v>0</v>
      </c>
      <c r="H126" s="47">
        <v>1</v>
      </c>
      <c r="I126" s="47">
        <v>1555</v>
      </c>
      <c r="J126" s="48">
        <f t="shared" si="16"/>
        <v>100</v>
      </c>
      <c r="L126" s="166" t="s">
        <v>270</v>
      </c>
      <c r="M126" s="166" t="s">
        <v>450</v>
      </c>
    </row>
    <row r="127" spans="1:13" ht="21" customHeight="1" x14ac:dyDescent="0.15">
      <c r="A127" s="164">
        <v>39013806</v>
      </c>
      <c r="B127" s="47">
        <v>0</v>
      </c>
      <c r="C127" s="47">
        <v>806</v>
      </c>
      <c r="D127" s="47">
        <v>100</v>
      </c>
      <c r="E127" s="47" t="s">
        <v>53</v>
      </c>
      <c r="F127" s="47" t="s">
        <v>53</v>
      </c>
      <c r="G127" s="47">
        <v>0</v>
      </c>
      <c r="H127" s="47">
        <v>1</v>
      </c>
      <c r="I127" s="47">
        <v>1556</v>
      </c>
      <c r="J127" s="48">
        <f t="shared" si="16"/>
        <v>100</v>
      </c>
      <c r="L127" s="166" t="s">
        <v>270</v>
      </c>
      <c r="M127" s="166" t="s">
        <v>450</v>
      </c>
    </row>
    <row r="128" spans="1:13" ht="21" customHeight="1" x14ac:dyDescent="0.15">
      <c r="A128" s="164">
        <v>39013807</v>
      </c>
      <c r="B128" s="47">
        <v>0</v>
      </c>
      <c r="C128" s="47">
        <v>807</v>
      </c>
      <c r="D128" s="47">
        <v>100</v>
      </c>
      <c r="E128" s="47" t="s">
        <v>53</v>
      </c>
      <c r="F128" s="47" t="s">
        <v>53</v>
      </c>
      <c r="G128" s="47">
        <v>0</v>
      </c>
      <c r="H128" s="47">
        <v>1</v>
      </c>
      <c r="I128" s="47">
        <v>1557</v>
      </c>
      <c r="J128" s="48">
        <f t="shared" si="16"/>
        <v>100</v>
      </c>
      <c r="L128" s="166" t="s">
        <v>270</v>
      </c>
      <c r="M128" s="166" t="s">
        <v>450</v>
      </c>
    </row>
    <row r="129" spans="1:13" ht="21" customHeight="1" x14ac:dyDescent="0.15">
      <c r="A129" s="164">
        <v>39013808</v>
      </c>
      <c r="B129" s="47">
        <v>0</v>
      </c>
      <c r="C129" s="47">
        <v>808</v>
      </c>
      <c r="D129" s="47">
        <v>100</v>
      </c>
      <c r="E129" s="47" t="s">
        <v>53</v>
      </c>
      <c r="F129" s="47" t="s">
        <v>53</v>
      </c>
      <c r="G129" s="47">
        <v>0</v>
      </c>
      <c r="H129" s="47">
        <v>1</v>
      </c>
      <c r="I129" s="47">
        <v>1558</v>
      </c>
      <c r="J129" s="48">
        <f t="shared" si="16"/>
        <v>100</v>
      </c>
      <c r="L129" s="166" t="s">
        <v>270</v>
      </c>
      <c r="M129" s="166" t="s">
        <v>450</v>
      </c>
    </row>
    <row r="130" spans="1:13" ht="21" customHeight="1" x14ac:dyDescent="0.15">
      <c r="A130" s="164">
        <v>39013809</v>
      </c>
      <c r="B130" s="47">
        <v>0</v>
      </c>
      <c r="C130" s="47">
        <v>809</v>
      </c>
      <c r="D130" s="47">
        <v>100</v>
      </c>
      <c r="E130" s="47" t="s">
        <v>53</v>
      </c>
      <c r="F130" s="47" t="s">
        <v>53</v>
      </c>
      <c r="G130" s="47">
        <v>0</v>
      </c>
      <c r="H130" s="47">
        <v>1</v>
      </c>
      <c r="I130" s="47">
        <v>1559</v>
      </c>
      <c r="J130" s="48">
        <f t="shared" si="16"/>
        <v>100</v>
      </c>
      <c r="L130" s="166" t="s">
        <v>270</v>
      </c>
      <c r="M130" s="166" t="s">
        <v>450</v>
      </c>
    </row>
    <row r="131" spans="1:13" ht="21" customHeight="1" x14ac:dyDescent="0.15">
      <c r="A131" s="164">
        <v>39013810</v>
      </c>
      <c r="B131" s="47">
        <v>0</v>
      </c>
      <c r="C131" s="47">
        <v>810</v>
      </c>
      <c r="D131" s="47">
        <v>100</v>
      </c>
      <c r="E131" s="47" t="s">
        <v>53</v>
      </c>
      <c r="F131" s="47" t="s">
        <v>53</v>
      </c>
      <c r="G131" s="47">
        <v>0</v>
      </c>
      <c r="H131" s="47">
        <v>1</v>
      </c>
      <c r="I131" s="47">
        <v>1560</v>
      </c>
      <c r="J131" s="48">
        <f t="shared" si="16"/>
        <v>100</v>
      </c>
      <c r="L131" s="166" t="s">
        <v>270</v>
      </c>
      <c r="M131" s="166" t="s">
        <v>450</v>
      </c>
    </row>
    <row r="132" spans="1:13" ht="21" customHeight="1" x14ac:dyDescent="0.15">
      <c r="A132" s="164">
        <v>39013811</v>
      </c>
      <c r="B132" s="47">
        <v>0</v>
      </c>
      <c r="C132" s="47">
        <v>811</v>
      </c>
      <c r="D132" s="47">
        <v>100</v>
      </c>
      <c r="E132" s="47" t="s">
        <v>53</v>
      </c>
      <c r="F132" s="47" t="s">
        <v>53</v>
      </c>
      <c r="G132" s="47">
        <v>0</v>
      </c>
      <c r="H132" s="47">
        <v>1</v>
      </c>
      <c r="I132" s="47">
        <v>1561</v>
      </c>
      <c r="J132" s="48">
        <f t="shared" si="16"/>
        <v>100</v>
      </c>
      <c r="L132" s="166" t="s">
        <v>270</v>
      </c>
      <c r="M132" s="166" t="s">
        <v>450</v>
      </c>
    </row>
    <row r="133" spans="1:13" ht="21" customHeight="1" x14ac:dyDescent="0.15">
      <c r="A133" s="164">
        <v>39013812</v>
      </c>
      <c r="B133" s="47">
        <v>0</v>
      </c>
      <c r="C133" s="47">
        <v>812</v>
      </c>
      <c r="D133" s="47">
        <v>100</v>
      </c>
      <c r="E133" s="47" t="s">
        <v>53</v>
      </c>
      <c r="F133" s="47" t="s">
        <v>53</v>
      </c>
      <c r="G133" s="47">
        <v>0</v>
      </c>
      <c r="H133" s="47">
        <v>1</v>
      </c>
      <c r="I133" s="47">
        <v>1562</v>
      </c>
      <c r="J133" s="48">
        <f t="shared" si="16"/>
        <v>100</v>
      </c>
      <c r="L133" s="166" t="s">
        <v>270</v>
      </c>
      <c r="M133" s="166" t="s">
        <v>450</v>
      </c>
    </row>
    <row r="134" spans="1:13" ht="21" customHeight="1" x14ac:dyDescent="0.15">
      <c r="A134" s="164">
        <v>39013813</v>
      </c>
      <c r="B134" s="47">
        <v>0</v>
      </c>
      <c r="C134" s="47">
        <v>813</v>
      </c>
      <c r="D134" s="47">
        <v>100</v>
      </c>
      <c r="E134" s="47" t="s">
        <v>53</v>
      </c>
      <c r="F134" s="47" t="s">
        <v>53</v>
      </c>
      <c r="G134" s="47">
        <v>0</v>
      </c>
      <c r="H134" s="47">
        <v>1</v>
      </c>
      <c r="I134" s="47">
        <v>1563</v>
      </c>
      <c r="J134" s="48">
        <f t="shared" si="16"/>
        <v>100</v>
      </c>
      <c r="L134" s="166" t="s">
        <v>270</v>
      </c>
      <c r="M134" s="166" t="s">
        <v>450</v>
      </c>
    </row>
    <row r="135" spans="1:13" ht="21" customHeight="1" x14ac:dyDescent="0.15">
      <c r="A135" s="164">
        <v>39013814</v>
      </c>
      <c r="B135" s="47">
        <v>0</v>
      </c>
      <c r="C135" s="47">
        <v>814</v>
      </c>
      <c r="D135" s="47">
        <v>100</v>
      </c>
      <c r="E135" s="47" t="s">
        <v>53</v>
      </c>
      <c r="F135" s="47" t="s">
        <v>53</v>
      </c>
      <c r="G135" s="47">
        <v>0</v>
      </c>
      <c r="H135" s="47">
        <v>1</v>
      </c>
      <c r="I135" s="47">
        <v>1564</v>
      </c>
      <c r="J135" s="48">
        <f t="shared" si="16"/>
        <v>100</v>
      </c>
      <c r="L135" s="166" t="s">
        <v>270</v>
      </c>
      <c r="M135" s="166" t="s">
        <v>450</v>
      </c>
    </row>
    <row r="136" spans="1:13" ht="21" customHeight="1" x14ac:dyDescent="0.15">
      <c r="A136" s="164">
        <v>39013815</v>
      </c>
      <c r="B136" s="47">
        <v>0</v>
      </c>
      <c r="C136" s="47">
        <v>815</v>
      </c>
      <c r="D136" s="47">
        <v>100</v>
      </c>
      <c r="E136" s="47" t="s">
        <v>53</v>
      </c>
      <c r="F136" s="47" t="s">
        <v>53</v>
      </c>
      <c r="G136" s="47">
        <v>0</v>
      </c>
      <c r="H136" s="47">
        <v>1</v>
      </c>
      <c r="I136" s="47">
        <v>1565</v>
      </c>
      <c r="J136" s="48">
        <f t="shared" si="16"/>
        <v>100</v>
      </c>
      <c r="L136" s="166" t="s">
        <v>270</v>
      </c>
      <c r="M136" s="166" t="s">
        <v>450</v>
      </c>
    </row>
    <row r="137" spans="1:13" ht="21" customHeight="1" x14ac:dyDescent="0.15">
      <c r="A137" s="164">
        <v>39013816</v>
      </c>
      <c r="B137" s="47">
        <v>0</v>
      </c>
      <c r="C137" s="47">
        <v>816</v>
      </c>
      <c r="D137" s="47">
        <v>100</v>
      </c>
      <c r="E137" s="47" t="s">
        <v>53</v>
      </c>
      <c r="F137" s="47" t="s">
        <v>53</v>
      </c>
      <c r="G137" s="47">
        <v>0</v>
      </c>
      <c r="H137" s="47">
        <v>1</v>
      </c>
      <c r="I137" s="47">
        <v>1566</v>
      </c>
      <c r="J137" s="48">
        <f t="shared" si="16"/>
        <v>100</v>
      </c>
      <c r="L137" s="166" t="s">
        <v>270</v>
      </c>
      <c r="M137" s="166" t="s">
        <v>450</v>
      </c>
    </row>
    <row r="138" spans="1:13" ht="21" customHeight="1" x14ac:dyDescent="0.15">
      <c r="A138" s="164">
        <v>39013817</v>
      </c>
      <c r="B138" s="47">
        <v>0</v>
      </c>
      <c r="C138" s="47">
        <v>817</v>
      </c>
      <c r="D138" s="47">
        <v>100</v>
      </c>
      <c r="E138" s="47" t="s">
        <v>53</v>
      </c>
      <c r="F138" s="47" t="s">
        <v>53</v>
      </c>
      <c r="G138" s="47">
        <v>0</v>
      </c>
      <c r="H138" s="47">
        <v>1</v>
      </c>
      <c r="I138" s="47">
        <v>1567</v>
      </c>
      <c r="J138" s="48">
        <f t="shared" si="16"/>
        <v>100</v>
      </c>
      <c r="L138" s="166" t="s">
        <v>270</v>
      </c>
      <c r="M138" s="166" t="s">
        <v>450</v>
      </c>
    </row>
    <row r="139" spans="1:13" ht="21" customHeight="1" x14ac:dyDescent="0.15">
      <c r="A139" s="164">
        <v>39013818</v>
      </c>
      <c r="B139" s="47">
        <v>0</v>
      </c>
      <c r="C139" s="47">
        <v>818</v>
      </c>
      <c r="D139" s="47">
        <v>100</v>
      </c>
      <c r="E139" s="47" t="s">
        <v>53</v>
      </c>
      <c r="F139" s="47" t="s">
        <v>53</v>
      </c>
      <c r="G139" s="47">
        <v>0</v>
      </c>
      <c r="H139" s="47">
        <v>1</v>
      </c>
      <c r="I139" s="47">
        <v>1568</v>
      </c>
      <c r="J139" s="48">
        <f t="shared" si="16"/>
        <v>100</v>
      </c>
      <c r="L139" s="166" t="s">
        <v>270</v>
      </c>
      <c r="M139" s="166" t="s">
        <v>450</v>
      </c>
    </row>
    <row r="140" spans="1:13" ht="21" customHeight="1" x14ac:dyDescent="0.15">
      <c r="A140" s="164">
        <v>39013819</v>
      </c>
      <c r="B140" s="47">
        <v>0</v>
      </c>
      <c r="C140" s="47">
        <v>819</v>
      </c>
      <c r="D140" s="47">
        <v>100</v>
      </c>
      <c r="E140" s="47" t="s">
        <v>53</v>
      </c>
      <c r="F140" s="47" t="s">
        <v>53</v>
      </c>
      <c r="G140" s="47">
        <v>0</v>
      </c>
      <c r="H140" s="47">
        <v>1</v>
      </c>
      <c r="I140" s="47">
        <v>1569</v>
      </c>
      <c r="J140" s="48">
        <f t="shared" si="16"/>
        <v>100</v>
      </c>
      <c r="L140" s="166" t="s">
        <v>270</v>
      </c>
      <c r="M140" s="166" t="s">
        <v>450</v>
      </c>
    </row>
    <row r="141" spans="1:13" ht="21" customHeight="1" x14ac:dyDescent="0.15">
      <c r="A141" s="164">
        <v>39013820</v>
      </c>
      <c r="B141" s="47">
        <v>0</v>
      </c>
      <c r="C141" s="47">
        <v>820</v>
      </c>
      <c r="D141" s="47">
        <v>100</v>
      </c>
      <c r="E141" s="47" t="s">
        <v>53</v>
      </c>
      <c r="F141" s="47" t="s">
        <v>53</v>
      </c>
      <c r="G141" s="47">
        <v>0</v>
      </c>
      <c r="H141" s="47">
        <v>1</v>
      </c>
      <c r="I141" s="47">
        <v>1570</v>
      </c>
      <c r="J141" s="48">
        <f t="shared" si="16"/>
        <v>100</v>
      </c>
      <c r="L141" s="166" t="s">
        <v>270</v>
      </c>
      <c r="M141" s="166" t="s">
        <v>450</v>
      </c>
    </row>
    <row r="142" spans="1:13" ht="21" customHeight="1" x14ac:dyDescent="0.15">
      <c r="A142" s="164">
        <v>39013821</v>
      </c>
      <c r="B142" s="47">
        <v>0</v>
      </c>
      <c r="C142" s="47">
        <v>821</v>
      </c>
      <c r="D142" s="47">
        <v>100</v>
      </c>
      <c r="E142" s="47" t="s">
        <v>53</v>
      </c>
      <c r="F142" s="47" t="s">
        <v>53</v>
      </c>
      <c r="G142" s="47">
        <v>0</v>
      </c>
      <c r="H142" s="47">
        <v>1</v>
      </c>
      <c r="I142" s="47">
        <v>1571</v>
      </c>
      <c r="J142" s="48">
        <f t="shared" si="16"/>
        <v>100</v>
      </c>
      <c r="L142" s="166" t="s">
        <v>270</v>
      </c>
      <c r="M142" s="166" t="s">
        <v>450</v>
      </c>
    </row>
    <row r="143" spans="1:13" ht="21" customHeight="1" x14ac:dyDescent="0.15">
      <c r="A143" s="164">
        <v>39013822</v>
      </c>
      <c r="B143" s="47">
        <v>0</v>
      </c>
      <c r="C143" s="47">
        <v>822</v>
      </c>
      <c r="D143" s="47">
        <v>100</v>
      </c>
      <c r="E143" s="47" t="s">
        <v>53</v>
      </c>
      <c r="F143" s="47" t="s">
        <v>53</v>
      </c>
      <c r="G143" s="47">
        <v>0</v>
      </c>
      <c r="H143" s="47">
        <v>1</v>
      </c>
      <c r="I143" s="47">
        <v>1572</v>
      </c>
      <c r="J143" s="48">
        <f t="shared" si="16"/>
        <v>100</v>
      </c>
      <c r="L143" s="166" t="s">
        <v>270</v>
      </c>
      <c r="M143" s="166" t="s">
        <v>450</v>
      </c>
    </row>
    <row r="144" spans="1:13" ht="21" customHeight="1" x14ac:dyDescent="0.15">
      <c r="A144" s="164">
        <v>39013823</v>
      </c>
      <c r="B144" s="47">
        <v>0</v>
      </c>
      <c r="C144" s="47">
        <v>823</v>
      </c>
      <c r="D144" s="47">
        <v>100</v>
      </c>
      <c r="E144" s="47" t="s">
        <v>53</v>
      </c>
      <c r="F144" s="47" t="s">
        <v>53</v>
      </c>
      <c r="G144" s="47">
        <v>0</v>
      </c>
      <c r="H144" s="47">
        <v>1</v>
      </c>
      <c r="I144" s="47">
        <v>1573</v>
      </c>
      <c r="J144" s="48">
        <f t="shared" si="16"/>
        <v>100</v>
      </c>
      <c r="L144" s="166" t="s">
        <v>270</v>
      </c>
      <c r="M144" s="166" t="s">
        <v>450</v>
      </c>
    </row>
    <row r="145" spans="1:13" ht="21" customHeight="1" x14ac:dyDescent="0.15">
      <c r="A145" s="164">
        <v>39013824</v>
      </c>
      <c r="B145" s="47">
        <v>0</v>
      </c>
      <c r="C145" s="47">
        <v>824</v>
      </c>
      <c r="D145" s="47">
        <v>100</v>
      </c>
      <c r="E145" s="47" t="s">
        <v>53</v>
      </c>
      <c r="F145" s="47" t="s">
        <v>53</v>
      </c>
      <c r="G145" s="47">
        <v>0</v>
      </c>
      <c r="H145" s="47">
        <v>1</v>
      </c>
      <c r="I145" s="47">
        <v>1574</v>
      </c>
      <c r="J145" s="48">
        <f t="shared" si="16"/>
        <v>100</v>
      </c>
      <c r="L145" s="166" t="s">
        <v>270</v>
      </c>
      <c r="M145" s="166" t="s">
        <v>450</v>
      </c>
    </row>
    <row r="146" spans="1:13" ht="21" customHeight="1" x14ac:dyDescent="0.15">
      <c r="A146" s="164">
        <v>39013825</v>
      </c>
      <c r="B146" s="47">
        <v>0</v>
      </c>
      <c r="C146" s="47">
        <v>825</v>
      </c>
      <c r="D146" s="47">
        <v>100</v>
      </c>
      <c r="E146" s="47" t="s">
        <v>53</v>
      </c>
      <c r="F146" s="47" t="s">
        <v>53</v>
      </c>
      <c r="G146" s="47">
        <v>0</v>
      </c>
      <c r="H146" s="47">
        <v>1</v>
      </c>
      <c r="I146" s="47">
        <v>1575</v>
      </c>
      <c r="J146" s="48">
        <f t="shared" si="16"/>
        <v>100</v>
      </c>
      <c r="L146" s="166" t="s">
        <v>270</v>
      </c>
      <c r="M146" s="166" t="s">
        <v>450</v>
      </c>
    </row>
    <row r="147" spans="1:13" ht="21" customHeight="1" x14ac:dyDescent="0.15">
      <c r="A147" s="164">
        <v>39013826</v>
      </c>
      <c r="B147" s="47">
        <v>0</v>
      </c>
      <c r="C147" s="47">
        <v>826</v>
      </c>
      <c r="D147" s="47">
        <v>100</v>
      </c>
      <c r="E147" s="47" t="s">
        <v>53</v>
      </c>
      <c r="F147" s="47" t="s">
        <v>53</v>
      </c>
      <c r="G147" s="47">
        <v>0</v>
      </c>
      <c r="H147" s="47">
        <v>1</v>
      </c>
      <c r="I147" s="47">
        <v>1576</v>
      </c>
      <c r="J147" s="48">
        <f t="shared" si="16"/>
        <v>100</v>
      </c>
      <c r="L147" s="166" t="s">
        <v>270</v>
      </c>
      <c r="M147" s="166" t="s">
        <v>450</v>
      </c>
    </row>
    <row r="148" spans="1:13" ht="21" customHeight="1" x14ac:dyDescent="0.15">
      <c r="A148" s="164">
        <v>39013827</v>
      </c>
      <c r="B148" s="47">
        <v>0</v>
      </c>
      <c r="C148" s="47">
        <v>827</v>
      </c>
      <c r="D148" s="47">
        <v>100</v>
      </c>
      <c r="E148" s="47" t="s">
        <v>53</v>
      </c>
      <c r="F148" s="47" t="s">
        <v>53</v>
      </c>
      <c r="G148" s="47">
        <v>0</v>
      </c>
      <c r="H148" s="47">
        <v>1</v>
      </c>
      <c r="I148" s="47">
        <v>1577</v>
      </c>
      <c r="J148" s="48">
        <f t="shared" si="16"/>
        <v>100</v>
      </c>
      <c r="L148" s="166" t="s">
        <v>270</v>
      </c>
      <c r="M148" s="166" t="s">
        <v>450</v>
      </c>
    </row>
    <row r="149" spans="1:13" ht="21" customHeight="1" x14ac:dyDescent="0.15">
      <c r="A149" s="164">
        <v>39013828</v>
      </c>
      <c r="B149" s="47">
        <v>0</v>
      </c>
      <c r="C149" s="47">
        <v>828</v>
      </c>
      <c r="D149" s="47">
        <v>100</v>
      </c>
      <c r="E149" s="47" t="s">
        <v>53</v>
      </c>
      <c r="F149" s="47" t="s">
        <v>53</v>
      </c>
      <c r="G149" s="47">
        <v>0</v>
      </c>
      <c r="H149" s="47">
        <v>1</v>
      </c>
      <c r="I149" s="47">
        <v>1578</v>
      </c>
      <c r="J149" s="48">
        <f t="shared" si="16"/>
        <v>100</v>
      </c>
      <c r="L149" s="166" t="s">
        <v>270</v>
      </c>
      <c r="M149" s="166" t="s">
        <v>450</v>
      </c>
    </row>
    <row r="150" spans="1:13" ht="21" customHeight="1" x14ac:dyDescent="0.15">
      <c r="A150" s="164">
        <v>39013829</v>
      </c>
      <c r="B150" s="47">
        <v>0</v>
      </c>
      <c r="C150" s="47">
        <v>829</v>
      </c>
      <c r="D150" s="47">
        <v>100</v>
      </c>
      <c r="E150" s="47" t="s">
        <v>53</v>
      </c>
      <c r="F150" s="47" t="s">
        <v>53</v>
      </c>
      <c r="G150" s="47">
        <v>0</v>
      </c>
      <c r="H150" s="47">
        <v>1</v>
      </c>
      <c r="I150" s="47">
        <v>1579</v>
      </c>
      <c r="J150" s="48">
        <f t="shared" si="16"/>
        <v>100</v>
      </c>
      <c r="L150" s="166" t="s">
        <v>270</v>
      </c>
      <c r="M150" s="166" t="s">
        <v>450</v>
      </c>
    </row>
    <row r="151" spans="1:13" ht="21" customHeight="1" x14ac:dyDescent="0.15">
      <c r="A151" s="164">
        <v>39013830</v>
      </c>
      <c r="B151" s="47">
        <v>0</v>
      </c>
      <c r="C151" s="47">
        <v>830</v>
      </c>
      <c r="D151" s="47">
        <v>100</v>
      </c>
      <c r="E151" s="47" t="s">
        <v>53</v>
      </c>
      <c r="F151" s="47" t="s">
        <v>53</v>
      </c>
      <c r="G151" s="47">
        <v>0</v>
      </c>
      <c r="H151" s="47">
        <v>1</v>
      </c>
      <c r="I151" s="47">
        <v>1580</v>
      </c>
      <c r="J151" s="48">
        <f t="shared" si="16"/>
        <v>100</v>
      </c>
      <c r="L151" s="166" t="s">
        <v>270</v>
      </c>
      <c r="M151" s="166" t="s">
        <v>450</v>
      </c>
    </row>
    <row r="152" spans="1:13" ht="21" customHeight="1" x14ac:dyDescent="0.15">
      <c r="A152" s="164">
        <v>39013831</v>
      </c>
      <c r="B152" s="47">
        <v>0</v>
      </c>
      <c r="C152" s="47">
        <v>831</v>
      </c>
      <c r="D152" s="47">
        <v>100</v>
      </c>
      <c r="E152" s="47" t="s">
        <v>53</v>
      </c>
      <c r="F152" s="47" t="s">
        <v>53</v>
      </c>
      <c r="G152" s="47">
        <v>0</v>
      </c>
      <c r="H152" s="47">
        <v>1</v>
      </c>
      <c r="I152" s="47">
        <v>1581</v>
      </c>
      <c r="J152" s="48">
        <f t="shared" si="16"/>
        <v>100</v>
      </c>
      <c r="L152" s="166" t="s">
        <v>270</v>
      </c>
      <c r="M152" s="166" t="s">
        <v>450</v>
      </c>
    </row>
    <row r="153" spans="1:13" ht="21" customHeight="1" x14ac:dyDescent="0.15">
      <c r="A153" s="164">
        <v>39013832</v>
      </c>
      <c r="B153" s="47">
        <v>0</v>
      </c>
      <c r="C153" s="47">
        <v>832</v>
      </c>
      <c r="D153" s="47">
        <v>100</v>
      </c>
      <c r="E153" s="47" t="s">
        <v>53</v>
      </c>
      <c r="F153" s="47" t="s">
        <v>53</v>
      </c>
      <c r="G153" s="47">
        <v>0</v>
      </c>
      <c r="H153" s="47">
        <v>1</v>
      </c>
      <c r="I153" s="47">
        <v>1582</v>
      </c>
      <c r="J153" s="48">
        <f t="shared" si="16"/>
        <v>100</v>
      </c>
      <c r="L153" s="166" t="s">
        <v>270</v>
      </c>
      <c r="M153" s="166" t="s">
        <v>450</v>
      </c>
    </row>
    <row r="154" spans="1:13" ht="21" customHeight="1" x14ac:dyDescent="0.15">
      <c r="A154" s="164">
        <v>39013833</v>
      </c>
      <c r="B154" s="47">
        <v>0</v>
      </c>
      <c r="C154" s="47">
        <v>833</v>
      </c>
      <c r="D154" s="47">
        <v>100</v>
      </c>
      <c r="E154" s="47" t="s">
        <v>53</v>
      </c>
      <c r="F154" s="47" t="s">
        <v>53</v>
      </c>
      <c r="G154" s="47">
        <v>0</v>
      </c>
      <c r="H154" s="47">
        <v>1</v>
      </c>
      <c r="I154" s="47">
        <v>1583</v>
      </c>
      <c r="J154" s="48">
        <f t="shared" si="16"/>
        <v>100</v>
      </c>
      <c r="L154" s="166" t="s">
        <v>270</v>
      </c>
      <c r="M154" s="166" t="s">
        <v>450</v>
      </c>
    </row>
    <row r="155" spans="1:13" ht="21" customHeight="1" x14ac:dyDescent="0.15">
      <c r="A155" s="164">
        <v>39013834</v>
      </c>
      <c r="B155" s="47">
        <v>0</v>
      </c>
      <c r="C155" s="47">
        <v>834</v>
      </c>
      <c r="D155" s="47">
        <v>100</v>
      </c>
      <c r="E155" s="47" t="s">
        <v>53</v>
      </c>
      <c r="F155" s="47" t="s">
        <v>53</v>
      </c>
      <c r="G155" s="47">
        <v>0</v>
      </c>
      <c r="H155" s="47">
        <v>1</v>
      </c>
      <c r="I155" s="47">
        <v>1584</v>
      </c>
      <c r="J155" s="48">
        <f t="shared" si="16"/>
        <v>100</v>
      </c>
      <c r="L155" s="166" t="s">
        <v>270</v>
      </c>
      <c r="M155" s="166" t="s">
        <v>450</v>
      </c>
    </row>
    <row r="156" spans="1:13" ht="21" customHeight="1" x14ac:dyDescent="0.15">
      <c r="A156" s="164">
        <v>39013835</v>
      </c>
      <c r="B156" s="47">
        <v>0</v>
      </c>
      <c r="C156" s="47">
        <v>835</v>
      </c>
      <c r="D156" s="47">
        <v>100</v>
      </c>
      <c r="E156" s="47" t="s">
        <v>53</v>
      </c>
      <c r="F156" s="47" t="s">
        <v>53</v>
      </c>
      <c r="G156" s="47">
        <v>0</v>
      </c>
      <c r="H156" s="47">
        <v>1</v>
      </c>
      <c r="I156" s="47">
        <v>1585</v>
      </c>
      <c r="J156" s="48">
        <f t="shared" si="16"/>
        <v>100</v>
      </c>
      <c r="L156" s="166" t="s">
        <v>270</v>
      </c>
      <c r="M156" s="166" t="s">
        <v>450</v>
      </c>
    </row>
    <row r="157" spans="1:13" ht="21" customHeight="1" x14ac:dyDescent="0.15">
      <c r="A157" s="164">
        <v>39013836</v>
      </c>
      <c r="B157" s="47">
        <v>0</v>
      </c>
      <c r="C157" s="47">
        <v>836</v>
      </c>
      <c r="D157" s="47">
        <v>100</v>
      </c>
      <c r="E157" s="47" t="s">
        <v>53</v>
      </c>
      <c r="F157" s="47" t="s">
        <v>53</v>
      </c>
      <c r="G157" s="47">
        <v>0</v>
      </c>
      <c r="H157" s="47">
        <v>1</v>
      </c>
      <c r="I157" s="47">
        <v>1586</v>
      </c>
      <c r="J157" s="48">
        <f t="shared" si="16"/>
        <v>100</v>
      </c>
      <c r="L157" s="166" t="s">
        <v>270</v>
      </c>
      <c r="M157" s="166" t="s">
        <v>450</v>
      </c>
    </row>
    <row r="158" spans="1:13" ht="21" customHeight="1" x14ac:dyDescent="0.15">
      <c r="A158" s="164">
        <v>39013837</v>
      </c>
      <c r="B158" s="47">
        <v>0</v>
      </c>
      <c r="C158" s="47">
        <v>837</v>
      </c>
      <c r="D158" s="47">
        <v>100</v>
      </c>
      <c r="E158" s="47" t="s">
        <v>53</v>
      </c>
      <c r="F158" s="47" t="s">
        <v>53</v>
      </c>
      <c r="G158" s="47">
        <v>0</v>
      </c>
      <c r="H158" s="47">
        <v>1</v>
      </c>
      <c r="I158" s="47">
        <v>1587</v>
      </c>
      <c r="J158" s="48">
        <f t="shared" ref="J158:J159" si="17">D158</f>
        <v>100</v>
      </c>
      <c r="L158" s="166" t="s">
        <v>270</v>
      </c>
      <c r="M158" s="166" t="s">
        <v>450</v>
      </c>
    </row>
    <row r="159" spans="1:13" ht="21" customHeight="1" x14ac:dyDescent="0.15">
      <c r="A159" s="164">
        <v>39013838</v>
      </c>
      <c r="B159" s="47">
        <v>0</v>
      </c>
      <c r="C159" s="47">
        <v>838</v>
      </c>
      <c r="D159" s="47">
        <v>100</v>
      </c>
      <c r="E159" s="47" t="s">
        <v>53</v>
      </c>
      <c r="F159" s="47" t="s">
        <v>53</v>
      </c>
      <c r="G159" s="47">
        <v>0</v>
      </c>
      <c r="H159" s="47">
        <v>1</v>
      </c>
      <c r="I159" s="47">
        <v>1588</v>
      </c>
      <c r="J159" s="48">
        <f t="shared" si="17"/>
        <v>100</v>
      </c>
      <c r="L159" s="166" t="s">
        <v>270</v>
      </c>
      <c r="M159" s="166" t="s">
        <v>450</v>
      </c>
    </row>
  </sheetData>
  <autoFilter ref="A1:G1"/>
  <phoneticPr fontId="5"/>
  <conditionalFormatting sqref="K160:K1048576 K1 K3">
    <cfRule type="duplicateValues" dxfId="37" priority="55"/>
  </conditionalFormatting>
  <conditionalFormatting sqref="K50">
    <cfRule type="duplicateValues" dxfId="36" priority="52"/>
  </conditionalFormatting>
  <conditionalFormatting sqref="K5 K28:K37 K39:K48 K7 K9:K11 K22:K25">
    <cfRule type="duplicateValues" dxfId="35" priority="59"/>
  </conditionalFormatting>
  <conditionalFormatting sqref="K51">
    <cfRule type="duplicateValues" dxfId="34" priority="50"/>
  </conditionalFormatting>
  <conditionalFormatting sqref="K57">
    <cfRule type="duplicateValues" dxfId="33" priority="49"/>
  </conditionalFormatting>
  <conditionalFormatting sqref="K12:K17 K20:K21">
    <cfRule type="duplicateValues" dxfId="32" priority="48"/>
  </conditionalFormatting>
  <conditionalFormatting sqref="K27">
    <cfRule type="duplicateValues" dxfId="31" priority="46"/>
  </conditionalFormatting>
  <conditionalFormatting sqref="K38">
    <cfRule type="duplicateValues" dxfId="30" priority="45"/>
  </conditionalFormatting>
  <conditionalFormatting sqref="K2">
    <cfRule type="duplicateValues" dxfId="29" priority="44"/>
  </conditionalFormatting>
  <conditionalFormatting sqref="K4">
    <cfRule type="duplicateValues" dxfId="28" priority="43"/>
  </conditionalFormatting>
  <conditionalFormatting sqref="K6">
    <cfRule type="duplicateValues" dxfId="27" priority="42"/>
  </conditionalFormatting>
  <conditionalFormatting sqref="K8">
    <cfRule type="duplicateValues" dxfId="26" priority="41"/>
  </conditionalFormatting>
  <conditionalFormatting sqref="K26">
    <cfRule type="duplicateValues" dxfId="25" priority="37"/>
  </conditionalFormatting>
  <conditionalFormatting sqref="K87">
    <cfRule type="duplicateValues" dxfId="24" priority="35"/>
  </conditionalFormatting>
  <conditionalFormatting sqref="K80:K85">
    <cfRule type="duplicateValues" dxfId="23" priority="36"/>
  </conditionalFormatting>
  <conditionalFormatting sqref="K88">
    <cfRule type="duplicateValues" dxfId="22" priority="33"/>
  </conditionalFormatting>
  <conditionalFormatting sqref="K101">
    <cfRule type="duplicateValues" dxfId="21" priority="28"/>
  </conditionalFormatting>
  <conditionalFormatting sqref="K94:K99">
    <cfRule type="duplicateValues" dxfId="20" priority="29"/>
  </conditionalFormatting>
  <conditionalFormatting sqref="K102">
    <cfRule type="duplicateValues" dxfId="19" priority="26"/>
  </conditionalFormatting>
  <conditionalFormatting sqref="K115">
    <cfRule type="duplicateValues" dxfId="18" priority="21"/>
  </conditionalFormatting>
  <conditionalFormatting sqref="K108:K113">
    <cfRule type="duplicateValues" dxfId="17" priority="22"/>
  </conditionalFormatting>
  <conditionalFormatting sqref="K116">
    <cfRule type="duplicateValues" dxfId="16" priority="19"/>
  </conditionalFormatting>
  <conditionalFormatting sqref="K53:K56">
    <cfRule type="duplicateValues" dxfId="15" priority="15"/>
  </conditionalFormatting>
  <conditionalFormatting sqref="K52">
    <cfRule type="duplicateValues" dxfId="14" priority="14"/>
  </conditionalFormatting>
  <conditionalFormatting sqref="K49">
    <cfRule type="duplicateValues" dxfId="13" priority="62"/>
  </conditionalFormatting>
  <conditionalFormatting sqref="K90:K93">
    <cfRule type="duplicateValues" dxfId="12" priority="13"/>
  </conditionalFormatting>
  <conditionalFormatting sqref="K89">
    <cfRule type="duplicateValues" dxfId="11" priority="12"/>
  </conditionalFormatting>
  <conditionalFormatting sqref="K104:K107">
    <cfRule type="duplicateValues" dxfId="10" priority="11"/>
  </conditionalFormatting>
  <conditionalFormatting sqref="K103">
    <cfRule type="duplicateValues" dxfId="9" priority="10"/>
  </conditionalFormatting>
  <conditionalFormatting sqref="K118:K121">
    <cfRule type="duplicateValues" dxfId="8" priority="9"/>
  </conditionalFormatting>
  <conditionalFormatting sqref="K117">
    <cfRule type="duplicateValues" dxfId="7" priority="8"/>
  </conditionalFormatting>
  <conditionalFormatting sqref="K86">
    <cfRule type="duplicateValues" dxfId="6" priority="65"/>
  </conditionalFormatting>
  <conditionalFormatting sqref="K100">
    <cfRule type="duplicateValues" dxfId="5" priority="68"/>
  </conditionalFormatting>
  <conditionalFormatting sqref="K114">
    <cfRule type="duplicateValues" dxfId="4" priority="71"/>
  </conditionalFormatting>
  <conditionalFormatting sqref="K18:K19">
    <cfRule type="duplicateValues" dxfId="3" priority="7"/>
  </conditionalFormatting>
  <conditionalFormatting sqref="K59:K79">
    <cfRule type="duplicateValues" dxfId="2" priority="2"/>
  </conditionalFormatting>
  <conditionalFormatting sqref="K58">
    <cfRule type="duplicateValues" dxfId="1" priority="74"/>
  </conditionalFormatting>
  <conditionalFormatting sqref="K122:K15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3"/>
  <sheetViews>
    <sheetView workbookViewId="0">
      <selection activeCell="H44" sqref="H44"/>
    </sheetView>
  </sheetViews>
  <sheetFormatPr baseColWidth="12" defaultRowHeight="15" x14ac:dyDescent="0.15"/>
  <cols>
    <col min="2" max="2" width="8.33203125" customWidth="1"/>
    <col min="5" max="5" width="8.6640625" customWidth="1"/>
    <col min="6" max="6" width="9.1640625" customWidth="1"/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0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39013</v>
      </c>
      <c r="B2" s="57">
        <v>4</v>
      </c>
      <c r="C2" s="69" t="str">
        <f>A2&amp; "_"&amp;B2</f>
        <v>39013_4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6500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35</v>
      </c>
      <c r="Q2" s="56" t="s">
        <v>170</v>
      </c>
      <c r="R2" s="56" t="s">
        <v>171</v>
      </c>
    </row>
    <row r="3" spans="1:18" x14ac:dyDescent="0.15">
      <c r="A3" s="56">
        <v>39013</v>
      </c>
      <c r="B3" s="57">
        <v>4</v>
      </c>
      <c r="C3" s="69" t="str">
        <f t="shared" ref="C3:C17" si="0">A3&amp; "_"&amp;B3</f>
        <v>39013_4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459</v>
      </c>
      <c r="G3" s="57">
        <v>25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35</v>
      </c>
      <c r="Q3" s="56" t="s">
        <v>170</v>
      </c>
      <c r="R3" s="56" t="s">
        <v>171</v>
      </c>
    </row>
    <row r="4" spans="1:18" x14ac:dyDescent="0.15">
      <c r="A4" s="56">
        <v>39013</v>
      </c>
      <c r="B4" s="57">
        <v>4</v>
      </c>
      <c r="C4" s="69" t="str">
        <f t="shared" si="0"/>
        <v>39013_4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227</v>
      </c>
      <c r="G4" s="57">
        <v>1584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700</v>
      </c>
      <c r="Q4" s="56" t="s">
        <v>170</v>
      </c>
      <c r="R4" s="56" t="s">
        <v>171</v>
      </c>
    </row>
    <row r="5" spans="1:18" x14ac:dyDescent="0.15">
      <c r="A5" s="56">
        <v>39013</v>
      </c>
      <c r="B5" s="57">
        <v>4</v>
      </c>
      <c r="C5" s="69" t="str">
        <f t="shared" si="0"/>
        <v>39013_4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227</v>
      </c>
      <c r="G5" s="57">
        <v>344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20</v>
      </c>
      <c r="Q5" s="56" t="s">
        <v>170</v>
      </c>
      <c r="R5" s="56" t="s">
        <v>171</v>
      </c>
    </row>
    <row r="6" spans="1:18" x14ac:dyDescent="0.15">
      <c r="A6" s="56">
        <v>39013</v>
      </c>
      <c r="B6" s="57">
        <v>4</v>
      </c>
      <c r="C6" s="69" t="str">
        <f t="shared" si="0"/>
        <v>39013_4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227</v>
      </c>
      <c r="G6" s="57">
        <v>345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30</v>
      </c>
      <c r="Q6" s="56" t="s">
        <v>170</v>
      </c>
      <c r="R6" s="56" t="s">
        <v>171</v>
      </c>
    </row>
    <row r="7" spans="1:18" x14ac:dyDescent="0.15">
      <c r="A7" s="56">
        <v>39013</v>
      </c>
      <c r="B7" s="57">
        <v>4</v>
      </c>
      <c r="C7" s="69" t="str">
        <f t="shared" si="0"/>
        <v>39013_4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227</v>
      </c>
      <c r="G7" s="57">
        <v>346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30</v>
      </c>
      <c r="Q7" s="56" t="s">
        <v>170</v>
      </c>
      <c r="R7" s="56" t="s">
        <v>171</v>
      </c>
    </row>
    <row r="8" spans="1:18" x14ac:dyDescent="0.15">
      <c r="A8" s="56">
        <v>39013</v>
      </c>
      <c r="B8" s="57">
        <v>4</v>
      </c>
      <c r="C8" s="69" t="str">
        <f t="shared" si="0"/>
        <v>39013_4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227</v>
      </c>
      <c r="G8" s="57">
        <v>354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50</v>
      </c>
      <c r="Q8" s="56" t="s">
        <v>170</v>
      </c>
      <c r="R8" s="56" t="s">
        <v>171</v>
      </c>
    </row>
    <row r="9" spans="1:18" x14ac:dyDescent="0.15">
      <c r="A9" s="56">
        <v>39013</v>
      </c>
      <c r="B9" s="57">
        <v>4</v>
      </c>
      <c r="C9" s="69" t="str">
        <f t="shared" si="0"/>
        <v>39013_4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227</v>
      </c>
      <c r="G9" s="57">
        <v>121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30</v>
      </c>
      <c r="Q9" s="56" t="s">
        <v>170</v>
      </c>
      <c r="R9" s="56" t="s">
        <v>171</v>
      </c>
    </row>
    <row r="10" spans="1:18" x14ac:dyDescent="0.15">
      <c r="A10" s="56">
        <v>39013</v>
      </c>
      <c r="B10" s="57">
        <v>4</v>
      </c>
      <c r="C10" s="69" t="str">
        <f t="shared" si="0"/>
        <v>39013_4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227</v>
      </c>
      <c r="G10" s="57">
        <v>122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6" t="s">
        <v>170</v>
      </c>
      <c r="R10" s="56" t="s">
        <v>171</v>
      </c>
    </row>
    <row r="11" spans="1:18" x14ac:dyDescent="0.15">
      <c r="A11" s="56">
        <v>39013</v>
      </c>
      <c r="B11" s="57">
        <v>4</v>
      </c>
      <c r="C11" s="69" t="str">
        <f t="shared" si="0"/>
        <v>39013_4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227</v>
      </c>
      <c r="G11" s="57">
        <v>123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6" t="s">
        <v>170</v>
      </c>
      <c r="R11" s="56" t="s">
        <v>171</v>
      </c>
    </row>
    <row r="12" spans="1:18" x14ac:dyDescent="0.15">
      <c r="A12" s="56">
        <v>39013</v>
      </c>
      <c r="B12" s="57">
        <v>4</v>
      </c>
      <c r="C12" s="69" t="str">
        <f t="shared" si="0"/>
        <v>39013_4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227</v>
      </c>
      <c r="G12" s="57">
        <v>125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10</v>
      </c>
      <c r="Q12" s="56" t="s">
        <v>170</v>
      </c>
      <c r="R12" s="56" t="s">
        <v>171</v>
      </c>
    </row>
    <row r="13" spans="1:18" x14ac:dyDescent="0.15">
      <c r="A13" s="56">
        <v>39013</v>
      </c>
      <c r="B13" s="56">
        <v>3</v>
      </c>
      <c r="C13" s="69" t="str">
        <f t="shared" si="0"/>
        <v>39013_3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168</v>
      </c>
      <c r="G13" s="56">
        <v>5000</v>
      </c>
      <c r="H13" s="56" t="s">
        <v>53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150</v>
      </c>
      <c r="Q13" s="56" t="s">
        <v>170</v>
      </c>
      <c r="R13" s="56" t="s">
        <v>171</v>
      </c>
    </row>
    <row r="14" spans="1:18" x14ac:dyDescent="0.15">
      <c r="A14" s="56">
        <v>39013</v>
      </c>
      <c r="B14" s="56">
        <v>3</v>
      </c>
      <c r="C14" s="69" t="str">
        <f t="shared" si="0"/>
        <v>39013_3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459</v>
      </c>
      <c r="G14" s="56">
        <v>25</v>
      </c>
      <c r="H14" s="56" t="s">
        <v>53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150</v>
      </c>
      <c r="Q14" s="56" t="s">
        <v>170</v>
      </c>
      <c r="R14" s="56" t="s">
        <v>171</v>
      </c>
    </row>
    <row r="15" spans="1:18" x14ac:dyDescent="0.15">
      <c r="A15" s="56">
        <v>39013</v>
      </c>
      <c r="B15" s="56">
        <v>3</v>
      </c>
      <c r="C15" s="69" t="str">
        <f t="shared" si="0"/>
        <v>39013_3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227</v>
      </c>
      <c r="G15" s="56">
        <v>1584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250</v>
      </c>
      <c r="Q15" s="56" t="s">
        <v>170</v>
      </c>
      <c r="R15" s="56" t="s">
        <v>171</v>
      </c>
    </row>
    <row r="16" spans="1:18" x14ac:dyDescent="0.15">
      <c r="A16" s="56">
        <v>39013</v>
      </c>
      <c r="B16" s="56">
        <v>3</v>
      </c>
      <c r="C16" s="69" t="str">
        <f t="shared" si="0"/>
        <v>39013_3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227</v>
      </c>
      <c r="G16" s="56">
        <v>344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56</v>
      </c>
      <c r="Q16" s="56" t="s">
        <v>170</v>
      </c>
      <c r="R16" s="56" t="s">
        <v>171</v>
      </c>
    </row>
    <row r="17" spans="1:18" x14ac:dyDescent="0.15">
      <c r="A17" s="56">
        <v>39013</v>
      </c>
      <c r="B17" s="56">
        <v>3</v>
      </c>
      <c r="C17" s="69" t="str">
        <f t="shared" si="0"/>
        <v>39013_3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227</v>
      </c>
      <c r="G17" s="56">
        <v>345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56</v>
      </c>
      <c r="Q17" s="56" t="s">
        <v>170</v>
      </c>
      <c r="R17" s="56" t="s">
        <v>171</v>
      </c>
    </row>
    <row r="18" spans="1:18" x14ac:dyDescent="0.15">
      <c r="A18" s="56">
        <v>39013</v>
      </c>
      <c r="B18" s="56">
        <v>3</v>
      </c>
      <c r="C18" s="69" t="str">
        <f t="shared" ref="C18:C35" si="1">A18&amp; "_"&amp;B18</f>
        <v>39013_3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227</v>
      </c>
      <c r="G18" s="56">
        <v>346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28</v>
      </c>
      <c r="Q18" s="56" t="s">
        <v>170</v>
      </c>
      <c r="R18" s="56" t="s">
        <v>171</v>
      </c>
    </row>
    <row r="19" spans="1:18" x14ac:dyDescent="0.15">
      <c r="A19" s="56">
        <v>39013</v>
      </c>
      <c r="B19" s="56">
        <v>3</v>
      </c>
      <c r="C19" s="69" t="str">
        <f t="shared" si="1"/>
        <v>39013_3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6">
        <v>18</v>
      </c>
      <c r="F19" s="56" t="s">
        <v>227</v>
      </c>
      <c r="G19" s="56">
        <v>354</v>
      </c>
      <c r="H19" s="56">
        <v>1</v>
      </c>
      <c r="I19" s="56">
        <v>1</v>
      </c>
      <c r="J19" s="56">
        <v>1</v>
      </c>
      <c r="K19" s="56">
        <v>0</v>
      </c>
      <c r="L19" s="56">
        <v>0</v>
      </c>
      <c r="M19" s="56">
        <v>0</v>
      </c>
      <c r="N19" s="56">
        <v>0</v>
      </c>
      <c r="O19" s="56">
        <v>1</v>
      </c>
      <c r="P19" s="56">
        <v>150</v>
      </c>
      <c r="Q19" s="56" t="s">
        <v>170</v>
      </c>
      <c r="R19" s="56" t="s">
        <v>171</v>
      </c>
    </row>
    <row r="20" spans="1:18" x14ac:dyDescent="0.15">
      <c r="A20" s="56">
        <v>39013</v>
      </c>
      <c r="B20" s="56">
        <v>3</v>
      </c>
      <c r="C20" s="69" t="str">
        <f t="shared" si="1"/>
        <v>39013_3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6">
        <v>19</v>
      </c>
      <c r="F20" s="56" t="s">
        <v>227</v>
      </c>
      <c r="G20" s="56">
        <v>121</v>
      </c>
      <c r="H20" s="56">
        <v>1</v>
      </c>
      <c r="I20" s="56">
        <v>1</v>
      </c>
      <c r="J20" s="56">
        <v>1</v>
      </c>
      <c r="K20" s="56">
        <v>0</v>
      </c>
      <c r="L20" s="56">
        <v>0</v>
      </c>
      <c r="M20" s="56">
        <v>0</v>
      </c>
      <c r="N20" s="56">
        <v>0</v>
      </c>
      <c r="O20" s="56">
        <v>1</v>
      </c>
      <c r="P20" s="56">
        <v>50</v>
      </c>
      <c r="Q20" s="56" t="s">
        <v>170</v>
      </c>
      <c r="R20" s="56" t="s">
        <v>171</v>
      </c>
    </row>
    <row r="21" spans="1:18" x14ac:dyDescent="0.15">
      <c r="A21" s="56">
        <v>39013</v>
      </c>
      <c r="B21" s="56">
        <v>3</v>
      </c>
      <c r="C21" s="69" t="str">
        <f t="shared" si="1"/>
        <v>39013_3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6">
        <v>20</v>
      </c>
      <c r="F21" s="56" t="s">
        <v>227</v>
      </c>
      <c r="G21" s="56">
        <v>122</v>
      </c>
      <c r="H21" s="56">
        <v>1</v>
      </c>
      <c r="I21" s="56">
        <v>1</v>
      </c>
      <c r="J21" s="56">
        <v>1</v>
      </c>
      <c r="K21" s="56">
        <v>0</v>
      </c>
      <c r="L21" s="56">
        <v>0</v>
      </c>
      <c r="M21" s="56">
        <v>0</v>
      </c>
      <c r="N21" s="56">
        <v>0</v>
      </c>
      <c r="O21" s="56">
        <v>1</v>
      </c>
      <c r="P21" s="56">
        <v>50</v>
      </c>
      <c r="Q21" s="56" t="s">
        <v>170</v>
      </c>
      <c r="R21" s="56" t="s">
        <v>171</v>
      </c>
    </row>
    <row r="22" spans="1:18" x14ac:dyDescent="0.15">
      <c r="A22" s="56">
        <v>39013</v>
      </c>
      <c r="B22" s="56">
        <v>3</v>
      </c>
      <c r="C22" s="69" t="str">
        <f t="shared" si="1"/>
        <v>39013_3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6">
        <v>21</v>
      </c>
      <c r="F22" s="56" t="s">
        <v>227</v>
      </c>
      <c r="G22" s="56">
        <v>123</v>
      </c>
      <c r="H22" s="56">
        <v>1</v>
      </c>
      <c r="I22" s="56">
        <v>1</v>
      </c>
      <c r="J22" s="56">
        <v>1</v>
      </c>
      <c r="K22" s="56">
        <v>0</v>
      </c>
      <c r="L22" s="56">
        <v>0</v>
      </c>
      <c r="M22" s="56">
        <v>0</v>
      </c>
      <c r="N22" s="56">
        <v>0</v>
      </c>
      <c r="O22" s="56">
        <v>1</v>
      </c>
      <c r="P22" s="56">
        <v>50</v>
      </c>
      <c r="Q22" s="56" t="s">
        <v>170</v>
      </c>
      <c r="R22" s="56" t="s">
        <v>171</v>
      </c>
    </row>
    <row r="23" spans="1:18" x14ac:dyDescent="0.15">
      <c r="A23" s="56">
        <v>39013</v>
      </c>
      <c r="B23" s="56">
        <v>3</v>
      </c>
      <c r="C23" s="69" t="str">
        <f t="shared" si="1"/>
        <v>39013_3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6">
        <v>22</v>
      </c>
      <c r="F23" s="56" t="s">
        <v>227</v>
      </c>
      <c r="G23" s="56">
        <v>125</v>
      </c>
      <c r="H23" s="56">
        <v>1</v>
      </c>
      <c r="I23" s="56">
        <v>1</v>
      </c>
      <c r="J23" s="56">
        <v>1</v>
      </c>
      <c r="K23" s="56">
        <v>0</v>
      </c>
      <c r="L23" s="56">
        <v>0</v>
      </c>
      <c r="M23" s="56">
        <v>0</v>
      </c>
      <c r="N23" s="56">
        <v>0</v>
      </c>
      <c r="O23" s="56">
        <v>1</v>
      </c>
      <c r="P23" s="56">
        <v>10</v>
      </c>
      <c r="Q23" s="56" t="s">
        <v>170</v>
      </c>
      <c r="R23" s="56" t="s">
        <v>171</v>
      </c>
    </row>
    <row r="24" spans="1:18" x14ac:dyDescent="0.15">
      <c r="A24" s="56">
        <v>39013</v>
      </c>
      <c r="B24" s="57">
        <v>2</v>
      </c>
      <c r="C24" s="69" t="str">
        <f t="shared" si="1"/>
        <v>39013_2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168</v>
      </c>
      <c r="G24" s="57">
        <v>3200</v>
      </c>
      <c r="H24" s="57" t="s">
        <v>53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200</v>
      </c>
      <c r="Q24" s="56" t="s">
        <v>170</v>
      </c>
      <c r="R24" s="56" t="s">
        <v>171</v>
      </c>
    </row>
    <row r="25" spans="1:18" x14ac:dyDescent="0.15">
      <c r="A25" s="56">
        <v>39013</v>
      </c>
      <c r="B25" s="57">
        <v>2</v>
      </c>
      <c r="C25" s="69" t="str">
        <f t="shared" si="1"/>
        <v>39013_2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459</v>
      </c>
      <c r="G25" s="57">
        <v>20</v>
      </c>
      <c r="H25" s="57" t="s">
        <v>53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200</v>
      </c>
      <c r="Q25" s="56" t="s">
        <v>170</v>
      </c>
      <c r="R25" s="56" t="s">
        <v>171</v>
      </c>
    </row>
    <row r="26" spans="1:18" x14ac:dyDescent="0.15">
      <c r="A26" s="56">
        <v>39013</v>
      </c>
      <c r="B26" s="57">
        <v>2</v>
      </c>
      <c r="C26" s="69" t="str">
        <f t="shared" si="1"/>
        <v>39013_2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227</v>
      </c>
      <c r="G26" s="57">
        <v>1584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150</v>
      </c>
      <c r="Q26" s="56" t="s">
        <v>170</v>
      </c>
      <c r="R26" s="56" t="s">
        <v>171</v>
      </c>
    </row>
    <row r="27" spans="1:18" x14ac:dyDescent="0.15">
      <c r="A27" s="56">
        <v>39013</v>
      </c>
      <c r="B27" s="57">
        <v>2</v>
      </c>
      <c r="C27" s="69" t="str">
        <f t="shared" si="1"/>
        <v>39013_2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227</v>
      </c>
      <c r="G27" s="57">
        <v>344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70</v>
      </c>
      <c r="Q27" s="56" t="s">
        <v>170</v>
      </c>
      <c r="R27" s="56" t="s">
        <v>171</v>
      </c>
    </row>
    <row r="28" spans="1:18" x14ac:dyDescent="0.15">
      <c r="A28" s="56">
        <v>39013</v>
      </c>
      <c r="B28" s="57">
        <v>2</v>
      </c>
      <c r="C28" s="69" t="str">
        <f t="shared" si="1"/>
        <v>39013_2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227</v>
      </c>
      <c r="G28" s="57">
        <v>345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70</v>
      </c>
      <c r="Q28" s="56" t="s">
        <v>170</v>
      </c>
      <c r="R28" s="56" t="s">
        <v>171</v>
      </c>
    </row>
    <row r="29" spans="1:18" x14ac:dyDescent="0.15">
      <c r="A29" s="56">
        <v>39013</v>
      </c>
      <c r="B29" s="57">
        <v>2</v>
      </c>
      <c r="C29" s="69" t="str">
        <f t="shared" si="1"/>
        <v>39013_2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227</v>
      </c>
      <c r="G29" s="57">
        <v>354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150</v>
      </c>
      <c r="Q29" s="56" t="s">
        <v>170</v>
      </c>
      <c r="R29" s="56" t="s">
        <v>171</v>
      </c>
    </row>
    <row r="30" spans="1:18" x14ac:dyDescent="0.15">
      <c r="A30" s="56">
        <v>39013</v>
      </c>
      <c r="B30" s="57">
        <v>2</v>
      </c>
      <c r="C30" s="69" t="str">
        <f t="shared" si="1"/>
        <v>39013_2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227</v>
      </c>
      <c r="G30" s="57">
        <v>121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50</v>
      </c>
      <c r="Q30" s="56" t="s">
        <v>170</v>
      </c>
      <c r="R30" s="56" t="s">
        <v>171</v>
      </c>
    </row>
    <row r="31" spans="1:18" x14ac:dyDescent="0.15">
      <c r="A31" s="56">
        <v>39013</v>
      </c>
      <c r="B31" s="57">
        <v>2</v>
      </c>
      <c r="C31" s="69" t="str">
        <f t="shared" si="1"/>
        <v>39013_2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227</v>
      </c>
      <c r="G31" s="57">
        <v>122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50</v>
      </c>
      <c r="Q31" s="56" t="s">
        <v>170</v>
      </c>
      <c r="R31" s="56" t="s">
        <v>171</v>
      </c>
    </row>
    <row r="32" spans="1:18" x14ac:dyDescent="0.15">
      <c r="A32" s="56">
        <v>39013</v>
      </c>
      <c r="B32" s="57">
        <v>2</v>
      </c>
      <c r="C32" s="69" t="str">
        <f t="shared" si="1"/>
        <v>39013_2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227</v>
      </c>
      <c r="G32" s="57">
        <v>123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50</v>
      </c>
      <c r="Q32" s="56" t="s">
        <v>170</v>
      </c>
      <c r="R32" s="56" t="s">
        <v>171</v>
      </c>
    </row>
    <row r="33" spans="1:18" x14ac:dyDescent="0.15">
      <c r="A33" s="56">
        <v>39013</v>
      </c>
      <c r="B33" s="57">
        <v>2</v>
      </c>
      <c r="C33" s="69" t="str">
        <f t="shared" si="1"/>
        <v>39013_2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7">
        <v>32</v>
      </c>
      <c r="F33" s="57" t="s">
        <v>227</v>
      </c>
      <c r="G33" s="57">
        <v>125</v>
      </c>
      <c r="H33" s="57">
        <v>1</v>
      </c>
      <c r="I33" s="57">
        <v>1</v>
      </c>
      <c r="J33" s="57">
        <v>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10</v>
      </c>
      <c r="Q33" s="56" t="s">
        <v>170</v>
      </c>
      <c r="R33" s="56" t="s">
        <v>171</v>
      </c>
    </row>
    <row r="34" spans="1:18" x14ac:dyDescent="0.15">
      <c r="A34" s="56">
        <v>39013</v>
      </c>
      <c r="B34" s="56">
        <v>1</v>
      </c>
      <c r="C34" s="69" t="str">
        <f t="shared" si="1"/>
        <v>39013_1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56">
        <v>33</v>
      </c>
      <c r="F34" s="56" t="s">
        <v>168</v>
      </c>
      <c r="G34" s="56">
        <v>1700</v>
      </c>
      <c r="H34" s="56" t="s">
        <v>53</v>
      </c>
      <c r="I34" s="56">
        <v>1</v>
      </c>
      <c r="J34" s="56">
        <v>1</v>
      </c>
      <c r="K34" s="56">
        <v>0</v>
      </c>
      <c r="L34" s="56">
        <v>0</v>
      </c>
      <c r="M34" s="56">
        <v>0</v>
      </c>
      <c r="N34" s="56">
        <v>0</v>
      </c>
      <c r="O34" s="56">
        <v>1</v>
      </c>
      <c r="P34" s="56">
        <v>250</v>
      </c>
      <c r="Q34" s="56" t="s">
        <v>170</v>
      </c>
      <c r="R34" s="56" t="s">
        <v>171</v>
      </c>
    </row>
    <row r="35" spans="1:18" x14ac:dyDescent="0.15">
      <c r="A35" s="56">
        <v>39013</v>
      </c>
      <c r="B35" s="56">
        <v>1</v>
      </c>
      <c r="C35" s="69" t="str">
        <f t="shared" si="1"/>
        <v>39013_1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56">
        <v>34</v>
      </c>
      <c r="F35" s="56" t="s">
        <v>459</v>
      </c>
      <c r="G35" s="56">
        <v>20</v>
      </c>
      <c r="H35" s="56" t="s">
        <v>53</v>
      </c>
      <c r="I35" s="56">
        <v>1</v>
      </c>
      <c r="J35" s="56">
        <v>1</v>
      </c>
      <c r="K35" s="56">
        <v>0</v>
      </c>
      <c r="L35" s="56">
        <v>0</v>
      </c>
      <c r="M35" s="56">
        <v>0</v>
      </c>
      <c r="N35" s="56">
        <v>0</v>
      </c>
      <c r="O35" s="56">
        <v>1</v>
      </c>
      <c r="P35" s="56">
        <v>200</v>
      </c>
      <c r="Q35" s="56" t="s">
        <v>170</v>
      </c>
      <c r="R35" s="56" t="s">
        <v>171</v>
      </c>
    </row>
    <row r="36" spans="1:18" x14ac:dyDescent="0.15">
      <c r="A36" s="56">
        <v>39013</v>
      </c>
      <c r="B36" s="56">
        <v>1</v>
      </c>
      <c r="C36" s="69" t="str">
        <f t="shared" ref="C36:C43" si="2">A36&amp; "_"&amp;B36</f>
        <v>39013_1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56">
        <v>35</v>
      </c>
      <c r="F36" s="56" t="s">
        <v>227</v>
      </c>
      <c r="G36" s="56">
        <v>1584</v>
      </c>
      <c r="H36" s="56">
        <v>1</v>
      </c>
      <c r="I36" s="56">
        <v>1</v>
      </c>
      <c r="J36" s="56">
        <v>1</v>
      </c>
      <c r="K36" s="56">
        <v>0</v>
      </c>
      <c r="L36" s="56">
        <v>0</v>
      </c>
      <c r="M36" s="56">
        <v>0</v>
      </c>
      <c r="N36" s="56">
        <v>0</v>
      </c>
      <c r="O36" s="56">
        <v>1</v>
      </c>
      <c r="P36" s="56">
        <v>100</v>
      </c>
      <c r="Q36" s="56" t="s">
        <v>170</v>
      </c>
      <c r="R36" s="56" t="s">
        <v>171</v>
      </c>
    </row>
    <row r="37" spans="1:18" x14ac:dyDescent="0.15">
      <c r="A37" s="56">
        <v>39013</v>
      </c>
      <c r="B37" s="56">
        <v>1</v>
      </c>
      <c r="C37" s="69" t="str">
        <f t="shared" si="2"/>
        <v>39013_1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56">
        <v>36</v>
      </c>
      <c r="F37" s="56" t="s">
        <v>227</v>
      </c>
      <c r="G37" s="56">
        <v>344</v>
      </c>
      <c r="H37" s="56">
        <v>1</v>
      </c>
      <c r="I37" s="56">
        <v>1</v>
      </c>
      <c r="J37" s="56">
        <v>1</v>
      </c>
      <c r="K37" s="56">
        <v>0</v>
      </c>
      <c r="L37" s="56">
        <v>0</v>
      </c>
      <c r="M37" s="56">
        <v>0</v>
      </c>
      <c r="N37" s="56">
        <v>0</v>
      </c>
      <c r="O37" s="56">
        <v>1</v>
      </c>
      <c r="P37" s="56">
        <v>98</v>
      </c>
      <c r="Q37" s="56" t="s">
        <v>170</v>
      </c>
      <c r="R37" s="56" t="s">
        <v>171</v>
      </c>
    </row>
    <row r="38" spans="1:18" x14ac:dyDescent="0.15">
      <c r="A38" s="56">
        <v>39013</v>
      </c>
      <c r="B38" s="56">
        <v>1</v>
      </c>
      <c r="C38" s="69" t="str">
        <f t="shared" si="2"/>
        <v>39013_1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56">
        <v>37</v>
      </c>
      <c r="F38" s="56" t="s">
        <v>227</v>
      </c>
      <c r="G38" s="56">
        <v>345</v>
      </c>
      <c r="H38" s="56">
        <v>1</v>
      </c>
      <c r="I38" s="56">
        <v>1</v>
      </c>
      <c r="J38" s="56">
        <v>1</v>
      </c>
      <c r="K38" s="56">
        <v>0</v>
      </c>
      <c r="L38" s="56">
        <v>0</v>
      </c>
      <c r="M38" s="56">
        <v>0</v>
      </c>
      <c r="N38" s="56">
        <v>0</v>
      </c>
      <c r="O38" s="56">
        <v>1</v>
      </c>
      <c r="P38" s="56">
        <v>42</v>
      </c>
      <c r="Q38" s="56" t="s">
        <v>170</v>
      </c>
      <c r="R38" s="56" t="s">
        <v>171</v>
      </c>
    </row>
    <row r="39" spans="1:18" x14ac:dyDescent="0.15">
      <c r="A39" s="56">
        <v>39013</v>
      </c>
      <c r="B39" s="56">
        <v>1</v>
      </c>
      <c r="C39" s="69" t="str">
        <f t="shared" si="2"/>
        <v>39013_1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56">
        <v>38</v>
      </c>
      <c r="F39" s="56" t="s">
        <v>227</v>
      </c>
      <c r="G39" s="56">
        <v>354</v>
      </c>
      <c r="H39" s="56">
        <v>1</v>
      </c>
      <c r="I39" s="56">
        <v>1</v>
      </c>
      <c r="J39" s="56">
        <v>1</v>
      </c>
      <c r="K39" s="56">
        <v>0</v>
      </c>
      <c r="L39" s="56">
        <v>0</v>
      </c>
      <c r="M39" s="56">
        <v>0</v>
      </c>
      <c r="N39" s="56">
        <v>0</v>
      </c>
      <c r="O39" s="56">
        <v>1</v>
      </c>
      <c r="P39" s="56">
        <v>150</v>
      </c>
      <c r="Q39" s="56" t="s">
        <v>170</v>
      </c>
      <c r="R39" s="56" t="s">
        <v>171</v>
      </c>
    </row>
    <row r="40" spans="1:18" x14ac:dyDescent="0.15">
      <c r="A40" s="56">
        <v>39013</v>
      </c>
      <c r="B40" s="56">
        <v>1</v>
      </c>
      <c r="C40" s="69" t="str">
        <f t="shared" si="2"/>
        <v>39013_1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56">
        <v>39</v>
      </c>
      <c r="F40" s="56" t="s">
        <v>227</v>
      </c>
      <c r="G40" s="56">
        <v>121</v>
      </c>
      <c r="H40" s="56">
        <v>1</v>
      </c>
      <c r="I40" s="56">
        <v>1</v>
      </c>
      <c r="J40" s="56">
        <v>1</v>
      </c>
      <c r="K40" s="56">
        <v>0</v>
      </c>
      <c r="L40" s="56">
        <v>0</v>
      </c>
      <c r="M40" s="56">
        <v>0</v>
      </c>
      <c r="N40" s="56">
        <v>0</v>
      </c>
      <c r="O40" s="56">
        <v>1</v>
      </c>
      <c r="P40" s="56">
        <v>50</v>
      </c>
      <c r="Q40" s="56" t="s">
        <v>170</v>
      </c>
      <c r="R40" s="56" t="s">
        <v>171</v>
      </c>
    </row>
    <row r="41" spans="1:18" x14ac:dyDescent="0.15">
      <c r="A41" s="56">
        <v>39013</v>
      </c>
      <c r="B41" s="56">
        <v>1</v>
      </c>
      <c r="C41" s="69" t="str">
        <f t="shared" si="2"/>
        <v>39013_1</v>
      </c>
      <c r="D41" s="11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56">
        <v>40</v>
      </c>
      <c r="F41" s="56" t="s">
        <v>227</v>
      </c>
      <c r="G41" s="56">
        <v>122</v>
      </c>
      <c r="H41" s="56">
        <v>1</v>
      </c>
      <c r="I41" s="56">
        <v>1</v>
      </c>
      <c r="J41" s="56">
        <v>1</v>
      </c>
      <c r="K41" s="56">
        <v>0</v>
      </c>
      <c r="L41" s="56">
        <v>0</v>
      </c>
      <c r="M41" s="56">
        <v>0</v>
      </c>
      <c r="N41" s="56">
        <v>0</v>
      </c>
      <c r="O41" s="56">
        <v>1</v>
      </c>
      <c r="P41" s="56">
        <v>50</v>
      </c>
      <c r="Q41" s="56" t="s">
        <v>170</v>
      </c>
      <c r="R41" s="56" t="s">
        <v>171</v>
      </c>
    </row>
    <row r="42" spans="1:18" x14ac:dyDescent="0.15">
      <c r="A42" s="56">
        <v>39013</v>
      </c>
      <c r="B42" s="56">
        <v>1</v>
      </c>
      <c r="C42" s="69" t="str">
        <f t="shared" si="2"/>
        <v>39013_1</v>
      </c>
      <c r="D42" s="11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56">
        <v>41</v>
      </c>
      <c r="F42" s="56" t="s">
        <v>227</v>
      </c>
      <c r="G42" s="56">
        <v>123</v>
      </c>
      <c r="H42" s="56">
        <v>1</v>
      </c>
      <c r="I42" s="56">
        <v>1</v>
      </c>
      <c r="J42" s="56">
        <v>1</v>
      </c>
      <c r="K42" s="56">
        <v>0</v>
      </c>
      <c r="L42" s="56">
        <v>0</v>
      </c>
      <c r="M42" s="56">
        <v>0</v>
      </c>
      <c r="N42" s="56">
        <v>0</v>
      </c>
      <c r="O42" s="56">
        <v>1</v>
      </c>
      <c r="P42" s="56">
        <v>50</v>
      </c>
      <c r="Q42" s="56" t="s">
        <v>170</v>
      </c>
      <c r="R42" s="56" t="s">
        <v>171</v>
      </c>
    </row>
    <row r="43" spans="1:18" x14ac:dyDescent="0.15">
      <c r="A43" s="56">
        <v>39013</v>
      </c>
      <c r="B43" s="56">
        <v>1</v>
      </c>
      <c r="C43" s="69" t="str">
        <f t="shared" si="2"/>
        <v>39013_1</v>
      </c>
      <c r="D43" s="11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56">
        <v>42</v>
      </c>
      <c r="F43" s="56" t="s">
        <v>227</v>
      </c>
      <c r="G43" s="56">
        <v>125</v>
      </c>
      <c r="H43" s="56">
        <v>1</v>
      </c>
      <c r="I43" s="56">
        <v>1</v>
      </c>
      <c r="J43" s="56">
        <v>1</v>
      </c>
      <c r="K43" s="56">
        <v>0</v>
      </c>
      <c r="L43" s="56">
        <v>0</v>
      </c>
      <c r="M43" s="56">
        <v>0</v>
      </c>
      <c r="N43" s="56">
        <v>0</v>
      </c>
      <c r="O43" s="56">
        <v>1</v>
      </c>
      <c r="P43" s="56">
        <v>10</v>
      </c>
      <c r="Q43" s="56" t="s">
        <v>170</v>
      </c>
      <c r="R43" s="56" t="s">
        <v>171</v>
      </c>
    </row>
  </sheetData>
  <phoneticPr fontId="5"/>
  <dataValidations count="1">
    <dataValidation type="list" allowBlank="1" showInputMessage="1" showErrorMessage="1" sqref="F2:F4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8" t="s">
        <v>196</v>
      </c>
      <c r="J1" s="77" t="s">
        <v>126</v>
      </c>
      <c r="K1" s="76" t="s">
        <v>187</v>
      </c>
      <c r="L1" s="89" t="s">
        <v>186</v>
      </c>
      <c r="M1" s="78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Q125"/>
  <sheetViews>
    <sheetView showGridLines="0" tabSelected="1" zoomScale="84" zoomScaleNormal="84" zoomScalePageLayoutView="84" workbookViewId="0">
      <pane ySplit="1" topLeftCell="A2" activePane="bottomLeft" state="frozen"/>
      <selection pane="bottomLeft" activeCell="M4" sqref="M4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3.5" customWidth="1"/>
    <col min="13" max="13" width="39.1640625" style="203" customWidth="1"/>
    <col min="16" max="16" width="41.5" style="205" customWidth="1"/>
    <col min="17" max="17" width="6.33203125" customWidth="1"/>
  </cols>
  <sheetData>
    <row r="1" spans="1:17" x14ac:dyDescent="0.15">
      <c r="A1" s="74" t="s">
        <v>189</v>
      </c>
      <c r="B1" s="71" t="s">
        <v>150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6" t="s">
        <v>195</v>
      </c>
      <c r="J1" s="88" t="s">
        <v>196</v>
      </c>
      <c r="K1" s="77" t="s">
        <v>126</v>
      </c>
      <c r="L1" s="76" t="s">
        <v>187</v>
      </c>
      <c r="M1" s="202" t="s">
        <v>186</v>
      </c>
      <c r="N1" s="78" t="s">
        <v>197</v>
      </c>
      <c r="O1" s="78" t="s">
        <v>461</v>
      </c>
      <c r="P1" s="204" t="s">
        <v>351</v>
      </c>
      <c r="Q1" s="56" t="s">
        <v>352</v>
      </c>
    </row>
    <row r="2" spans="1:17" ht="77" customHeight="1" x14ac:dyDescent="0.2">
      <c r="A2" s="79" t="s">
        <v>422</v>
      </c>
      <c r="B2" s="80">
        <f>floors!$C$2</f>
        <v>39013</v>
      </c>
      <c r="C2" s="81" t="str">
        <f ca="1">VLOOKUP($B2,OFFSET([2]quests!$A$1,0,0,COUNTA([2]quests!$A:$A),MATCH(C$1,[2]quests!$1:$1,0)-MATCH($B$1,[2]quests!$1:$1,0)+1),MATCH(C$1,[2]quests!$1:$1,0)-MATCH($B$1,[2]quests!$1:$1,0)+1,FALSE)</f>
        <v>兄左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【超級】兄左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3">
        <v>1</v>
      </c>
      <c r="I2" s="87">
        <f>ROW()-1</f>
        <v>1</v>
      </c>
      <c r="J2" s="84" t="str">
        <f>B2&amp;TEXT(I2,"00")</f>
        <v>3901301</v>
      </c>
      <c r="K2" s="217" t="s">
        <v>199</v>
      </c>
      <c r="L2" s="218" t="s">
        <v>446</v>
      </c>
      <c r="M2" s="208" t="s">
        <v>507</v>
      </c>
      <c r="N2" s="219" t="s">
        <v>200</v>
      </c>
      <c r="O2" s="219" t="s">
        <v>462</v>
      </c>
      <c r="P2" s="175" t="str">
        <f>"１２３４５６７８９０１２３４５６７８９０"&amp;DBCS(M2)</f>
        <v>１２３４５６７８９０１２３４５６７８９０アンダーグラウンドのエネミーたちは_x000D_連携すると強力です_x000D_強い敵を見極めて１体ずつ倒しましょう</v>
      </c>
      <c r="Q2" s="176">
        <f>LEN(M2)</f>
        <v>46</v>
      </c>
    </row>
    <row r="3" spans="1:17" ht="77" customHeight="1" x14ac:dyDescent="0.2">
      <c r="A3" s="79" t="s">
        <v>198</v>
      </c>
      <c r="B3" s="80">
        <f>floors!$C$2</f>
        <v>39013</v>
      </c>
      <c r="C3" s="81" t="str">
        <f ca="1">VLOOKUP($B3,OFFSET([2]quests!$A$1,0,0,COUNTA([2]quests!$A:$A),MATCH(C$1,[2]quests!$1:$1,0)-MATCH($B$1,[2]quests!$1:$1,0)+1),MATCH(C$1,[2]quests!$1:$1,0)-MATCH($B$1,[2]quests!$1:$1,0)+1,FALSE)</f>
        <v>兄左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2">
        <v>4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【超級】兄左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3">
        <v>2</v>
      </c>
      <c r="I3" s="87">
        <f t="shared" ref="I3:I125" si="0">ROW()-1</f>
        <v>2</v>
      </c>
      <c r="J3" s="84" t="str">
        <f t="shared" ref="J3:J9" si="1">B3&amp;TEXT(I3,"00")</f>
        <v>3901302</v>
      </c>
      <c r="K3" s="213" t="s">
        <v>127</v>
      </c>
      <c r="L3" s="214" t="s">
        <v>446</v>
      </c>
      <c r="M3" s="215" t="s">
        <v>508</v>
      </c>
      <c r="N3" s="216" t="s">
        <v>200</v>
      </c>
      <c r="O3" s="216" t="s">
        <v>462</v>
      </c>
      <c r="P3" s="175" t="str">
        <f t="shared" ref="P3" si="2">"１２３４５６７８９０１２３４５６７８９０"&amp;DBCS(M3)</f>
        <v>１２３４５６７８９０１２３４５６７８９０敵のカウンター攻撃に対しては_x000D_ハートパネルだけを割ったり_x000D_スキルやフィーバーで倒しきると_x000D_反撃によるダメージを避けられます</v>
      </c>
      <c r="Q3" s="176">
        <f t="shared" ref="Q3" si="3">LEN(M3)</f>
        <v>61</v>
      </c>
    </row>
    <row r="4" spans="1:17" ht="77" customHeight="1" x14ac:dyDescent="0.2">
      <c r="A4" s="79" t="s">
        <v>198</v>
      </c>
      <c r="B4" s="80">
        <f>floors!$C$2</f>
        <v>39013</v>
      </c>
      <c r="C4" s="81" t="str">
        <f ca="1">VLOOKUP($B4,OFFSET([2]quests!$A$1,0,0,COUNTA([2]quests!$A:$A),MATCH(C$1,[2]quests!$1:$1,0)-MATCH($B$1,[2]quests!$1:$1,0)+1),MATCH(C$1,[2]quests!$1:$1,0)-MATCH($B$1,[2]quests!$1:$1,0)+1,FALSE)</f>
        <v>兄左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2">
        <v>4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【超級】兄左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3">
        <v>2</v>
      </c>
      <c r="I4" s="87">
        <f t="shared" si="0"/>
        <v>3</v>
      </c>
      <c r="J4" s="84" t="str">
        <f t="shared" si="1"/>
        <v>3901303</v>
      </c>
      <c r="K4" s="213" t="s">
        <v>127</v>
      </c>
      <c r="L4" s="214" t="s">
        <v>446</v>
      </c>
      <c r="M4" s="215" t="s">
        <v>509</v>
      </c>
      <c r="N4" s="216" t="s">
        <v>200</v>
      </c>
      <c r="O4" s="216" t="s">
        <v>462</v>
      </c>
      <c r="P4" s="175" t="str">
        <f t="shared" ref="P4:P34" si="4">"１２３４５６７８９０１２３４５６７８９０"&amp;DBCS(M4)</f>
        <v>１２３４５６７８９０１２３４５６７８９０山崎はＨＰが減るほど_x000D_単体攻撃の威力が上がり危険になります_x000D_タイミングを見極めてフィーバーやスキルで_x000D_一気に押し切りましょう</v>
      </c>
      <c r="Q4" s="176">
        <f t="shared" ref="Q4:Q34" si="5">LEN(M4)</f>
        <v>62</v>
      </c>
    </row>
    <row r="5" spans="1:17" ht="77" customHeight="1" x14ac:dyDescent="0.2">
      <c r="A5" s="79" t="s">
        <v>198</v>
      </c>
      <c r="B5" s="80">
        <f>floors!$C$2</f>
        <v>39013</v>
      </c>
      <c r="C5" s="81" t="str">
        <f ca="1">VLOOKUP($B5,OFFSET([2]quests!$A$1,0,0,COUNTA([2]quests!$A:$A),MATCH(C$1,[2]quests!$1:$1,0)-MATCH($B$1,[2]quests!$1:$1,0)+1),MATCH(C$1,[2]quests!$1:$1,0)-MATCH($B$1,[2]quests!$1:$1,0)+1,FALSE)</f>
        <v>兄左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2">
        <v>4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【超級】兄左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3">
        <v>3</v>
      </c>
      <c r="I5" s="87">
        <f t="shared" si="0"/>
        <v>4</v>
      </c>
      <c r="J5" s="84" t="str">
        <f t="shared" si="1"/>
        <v>3901304</v>
      </c>
      <c r="K5" s="209" t="s">
        <v>127</v>
      </c>
      <c r="L5" s="210" t="s">
        <v>446</v>
      </c>
      <c r="M5" s="211" t="s">
        <v>510</v>
      </c>
      <c r="N5" s="212" t="s">
        <v>200</v>
      </c>
      <c r="O5" s="212" t="s">
        <v>462</v>
      </c>
      <c r="P5" s="175" t="str">
        <f t="shared" si="4"/>
        <v>１２３４５６７８９０１２３４５６７８９０パネルを青と赤に分断された後には_x000D_どちらかを吸収する超必殺技がきます_x000D_それを読みうまく消せると_x000D_反撃のチャンスです</v>
      </c>
      <c r="Q5" s="176">
        <f t="shared" si="5"/>
        <v>57</v>
      </c>
    </row>
    <row r="6" spans="1:17" ht="77" customHeight="1" x14ac:dyDescent="0.2">
      <c r="A6" s="79" t="s">
        <v>198</v>
      </c>
      <c r="B6" s="80">
        <f>floors!$C$2</f>
        <v>39013</v>
      </c>
      <c r="C6" s="81" t="str">
        <f ca="1">VLOOKUP($B6,OFFSET([2]quests!$A$1,0,0,COUNTA([2]quests!$A:$A),MATCH(C$1,[2]quests!$1:$1,0)-MATCH($B$1,[2]quests!$1:$1,0)+1),MATCH(C$1,[2]quests!$1:$1,0)-MATCH($B$1,[2]quests!$1:$1,0)+1,FALSE)</f>
        <v>兄左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2">
        <v>4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【超級】兄左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3">
        <v>3</v>
      </c>
      <c r="I6" s="87">
        <f t="shared" si="0"/>
        <v>5</v>
      </c>
      <c r="J6" s="84" t="str">
        <f t="shared" si="1"/>
        <v>3901305</v>
      </c>
      <c r="K6" s="209" t="s">
        <v>127</v>
      </c>
      <c r="L6" s="210" t="s">
        <v>446</v>
      </c>
      <c r="M6" s="211" t="s">
        <v>511</v>
      </c>
      <c r="N6" s="212" t="s">
        <v>200</v>
      </c>
      <c r="O6" s="212" t="s">
        <v>462</v>
      </c>
      <c r="P6" s="175" t="str">
        <f>"１２３４５６７８９０１２３４５６７８９０"&amp;DBCS(M6)</f>
        <v>１２３４５６７８９０１２３４５６７８９０青か赤のパネルを吸収する超必殺技は_x000D_受けてしまうと大ダメージになります_x000D_ピンチの時にはフィーバーを使って_x000D_避けてしまいましょう</v>
      </c>
      <c r="Q6" s="176">
        <f t="shared" si="5"/>
        <v>63</v>
      </c>
    </row>
    <row r="7" spans="1:17" ht="77" customHeight="1" x14ac:dyDescent="0.2">
      <c r="A7" s="79" t="s">
        <v>198</v>
      </c>
      <c r="B7" s="80">
        <f>floors!$C$2</f>
        <v>39013</v>
      </c>
      <c r="C7" s="81" t="str">
        <f ca="1">VLOOKUP($B7,OFFSET([2]quests!$A$1,0,0,COUNTA([2]quests!$A:$A),MATCH(C$1,[2]quests!$1:$1,0)-MATCH($B$1,[2]quests!$1:$1,0)+1),MATCH(C$1,[2]quests!$1:$1,0)-MATCH($B$1,[2]quests!$1:$1,0)+1,FALSE)</f>
        <v>兄左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2">
        <v>4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【超級】兄左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3">
        <v>3</v>
      </c>
      <c r="I7" s="87">
        <f t="shared" si="0"/>
        <v>6</v>
      </c>
      <c r="J7" s="84" t="str">
        <f t="shared" si="1"/>
        <v>3901306</v>
      </c>
      <c r="K7" s="209" t="s">
        <v>127</v>
      </c>
      <c r="L7" s="210" t="s">
        <v>446</v>
      </c>
      <c r="M7" s="211" t="s">
        <v>512</v>
      </c>
      <c r="N7" s="212" t="s">
        <v>200</v>
      </c>
      <c r="O7" s="212" t="s">
        <v>462</v>
      </c>
      <c r="P7" s="175" t="str">
        <f t="shared" si="4"/>
        <v>１２３４５６７８９０１２３４５６７８９０山崎が２ゲージ目に使用する_x000D_ウィルス攻撃は強力です_x000D_解除するスキルを準備して挑むと_x000D_安心して戦えます</v>
      </c>
      <c r="Q7" s="176">
        <f t="shared" si="5"/>
        <v>50</v>
      </c>
    </row>
    <row r="8" spans="1:17" ht="77" customHeight="1" x14ac:dyDescent="0.2">
      <c r="A8" s="79" t="s">
        <v>419</v>
      </c>
      <c r="B8" s="80">
        <f>floors!$C$2</f>
        <v>39013</v>
      </c>
      <c r="C8" s="81" t="str">
        <f ca="1">VLOOKUP($B8,OFFSET([2]quests!$A$1,0,0,COUNTA([2]quests!$A:$A),MATCH(C$1,[2]quests!$1:$1,0)-MATCH($B$1,[2]quests!$1:$1,0)+1),MATCH(C$1,[2]quests!$1:$1,0)-MATCH($B$1,[2]quests!$1:$1,0)+1,FALSE)</f>
        <v>兄左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2">
        <v>4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【超級】兄左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3">
        <v>0</v>
      </c>
      <c r="I8" s="87">
        <f t="shared" si="0"/>
        <v>7</v>
      </c>
      <c r="J8" s="84" t="str">
        <f t="shared" si="1"/>
        <v>3901307</v>
      </c>
      <c r="K8" s="220" t="s">
        <v>127</v>
      </c>
      <c r="L8" s="221" t="s">
        <v>447</v>
      </c>
      <c r="M8" s="222" t="s">
        <v>513</v>
      </c>
      <c r="N8" s="223" t="s">
        <v>200</v>
      </c>
      <c r="O8" s="223" t="s">
        <v>462</v>
      </c>
      <c r="P8" s="175" t="str">
        <f t="shared" si="4"/>
        <v>１２３４５６７８９０１２３４５６７８９０大会に乗り込んだ山崎は_x000D_大会賞金の奪取を計画していたようです</v>
      </c>
      <c r="Q8" s="176">
        <f t="shared" si="5"/>
        <v>30</v>
      </c>
    </row>
    <row r="9" spans="1:17" ht="77" customHeight="1" x14ac:dyDescent="0.2">
      <c r="A9" s="79" t="s">
        <v>419</v>
      </c>
      <c r="B9" s="80">
        <f>floors!$C$2</f>
        <v>39013</v>
      </c>
      <c r="C9" s="81" t="str">
        <f ca="1">VLOOKUP($B9,OFFSET([2]quests!$A$1,0,0,COUNTA([2]quests!$A:$A),MATCH(C$1,[2]quests!$1:$1,0)-MATCH($B$1,[2]quests!$1:$1,0)+1),MATCH(C$1,[2]quests!$1:$1,0)-MATCH($B$1,[2]quests!$1:$1,0)+1,FALSE)</f>
        <v>兄左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2">
        <v>4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【超級】兄左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3">
        <v>0</v>
      </c>
      <c r="I9" s="87">
        <f t="shared" si="0"/>
        <v>8</v>
      </c>
      <c r="J9" s="84" t="str">
        <f t="shared" si="1"/>
        <v>3901308</v>
      </c>
      <c r="K9" s="220" t="s">
        <v>127</v>
      </c>
      <c r="L9" s="221" t="s">
        <v>448</v>
      </c>
      <c r="M9" s="222" t="s">
        <v>445</v>
      </c>
      <c r="N9" s="223" t="s">
        <v>200</v>
      </c>
      <c r="O9" s="223" t="s">
        <v>462</v>
      </c>
      <c r="P9" s="175" t="str">
        <f t="shared" si="4"/>
        <v>１２３４５６７８９０１２３４５６７８９０山崎はその凶暴性から_x000D_ＡＬＩＣＥのアンダーグラウンドでも_x000D_恐れられていました_x000D_</v>
      </c>
      <c r="Q9" s="176">
        <f t="shared" si="5"/>
        <v>39</v>
      </c>
    </row>
    <row r="10" spans="1:17" ht="86" customHeight="1" thickBot="1" x14ac:dyDescent="0.25">
      <c r="A10" s="79" t="s">
        <v>419</v>
      </c>
      <c r="B10" s="80">
        <f>floors!$C$2</f>
        <v>39013</v>
      </c>
      <c r="C10" s="251" t="str">
        <f ca="1">VLOOKUP($B10,OFFSET([2]quests!$A$1,0,0,COUNTA([2]quests!$A:$A),MATCH(C$1,[2]quests!$1:$1,0)-MATCH($B$1,[2]quests!$1:$1,0)+1),MATCH(C$1,[2]quests!$1:$1,0)-MATCH($B$1,[2]quests!$1:$1,0)+1,FALSE)</f>
        <v>兄左</v>
      </c>
      <c r="D10" s="251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2">
        <v>4</v>
      </c>
      <c r="F10" s="251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【超級】兄左</v>
      </c>
      <c r="G10" s="25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252">
        <v>0</v>
      </c>
      <c r="I10" s="87">
        <f t="shared" si="0"/>
        <v>9</v>
      </c>
      <c r="J10" s="84" t="str">
        <f>B10&amp;TEXT(I10,"00")</f>
        <v>3901309</v>
      </c>
      <c r="K10" s="220" t="s">
        <v>127</v>
      </c>
      <c r="L10" s="221" t="s">
        <v>449</v>
      </c>
      <c r="M10" s="222" t="s">
        <v>514</v>
      </c>
      <c r="N10" s="223" t="s">
        <v>200</v>
      </c>
      <c r="O10" s="223" t="s">
        <v>462</v>
      </c>
      <c r="P10" s="175" t="str">
        <f t="shared" si="4"/>
        <v>１２３４５６７８９０１２３４５６７８９０ウィルスは闇マーケットで_x000D_山崎が入手したとも噂されています_x000D_真偽を確かめるために_x000D_事件を追う必要がありそうです</v>
      </c>
      <c r="Q10" s="233">
        <f t="shared" si="5"/>
        <v>55</v>
      </c>
    </row>
    <row r="11" spans="1:17" ht="46" x14ac:dyDescent="0.2">
      <c r="A11" s="79" t="s">
        <v>419</v>
      </c>
      <c r="B11" s="80">
        <f>floors!$C$2</f>
        <v>39013</v>
      </c>
      <c r="C11" s="251" t="str">
        <f ca="1">VLOOKUP($B11,OFFSET([2]quests!$A$1,0,0,COUNTA([2]quests!$A:$A),MATCH(C$1,[2]quests!$1:$1,0)-MATCH($B$1,[2]quests!$1:$1,0)+1),MATCH(C$1,[2]quests!$1:$1,0)-MATCH($B$1,[2]quests!$1:$1,0)+1,FALSE)</f>
        <v>兄左</v>
      </c>
      <c r="D11" s="251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2">
        <v>4</v>
      </c>
      <c r="F11" s="251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【超級】兄左</v>
      </c>
      <c r="G11" s="25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252">
        <v>0</v>
      </c>
      <c r="I11" s="87">
        <f t="shared" si="0"/>
        <v>10</v>
      </c>
      <c r="J11" s="84" t="str">
        <f t="shared" ref="J11:J32" si="6">B11&amp;TEXT(I11,"00")</f>
        <v>3901310</v>
      </c>
      <c r="K11" s="220" t="s">
        <v>127</v>
      </c>
      <c r="L11" s="221" t="s">
        <v>463</v>
      </c>
      <c r="M11" s="222" t="s">
        <v>464</v>
      </c>
      <c r="N11" s="223" t="s">
        <v>462</v>
      </c>
      <c r="O11" s="223">
        <v>1579</v>
      </c>
      <c r="P11" s="175" t="str">
        <f t="shared" si="4"/>
        <v>１２３４５６７８９０１２３４５６７８９０俺の炎で燃えつきちまいな！_x000D_弱い奴に用はねえぜ！</v>
      </c>
      <c r="Q11" s="176">
        <f t="shared" si="5"/>
        <v>24</v>
      </c>
    </row>
    <row r="12" spans="1:17" ht="46" x14ac:dyDescent="0.2">
      <c r="A12" s="79" t="s">
        <v>419</v>
      </c>
      <c r="B12" s="80">
        <f>floors!$C$2</f>
        <v>39013</v>
      </c>
      <c r="C12" s="251" t="str">
        <f ca="1">VLOOKUP($B12,OFFSET([2]quests!$A$1,0,0,COUNTA([2]quests!$A:$A),MATCH(C$1,[2]quests!$1:$1,0)-MATCH($B$1,[2]quests!$1:$1,0)+1),MATCH(C$1,[2]quests!$1:$1,0)-MATCH($B$1,[2]quests!$1:$1,0)+1,FALSE)</f>
        <v>兄左</v>
      </c>
      <c r="D12" s="251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2">
        <v>4</v>
      </c>
      <c r="F12" s="251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【超級】兄左</v>
      </c>
      <c r="G12" s="25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252">
        <v>0</v>
      </c>
      <c r="I12" s="87">
        <f t="shared" si="0"/>
        <v>11</v>
      </c>
      <c r="J12" s="84" t="str">
        <f t="shared" si="6"/>
        <v>3901311</v>
      </c>
      <c r="K12" s="220" t="s">
        <v>127</v>
      </c>
      <c r="L12" s="221" t="s">
        <v>465</v>
      </c>
      <c r="M12" s="222" t="s">
        <v>466</v>
      </c>
      <c r="N12" s="223" t="s">
        <v>462</v>
      </c>
      <c r="O12" s="223">
        <v>1587</v>
      </c>
      <c r="P12" s="175" t="str">
        <f t="shared" si="4"/>
        <v>１２３４５６７８９０１２３４５６７８９０全身全霊をかけた試合、楽しかったです。_x000D_ありがとうございました！</v>
      </c>
      <c r="Q12" s="176">
        <f t="shared" si="5"/>
        <v>32</v>
      </c>
    </row>
    <row r="13" spans="1:17" ht="31" x14ac:dyDescent="0.2">
      <c r="A13" s="79" t="s">
        <v>419</v>
      </c>
      <c r="B13" s="80">
        <f>floors!$C$2</f>
        <v>39013</v>
      </c>
      <c r="C13" s="251" t="str">
        <f ca="1">VLOOKUP($B13,OFFSET([2]quests!$A$1,0,0,COUNTA([2]quests!$A:$A),MATCH(C$1,[2]quests!$1:$1,0)-MATCH($B$1,[2]quests!$1:$1,0)+1),MATCH(C$1,[2]quests!$1:$1,0)-MATCH($B$1,[2]quests!$1:$1,0)+1,FALSE)</f>
        <v>兄左</v>
      </c>
      <c r="D13" s="251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2">
        <v>4</v>
      </c>
      <c r="F13" s="251" t="str">
        <f ca="1">VLOOKUP($B13&amp;"_"&amp;$E13,OFFSET([2]stages!$A$1,0,0,COUNTA([2]stages!$A:$A),MATCH(F$1,[2]stages!$2:$2,0)-MATCH("temp_stage",[2]stages!$2:$2,0)+1),MATCH(F$1,[2]stages!$2:$2,0)-MATCH("temp_stage",[2]stages!$2:$2,0)+1,FALSE)</f>
        <v>【超級】兄左</v>
      </c>
      <c r="G13" s="25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252">
        <v>0</v>
      </c>
      <c r="I13" s="87">
        <f t="shared" si="0"/>
        <v>12</v>
      </c>
      <c r="J13" s="84" t="str">
        <f t="shared" si="6"/>
        <v>3901312</v>
      </c>
      <c r="K13" s="220" t="s">
        <v>127</v>
      </c>
      <c r="L13" s="221" t="s">
        <v>467</v>
      </c>
      <c r="M13" s="222" t="s">
        <v>468</v>
      </c>
      <c r="N13" s="223" t="s">
        <v>462</v>
      </c>
      <c r="O13" s="223">
        <v>1581</v>
      </c>
      <c r="P13" s="175" t="str">
        <f t="shared" si="4"/>
        <v>１２３４５６７８９０１２３４５６７８９０おしまいですか？ふふっ、つまんないの！</v>
      </c>
      <c r="Q13" s="176">
        <f t="shared" si="5"/>
        <v>19</v>
      </c>
    </row>
    <row r="14" spans="1:17" ht="61" x14ac:dyDescent="0.2">
      <c r="A14" s="79" t="s">
        <v>419</v>
      </c>
      <c r="B14" s="80">
        <f>floors!$C$2</f>
        <v>39013</v>
      </c>
      <c r="C14" s="251" t="str">
        <f ca="1">VLOOKUP($B14,OFFSET([2]quests!$A$1,0,0,COUNTA([2]quests!$A:$A),MATCH(C$1,[2]quests!$1:$1,0)-MATCH($B$1,[2]quests!$1:$1,0)+1),MATCH(C$1,[2]quests!$1:$1,0)-MATCH($B$1,[2]quests!$1:$1,0)+1,FALSE)</f>
        <v>兄左</v>
      </c>
      <c r="D14" s="251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2">
        <v>4</v>
      </c>
      <c r="F14" s="251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【超級】兄左</v>
      </c>
      <c r="G14" s="25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252">
        <v>0</v>
      </c>
      <c r="I14" s="87">
        <f t="shared" si="0"/>
        <v>13</v>
      </c>
      <c r="J14" s="84" t="str">
        <f t="shared" si="6"/>
        <v>3901313</v>
      </c>
      <c r="K14" s="220" t="s">
        <v>127</v>
      </c>
      <c r="L14" s="221" t="s">
        <v>469</v>
      </c>
      <c r="M14" s="222" t="s">
        <v>470</v>
      </c>
      <c r="N14" s="223" t="s">
        <v>462</v>
      </c>
      <c r="O14" s="223">
        <v>1570</v>
      </c>
      <c r="P14" s="175" t="str">
        <f t="shared" si="4"/>
        <v>１２３４５６７８９０１２３４５６７８９０戦いに性別は関係ない。_x000D_最後に立っていた奴が、強者だ！_x000D_わかるだろ！</v>
      </c>
      <c r="Q14" s="176">
        <f t="shared" si="5"/>
        <v>34</v>
      </c>
    </row>
    <row r="15" spans="1:17" ht="46" x14ac:dyDescent="0.2">
      <c r="A15" s="79" t="s">
        <v>419</v>
      </c>
      <c r="B15" s="80">
        <f>floors!$C$2</f>
        <v>39013</v>
      </c>
      <c r="C15" s="251" t="str">
        <f ca="1">VLOOKUP($B15,OFFSET([2]quests!$A$1,0,0,COUNTA([2]quests!$A:$A),MATCH(C$1,[2]quests!$1:$1,0)-MATCH($B$1,[2]quests!$1:$1,0)+1),MATCH(C$1,[2]quests!$1:$1,0)-MATCH($B$1,[2]quests!$1:$1,0)+1,FALSE)</f>
        <v>兄左</v>
      </c>
      <c r="D15" s="251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2">
        <v>4</v>
      </c>
      <c r="F15" s="251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【超級】兄左</v>
      </c>
      <c r="G15" s="251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252">
        <v>0</v>
      </c>
      <c r="I15" s="87">
        <f t="shared" si="0"/>
        <v>14</v>
      </c>
      <c r="J15" s="84" t="str">
        <f t="shared" si="6"/>
        <v>3901314</v>
      </c>
      <c r="K15" s="220" t="s">
        <v>127</v>
      </c>
      <c r="L15" s="221" t="s">
        <v>471</v>
      </c>
      <c r="M15" s="222" t="s">
        <v>472</v>
      </c>
      <c r="N15" s="223" t="s">
        <v>462</v>
      </c>
      <c r="O15" s="223">
        <v>1568</v>
      </c>
      <c r="P15" s="175" t="str">
        <f t="shared" si="4"/>
        <v>１２３４５６７８９０１２３４５６７８９０遊びがすぎます。それでは勝つ事はおろか、_x000D_私に触れる事も出来ませんね</v>
      </c>
      <c r="Q15" s="176">
        <f t="shared" si="5"/>
        <v>34</v>
      </c>
    </row>
    <row r="16" spans="1:17" ht="46" x14ac:dyDescent="0.2">
      <c r="A16" s="79" t="s">
        <v>419</v>
      </c>
      <c r="B16" s="80">
        <f>floors!$C$2</f>
        <v>39013</v>
      </c>
      <c r="C16" s="251" t="str">
        <f ca="1">VLOOKUP($B16,OFFSET([2]quests!$A$1,0,0,COUNTA([2]quests!$A:$A),MATCH(C$1,[2]quests!$1:$1,0)-MATCH($B$1,[2]quests!$1:$1,0)+1),MATCH(C$1,[2]quests!$1:$1,0)-MATCH($B$1,[2]quests!$1:$1,0)+1,FALSE)</f>
        <v>兄左</v>
      </c>
      <c r="D16" s="251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2">
        <v>4</v>
      </c>
      <c r="F16" s="251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【超級】兄左</v>
      </c>
      <c r="G16" s="251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252">
        <v>0</v>
      </c>
      <c r="I16" s="87">
        <f t="shared" si="0"/>
        <v>15</v>
      </c>
      <c r="J16" s="84" t="str">
        <f t="shared" si="6"/>
        <v>3901315</v>
      </c>
      <c r="K16" s="220" t="s">
        <v>127</v>
      </c>
      <c r="L16" s="221" t="s">
        <v>473</v>
      </c>
      <c r="M16" s="222" t="s">
        <v>474</v>
      </c>
      <c r="N16" s="223" t="s">
        <v>462</v>
      </c>
      <c r="O16" s="223">
        <v>1553</v>
      </c>
      <c r="P16" s="175" t="str">
        <f t="shared" si="4"/>
        <v>１２３４５６７８９０１２３４５６７８９０いったい何にしびれてる？_x000D_電撃か？それとも俺の美貌にかい？</v>
      </c>
      <c r="Q16" s="176">
        <f t="shared" si="5"/>
        <v>29</v>
      </c>
    </row>
    <row r="17" spans="1:17" ht="46" x14ac:dyDescent="0.2">
      <c r="A17" s="79" t="s">
        <v>419</v>
      </c>
      <c r="B17" s="80">
        <f>floors!$C$2</f>
        <v>39013</v>
      </c>
      <c r="C17" s="251" t="str">
        <f ca="1">VLOOKUP($B17,OFFSET([2]quests!$A$1,0,0,COUNTA([2]quests!$A:$A),MATCH(C$1,[2]quests!$1:$1,0)-MATCH($B$1,[2]quests!$1:$1,0)+1),MATCH(C$1,[2]quests!$1:$1,0)-MATCH($B$1,[2]quests!$1:$1,0)+1,FALSE)</f>
        <v>兄左</v>
      </c>
      <c r="D17" s="251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2">
        <v>4</v>
      </c>
      <c r="F17" s="251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【超級】兄左</v>
      </c>
      <c r="G17" s="251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252">
        <v>0</v>
      </c>
      <c r="I17" s="87">
        <f t="shared" si="0"/>
        <v>16</v>
      </c>
      <c r="J17" s="84" t="str">
        <f t="shared" si="6"/>
        <v>3901316</v>
      </c>
      <c r="K17" s="220" t="s">
        <v>127</v>
      </c>
      <c r="L17" s="221" t="s">
        <v>475</v>
      </c>
      <c r="M17" s="222" t="s">
        <v>476</v>
      </c>
      <c r="N17" s="223" t="s">
        <v>462</v>
      </c>
      <c r="O17" s="223">
        <v>1566</v>
      </c>
      <c r="P17" s="175" t="str">
        <f t="shared" si="4"/>
        <v>１２３４５６７８９０１２３４５６７８９０ナイスバディで最強の格闘家の_x000D_私に勝とうなんてやっぱ、無謀って感じぃ！</v>
      </c>
      <c r="Q17" s="176">
        <f t="shared" si="5"/>
        <v>35</v>
      </c>
    </row>
    <row r="18" spans="1:17" ht="46" x14ac:dyDescent="0.2">
      <c r="A18" s="79" t="s">
        <v>419</v>
      </c>
      <c r="B18" s="80">
        <f>floors!$C$2</f>
        <v>39013</v>
      </c>
      <c r="C18" s="251" t="str">
        <f ca="1">VLOOKUP($B18,OFFSET([2]quests!$A$1,0,0,COUNTA([2]quests!$A:$A),MATCH(C$1,[2]quests!$1:$1,0)-MATCH($B$1,[2]quests!$1:$1,0)+1),MATCH(C$1,[2]quests!$1:$1,0)-MATCH($B$1,[2]quests!$1:$1,0)+1,FALSE)</f>
        <v>兄左</v>
      </c>
      <c r="D18" s="251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2">
        <v>4</v>
      </c>
      <c r="F18" s="251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【超級】兄左</v>
      </c>
      <c r="G18" s="251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252">
        <v>0</v>
      </c>
      <c r="I18" s="87">
        <f t="shared" si="0"/>
        <v>17</v>
      </c>
      <c r="J18" s="84" t="str">
        <f t="shared" si="6"/>
        <v>3901317</v>
      </c>
      <c r="K18" s="220" t="s">
        <v>127</v>
      </c>
      <c r="L18" s="221" t="s">
        <v>477</v>
      </c>
      <c r="M18" s="222" t="s">
        <v>478</v>
      </c>
      <c r="N18" s="223" t="s">
        <v>462</v>
      </c>
      <c r="O18" s="223">
        <v>1551</v>
      </c>
      <c r="P18" s="175" t="str">
        <f t="shared" si="4"/>
        <v>１２３４５６７８９０１２３４５６７８９０何が足りねえかわかったろ？_x000D_へこんでる暇はないはずだぜ！</v>
      </c>
      <c r="Q18" s="176">
        <f t="shared" si="5"/>
        <v>28</v>
      </c>
    </row>
    <row r="19" spans="1:17" ht="31" x14ac:dyDescent="0.2">
      <c r="A19" s="79" t="s">
        <v>419</v>
      </c>
      <c r="B19" s="80">
        <f>floors!$C$2</f>
        <v>39013</v>
      </c>
      <c r="C19" s="251" t="str">
        <f ca="1">VLOOKUP($B19,OFFSET([2]quests!$A$1,0,0,COUNTA([2]quests!$A:$A),MATCH(C$1,[2]quests!$1:$1,0)-MATCH($B$1,[2]quests!$1:$1,0)+1),MATCH(C$1,[2]quests!$1:$1,0)-MATCH($B$1,[2]quests!$1:$1,0)+1,FALSE)</f>
        <v>兄左</v>
      </c>
      <c r="D19" s="251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2">
        <v>4</v>
      </c>
      <c r="F19" s="251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【超級】兄左</v>
      </c>
      <c r="G19" s="251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252">
        <v>0</v>
      </c>
      <c r="I19" s="87">
        <f t="shared" si="0"/>
        <v>18</v>
      </c>
      <c r="J19" s="84" t="str">
        <f t="shared" si="6"/>
        <v>3901318</v>
      </c>
      <c r="K19" s="220" t="s">
        <v>127</v>
      </c>
      <c r="L19" s="221" t="s">
        <v>479</v>
      </c>
      <c r="M19" s="222" t="s">
        <v>480</v>
      </c>
      <c r="N19" s="223" t="s">
        <v>462</v>
      </c>
      <c r="O19" s="223">
        <v>1555</v>
      </c>
      <c r="P19" s="175" t="str">
        <f t="shared" si="4"/>
        <v>１２３４５６７８９０１２３４５６７８９０これが答えだ…！</v>
      </c>
      <c r="Q19" s="176">
        <f t="shared" si="5"/>
        <v>8</v>
      </c>
    </row>
    <row r="20" spans="1:17" ht="46" x14ac:dyDescent="0.2">
      <c r="A20" s="79" t="s">
        <v>419</v>
      </c>
      <c r="B20" s="80">
        <f>floors!$C$2</f>
        <v>39013</v>
      </c>
      <c r="C20" s="251" t="str">
        <f ca="1">VLOOKUP($B20,OFFSET([2]quests!$A$1,0,0,COUNTA([2]quests!$A:$A),MATCH(C$1,[2]quests!$1:$1,0)-MATCH($B$1,[2]quests!$1:$1,0)+1),MATCH(C$1,[2]quests!$1:$1,0)-MATCH($B$1,[2]quests!$1:$1,0)+1,FALSE)</f>
        <v>兄左</v>
      </c>
      <c r="D20" s="251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2">
        <v>4</v>
      </c>
      <c r="F20" s="251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【超級】兄左</v>
      </c>
      <c r="G20" s="251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252">
        <v>0</v>
      </c>
      <c r="I20" s="87">
        <f t="shared" si="0"/>
        <v>19</v>
      </c>
      <c r="J20" s="84" t="str">
        <f t="shared" si="6"/>
        <v>3901319</v>
      </c>
      <c r="K20" s="220" t="s">
        <v>127</v>
      </c>
      <c r="L20" s="221" t="s">
        <v>481</v>
      </c>
      <c r="M20" s="222" t="s">
        <v>482</v>
      </c>
      <c r="N20" s="223" t="s">
        <v>462</v>
      </c>
      <c r="O20" s="223">
        <v>1556</v>
      </c>
      <c r="P20" s="175" t="str">
        <f t="shared" si="4"/>
        <v>１２３４５６７８９０１２３４５６７８９０絶対無比の空手！_x000D_それが極限流だ！覚えておく事だぜ！</v>
      </c>
      <c r="Q20" s="176">
        <f t="shared" si="5"/>
        <v>26</v>
      </c>
    </row>
    <row r="21" spans="1:17" ht="46" x14ac:dyDescent="0.2">
      <c r="A21" s="79" t="s">
        <v>419</v>
      </c>
      <c r="B21" s="80">
        <f>floors!$C$2</f>
        <v>39013</v>
      </c>
      <c r="C21" s="251" t="str">
        <f ca="1">VLOOKUP($B21,OFFSET([2]quests!$A$1,0,0,COUNTA([2]quests!$A:$A),MATCH(C$1,[2]quests!$1:$1,0)-MATCH($B$1,[2]quests!$1:$1,0)+1),MATCH(C$1,[2]quests!$1:$1,0)-MATCH($B$1,[2]quests!$1:$1,0)+1,FALSE)</f>
        <v>兄左</v>
      </c>
      <c r="D21" s="251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2">
        <v>4</v>
      </c>
      <c r="F21" s="251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【超級】兄左</v>
      </c>
      <c r="G21" s="251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252">
        <v>0</v>
      </c>
      <c r="I21" s="87">
        <f t="shared" si="0"/>
        <v>20</v>
      </c>
      <c r="J21" s="84" t="str">
        <f t="shared" si="6"/>
        <v>3901320</v>
      </c>
      <c r="K21" s="220" t="s">
        <v>127</v>
      </c>
      <c r="L21" s="221" t="s">
        <v>483</v>
      </c>
      <c r="M21" s="222" t="s">
        <v>484</v>
      </c>
      <c r="N21" s="223" t="s">
        <v>462</v>
      </c>
      <c r="O21" s="223">
        <v>1558</v>
      </c>
      <c r="P21" s="175" t="str">
        <f t="shared" si="4"/>
        <v>１２３４５６７８９０１２３４５６７８９０勝負は勝負！_x000D_負けたからってスネちゃダメよ！</v>
      </c>
      <c r="Q21" s="176">
        <f t="shared" si="5"/>
        <v>22</v>
      </c>
    </row>
    <row r="22" spans="1:17" ht="46" x14ac:dyDescent="0.2">
      <c r="A22" s="79" t="s">
        <v>419</v>
      </c>
      <c r="B22" s="80">
        <f>floors!$C$2</f>
        <v>39013</v>
      </c>
      <c r="C22" s="251" t="str">
        <f ca="1">VLOOKUP($B22,OFFSET([2]quests!$A$1,0,0,COUNTA([2]quests!$A:$A),MATCH(C$1,[2]quests!$1:$1,0)-MATCH($B$1,[2]quests!$1:$1,0)+1),MATCH(C$1,[2]quests!$1:$1,0)-MATCH($B$1,[2]quests!$1:$1,0)+1,FALSE)</f>
        <v>兄左</v>
      </c>
      <c r="D22" s="251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2">
        <v>4</v>
      </c>
      <c r="F22" s="251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【超級】兄左</v>
      </c>
      <c r="G22" s="251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252">
        <v>0</v>
      </c>
      <c r="I22" s="87">
        <f t="shared" si="0"/>
        <v>21</v>
      </c>
      <c r="J22" s="84" t="str">
        <f t="shared" si="6"/>
        <v>3901321</v>
      </c>
      <c r="K22" s="220" t="s">
        <v>127</v>
      </c>
      <c r="L22" s="221" t="s">
        <v>485</v>
      </c>
      <c r="M22" s="222" t="s">
        <v>486</v>
      </c>
      <c r="N22" s="223" t="s">
        <v>462</v>
      </c>
      <c r="O22" s="223">
        <v>1560</v>
      </c>
      <c r="P22" s="175" t="str">
        <f t="shared" si="4"/>
        <v>１２３４５６７８９０１２３４５６７８９０ワイの力みくびるなんて_x000D_まだまだ、ひよっこって事やな！</v>
      </c>
      <c r="Q22" s="176">
        <f t="shared" si="5"/>
        <v>27</v>
      </c>
    </row>
    <row r="23" spans="1:17" ht="61" x14ac:dyDescent="0.2">
      <c r="A23" s="79" t="s">
        <v>419</v>
      </c>
      <c r="B23" s="80">
        <f>floors!$C$2</f>
        <v>39013</v>
      </c>
      <c r="C23" s="251" t="str">
        <f ca="1">VLOOKUP($B23,OFFSET([2]quests!$A$1,0,0,COUNTA([2]quests!$A:$A),MATCH(C$1,[2]quests!$1:$1,0)-MATCH($B$1,[2]quests!$1:$1,0)+1),MATCH(C$1,[2]quests!$1:$1,0)-MATCH($B$1,[2]quests!$1:$1,0)+1,FALSE)</f>
        <v>兄左</v>
      </c>
      <c r="D23" s="251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2">
        <v>4</v>
      </c>
      <c r="F23" s="251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【超級】兄左</v>
      </c>
      <c r="G23" s="251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252">
        <v>0</v>
      </c>
      <c r="I23" s="87">
        <f t="shared" si="0"/>
        <v>22</v>
      </c>
      <c r="J23" s="84" t="str">
        <f t="shared" si="6"/>
        <v>3901322</v>
      </c>
      <c r="K23" s="220" t="s">
        <v>127</v>
      </c>
      <c r="L23" s="221" t="s">
        <v>487</v>
      </c>
      <c r="M23" s="222" t="s">
        <v>488</v>
      </c>
      <c r="N23" s="223" t="s">
        <v>462</v>
      </c>
      <c r="O23" s="223">
        <v>1561</v>
      </c>
      <c r="P23" s="175" t="str">
        <f t="shared" si="4"/>
        <v>１２３４５６７８９０１２３４５６７８９０甘い夢を見続けるなら、_x000D_夢の中だけで十分だぜ！_x000D_現実は厳しいって事だ！</v>
      </c>
      <c r="Q23" s="176">
        <f t="shared" si="5"/>
        <v>35</v>
      </c>
    </row>
    <row r="24" spans="1:17" ht="46" x14ac:dyDescent="0.2">
      <c r="A24" s="79" t="s">
        <v>419</v>
      </c>
      <c r="B24" s="80">
        <f>floors!$C$2</f>
        <v>39013</v>
      </c>
      <c r="C24" s="251" t="str">
        <f ca="1">VLOOKUP($B24,OFFSET([2]quests!$A$1,0,0,COUNTA([2]quests!$A:$A),MATCH(C$1,[2]quests!$1:$1,0)-MATCH($B$1,[2]quests!$1:$1,0)+1),MATCH(C$1,[2]quests!$1:$1,0)-MATCH($B$1,[2]quests!$1:$1,0)+1,FALSE)</f>
        <v>兄左</v>
      </c>
      <c r="D24" s="251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2">
        <v>4</v>
      </c>
      <c r="F24" s="251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【超級】兄左</v>
      </c>
      <c r="G24" s="251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252">
        <v>0</v>
      </c>
      <c r="I24" s="87">
        <f t="shared" si="0"/>
        <v>23</v>
      </c>
      <c r="J24" s="84" t="str">
        <f t="shared" si="6"/>
        <v>3901323</v>
      </c>
      <c r="K24" s="220" t="s">
        <v>127</v>
      </c>
      <c r="L24" s="221" t="s">
        <v>489</v>
      </c>
      <c r="M24" s="222" t="s">
        <v>490</v>
      </c>
      <c r="N24" s="223" t="s">
        <v>462</v>
      </c>
      <c r="O24" s="223">
        <v>1563</v>
      </c>
      <c r="P24" s="175" t="str">
        <f t="shared" si="4"/>
        <v>１２３４５６７８９０１２３４５６７８９０相手の力量を見誤ると大怪我するよ。_x000D_気をつけるんだ！</v>
      </c>
      <c r="Q24" s="176">
        <f t="shared" si="5"/>
        <v>26</v>
      </c>
    </row>
    <row r="25" spans="1:17" ht="46" x14ac:dyDescent="0.2">
      <c r="A25" s="79" t="s">
        <v>419</v>
      </c>
      <c r="B25" s="80">
        <f>floors!$C$2</f>
        <v>39013</v>
      </c>
      <c r="C25" s="251" t="str">
        <f ca="1">VLOOKUP($B25,OFFSET([2]quests!$A$1,0,0,COUNTA([2]quests!$A:$A),MATCH(C$1,[2]quests!$1:$1,0)-MATCH($B$1,[2]quests!$1:$1,0)+1),MATCH(C$1,[2]quests!$1:$1,0)-MATCH($B$1,[2]quests!$1:$1,0)+1,FALSE)</f>
        <v>兄左</v>
      </c>
      <c r="D25" s="251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2">
        <v>4</v>
      </c>
      <c r="F25" s="251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【超級】兄左</v>
      </c>
      <c r="G25" s="251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252">
        <v>0</v>
      </c>
      <c r="I25" s="87">
        <f t="shared" si="0"/>
        <v>24</v>
      </c>
      <c r="J25" s="84" t="str">
        <f t="shared" si="6"/>
        <v>3901324</v>
      </c>
      <c r="K25" s="220" t="s">
        <v>127</v>
      </c>
      <c r="L25" s="221" t="s">
        <v>491</v>
      </c>
      <c r="M25" s="222" t="s">
        <v>492</v>
      </c>
      <c r="N25" s="223" t="s">
        <v>462</v>
      </c>
      <c r="O25" s="223">
        <v>1565</v>
      </c>
      <c r="P25" s="175" t="str">
        <f t="shared" si="4"/>
        <v>１２３４５６７８９０１２３４５６７８９０勝利者はいつもこの俺！ジョー東様よ！_x000D_そこんとこ勘違いしちゃいけねーぜ！</v>
      </c>
      <c r="Q25" s="176">
        <f t="shared" si="5"/>
        <v>36</v>
      </c>
    </row>
    <row r="26" spans="1:17" ht="46" x14ac:dyDescent="0.2">
      <c r="A26" s="79" t="s">
        <v>419</v>
      </c>
      <c r="B26" s="80">
        <f>floors!$C$2</f>
        <v>39013</v>
      </c>
      <c r="C26" s="251" t="str">
        <f ca="1">VLOOKUP($B26,OFFSET([2]quests!$A$1,0,0,COUNTA([2]quests!$A:$A),MATCH(C$1,[2]quests!$1:$1,0)-MATCH($B$1,[2]quests!$1:$1,0)+1),MATCH(C$1,[2]quests!$1:$1,0)-MATCH($B$1,[2]quests!$1:$1,0)+1,FALSE)</f>
        <v>兄左</v>
      </c>
      <c r="D26" s="251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2">
        <v>4</v>
      </c>
      <c r="F26" s="251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【超級】兄左</v>
      </c>
      <c r="G26" s="251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252">
        <v>0</v>
      </c>
      <c r="I26" s="87">
        <f t="shared" si="0"/>
        <v>25</v>
      </c>
      <c r="J26" s="84" t="str">
        <f t="shared" si="6"/>
        <v>3901325</v>
      </c>
      <c r="K26" s="220" t="s">
        <v>127</v>
      </c>
      <c r="L26" s="221" t="s">
        <v>493</v>
      </c>
      <c r="M26" s="222" t="s">
        <v>494</v>
      </c>
      <c r="N26" s="223" t="s">
        <v>462</v>
      </c>
      <c r="O26" s="223">
        <v>1571</v>
      </c>
      <c r="P26" s="175" t="str">
        <f t="shared" si="4"/>
        <v>１２３４５６７８９０１２３４５６７８９０失せろ！キサマ等にくれてやるのは_x000D_痛み、苦しみという名の慈悲だけだ！！！</v>
      </c>
      <c r="Q26" s="176">
        <f t="shared" si="5"/>
        <v>36</v>
      </c>
    </row>
    <row r="27" spans="1:17" ht="46" x14ac:dyDescent="0.2">
      <c r="A27" s="79" t="s">
        <v>419</v>
      </c>
      <c r="B27" s="80">
        <f>floors!$C$2</f>
        <v>39013</v>
      </c>
      <c r="C27" s="251" t="str">
        <f ca="1">VLOOKUP($B27,OFFSET([2]quests!$A$1,0,0,COUNTA([2]quests!$A:$A),MATCH(C$1,[2]quests!$1:$1,0)-MATCH($B$1,[2]quests!$1:$1,0)+1),MATCH(C$1,[2]quests!$1:$1,0)-MATCH($B$1,[2]quests!$1:$1,0)+1,FALSE)</f>
        <v>兄左</v>
      </c>
      <c r="D27" s="251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2">
        <v>4</v>
      </c>
      <c r="F27" s="251" t="str">
        <f ca="1">VLOOKUP($B27&amp;"_"&amp;$E27,OFFSET([2]stages!$A$1,0,0,COUNTA([2]stages!$A:$A),MATCH(F$1,[2]stages!$2:$2,0)-MATCH("temp_stage",[2]stages!$2:$2,0)+1),MATCH(F$1,[2]stages!$2:$2,0)-MATCH("temp_stage",[2]stages!$2:$2,0)+1,FALSE)</f>
        <v>【超級】兄左</v>
      </c>
      <c r="G27" s="251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252">
        <v>0</v>
      </c>
      <c r="I27" s="87">
        <f t="shared" si="0"/>
        <v>26</v>
      </c>
      <c r="J27" s="84" t="str">
        <f t="shared" si="6"/>
        <v>3901326</v>
      </c>
      <c r="K27" s="220" t="s">
        <v>127</v>
      </c>
      <c r="L27" s="221" t="s">
        <v>495</v>
      </c>
      <c r="M27" s="222" t="s">
        <v>496</v>
      </c>
      <c r="N27" s="223" t="s">
        <v>462</v>
      </c>
      <c r="O27" s="223">
        <v>1573</v>
      </c>
      <c r="P27" s="175" t="str">
        <f t="shared" si="4"/>
        <v>１２３４５６７８９０１２３４５６７８９０意識が無くなるまでしばらくあるよ。_x000D_好きな歌でも口ずさんで待つんだね</v>
      </c>
      <c r="Q27" s="176">
        <f t="shared" si="5"/>
        <v>34</v>
      </c>
    </row>
    <row r="28" spans="1:17" ht="31" x14ac:dyDescent="0.2">
      <c r="A28" s="79" t="s">
        <v>419</v>
      </c>
      <c r="B28" s="80">
        <f>floors!$C$2</f>
        <v>39013</v>
      </c>
      <c r="C28" s="251" t="str">
        <f ca="1">VLOOKUP($B28,OFFSET([2]quests!$A$1,0,0,COUNTA([2]quests!$A:$A),MATCH(C$1,[2]quests!$1:$1,0)-MATCH($B$1,[2]quests!$1:$1,0)+1),MATCH(C$1,[2]quests!$1:$1,0)-MATCH($B$1,[2]quests!$1:$1,0)+1,FALSE)</f>
        <v>兄左</v>
      </c>
      <c r="D28" s="251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2">
        <v>4</v>
      </c>
      <c r="F28" s="251" t="str">
        <f ca="1">VLOOKUP($B28&amp;"_"&amp;$E28,OFFSET([2]stages!$A$1,0,0,COUNTA([2]stages!$A:$A),MATCH(F$1,[2]stages!$2:$2,0)-MATCH("temp_stage",[2]stages!$2:$2,0)+1),MATCH(F$1,[2]stages!$2:$2,0)-MATCH("temp_stage",[2]stages!$2:$2,0)+1,FALSE)</f>
        <v>【超級】兄左</v>
      </c>
      <c r="G28" s="251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252">
        <v>0</v>
      </c>
      <c r="I28" s="87">
        <f t="shared" si="0"/>
        <v>27</v>
      </c>
      <c r="J28" s="84" t="str">
        <f t="shared" si="6"/>
        <v>3901327</v>
      </c>
      <c r="K28" s="220" t="s">
        <v>127</v>
      </c>
      <c r="L28" s="221" t="s">
        <v>497</v>
      </c>
      <c r="M28" s="222" t="s">
        <v>498</v>
      </c>
      <c r="N28" s="223" t="s">
        <v>462</v>
      </c>
      <c r="O28" s="223">
        <v>1574</v>
      </c>
      <c r="P28" s="175" t="str">
        <f t="shared" si="4"/>
        <v>１２３４５６７８９０１２３４５６７８９０おやすみなさい。百万回のごきげんよう…</v>
      </c>
      <c r="Q28" s="176">
        <f t="shared" si="5"/>
        <v>19</v>
      </c>
    </row>
    <row r="29" spans="1:17" ht="61" x14ac:dyDescent="0.2">
      <c r="A29" s="79" t="s">
        <v>419</v>
      </c>
      <c r="B29" s="80">
        <f>floors!$C$2</f>
        <v>39013</v>
      </c>
      <c r="C29" s="251" t="str">
        <f ca="1">VLOOKUP($B29,OFFSET([2]quests!$A$1,0,0,COUNTA([2]quests!$A:$A),MATCH(C$1,[2]quests!$1:$1,0)-MATCH($B$1,[2]quests!$1:$1,0)+1),MATCH(C$1,[2]quests!$1:$1,0)-MATCH($B$1,[2]quests!$1:$1,0)+1,FALSE)</f>
        <v>兄左</v>
      </c>
      <c r="D29" s="251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2">
        <v>4</v>
      </c>
      <c r="F29" s="251" t="str">
        <f ca="1">VLOOKUP($B29&amp;"_"&amp;$E29,OFFSET([2]stages!$A$1,0,0,COUNTA([2]stages!$A:$A),MATCH(F$1,[2]stages!$2:$2,0)-MATCH("temp_stage",[2]stages!$2:$2,0)+1),MATCH(F$1,[2]stages!$2:$2,0)-MATCH("temp_stage",[2]stages!$2:$2,0)+1,FALSE)</f>
        <v>【超級】兄左</v>
      </c>
      <c r="G29" s="251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252">
        <v>0</v>
      </c>
      <c r="I29" s="87">
        <f t="shared" si="0"/>
        <v>28</v>
      </c>
      <c r="J29" s="84" t="str">
        <f t="shared" si="6"/>
        <v>3901328</v>
      </c>
      <c r="K29" s="220" t="s">
        <v>127</v>
      </c>
      <c r="L29" s="221" t="s">
        <v>499</v>
      </c>
      <c r="M29" s="222" t="s">
        <v>500</v>
      </c>
      <c r="N29" s="223" t="s">
        <v>462</v>
      </c>
      <c r="O29" s="223">
        <v>1575</v>
      </c>
      <c r="P29" s="175" t="str">
        <f t="shared" si="4"/>
        <v>１２３４５６７８９０１２３４５６７８９０いい試合でした。_x000D_私もつい本気になってしまったようです！_x000D_ハッハッハ！！</v>
      </c>
      <c r="Q29" s="176">
        <f t="shared" si="5"/>
        <v>36</v>
      </c>
    </row>
    <row r="30" spans="1:17" ht="46" x14ac:dyDescent="0.2">
      <c r="A30" s="79" t="s">
        <v>419</v>
      </c>
      <c r="B30" s="80">
        <f>floors!$C$2</f>
        <v>39013</v>
      </c>
      <c r="C30" s="251" t="str">
        <f ca="1">VLOOKUP($B30,OFFSET([2]quests!$A$1,0,0,COUNTA([2]quests!$A:$A),MATCH(C$1,[2]quests!$1:$1,0)-MATCH($B$1,[2]quests!$1:$1,0)+1),MATCH(C$1,[2]quests!$1:$1,0)-MATCH($B$1,[2]quests!$1:$1,0)+1,FALSE)</f>
        <v>兄左</v>
      </c>
      <c r="D30" s="251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2">
        <v>4</v>
      </c>
      <c r="F30" s="251" t="str">
        <f ca="1">VLOOKUP($B30&amp;"_"&amp;$E30,OFFSET([2]stages!$A$1,0,0,COUNTA([2]stages!$A:$A),MATCH(F$1,[2]stages!$2:$2,0)-MATCH("temp_stage",[2]stages!$2:$2,0)+1),MATCH(F$1,[2]stages!$2:$2,0)-MATCH("temp_stage",[2]stages!$2:$2,0)+1,FALSE)</f>
        <v>【超級】兄左</v>
      </c>
      <c r="G30" s="251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252">
        <v>0</v>
      </c>
      <c r="I30" s="87">
        <f t="shared" si="0"/>
        <v>29</v>
      </c>
      <c r="J30" s="84" t="str">
        <f t="shared" si="6"/>
        <v>3901329</v>
      </c>
      <c r="K30" s="220" t="s">
        <v>127</v>
      </c>
      <c r="L30" s="221" t="s">
        <v>501</v>
      </c>
      <c r="M30" s="222" t="s">
        <v>502</v>
      </c>
      <c r="N30" s="223" t="s">
        <v>462</v>
      </c>
      <c r="O30" s="223">
        <v>1577</v>
      </c>
      <c r="P30" s="175" t="str">
        <f t="shared" si="4"/>
        <v>１２３４５６７８９０１２３４５６７８９０ってゆっかー、じぶんらよわすぎぃー、_x000D_みたいなぁーでヤンスぅー</v>
      </c>
      <c r="Q30" s="176">
        <f t="shared" si="5"/>
        <v>31</v>
      </c>
    </row>
    <row r="31" spans="1:17" ht="61" x14ac:dyDescent="0.2">
      <c r="A31" s="79" t="s">
        <v>419</v>
      </c>
      <c r="B31" s="80">
        <f>floors!$C$2</f>
        <v>39013</v>
      </c>
      <c r="C31" s="251" t="str">
        <f ca="1">VLOOKUP($B31,OFFSET([2]quests!$A$1,0,0,COUNTA([2]quests!$A:$A),MATCH(C$1,[2]quests!$1:$1,0)-MATCH($B$1,[2]quests!$1:$1,0)+1),MATCH(C$1,[2]quests!$1:$1,0)-MATCH($B$1,[2]quests!$1:$1,0)+1,FALSE)</f>
        <v>兄左</v>
      </c>
      <c r="D31" s="251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2">
        <v>4</v>
      </c>
      <c r="F31" s="251" t="str">
        <f ca="1">VLOOKUP($B31&amp;"_"&amp;$E31,OFFSET([2]stages!$A$1,0,0,COUNTA([2]stages!$A:$A),MATCH(F$1,[2]stages!$2:$2,0)-MATCH("temp_stage",[2]stages!$2:$2,0)+1),MATCH(F$1,[2]stages!$2:$2,0)-MATCH("temp_stage",[2]stages!$2:$2,0)+1,FALSE)</f>
        <v>【超級】兄左</v>
      </c>
      <c r="G31" s="251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252">
        <v>0</v>
      </c>
      <c r="I31" s="87">
        <f t="shared" si="0"/>
        <v>30</v>
      </c>
      <c r="J31" s="84" t="str">
        <f t="shared" si="6"/>
        <v>3901330</v>
      </c>
      <c r="K31" s="220" t="s">
        <v>127</v>
      </c>
      <c r="L31" s="221" t="s">
        <v>503</v>
      </c>
      <c r="M31" s="222" t="s">
        <v>504</v>
      </c>
      <c r="N31" s="223" t="s">
        <v>462</v>
      </c>
      <c r="O31" s="223">
        <v>1578</v>
      </c>
      <c r="P31" s="175" t="str">
        <f t="shared" si="4"/>
        <v>１２３４５６７８９０１２３４５６７８９０なんでぇ。_x000D_もう、オレのオモチャが壊れちまったぜ！！_x000D_面白くねえな！</v>
      </c>
      <c r="Q31" s="176">
        <f t="shared" si="5"/>
        <v>34</v>
      </c>
    </row>
    <row r="32" spans="1:17" ht="46" x14ac:dyDescent="0.2">
      <c r="A32" s="79" t="s">
        <v>419</v>
      </c>
      <c r="B32" s="80">
        <f>floors!$C$2</f>
        <v>39013</v>
      </c>
      <c r="C32" s="251" t="str">
        <f ca="1">VLOOKUP($B32,OFFSET([2]quests!$A$1,0,0,COUNTA([2]quests!$A:$A),MATCH(C$1,[2]quests!$1:$1,0)-MATCH($B$1,[2]quests!$1:$1,0)+1),MATCH(C$1,[2]quests!$1:$1,0)-MATCH($B$1,[2]quests!$1:$1,0)+1,FALSE)</f>
        <v>兄左</v>
      </c>
      <c r="D32" s="251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2">
        <v>4</v>
      </c>
      <c r="F32" s="251" t="str">
        <f ca="1">VLOOKUP($B32&amp;"_"&amp;$E32,OFFSET([2]stages!$A$1,0,0,COUNTA([2]stages!$A:$A),MATCH(F$1,[2]stages!$2:$2,0)-MATCH("temp_stage",[2]stages!$2:$2,0)+1),MATCH(F$1,[2]stages!$2:$2,0)-MATCH("temp_stage",[2]stages!$2:$2,0)+1,FALSE)</f>
        <v>【超級】兄左</v>
      </c>
      <c r="G32" s="251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252">
        <v>0</v>
      </c>
      <c r="I32" s="87">
        <f t="shared" si="0"/>
        <v>31</v>
      </c>
      <c r="J32" s="84" t="str">
        <f t="shared" si="6"/>
        <v>3901331</v>
      </c>
      <c r="K32" s="220" t="s">
        <v>127</v>
      </c>
      <c r="L32" s="221" t="s">
        <v>505</v>
      </c>
      <c r="M32" s="222" t="s">
        <v>506</v>
      </c>
      <c r="N32" s="223" t="s">
        <v>462</v>
      </c>
      <c r="O32" s="223">
        <v>1584</v>
      </c>
      <c r="P32" s="175" t="str">
        <f t="shared" si="4"/>
        <v>１２３４５６７８９０１２３４５６７８９０いちいちシャクに触る野郎だなぁ！_x000D_沈めるぞ！！</v>
      </c>
      <c r="Q32" s="176">
        <f t="shared" si="5"/>
        <v>23</v>
      </c>
    </row>
    <row r="33" spans="1:17" ht="61" x14ac:dyDescent="0.2">
      <c r="A33" s="79" t="s">
        <v>198</v>
      </c>
      <c r="B33" s="80">
        <f>floors!$C$2</f>
        <v>39013</v>
      </c>
      <c r="C33" s="251" t="str">
        <f ca="1">VLOOKUP($B33,OFFSET([2]quests!$A$1,0,0,COUNTA([2]quests!$A:$A),MATCH(C$1,[2]quests!$1:$1,0)-MATCH($B$1,[2]quests!$1:$1,0)+1),MATCH(C$1,[2]quests!$1:$1,0)-MATCH($B$1,[2]quests!$1:$1,0)+1,FALSE)</f>
        <v>兄左</v>
      </c>
      <c r="D33" s="251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2">
        <v>3</v>
      </c>
      <c r="F33" s="251" t="str">
        <f ca="1">VLOOKUP($B33&amp;"_"&amp;$E33,OFFSET([2]stages!$A$1,0,0,COUNTA([2]stages!$A:$A),MATCH(F$1,[2]stages!$2:$2,0)-MATCH("temp_stage",[2]stages!$2:$2,0)+1),MATCH(F$1,[2]stages!$2:$2,0)-MATCH("temp_stage",[2]stages!$2:$2,0)+1,FALSE)</f>
        <v>【上級】兄左</v>
      </c>
      <c r="G33" s="251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252">
        <v>1</v>
      </c>
      <c r="I33" s="87">
        <f t="shared" si="0"/>
        <v>32</v>
      </c>
      <c r="J33" s="84" t="str">
        <f t="shared" ref="J33:J103" si="7">B33&amp;TEXT(I33,"00")</f>
        <v>3901332</v>
      </c>
      <c r="K33" s="217" t="s">
        <v>127</v>
      </c>
      <c r="L33" s="218" t="s">
        <v>446</v>
      </c>
      <c r="M33" s="208" t="s">
        <v>507</v>
      </c>
      <c r="N33" s="219" t="s">
        <v>200</v>
      </c>
      <c r="O33" s="219" t="s">
        <v>462</v>
      </c>
      <c r="P33" s="175" t="str">
        <f t="shared" si="4"/>
        <v>１２３４５６７８９０１２３４５６７８９０アンダーグラウンドのエネミーたちは_x000D_連携すると強力です_x000D_強い敵を見極めて１体ずつ倒しましょう</v>
      </c>
      <c r="Q33" s="232">
        <f t="shared" si="5"/>
        <v>46</v>
      </c>
    </row>
    <row r="34" spans="1:17" ht="76" x14ac:dyDescent="0.2">
      <c r="A34" s="79" t="s">
        <v>198</v>
      </c>
      <c r="B34" s="80">
        <f>floors!$C$2</f>
        <v>39013</v>
      </c>
      <c r="C34" s="251" t="str">
        <f ca="1">VLOOKUP($B34,OFFSET([2]quests!$A$1,0,0,COUNTA([2]quests!$A:$A),MATCH(C$1,[2]quests!$1:$1,0)-MATCH($B$1,[2]quests!$1:$1,0)+1),MATCH(C$1,[2]quests!$1:$1,0)-MATCH($B$1,[2]quests!$1:$1,0)+1,FALSE)</f>
        <v>兄左</v>
      </c>
      <c r="D34" s="251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2">
        <v>3</v>
      </c>
      <c r="F34" s="251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【上級】兄左</v>
      </c>
      <c r="G34" s="251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252">
        <v>2</v>
      </c>
      <c r="I34" s="87">
        <f t="shared" si="0"/>
        <v>33</v>
      </c>
      <c r="J34" s="84" t="str">
        <f t="shared" si="7"/>
        <v>3901333</v>
      </c>
      <c r="K34" s="213" t="s">
        <v>127</v>
      </c>
      <c r="L34" s="214" t="s">
        <v>446</v>
      </c>
      <c r="M34" s="215" t="s">
        <v>508</v>
      </c>
      <c r="N34" s="216" t="s">
        <v>200</v>
      </c>
      <c r="O34" s="216" t="s">
        <v>462</v>
      </c>
      <c r="P34" s="175" t="str">
        <f t="shared" si="4"/>
        <v>１２３４５６７８９０１２３４５６７８９０敵のカウンター攻撃に対しては_x000D_ハートパネルだけを割ったり_x000D_スキルやフィーバーで倒しきると_x000D_反撃によるダメージを避けられます</v>
      </c>
      <c r="Q34" s="176">
        <f t="shared" si="5"/>
        <v>61</v>
      </c>
    </row>
    <row r="35" spans="1:17" ht="91" x14ac:dyDescent="0.2">
      <c r="A35" s="79" t="s">
        <v>198</v>
      </c>
      <c r="B35" s="80">
        <f>floors!$C$2</f>
        <v>39013</v>
      </c>
      <c r="C35" s="251" t="str">
        <f ca="1">VLOOKUP($B35,OFFSET([2]quests!$A$1,0,0,COUNTA([2]quests!$A:$A),MATCH(C$1,[2]quests!$1:$1,0)-MATCH($B$1,[2]quests!$1:$1,0)+1),MATCH(C$1,[2]quests!$1:$1,0)-MATCH($B$1,[2]quests!$1:$1,0)+1,FALSE)</f>
        <v>兄左</v>
      </c>
      <c r="D35" s="251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2">
        <v>3</v>
      </c>
      <c r="F35" s="251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【上級】兄左</v>
      </c>
      <c r="G35" s="251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252">
        <v>2</v>
      </c>
      <c r="I35" s="87">
        <f t="shared" si="0"/>
        <v>34</v>
      </c>
      <c r="J35" s="84" t="str">
        <f t="shared" si="7"/>
        <v>3901334</v>
      </c>
      <c r="K35" s="213" t="s">
        <v>127</v>
      </c>
      <c r="L35" s="214" t="s">
        <v>446</v>
      </c>
      <c r="M35" s="215" t="s">
        <v>509</v>
      </c>
      <c r="N35" s="216" t="s">
        <v>200</v>
      </c>
      <c r="O35" s="216" t="s">
        <v>462</v>
      </c>
      <c r="P35" s="175" t="str">
        <f t="shared" ref="P35:P103" si="8">"１２３４５６７８９０１２３４５６７８９０"&amp;DBCS(M35)</f>
        <v>１２３４５６７８９０１２３４５６７８９０山崎はＨＰが減るほど_x000D_単体攻撃の威力が上がり危険になります_x000D_タイミングを見極めてフィーバーやスキルで_x000D_一気に押し切りましょう</v>
      </c>
      <c r="Q35" s="176">
        <f t="shared" ref="Q35:Q103" si="9">LEN(M35)</f>
        <v>62</v>
      </c>
    </row>
    <row r="36" spans="1:17" ht="76" x14ac:dyDescent="0.2">
      <c r="A36" s="79" t="s">
        <v>198</v>
      </c>
      <c r="B36" s="80">
        <f>floors!$C$2</f>
        <v>39013</v>
      </c>
      <c r="C36" s="251" t="str">
        <f ca="1">VLOOKUP($B36,OFFSET([2]quests!$A$1,0,0,COUNTA([2]quests!$A:$A),MATCH(C$1,[2]quests!$1:$1,0)-MATCH($B$1,[2]quests!$1:$1,0)+1),MATCH(C$1,[2]quests!$1:$1,0)-MATCH($B$1,[2]quests!$1:$1,0)+1,FALSE)</f>
        <v>兄左</v>
      </c>
      <c r="D36" s="251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2">
        <v>3</v>
      </c>
      <c r="F36" s="251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【上級】兄左</v>
      </c>
      <c r="G36" s="251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252">
        <v>3</v>
      </c>
      <c r="I36" s="87">
        <f t="shared" si="0"/>
        <v>35</v>
      </c>
      <c r="J36" s="84" t="str">
        <f t="shared" si="7"/>
        <v>3901335</v>
      </c>
      <c r="K36" s="209" t="s">
        <v>127</v>
      </c>
      <c r="L36" s="210" t="s">
        <v>446</v>
      </c>
      <c r="M36" s="211" t="s">
        <v>510</v>
      </c>
      <c r="N36" s="212" t="s">
        <v>200</v>
      </c>
      <c r="O36" s="212" t="s">
        <v>462</v>
      </c>
      <c r="P36" s="175" t="str">
        <f t="shared" si="8"/>
        <v>１２３４５６７８９０１２３４５６７８９０パネルを青と赤に分断された後には_x000D_どちらかを吸収する超必殺技がきます_x000D_それを読みうまく消せると_x000D_反撃のチャンスです</v>
      </c>
      <c r="Q36" s="176">
        <f t="shared" si="9"/>
        <v>57</v>
      </c>
    </row>
    <row r="37" spans="1:17" ht="76" x14ac:dyDescent="0.2">
      <c r="A37" s="79" t="s">
        <v>198</v>
      </c>
      <c r="B37" s="80">
        <f>floors!$C$2</f>
        <v>39013</v>
      </c>
      <c r="C37" s="251" t="str">
        <f ca="1">VLOOKUP($B37,OFFSET([2]quests!$A$1,0,0,COUNTA([2]quests!$A:$A),MATCH(C$1,[2]quests!$1:$1,0)-MATCH($B$1,[2]quests!$1:$1,0)+1),MATCH(C$1,[2]quests!$1:$1,0)-MATCH($B$1,[2]quests!$1:$1,0)+1,FALSE)</f>
        <v>兄左</v>
      </c>
      <c r="D37" s="251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2">
        <v>3</v>
      </c>
      <c r="F37" s="251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【上級】兄左</v>
      </c>
      <c r="G37" s="251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252">
        <v>3</v>
      </c>
      <c r="I37" s="87">
        <f t="shared" si="0"/>
        <v>36</v>
      </c>
      <c r="J37" s="84" t="str">
        <f t="shared" si="7"/>
        <v>3901336</v>
      </c>
      <c r="K37" s="209" t="s">
        <v>127</v>
      </c>
      <c r="L37" s="210" t="s">
        <v>446</v>
      </c>
      <c r="M37" s="211" t="s">
        <v>511</v>
      </c>
      <c r="N37" s="212" t="s">
        <v>200</v>
      </c>
      <c r="O37" s="212" t="s">
        <v>462</v>
      </c>
      <c r="P37" s="175" t="str">
        <f t="shared" si="8"/>
        <v>１２３４５６７８９０１２３４５６７８９０青か赤のパネルを吸収する超必殺技は_x000D_受けてしまうと大ダメージになります_x000D_ピンチの時にはフィーバーを使って_x000D_避けてしまいましょう</v>
      </c>
      <c r="Q37" s="176">
        <f t="shared" si="9"/>
        <v>63</v>
      </c>
    </row>
    <row r="38" spans="1:17" ht="76" x14ac:dyDescent="0.2">
      <c r="A38" s="79" t="s">
        <v>198</v>
      </c>
      <c r="B38" s="80">
        <f>floors!$C$2</f>
        <v>39013</v>
      </c>
      <c r="C38" s="251" t="str">
        <f ca="1">VLOOKUP($B38,OFFSET([2]quests!$A$1,0,0,COUNTA([2]quests!$A:$A),MATCH(C$1,[2]quests!$1:$1,0)-MATCH($B$1,[2]quests!$1:$1,0)+1),MATCH(C$1,[2]quests!$1:$1,0)-MATCH($B$1,[2]quests!$1:$1,0)+1,FALSE)</f>
        <v>兄左</v>
      </c>
      <c r="D38" s="251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2">
        <v>3</v>
      </c>
      <c r="F38" s="251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【上級】兄左</v>
      </c>
      <c r="G38" s="251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252">
        <v>3</v>
      </c>
      <c r="I38" s="87">
        <f t="shared" si="0"/>
        <v>37</v>
      </c>
      <c r="J38" s="84" t="str">
        <f t="shared" si="7"/>
        <v>3901337</v>
      </c>
      <c r="K38" s="209" t="s">
        <v>127</v>
      </c>
      <c r="L38" s="210" t="s">
        <v>446</v>
      </c>
      <c r="M38" s="211" t="s">
        <v>512</v>
      </c>
      <c r="N38" s="212" t="s">
        <v>200</v>
      </c>
      <c r="O38" s="212" t="s">
        <v>462</v>
      </c>
      <c r="P38" s="175" t="str">
        <f t="shared" si="8"/>
        <v>１２３４５６７８９０１２３４５６７８９０山崎が２ゲージ目に使用する_x000D_ウィルス攻撃は強力です_x000D_解除するスキルを準備して挑むと_x000D_安心して戦えます</v>
      </c>
      <c r="Q38" s="176">
        <f t="shared" si="9"/>
        <v>50</v>
      </c>
    </row>
    <row r="39" spans="1:17" ht="46" x14ac:dyDescent="0.2">
      <c r="A39" s="79" t="s">
        <v>419</v>
      </c>
      <c r="B39" s="80">
        <f>floors!$C$2</f>
        <v>39013</v>
      </c>
      <c r="C39" s="251" t="str">
        <f ca="1">VLOOKUP($B39,OFFSET([2]quests!$A$1,0,0,COUNTA([2]quests!$A:$A),MATCH(C$1,[2]quests!$1:$1,0)-MATCH($B$1,[2]quests!$1:$1,0)+1),MATCH(C$1,[2]quests!$1:$1,0)-MATCH($B$1,[2]quests!$1:$1,0)+1,FALSE)</f>
        <v>兄左</v>
      </c>
      <c r="D39" s="251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2">
        <v>3</v>
      </c>
      <c r="F39" s="251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【上級】兄左</v>
      </c>
      <c r="G39" s="251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252">
        <v>0</v>
      </c>
      <c r="I39" s="87">
        <f t="shared" si="0"/>
        <v>38</v>
      </c>
      <c r="J39" s="84" t="str">
        <f t="shared" si="7"/>
        <v>3901338</v>
      </c>
      <c r="K39" s="220" t="s">
        <v>127</v>
      </c>
      <c r="L39" s="221" t="s">
        <v>447</v>
      </c>
      <c r="M39" s="222" t="s">
        <v>513</v>
      </c>
      <c r="N39" s="223" t="s">
        <v>200</v>
      </c>
      <c r="O39" s="223" t="s">
        <v>462</v>
      </c>
      <c r="P39" s="175" t="str">
        <f t="shared" si="8"/>
        <v>１２３４５６７８９０１２３４５６７８９０大会に乗り込んだ山崎は_x000D_大会賞金の奪取を計画していたようです</v>
      </c>
      <c r="Q39" s="176">
        <f t="shared" si="9"/>
        <v>30</v>
      </c>
    </row>
    <row r="40" spans="1:17" ht="76" x14ac:dyDescent="0.2">
      <c r="A40" s="79" t="s">
        <v>419</v>
      </c>
      <c r="B40" s="80">
        <f>floors!$C$2</f>
        <v>39013</v>
      </c>
      <c r="C40" s="251" t="str">
        <f ca="1">VLOOKUP($B40,OFFSET([2]quests!$A$1,0,0,COUNTA([2]quests!$A:$A),MATCH(C$1,[2]quests!$1:$1,0)-MATCH($B$1,[2]quests!$1:$1,0)+1),MATCH(C$1,[2]quests!$1:$1,0)-MATCH($B$1,[2]quests!$1:$1,0)+1,FALSE)</f>
        <v>兄左</v>
      </c>
      <c r="D40" s="251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2">
        <v>3</v>
      </c>
      <c r="F40" s="251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【上級】兄左</v>
      </c>
      <c r="G40" s="251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252">
        <v>0</v>
      </c>
      <c r="I40" s="87">
        <f t="shared" si="0"/>
        <v>39</v>
      </c>
      <c r="J40" s="84" t="str">
        <f t="shared" si="7"/>
        <v>3901339</v>
      </c>
      <c r="K40" s="220" t="s">
        <v>127</v>
      </c>
      <c r="L40" s="221" t="s">
        <v>448</v>
      </c>
      <c r="M40" s="222" t="s">
        <v>445</v>
      </c>
      <c r="N40" s="223" t="s">
        <v>200</v>
      </c>
      <c r="O40" s="223" t="s">
        <v>462</v>
      </c>
      <c r="P40" s="175" t="str">
        <f t="shared" si="8"/>
        <v>１２３４５６７８９０１２３４５６７８９０山崎はその凶暴性から_x000D_ＡＬＩＣＥのアンダーグラウンドでも_x000D_恐れられていました_x000D_</v>
      </c>
      <c r="Q40" s="176">
        <f t="shared" si="9"/>
        <v>39</v>
      </c>
    </row>
    <row r="41" spans="1:17" ht="77" thickBot="1" x14ac:dyDescent="0.25">
      <c r="A41" s="79" t="s">
        <v>419</v>
      </c>
      <c r="B41" s="80">
        <f>floors!$C$2</f>
        <v>39013</v>
      </c>
      <c r="C41" s="251" t="str">
        <f ca="1">VLOOKUP($B41,OFFSET([2]quests!$A$1,0,0,COUNTA([2]quests!$A:$A),MATCH(C$1,[2]quests!$1:$1,0)-MATCH($B$1,[2]quests!$1:$1,0)+1),MATCH(C$1,[2]quests!$1:$1,0)-MATCH($B$1,[2]quests!$1:$1,0)+1,FALSE)</f>
        <v>兄左</v>
      </c>
      <c r="D41" s="251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2">
        <v>3</v>
      </c>
      <c r="F41" s="251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【上級】兄左</v>
      </c>
      <c r="G41" s="251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252">
        <v>0</v>
      </c>
      <c r="I41" s="87">
        <f t="shared" si="0"/>
        <v>40</v>
      </c>
      <c r="J41" s="84" t="str">
        <f t="shared" si="7"/>
        <v>3901340</v>
      </c>
      <c r="K41" s="220" t="s">
        <v>127</v>
      </c>
      <c r="L41" s="221" t="s">
        <v>449</v>
      </c>
      <c r="M41" s="222" t="s">
        <v>514</v>
      </c>
      <c r="N41" s="223" t="s">
        <v>200</v>
      </c>
      <c r="O41" s="223" t="s">
        <v>462</v>
      </c>
      <c r="P41" s="175" t="str">
        <f t="shared" si="8"/>
        <v>１２３４５６７８９０１２３４５６７８９０ウィルスは闇マーケットで_x000D_山崎が入手したとも噂されています_x000D_真偽を確かめるために_x000D_事件を追う必要がありそうです</v>
      </c>
      <c r="Q41" s="233">
        <f t="shared" si="9"/>
        <v>55</v>
      </c>
    </row>
    <row r="42" spans="1:17" ht="46" x14ac:dyDescent="0.2">
      <c r="A42" s="79" t="s">
        <v>419</v>
      </c>
      <c r="B42" s="80">
        <f>floors!$C$2</f>
        <v>39013</v>
      </c>
      <c r="C42" s="251" t="str">
        <f ca="1">VLOOKUP($B42,OFFSET([2]quests!$A$1,0,0,COUNTA([2]quests!$A:$A),MATCH(C$1,[2]quests!$1:$1,0)-MATCH($B$1,[2]quests!$1:$1,0)+1),MATCH(C$1,[2]quests!$1:$1,0)-MATCH($B$1,[2]quests!$1:$1,0)+1,FALSE)</f>
        <v>兄左</v>
      </c>
      <c r="D42" s="251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2">
        <v>3</v>
      </c>
      <c r="F42" s="251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【上級】兄左</v>
      </c>
      <c r="G42" s="251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252">
        <v>0</v>
      </c>
      <c r="I42" s="87">
        <f t="shared" si="0"/>
        <v>41</v>
      </c>
      <c r="J42" s="84" t="str">
        <f t="shared" ref="J42:J63" si="10">B42&amp;TEXT(I42,"00")</f>
        <v>3901341</v>
      </c>
      <c r="K42" s="220" t="s">
        <v>127</v>
      </c>
      <c r="L42" s="221" t="s">
        <v>463</v>
      </c>
      <c r="M42" s="222" t="s">
        <v>464</v>
      </c>
      <c r="N42" s="223" t="s">
        <v>462</v>
      </c>
      <c r="O42" s="223">
        <v>1579</v>
      </c>
      <c r="P42" s="175" t="str">
        <f t="shared" ref="P42:P63" si="11">"１２３４５６７８９０１２３４５６７８９０"&amp;DBCS(M42)</f>
        <v>１２３４５６７８９０１２３４５６７８９０俺の炎で燃えつきちまいな！_x000D_弱い奴に用はねえぜ！</v>
      </c>
      <c r="Q42" s="176">
        <f t="shared" ref="Q42:Q63" si="12">LEN(M42)</f>
        <v>24</v>
      </c>
    </row>
    <row r="43" spans="1:17" ht="46" x14ac:dyDescent="0.2">
      <c r="A43" s="79" t="s">
        <v>419</v>
      </c>
      <c r="B43" s="80">
        <f>floors!$C$2</f>
        <v>39013</v>
      </c>
      <c r="C43" s="251" t="str">
        <f ca="1">VLOOKUP($B43,OFFSET([2]quests!$A$1,0,0,COUNTA([2]quests!$A:$A),MATCH(C$1,[2]quests!$1:$1,0)-MATCH($B$1,[2]quests!$1:$1,0)+1),MATCH(C$1,[2]quests!$1:$1,0)-MATCH($B$1,[2]quests!$1:$1,0)+1,FALSE)</f>
        <v>兄左</v>
      </c>
      <c r="D43" s="251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2">
        <v>3</v>
      </c>
      <c r="F43" s="251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【上級】兄左</v>
      </c>
      <c r="G43" s="251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252">
        <v>0</v>
      </c>
      <c r="I43" s="87">
        <f t="shared" si="0"/>
        <v>42</v>
      </c>
      <c r="J43" s="84" t="str">
        <f t="shared" si="10"/>
        <v>3901342</v>
      </c>
      <c r="K43" s="220" t="s">
        <v>127</v>
      </c>
      <c r="L43" s="221" t="s">
        <v>465</v>
      </c>
      <c r="M43" s="222" t="s">
        <v>466</v>
      </c>
      <c r="N43" s="223" t="s">
        <v>462</v>
      </c>
      <c r="O43" s="223">
        <v>1587</v>
      </c>
      <c r="P43" s="175" t="str">
        <f t="shared" si="11"/>
        <v>１２３４５６７８９０１２３４５６７８９０全身全霊をかけた試合、楽しかったです。_x000D_ありがとうございました！</v>
      </c>
      <c r="Q43" s="176">
        <f t="shared" si="12"/>
        <v>32</v>
      </c>
    </row>
    <row r="44" spans="1:17" ht="31" x14ac:dyDescent="0.2">
      <c r="A44" s="79" t="s">
        <v>419</v>
      </c>
      <c r="B44" s="80">
        <f>floors!$C$2</f>
        <v>39013</v>
      </c>
      <c r="C44" s="251" t="str">
        <f ca="1">VLOOKUP($B44,OFFSET([2]quests!$A$1,0,0,COUNTA([2]quests!$A:$A),MATCH(C$1,[2]quests!$1:$1,0)-MATCH($B$1,[2]quests!$1:$1,0)+1),MATCH(C$1,[2]quests!$1:$1,0)-MATCH($B$1,[2]quests!$1:$1,0)+1,FALSE)</f>
        <v>兄左</v>
      </c>
      <c r="D44" s="251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2">
        <v>3</v>
      </c>
      <c r="F44" s="251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【上級】兄左</v>
      </c>
      <c r="G44" s="251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252">
        <v>0</v>
      </c>
      <c r="I44" s="87">
        <f t="shared" si="0"/>
        <v>43</v>
      </c>
      <c r="J44" s="84" t="str">
        <f t="shared" si="10"/>
        <v>3901343</v>
      </c>
      <c r="K44" s="220" t="s">
        <v>127</v>
      </c>
      <c r="L44" s="221" t="s">
        <v>467</v>
      </c>
      <c r="M44" s="222" t="s">
        <v>468</v>
      </c>
      <c r="N44" s="223" t="s">
        <v>462</v>
      </c>
      <c r="O44" s="223">
        <v>1581</v>
      </c>
      <c r="P44" s="175" t="str">
        <f t="shared" si="11"/>
        <v>１２３４５６７８９０１２３４５６７８９０おしまいですか？ふふっ、つまんないの！</v>
      </c>
      <c r="Q44" s="176">
        <f t="shared" si="12"/>
        <v>19</v>
      </c>
    </row>
    <row r="45" spans="1:17" ht="61" x14ac:dyDescent="0.2">
      <c r="A45" s="79" t="s">
        <v>419</v>
      </c>
      <c r="B45" s="80">
        <f>floors!$C$2</f>
        <v>39013</v>
      </c>
      <c r="C45" s="251" t="str">
        <f ca="1">VLOOKUP($B45,OFFSET([2]quests!$A$1,0,0,COUNTA([2]quests!$A:$A),MATCH(C$1,[2]quests!$1:$1,0)-MATCH($B$1,[2]quests!$1:$1,0)+1),MATCH(C$1,[2]quests!$1:$1,0)-MATCH($B$1,[2]quests!$1:$1,0)+1,FALSE)</f>
        <v>兄左</v>
      </c>
      <c r="D45" s="251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2">
        <v>3</v>
      </c>
      <c r="F45" s="251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【上級】兄左</v>
      </c>
      <c r="G45" s="251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252">
        <v>0</v>
      </c>
      <c r="I45" s="87">
        <f t="shared" si="0"/>
        <v>44</v>
      </c>
      <c r="J45" s="84" t="str">
        <f t="shared" si="10"/>
        <v>3901344</v>
      </c>
      <c r="K45" s="220" t="s">
        <v>127</v>
      </c>
      <c r="L45" s="221" t="s">
        <v>469</v>
      </c>
      <c r="M45" s="222" t="s">
        <v>470</v>
      </c>
      <c r="N45" s="223" t="s">
        <v>462</v>
      </c>
      <c r="O45" s="223">
        <v>1570</v>
      </c>
      <c r="P45" s="175" t="str">
        <f t="shared" si="11"/>
        <v>１２３４５６７８９０１２３４５６７８９０戦いに性別は関係ない。_x000D_最後に立っていた奴が、強者だ！_x000D_わかるだろ！</v>
      </c>
      <c r="Q45" s="176">
        <f t="shared" si="12"/>
        <v>34</v>
      </c>
    </row>
    <row r="46" spans="1:17" ht="46" x14ac:dyDescent="0.2">
      <c r="A46" s="79" t="s">
        <v>419</v>
      </c>
      <c r="B46" s="80">
        <f>floors!$C$2</f>
        <v>39013</v>
      </c>
      <c r="C46" s="251" t="str">
        <f ca="1">VLOOKUP($B46,OFFSET([2]quests!$A$1,0,0,COUNTA([2]quests!$A:$A),MATCH(C$1,[2]quests!$1:$1,0)-MATCH($B$1,[2]quests!$1:$1,0)+1),MATCH(C$1,[2]quests!$1:$1,0)-MATCH($B$1,[2]quests!$1:$1,0)+1,FALSE)</f>
        <v>兄左</v>
      </c>
      <c r="D46" s="251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2">
        <v>3</v>
      </c>
      <c r="F46" s="251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【上級】兄左</v>
      </c>
      <c r="G46" s="251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252">
        <v>0</v>
      </c>
      <c r="I46" s="87">
        <f t="shared" si="0"/>
        <v>45</v>
      </c>
      <c r="J46" s="84" t="str">
        <f t="shared" si="10"/>
        <v>3901345</v>
      </c>
      <c r="K46" s="220" t="s">
        <v>127</v>
      </c>
      <c r="L46" s="221" t="s">
        <v>471</v>
      </c>
      <c r="M46" s="222" t="s">
        <v>472</v>
      </c>
      <c r="N46" s="223" t="s">
        <v>462</v>
      </c>
      <c r="O46" s="223">
        <v>1568</v>
      </c>
      <c r="P46" s="175" t="str">
        <f t="shared" si="11"/>
        <v>１２３４５６７８９０１２３４５６７８９０遊びがすぎます。それでは勝つ事はおろか、_x000D_私に触れる事も出来ませんね</v>
      </c>
      <c r="Q46" s="176">
        <f t="shared" si="12"/>
        <v>34</v>
      </c>
    </row>
    <row r="47" spans="1:17" ht="46" x14ac:dyDescent="0.2">
      <c r="A47" s="79" t="s">
        <v>419</v>
      </c>
      <c r="B47" s="80">
        <f>floors!$C$2</f>
        <v>39013</v>
      </c>
      <c r="C47" s="251" t="str">
        <f ca="1">VLOOKUP($B47,OFFSET([2]quests!$A$1,0,0,COUNTA([2]quests!$A:$A),MATCH(C$1,[2]quests!$1:$1,0)-MATCH($B$1,[2]quests!$1:$1,0)+1),MATCH(C$1,[2]quests!$1:$1,0)-MATCH($B$1,[2]quests!$1:$1,0)+1,FALSE)</f>
        <v>兄左</v>
      </c>
      <c r="D47" s="251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2">
        <v>3</v>
      </c>
      <c r="F47" s="251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【上級】兄左</v>
      </c>
      <c r="G47" s="251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252">
        <v>0</v>
      </c>
      <c r="I47" s="87">
        <f t="shared" si="0"/>
        <v>46</v>
      </c>
      <c r="J47" s="84" t="str">
        <f t="shared" si="10"/>
        <v>3901346</v>
      </c>
      <c r="K47" s="220" t="s">
        <v>127</v>
      </c>
      <c r="L47" s="221" t="s">
        <v>473</v>
      </c>
      <c r="M47" s="222" t="s">
        <v>474</v>
      </c>
      <c r="N47" s="223" t="s">
        <v>462</v>
      </c>
      <c r="O47" s="223">
        <v>1553</v>
      </c>
      <c r="P47" s="175" t="str">
        <f t="shared" si="11"/>
        <v>１２３４５６７８９０１２３４５６７８９０いったい何にしびれてる？_x000D_電撃か？それとも俺の美貌にかい？</v>
      </c>
      <c r="Q47" s="176">
        <f t="shared" si="12"/>
        <v>29</v>
      </c>
    </row>
    <row r="48" spans="1:17" ht="46" x14ac:dyDescent="0.2">
      <c r="A48" s="79" t="s">
        <v>419</v>
      </c>
      <c r="B48" s="80">
        <f>floors!$C$2</f>
        <v>39013</v>
      </c>
      <c r="C48" s="251" t="str">
        <f ca="1">VLOOKUP($B48,OFFSET([2]quests!$A$1,0,0,COUNTA([2]quests!$A:$A),MATCH(C$1,[2]quests!$1:$1,0)-MATCH($B$1,[2]quests!$1:$1,0)+1),MATCH(C$1,[2]quests!$1:$1,0)-MATCH($B$1,[2]quests!$1:$1,0)+1,FALSE)</f>
        <v>兄左</v>
      </c>
      <c r="D48" s="251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2">
        <v>3</v>
      </c>
      <c r="F48" s="251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【上級】兄左</v>
      </c>
      <c r="G48" s="251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252">
        <v>0</v>
      </c>
      <c r="I48" s="87">
        <f t="shared" si="0"/>
        <v>47</v>
      </c>
      <c r="J48" s="84" t="str">
        <f t="shared" si="10"/>
        <v>3901347</v>
      </c>
      <c r="K48" s="220" t="s">
        <v>127</v>
      </c>
      <c r="L48" s="221" t="s">
        <v>475</v>
      </c>
      <c r="M48" s="222" t="s">
        <v>476</v>
      </c>
      <c r="N48" s="223" t="s">
        <v>462</v>
      </c>
      <c r="O48" s="223">
        <v>1566</v>
      </c>
      <c r="P48" s="175" t="str">
        <f t="shared" si="11"/>
        <v>１２３４５６７８９０１２３４５６７８９０ナイスバディで最強の格闘家の_x000D_私に勝とうなんてやっぱ、無謀って感じぃ！</v>
      </c>
      <c r="Q48" s="176">
        <f t="shared" si="12"/>
        <v>35</v>
      </c>
    </row>
    <row r="49" spans="1:17" ht="46" x14ac:dyDescent="0.2">
      <c r="A49" s="79" t="s">
        <v>419</v>
      </c>
      <c r="B49" s="80">
        <f>floors!$C$2</f>
        <v>39013</v>
      </c>
      <c r="C49" s="251" t="str">
        <f ca="1">VLOOKUP($B49,OFFSET([2]quests!$A$1,0,0,COUNTA([2]quests!$A:$A),MATCH(C$1,[2]quests!$1:$1,0)-MATCH($B$1,[2]quests!$1:$1,0)+1),MATCH(C$1,[2]quests!$1:$1,0)-MATCH($B$1,[2]quests!$1:$1,0)+1,FALSE)</f>
        <v>兄左</v>
      </c>
      <c r="D49" s="251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2">
        <v>3</v>
      </c>
      <c r="F49" s="251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【上級】兄左</v>
      </c>
      <c r="G49" s="251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252">
        <v>0</v>
      </c>
      <c r="I49" s="87">
        <f t="shared" si="0"/>
        <v>48</v>
      </c>
      <c r="J49" s="84" t="str">
        <f t="shared" si="10"/>
        <v>3901348</v>
      </c>
      <c r="K49" s="220" t="s">
        <v>127</v>
      </c>
      <c r="L49" s="221" t="s">
        <v>477</v>
      </c>
      <c r="M49" s="222" t="s">
        <v>478</v>
      </c>
      <c r="N49" s="223" t="s">
        <v>462</v>
      </c>
      <c r="O49" s="223">
        <v>1551</v>
      </c>
      <c r="P49" s="175" t="str">
        <f t="shared" si="11"/>
        <v>１２３４５６７８９０１２３４５６７８９０何が足りねえかわかったろ？_x000D_へこんでる暇はないはずだぜ！</v>
      </c>
      <c r="Q49" s="176">
        <f t="shared" si="12"/>
        <v>28</v>
      </c>
    </row>
    <row r="50" spans="1:17" ht="31" x14ac:dyDescent="0.2">
      <c r="A50" s="79" t="s">
        <v>419</v>
      </c>
      <c r="B50" s="80">
        <f>floors!$C$2</f>
        <v>39013</v>
      </c>
      <c r="C50" s="251" t="str">
        <f ca="1">VLOOKUP($B50,OFFSET([2]quests!$A$1,0,0,COUNTA([2]quests!$A:$A),MATCH(C$1,[2]quests!$1:$1,0)-MATCH($B$1,[2]quests!$1:$1,0)+1),MATCH(C$1,[2]quests!$1:$1,0)-MATCH($B$1,[2]quests!$1:$1,0)+1,FALSE)</f>
        <v>兄左</v>
      </c>
      <c r="D50" s="251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2">
        <v>3</v>
      </c>
      <c r="F50" s="251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【上級】兄左</v>
      </c>
      <c r="G50" s="251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252">
        <v>0</v>
      </c>
      <c r="I50" s="87">
        <f t="shared" si="0"/>
        <v>49</v>
      </c>
      <c r="J50" s="84" t="str">
        <f t="shared" si="10"/>
        <v>3901349</v>
      </c>
      <c r="K50" s="220" t="s">
        <v>127</v>
      </c>
      <c r="L50" s="221" t="s">
        <v>479</v>
      </c>
      <c r="M50" s="222" t="s">
        <v>480</v>
      </c>
      <c r="N50" s="223" t="s">
        <v>462</v>
      </c>
      <c r="O50" s="223">
        <v>1555</v>
      </c>
      <c r="P50" s="175" t="str">
        <f t="shared" si="11"/>
        <v>１２３４５６７８９０１２３４５６７８９０これが答えだ…！</v>
      </c>
      <c r="Q50" s="176">
        <f t="shared" si="12"/>
        <v>8</v>
      </c>
    </row>
    <row r="51" spans="1:17" ht="46" x14ac:dyDescent="0.2">
      <c r="A51" s="79" t="s">
        <v>419</v>
      </c>
      <c r="B51" s="80">
        <f>floors!$C$2</f>
        <v>39013</v>
      </c>
      <c r="C51" s="251" t="str">
        <f ca="1">VLOOKUP($B51,OFFSET([2]quests!$A$1,0,0,COUNTA([2]quests!$A:$A),MATCH(C$1,[2]quests!$1:$1,0)-MATCH($B$1,[2]quests!$1:$1,0)+1),MATCH(C$1,[2]quests!$1:$1,0)-MATCH($B$1,[2]quests!$1:$1,0)+1,FALSE)</f>
        <v>兄左</v>
      </c>
      <c r="D51" s="251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2">
        <v>3</v>
      </c>
      <c r="F51" s="251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【上級】兄左</v>
      </c>
      <c r="G51" s="251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252">
        <v>0</v>
      </c>
      <c r="I51" s="87">
        <f t="shared" si="0"/>
        <v>50</v>
      </c>
      <c r="J51" s="84" t="str">
        <f t="shared" si="10"/>
        <v>3901350</v>
      </c>
      <c r="K51" s="220" t="s">
        <v>127</v>
      </c>
      <c r="L51" s="221" t="s">
        <v>481</v>
      </c>
      <c r="M51" s="222" t="s">
        <v>482</v>
      </c>
      <c r="N51" s="223" t="s">
        <v>462</v>
      </c>
      <c r="O51" s="223">
        <v>1556</v>
      </c>
      <c r="P51" s="175" t="str">
        <f t="shared" si="11"/>
        <v>１２３４５６７８９０１２３４５６７８９０絶対無比の空手！_x000D_それが極限流だ！覚えておく事だぜ！</v>
      </c>
      <c r="Q51" s="176">
        <f t="shared" si="12"/>
        <v>26</v>
      </c>
    </row>
    <row r="52" spans="1:17" ht="46" x14ac:dyDescent="0.2">
      <c r="A52" s="79" t="s">
        <v>419</v>
      </c>
      <c r="B52" s="80">
        <f>floors!$C$2</f>
        <v>39013</v>
      </c>
      <c r="C52" s="251" t="str">
        <f ca="1">VLOOKUP($B52,OFFSET([2]quests!$A$1,0,0,COUNTA([2]quests!$A:$A),MATCH(C$1,[2]quests!$1:$1,0)-MATCH($B$1,[2]quests!$1:$1,0)+1),MATCH(C$1,[2]quests!$1:$1,0)-MATCH($B$1,[2]quests!$1:$1,0)+1,FALSE)</f>
        <v>兄左</v>
      </c>
      <c r="D52" s="251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2">
        <v>3</v>
      </c>
      <c r="F52" s="251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【上級】兄左</v>
      </c>
      <c r="G52" s="251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252">
        <v>0</v>
      </c>
      <c r="I52" s="87">
        <f t="shared" si="0"/>
        <v>51</v>
      </c>
      <c r="J52" s="84" t="str">
        <f t="shared" si="10"/>
        <v>3901351</v>
      </c>
      <c r="K52" s="220" t="s">
        <v>127</v>
      </c>
      <c r="L52" s="221" t="s">
        <v>483</v>
      </c>
      <c r="M52" s="222" t="s">
        <v>484</v>
      </c>
      <c r="N52" s="223" t="s">
        <v>462</v>
      </c>
      <c r="O52" s="223">
        <v>1558</v>
      </c>
      <c r="P52" s="175" t="str">
        <f t="shared" si="11"/>
        <v>１２３４５６７８９０１２３４５６７８９０勝負は勝負！_x000D_負けたからってスネちゃダメよ！</v>
      </c>
      <c r="Q52" s="176">
        <f t="shared" si="12"/>
        <v>22</v>
      </c>
    </row>
    <row r="53" spans="1:17" ht="46" x14ac:dyDescent="0.2">
      <c r="A53" s="79" t="s">
        <v>419</v>
      </c>
      <c r="B53" s="80">
        <f>floors!$C$2</f>
        <v>39013</v>
      </c>
      <c r="C53" s="251" t="str">
        <f ca="1">VLOOKUP($B53,OFFSET([2]quests!$A$1,0,0,COUNTA([2]quests!$A:$A),MATCH(C$1,[2]quests!$1:$1,0)-MATCH($B$1,[2]quests!$1:$1,0)+1),MATCH(C$1,[2]quests!$1:$1,0)-MATCH($B$1,[2]quests!$1:$1,0)+1,FALSE)</f>
        <v>兄左</v>
      </c>
      <c r="D53" s="251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2">
        <v>3</v>
      </c>
      <c r="F53" s="251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【上級】兄左</v>
      </c>
      <c r="G53" s="251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252">
        <v>0</v>
      </c>
      <c r="I53" s="87">
        <f t="shared" si="0"/>
        <v>52</v>
      </c>
      <c r="J53" s="84" t="str">
        <f t="shared" si="10"/>
        <v>3901352</v>
      </c>
      <c r="K53" s="220" t="s">
        <v>127</v>
      </c>
      <c r="L53" s="221" t="s">
        <v>485</v>
      </c>
      <c r="M53" s="222" t="s">
        <v>486</v>
      </c>
      <c r="N53" s="223" t="s">
        <v>462</v>
      </c>
      <c r="O53" s="223">
        <v>1560</v>
      </c>
      <c r="P53" s="175" t="str">
        <f t="shared" si="11"/>
        <v>１２３４５６７８９０１２３４５６７８９０ワイの力みくびるなんて_x000D_まだまだ、ひよっこって事やな！</v>
      </c>
      <c r="Q53" s="176">
        <f t="shared" si="12"/>
        <v>27</v>
      </c>
    </row>
    <row r="54" spans="1:17" ht="61" x14ac:dyDescent="0.2">
      <c r="A54" s="79" t="s">
        <v>419</v>
      </c>
      <c r="B54" s="80">
        <f>floors!$C$2</f>
        <v>39013</v>
      </c>
      <c r="C54" s="251" t="str">
        <f ca="1">VLOOKUP($B54,OFFSET([2]quests!$A$1,0,0,COUNTA([2]quests!$A:$A),MATCH(C$1,[2]quests!$1:$1,0)-MATCH($B$1,[2]quests!$1:$1,0)+1),MATCH(C$1,[2]quests!$1:$1,0)-MATCH($B$1,[2]quests!$1:$1,0)+1,FALSE)</f>
        <v>兄左</v>
      </c>
      <c r="D54" s="251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2">
        <v>3</v>
      </c>
      <c r="F54" s="251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【上級】兄左</v>
      </c>
      <c r="G54" s="251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252">
        <v>0</v>
      </c>
      <c r="I54" s="87">
        <f t="shared" si="0"/>
        <v>53</v>
      </c>
      <c r="J54" s="84" t="str">
        <f t="shared" si="10"/>
        <v>3901353</v>
      </c>
      <c r="K54" s="220" t="s">
        <v>127</v>
      </c>
      <c r="L54" s="221" t="s">
        <v>487</v>
      </c>
      <c r="M54" s="222" t="s">
        <v>488</v>
      </c>
      <c r="N54" s="223" t="s">
        <v>462</v>
      </c>
      <c r="O54" s="223">
        <v>1561</v>
      </c>
      <c r="P54" s="175" t="str">
        <f t="shared" si="11"/>
        <v>１２３４５６７８９０１２３４５６７８９０甘い夢を見続けるなら、_x000D_夢の中だけで十分だぜ！_x000D_現実は厳しいって事だ！</v>
      </c>
      <c r="Q54" s="176">
        <f t="shared" si="12"/>
        <v>35</v>
      </c>
    </row>
    <row r="55" spans="1:17" ht="46" x14ac:dyDescent="0.2">
      <c r="A55" s="79" t="s">
        <v>419</v>
      </c>
      <c r="B55" s="80">
        <f>floors!$C$2</f>
        <v>39013</v>
      </c>
      <c r="C55" s="251" t="str">
        <f ca="1">VLOOKUP($B55,OFFSET([2]quests!$A$1,0,0,COUNTA([2]quests!$A:$A),MATCH(C$1,[2]quests!$1:$1,0)-MATCH($B$1,[2]quests!$1:$1,0)+1),MATCH(C$1,[2]quests!$1:$1,0)-MATCH($B$1,[2]quests!$1:$1,0)+1,FALSE)</f>
        <v>兄左</v>
      </c>
      <c r="D55" s="251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2">
        <v>3</v>
      </c>
      <c r="F55" s="251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【上級】兄左</v>
      </c>
      <c r="G55" s="251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252">
        <v>0</v>
      </c>
      <c r="I55" s="87">
        <f t="shared" si="0"/>
        <v>54</v>
      </c>
      <c r="J55" s="84" t="str">
        <f t="shared" si="10"/>
        <v>3901354</v>
      </c>
      <c r="K55" s="220" t="s">
        <v>127</v>
      </c>
      <c r="L55" s="221" t="s">
        <v>489</v>
      </c>
      <c r="M55" s="222" t="s">
        <v>490</v>
      </c>
      <c r="N55" s="223" t="s">
        <v>462</v>
      </c>
      <c r="O55" s="223">
        <v>1563</v>
      </c>
      <c r="P55" s="175" t="str">
        <f t="shared" si="11"/>
        <v>１２３４５６７８９０１２３４５６７８９０相手の力量を見誤ると大怪我するよ。_x000D_気をつけるんだ！</v>
      </c>
      <c r="Q55" s="176">
        <f t="shared" si="12"/>
        <v>26</v>
      </c>
    </row>
    <row r="56" spans="1:17" ht="46" x14ac:dyDescent="0.2">
      <c r="A56" s="79" t="s">
        <v>419</v>
      </c>
      <c r="B56" s="80">
        <f>floors!$C$2</f>
        <v>39013</v>
      </c>
      <c r="C56" s="251" t="str">
        <f ca="1">VLOOKUP($B56,OFFSET([2]quests!$A$1,0,0,COUNTA([2]quests!$A:$A),MATCH(C$1,[2]quests!$1:$1,0)-MATCH($B$1,[2]quests!$1:$1,0)+1),MATCH(C$1,[2]quests!$1:$1,0)-MATCH($B$1,[2]quests!$1:$1,0)+1,FALSE)</f>
        <v>兄左</v>
      </c>
      <c r="D56" s="251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2">
        <v>3</v>
      </c>
      <c r="F56" s="251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【上級】兄左</v>
      </c>
      <c r="G56" s="251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252">
        <v>0</v>
      </c>
      <c r="I56" s="87">
        <f t="shared" si="0"/>
        <v>55</v>
      </c>
      <c r="J56" s="84" t="str">
        <f t="shared" si="10"/>
        <v>3901355</v>
      </c>
      <c r="K56" s="220" t="s">
        <v>127</v>
      </c>
      <c r="L56" s="221" t="s">
        <v>491</v>
      </c>
      <c r="M56" s="222" t="s">
        <v>492</v>
      </c>
      <c r="N56" s="223" t="s">
        <v>462</v>
      </c>
      <c r="O56" s="223">
        <v>1565</v>
      </c>
      <c r="P56" s="175" t="str">
        <f t="shared" si="11"/>
        <v>１２３４５６７８９０１２３４５６７８９０勝利者はいつもこの俺！ジョー東様よ！_x000D_そこんとこ勘違いしちゃいけねーぜ！</v>
      </c>
      <c r="Q56" s="176">
        <f t="shared" si="12"/>
        <v>36</v>
      </c>
    </row>
    <row r="57" spans="1:17" ht="46" x14ac:dyDescent="0.2">
      <c r="A57" s="79" t="s">
        <v>419</v>
      </c>
      <c r="B57" s="80">
        <f>floors!$C$2</f>
        <v>39013</v>
      </c>
      <c r="C57" s="251" t="str">
        <f ca="1">VLOOKUP($B57,OFFSET([2]quests!$A$1,0,0,COUNTA([2]quests!$A:$A),MATCH(C$1,[2]quests!$1:$1,0)-MATCH($B$1,[2]quests!$1:$1,0)+1),MATCH(C$1,[2]quests!$1:$1,0)-MATCH($B$1,[2]quests!$1:$1,0)+1,FALSE)</f>
        <v>兄左</v>
      </c>
      <c r="D57" s="251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2">
        <v>3</v>
      </c>
      <c r="F57" s="251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【上級】兄左</v>
      </c>
      <c r="G57" s="251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252">
        <v>0</v>
      </c>
      <c r="I57" s="87">
        <f t="shared" si="0"/>
        <v>56</v>
      </c>
      <c r="J57" s="84" t="str">
        <f t="shared" si="10"/>
        <v>3901356</v>
      </c>
      <c r="K57" s="220" t="s">
        <v>127</v>
      </c>
      <c r="L57" s="221" t="s">
        <v>493</v>
      </c>
      <c r="M57" s="222" t="s">
        <v>494</v>
      </c>
      <c r="N57" s="223" t="s">
        <v>462</v>
      </c>
      <c r="O57" s="223">
        <v>1571</v>
      </c>
      <c r="P57" s="175" t="str">
        <f t="shared" si="11"/>
        <v>１２３４５６７８９０１２３４５６７８９０失せろ！キサマ等にくれてやるのは_x000D_痛み、苦しみという名の慈悲だけだ！！！</v>
      </c>
      <c r="Q57" s="176">
        <f t="shared" si="12"/>
        <v>36</v>
      </c>
    </row>
    <row r="58" spans="1:17" ht="46" x14ac:dyDescent="0.2">
      <c r="A58" s="79" t="s">
        <v>419</v>
      </c>
      <c r="B58" s="80">
        <f>floors!$C$2</f>
        <v>39013</v>
      </c>
      <c r="C58" s="251" t="str">
        <f ca="1">VLOOKUP($B58,OFFSET([2]quests!$A$1,0,0,COUNTA([2]quests!$A:$A),MATCH(C$1,[2]quests!$1:$1,0)-MATCH($B$1,[2]quests!$1:$1,0)+1),MATCH(C$1,[2]quests!$1:$1,0)-MATCH($B$1,[2]quests!$1:$1,0)+1,FALSE)</f>
        <v>兄左</v>
      </c>
      <c r="D58" s="251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2">
        <v>3</v>
      </c>
      <c r="F58" s="251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【上級】兄左</v>
      </c>
      <c r="G58" s="251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252">
        <v>0</v>
      </c>
      <c r="I58" s="87">
        <f t="shared" si="0"/>
        <v>57</v>
      </c>
      <c r="J58" s="84" t="str">
        <f t="shared" si="10"/>
        <v>3901357</v>
      </c>
      <c r="K58" s="220" t="s">
        <v>127</v>
      </c>
      <c r="L58" s="221" t="s">
        <v>495</v>
      </c>
      <c r="M58" s="222" t="s">
        <v>496</v>
      </c>
      <c r="N58" s="223" t="s">
        <v>462</v>
      </c>
      <c r="O58" s="223">
        <v>1573</v>
      </c>
      <c r="P58" s="175" t="str">
        <f t="shared" si="11"/>
        <v>１２３４５６７８９０１２３４５６７８９０意識が無くなるまでしばらくあるよ。_x000D_好きな歌でも口ずさんで待つんだね</v>
      </c>
      <c r="Q58" s="176">
        <f t="shared" si="12"/>
        <v>34</v>
      </c>
    </row>
    <row r="59" spans="1:17" ht="31" x14ac:dyDescent="0.2">
      <c r="A59" s="79" t="s">
        <v>419</v>
      </c>
      <c r="B59" s="80">
        <f>floors!$C$2</f>
        <v>39013</v>
      </c>
      <c r="C59" s="251" t="str">
        <f ca="1">VLOOKUP($B59,OFFSET([2]quests!$A$1,0,0,COUNTA([2]quests!$A:$A),MATCH(C$1,[2]quests!$1:$1,0)-MATCH($B$1,[2]quests!$1:$1,0)+1),MATCH(C$1,[2]quests!$1:$1,0)-MATCH($B$1,[2]quests!$1:$1,0)+1,FALSE)</f>
        <v>兄左</v>
      </c>
      <c r="D59" s="251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2">
        <v>3</v>
      </c>
      <c r="F59" s="251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【上級】兄左</v>
      </c>
      <c r="G59" s="251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252">
        <v>0</v>
      </c>
      <c r="I59" s="87">
        <f t="shared" si="0"/>
        <v>58</v>
      </c>
      <c r="J59" s="84" t="str">
        <f t="shared" si="10"/>
        <v>3901358</v>
      </c>
      <c r="K59" s="220" t="s">
        <v>127</v>
      </c>
      <c r="L59" s="221" t="s">
        <v>497</v>
      </c>
      <c r="M59" s="222" t="s">
        <v>498</v>
      </c>
      <c r="N59" s="223" t="s">
        <v>462</v>
      </c>
      <c r="O59" s="223">
        <v>1574</v>
      </c>
      <c r="P59" s="175" t="str">
        <f t="shared" si="11"/>
        <v>１２３４５６７８９０１２３４５６７８９０おやすみなさい。百万回のごきげんよう…</v>
      </c>
      <c r="Q59" s="176">
        <f t="shared" si="12"/>
        <v>19</v>
      </c>
    </row>
    <row r="60" spans="1:17" ht="61" x14ac:dyDescent="0.2">
      <c r="A60" s="79" t="s">
        <v>419</v>
      </c>
      <c r="B60" s="80">
        <f>floors!$C$2</f>
        <v>39013</v>
      </c>
      <c r="C60" s="251" t="str">
        <f ca="1">VLOOKUP($B60,OFFSET([2]quests!$A$1,0,0,COUNTA([2]quests!$A:$A),MATCH(C$1,[2]quests!$1:$1,0)-MATCH($B$1,[2]quests!$1:$1,0)+1),MATCH(C$1,[2]quests!$1:$1,0)-MATCH($B$1,[2]quests!$1:$1,0)+1,FALSE)</f>
        <v>兄左</v>
      </c>
      <c r="D60" s="251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2">
        <v>3</v>
      </c>
      <c r="F60" s="25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【上級】兄左</v>
      </c>
      <c r="G60" s="251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</v>
      </c>
      <c r="H60" s="252">
        <v>0</v>
      </c>
      <c r="I60" s="87">
        <f t="shared" si="0"/>
        <v>59</v>
      </c>
      <c r="J60" s="84" t="str">
        <f t="shared" si="10"/>
        <v>3901359</v>
      </c>
      <c r="K60" s="220" t="s">
        <v>127</v>
      </c>
      <c r="L60" s="221" t="s">
        <v>499</v>
      </c>
      <c r="M60" s="222" t="s">
        <v>500</v>
      </c>
      <c r="N60" s="223" t="s">
        <v>462</v>
      </c>
      <c r="O60" s="223">
        <v>1575</v>
      </c>
      <c r="P60" s="175" t="str">
        <f t="shared" si="11"/>
        <v>１２３４５６７８９０１２３４５６７８９０いい試合でした。_x000D_私もつい本気になってしまったようです！_x000D_ハッハッハ！！</v>
      </c>
      <c r="Q60" s="176">
        <f t="shared" si="12"/>
        <v>36</v>
      </c>
    </row>
    <row r="61" spans="1:17" ht="46" x14ac:dyDescent="0.2">
      <c r="A61" s="79" t="s">
        <v>419</v>
      </c>
      <c r="B61" s="80">
        <f>floors!$C$2</f>
        <v>39013</v>
      </c>
      <c r="C61" s="251" t="str">
        <f ca="1">VLOOKUP($B61,OFFSET([2]quests!$A$1,0,0,COUNTA([2]quests!$A:$A),MATCH(C$1,[2]quests!$1:$1,0)-MATCH($B$1,[2]quests!$1:$1,0)+1),MATCH(C$1,[2]quests!$1:$1,0)-MATCH($B$1,[2]quests!$1:$1,0)+1,FALSE)</f>
        <v>兄左</v>
      </c>
      <c r="D61" s="251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2">
        <v>3</v>
      </c>
      <c r="F61" s="25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【上級】兄左</v>
      </c>
      <c r="G61" s="251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</v>
      </c>
      <c r="H61" s="252">
        <v>0</v>
      </c>
      <c r="I61" s="87">
        <f t="shared" si="0"/>
        <v>60</v>
      </c>
      <c r="J61" s="84" t="str">
        <f t="shared" si="10"/>
        <v>3901360</v>
      </c>
      <c r="K61" s="220" t="s">
        <v>127</v>
      </c>
      <c r="L61" s="221" t="s">
        <v>501</v>
      </c>
      <c r="M61" s="222" t="s">
        <v>502</v>
      </c>
      <c r="N61" s="223" t="s">
        <v>462</v>
      </c>
      <c r="O61" s="223">
        <v>1577</v>
      </c>
      <c r="P61" s="175" t="str">
        <f t="shared" si="11"/>
        <v>１２３４５６７８９０１２３４５６７８９０ってゆっかー、じぶんらよわすぎぃー、_x000D_みたいなぁーでヤンスぅー</v>
      </c>
      <c r="Q61" s="176">
        <f t="shared" si="12"/>
        <v>31</v>
      </c>
    </row>
    <row r="62" spans="1:17" ht="61" x14ac:dyDescent="0.2">
      <c r="A62" s="79" t="s">
        <v>419</v>
      </c>
      <c r="B62" s="80">
        <f>floors!$C$2</f>
        <v>39013</v>
      </c>
      <c r="C62" s="251" t="str">
        <f ca="1">VLOOKUP($B62,OFFSET([2]quests!$A$1,0,0,COUNTA([2]quests!$A:$A),MATCH(C$1,[2]quests!$1:$1,0)-MATCH($B$1,[2]quests!$1:$1,0)+1),MATCH(C$1,[2]quests!$1:$1,0)-MATCH($B$1,[2]quests!$1:$1,0)+1,FALSE)</f>
        <v>兄左</v>
      </c>
      <c r="D62" s="251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2">
        <v>3</v>
      </c>
      <c r="F62" s="25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【上級】兄左</v>
      </c>
      <c r="G62" s="251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</v>
      </c>
      <c r="H62" s="252">
        <v>0</v>
      </c>
      <c r="I62" s="87">
        <f t="shared" si="0"/>
        <v>61</v>
      </c>
      <c r="J62" s="84" t="str">
        <f t="shared" si="10"/>
        <v>3901361</v>
      </c>
      <c r="K62" s="220" t="s">
        <v>127</v>
      </c>
      <c r="L62" s="221" t="s">
        <v>503</v>
      </c>
      <c r="M62" s="222" t="s">
        <v>504</v>
      </c>
      <c r="N62" s="223" t="s">
        <v>462</v>
      </c>
      <c r="O62" s="223">
        <v>1578</v>
      </c>
      <c r="P62" s="175" t="str">
        <f t="shared" si="11"/>
        <v>１２３４５６７８９０１２３４５６７８９０なんでぇ。_x000D_もう、オレのオモチャが壊れちまったぜ！！_x000D_面白くねえな！</v>
      </c>
      <c r="Q62" s="176">
        <f t="shared" si="12"/>
        <v>34</v>
      </c>
    </row>
    <row r="63" spans="1:17" ht="46" x14ac:dyDescent="0.2">
      <c r="A63" s="79" t="s">
        <v>419</v>
      </c>
      <c r="B63" s="80">
        <f>floors!$C$2</f>
        <v>39013</v>
      </c>
      <c r="C63" s="251" t="str">
        <f ca="1">VLOOKUP($B63,OFFSET([2]quests!$A$1,0,0,COUNTA([2]quests!$A:$A),MATCH(C$1,[2]quests!$1:$1,0)-MATCH($B$1,[2]quests!$1:$1,0)+1),MATCH(C$1,[2]quests!$1:$1,0)-MATCH($B$1,[2]quests!$1:$1,0)+1,FALSE)</f>
        <v>兄左</v>
      </c>
      <c r="D63" s="251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2">
        <v>3</v>
      </c>
      <c r="F63" s="25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【上級】兄左</v>
      </c>
      <c r="G63" s="251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</v>
      </c>
      <c r="H63" s="252">
        <v>0</v>
      </c>
      <c r="I63" s="87">
        <f t="shared" si="0"/>
        <v>62</v>
      </c>
      <c r="J63" s="84" t="str">
        <f t="shared" si="10"/>
        <v>3901362</v>
      </c>
      <c r="K63" s="220" t="s">
        <v>127</v>
      </c>
      <c r="L63" s="221" t="s">
        <v>505</v>
      </c>
      <c r="M63" s="222" t="s">
        <v>506</v>
      </c>
      <c r="N63" s="223" t="s">
        <v>462</v>
      </c>
      <c r="O63" s="223">
        <v>1584</v>
      </c>
      <c r="P63" s="175" t="str">
        <f t="shared" si="11"/>
        <v>１２３４５６７８９０１２３４５６７８９０いちいちシャクに触る野郎だなぁ！_x000D_沈めるぞ！！</v>
      </c>
      <c r="Q63" s="176">
        <f t="shared" si="12"/>
        <v>23</v>
      </c>
    </row>
    <row r="64" spans="1:17" ht="61" x14ac:dyDescent="0.2">
      <c r="A64" s="79" t="s">
        <v>198</v>
      </c>
      <c r="B64" s="80">
        <f>floors!$C$2</f>
        <v>39013</v>
      </c>
      <c r="C64" s="251" t="str">
        <f ca="1">VLOOKUP($B64,OFFSET([2]quests!$A$1,0,0,COUNTA([2]quests!$A:$A),MATCH(C$1,[2]quests!$1:$1,0)-MATCH($B$1,[2]quests!$1:$1,0)+1),MATCH(C$1,[2]quests!$1:$1,0)-MATCH($B$1,[2]quests!$1:$1,0)+1,FALSE)</f>
        <v>兄左</v>
      </c>
      <c r="D64" s="251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2">
        <v>2</v>
      </c>
      <c r="F64" s="251" t="str">
        <f ca="1">VLOOKUP($B64&amp;"_"&amp;$E64,OFFSET([2]stages!$A$1,0,0,COUNTA([2]stages!$A:$A),MATCH(F$1,[2]stages!$2:$2,0)-MATCH("temp_stage",[2]stages!$2:$2,0)+1),MATCH(F$1,[2]stages!$2:$2,0)-MATCH("temp_stage",[2]stages!$2:$2,0)+1,FALSE)</f>
        <v>【中級】兄左</v>
      </c>
      <c r="G64" s="251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</v>
      </c>
      <c r="H64" s="252">
        <v>1</v>
      </c>
      <c r="I64" s="87">
        <f t="shared" si="0"/>
        <v>63</v>
      </c>
      <c r="J64" s="84" t="str">
        <f t="shared" si="7"/>
        <v>3901363</v>
      </c>
      <c r="K64" s="217" t="s">
        <v>127</v>
      </c>
      <c r="L64" s="218" t="s">
        <v>446</v>
      </c>
      <c r="M64" s="208" t="s">
        <v>507</v>
      </c>
      <c r="N64" s="219" t="s">
        <v>200</v>
      </c>
      <c r="O64" s="219" t="s">
        <v>462</v>
      </c>
      <c r="P64" s="175" t="str">
        <f t="shared" si="8"/>
        <v>１２３４５６７８９０１２３４５６７８９０アンダーグラウンドのエネミーたちは_x000D_連携すると強力です_x000D_強い敵を見極めて１体ずつ倒しましょう</v>
      </c>
      <c r="Q64" s="232">
        <f t="shared" si="9"/>
        <v>46</v>
      </c>
    </row>
    <row r="65" spans="1:17" ht="76" x14ac:dyDescent="0.2">
      <c r="A65" s="79" t="s">
        <v>198</v>
      </c>
      <c r="B65" s="80">
        <f>floors!$C$2</f>
        <v>39013</v>
      </c>
      <c r="C65" s="251" t="str">
        <f ca="1">VLOOKUP($B65,OFFSET([2]quests!$A$1,0,0,COUNTA([2]quests!$A:$A),MATCH(C$1,[2]quests!$1:$1,0)-MATCH($B$1,[2]quests!$1:$1,0)+1),MATCH(C$1,[2]quests!$1:$1,0)-MATCH($B$1,[2]quests!$1:$1,0)+1,FALSE)</f>
        <v>兄左</v>
      </c>
      <c r="D65" s="251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2">
        <v>2</v>
      </c>
      <c r="F65" s="251" t="str">
        <f ca="1">VLOOKUP($B65&amp;"_"&amp;$E65,OFFSET([2]stages!$A$1,0,0,COUNTA([2]stages!$A:$A),MATCH(F$1,[2]stages!$2:$2,0)-MATCH("temp_stage",[2]stages!$2:$2,0)+1),MATCH(F$1,[2]stages!$2:$2,0)-MATCH("temp_stage",[2]stages!$2:$2,0)+1,FALSE)</f>
        <v>【中級】兄左</v>
      </c>
      <c r="G65" s="251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</v>
      </c>
      <c r="H65" s="252">
        <v>2</v>
      </c>
      <c r="I65" s="87">
        <f t="shared" si="0"/>
        <v>64</v>
      </c>
      <c r="J65" s="84" t="str">
        <f t="shared" si="7"/>
        <v>3901364</v>
      </c>
      <c r="K65" s="213" t="s">
        <v>127</v>
      </c>
      <c r="L65" s="214" t="s">
        <v>446</v>
      </c>
      <c r="M65" s="215" t="s">
        <v>508</v>
      </c>
      <c r="N65" s="216" t="s">
        <v>200</v>
      </c>
      <c r="O65" s="216" t="s">
        <v>462</v>
      </c>
      <c r="P65" s="175" t="str">
        <f t="shared" si="8"/>
        <v>１２３４５６７８９０１２３４５６７８９０敵のカウンター攻撃に対しては_x000D_ハートパネルだけを割ったり_x000D_スキルやフィーバーで倒しきると_x000D_反撃によるダメージを避けられます</v>
      </c>
      <c r="Q65" s="176">
        <f t="shared" si="9"/>
        <v>61</v>
      </c>
    </row>
    <row r="66" spans="1:17" ht="91" x14ac:dyDescent="0.2">
      <c r="A66" s="79" t="s">
        <v>198</v>
      </c>
      <c r="B66" s="80">
        <f>floors!$C$2</f>
        <v>39013</v>
      </c>
      <c r="C66" s="251" t="str">
        <f ca="1">VLOOKUP($B66,OFFSET([2]quests!$A$1,0,0,COUNTA([2]quests!$A:$A),MATCH(C$1,[2]quests!$1:$1,0)-MATCH($B$1,[2]quests!$1:$1,0)+1),MATCH(C$1,[2]quests!$1:$1,0)-MATCH($B$1,[2]quests!$1:$1,0)+1,FALSE)</f>
        <v>兄左</v>
      </c>
      <c r="D66" s="251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2">
        <v>2</v>
      </c>
      <c r="F66" s="251" t="str">
        <f ca="1">VLOOKUP($B66&amp;"_"&amp;$E66,OFFSET([2]stages!$A$1,0,0,COUNTA([2]stages!$A:$A),MATCH(F$1,[2]stages!$2:$2,0)-MATCH("temp_stage",[2]stages!$2:$2,0)+1),MATCH(F$1,[2]stages!$2:$2,0)-MATCH("temp_stage",[2]stages!$2:$2,0)+1,FALSE)</f>
        <v>【中級】兄左</v>
      </c>
      <c r="G66" s="251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</v>
      </c>
      <c r="H66" s="252">
        <v>2</v>
      </c>
      <c r="I66" s="87">
        <f t="shared" si="0"/>
        <v>65</v>
      </c>
      <c r="J66" s="84" t="str">
        <f t="shared" si="7"/>
        <v>3901365</v>
      </c>
      <c r="K66" s="213" t="s">
        <v>127</v>
      </c>
      <c r="L66" s="214" t="s">
        <v>446</v>
      </c>
      <c r="M66" s="215" t="s">
        <v>509</v>
      </c>
      <c r="N66" s="216" t="s">
        <v>200</v>
      </c>
      <c r="O66" s="216" t="s">
        <v>462</v>
      </c>
      <c r="P66" s="175" t="str">
        <f t="shared" si="8"/>
        <v>１２３４５６７８９０１２３４５６７８９０山崎はＨＰが減るほど_x000D_単体攻撃の威力が上がり危険になります_x000D_タイミングを見極めてフィーバーやスキルで_x000D_一気に押し切りましょう</v>
      </c>
      <c r="Q66" s="176">
        <f t="shared" si="9"/>
        <v>62</v>
      </c>
    </row>
    <row r="67" spans="1:17" ht="76" x14ac:dyDescent="0.2">
      <c r="A67" s="79" t="s">
        <v>198</v>
      </c>
      <c r="B67" s="80">
        <f>floors!$C$2</f>
        <v>39013</v>
      </c>
      <c r="C67" s="251" t="str">
        <f ca="1">VLOOKUP($B67,OFFSET([2]quests!$A$1,0,0,COUNTA([2]quests!$A:$A),MATCH(C$1,[2]quests!$1:$1,0)-MATCH($B$1,[2]quests!$1:$1,0)+1),MATCH(C$1,[2]quests!$1:$1,0)-MATCH($B$1,[2]quests!$1:$1,0)+1,FALSE)</f>
        <v>兄左</v>
      </c>
      <c r="D67" s="251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2">
        <v>2</v>
      </c>
      <c r="F67" s="251" t="str">
        <f ca="1">VLOOKUP($B67&amp;"_"&amp;$E67,OFFSET([2]stages!$A$1,0,0,COUNTA([2]stages!$A:$A),MATCH(F$1,[2]stages!$2:$2,0)-MATCH("temp_stage",[2]stages!$2:$2,0)+1),MATCH(F$1,[2]stages!$2:$2,0)-MATCH("temp_stage",[2]stages!$2:$2,0)+1,FALSE)</f>
        <v>【中級】兄左</v>
      </c>
      <c r="G67" s="251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</v>
      </c>
      <c r="H67" s="252">
        <v>3</v>
      </c>
      <c r="I67" s="87">
        <f t="shared" si="0"/>
        <v>66</v>
      </c>
      <c r="J67" s="84" t="str">
        <f t="shared" si="7"/>
        <v>3901366</v>
      </c>
      <c r="K67" s="209" t="s">
        <v>127</v>
      </c>
      <c r="L67" s="210" t="s">
        <v>446</v>
      </c>
      <c r="M67" s="211" t="s">
        <v>510</v>
      </c>
      <c r="N67" s="212" t="s">
        <v>200</v>
      </c>
      <c r="O67" s="212" t="s">
        <v>462</v>
      </c>
      <c r="P67" s="175" t="str">
        <f t="shared" si="8"/>
        <v>１２３４５６７８９０１２３４５６７８９０パネルを青と赤に分断された後には_x000D_どちらかを吸収する超必殺技がきます_x000D_それを読みうまく消せると_x000D_反撃のチャンスです</v>
      </c>
      <c r="Q67" s="176">
        <f t="shared" si="9"/>
        <v>57</v>
      </c>
    </row>
    <row r="68" spans="1:17" ht="76" x14ac:dyDescent="0.2">
      <c r="A68" s="79" t="s">
        <v>198</v>
      </c>
      <c r="B68" s="80">
        <f>floors!$C$2</f>
        <v>39013</v>
      </c>
      <c r="C68" s="251" t="str">
        <f ca="1">VLOOKUP($B68,OFFSET([2]quests!$A$1,0,0,COUNTA([2]quests!$A:$A),MATCH(C$1,[2]quests!$1:$1,0)-MATCH($B$1,[2]quests!$1:$1,0)+1),MATCH(C$1,[2]quests!$1:$1,0)-MATCH($B$1,[2]quests!$1:$1,0)+1,FALSE)</f>
        <v>兄左</v>
      </c>
      <c r="D68" s="251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2">
        <v>2</v>
      </c>
      <c r="F68" s="251" t="str">
        <f ca="1">VLOOKUP($B68&amp;"_"&amp;$E68,OFFSET([2]stages!$A$1,0,0,COUNTA([2]stages!$A:$A),MATCH(F$1,[2]stages!$2:$2,0)-MATCH("temp_stage",[2]stages!$2:$2,0)+1),MATCH(F$1,[2]stages!$2:$2,0)-MATCH("temp_stage",[2]stages!$2:$2,0)+1,FALSE)</f>
        <v>【中級】兄左</v>
      </c>
      <c r="G68" s="251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</v>
      </c>
      <c r="H68" s="252">
        <v>3</v>
      </c>
      <c r="I68" s="87">
        <f t="shared" si="0"/>
        <v>67</v>
      </c>
      <c r="J68" s="84" t="str">
        <f t="shared" si="7"/>
        <v>3901367</v>
      </c>
      <c r="K68" s="209" t="s">
        <v>127</v>
      </c>
      <c r="L68" s="210" t="s">
        <v>446</v>
      </c>
      <c r="M68" s="211" t="s">
        <v>511</v>
      </c>
      <c r="N68" s="212" t="s">
        <v>200</v>
      </c>
      <c r="O68" s="212" t="s">
        <v>462</v>
      </c>
      <c r="P68" s="175" t="str">
        <f t="shared" si="8"/>
        <v>１２３４５６７８９０１２３４５６７８９０青か赤のパネルを吸収する超必殺技は_x000D_受けてしまうと大ダメージになります_x000D_ピンチの時にはフィーバーを使って_x000D_避けてしまいましょう</v>
      </c>
      <c r="Q68" s="176">
        <f t="shared" si="9"/>
        <v>63</v>
      </c>
    </row>
    <row r="69" spans="1:17" ht="76" x14ac:dyDescent="0.2">
      <c r="A69" s="79" t="s">
        <v>198</v>
      </c>
      <c r="B69" s="80">
        <f>floors!$C$2</f>
        <v>39013</v>
      </c>
      <c r="C69" s="251" t="str">
        <f ca="1">VLOOKUP($B69,OFFSET([2]quests!$A$1,0,0,COUNTA([2]quests!$A:$A),MATCH(C$1,[2]quests!$1:$1,0)-MATCH($B$1,[2]quests!$1:$1,0)+1),MATCH(C$1,[2]quests!$1:$1,0)-MATCH($B$1,[2]quests!$1:$1,0)+1,FALSE)</f>
        <v>兄左</v>
      </c>
      <c r="D69" s="251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2">
        <v>2</v>
      </c>
      <c r="F69" s="251" t="str">
        <f ca="1">VLOOKUP($B69&amp;"_"&amp;$E69,OFFSET([2]stages!$A$1,0,0,COUNTA([2]stages!$A:$A),MATCH(F$1,[2]stages!$2:$2,0)-MATCH("temp_stage",[2]stages!$2:$2,0)+1),MATCH(F$1,[2]stages!$2:$2,0)-MATCH("temp_stage",[2]stages!$2:$2,0)+1,FALSE)</f>
        <v>【中級】兄左</v>
      </c>
      <c r="G69" s="251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</v>
      </c>
      <c r="H69" s="252">
        <v>3</v>
      </c>
      <c r="I69" s="87">
        <f t="shared" si="0"/>
        <v>68</v>
      </c>
      <c r="J69" s="84" t="str">
        <f t="shared" si="7"/>
        <v>3901368</v>
      </c>
      <c r="K69" s="209" t="s">
        <v>127</v>
      </c>
      <c r="L69" s="210" t="s">
        <v>446</v>
      </c>
      <c r="M69" s="211" t="s">
        <v>512</v>
      </c>
      <c r="N69" s="212" t="s">
        <v>200</v>
      </c>
      <c r="O69" s="212" t="s">
        <v>462</v>
      </c>
      <c r="P69" s="175" t="str">
        <f t="shared" si="8"/>
        <v>１２３４５６７８９０１２３４５６７８９０山崎が２ゲージ目に使用する_x000D_ウィルス攻撃は強力です_x000D_解除するスキルを準備して挑むと_x000D_安心して戦えます</v>
      </c>
      <c r="Q69" s="176">
        <f t="shared" si="9"/>
        <v>50</v>
      </c>
    </row>
    <row r="70" spans="1:17" ht="46" x14ac:dyDescent="0.2">
      <c r="A70" s="79" t="s">
        <v>419</v>
      </c>
      <c r="B70" s="80">
        <f>floors!$C$2</f>
        <v>39013</v>
      </c>
      <c r="C70" s="251" t="str">
        <f ca="1">VLOOKUP($B70,OFFSET([2]quests!$A$1,0,0,COUNTA([2]quests!$A:$A),MATCH(C$1,[2]quests!$1:$1,0)-MATCH($B$1,[2]quests!$1:$1,0)+1),MATCH(C$1,[2]quests!$1:$1,0)-MATCH($B$1,[2]quests!$1:$1,0)+1,FALSE)</f>
        <v>兄左</v>
      </c>
      <c r="D70" s="251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2">
        <v>2</v>
      </c>
      <c r="F70" s="251" t="str">
        <f ca="1">VLOOKUP($B70&amp;"_"&amp;$E70,OFFSET([2]stages!$A$1,0,0,COUNTA([2]stages!$A:$A),MATCH(F$1,[2]stages!$2:$2,0)-MATCH("temp_stage",[2]stages!$2:$2,0)+1),MATCH(F$1,[2]stages!$2:$2,0)-MATCH("temp_stage",[2]stages!$2:$2,0)+1,FALSE)</f>
        <v>【中級】兄左</v>
      </c>
      <c r="G70" s="251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</v>
      </c>
      <c r="H70" s="252">
        <v>0</v>
      </c>
      <c r="I70" s="87">
        <f t="shared" si="0"/>
        <v>69</v>
      </c>
      <c r="J70" s="84" t="str">
        <f t="shared" si="7"/>
        <v>3901369</v>
      </c>
      <c r="K70" s="220" t="s">
        <v>127</v>
      </c>
      <c r="L70" s="221" t="s">
        <v>447</v>
      </c>
      <c r="M70" s="222" t="s">
        <v>513</v>
      </c>
      <c r="N70" s="223" t="s">
        <v>200</v>
      </c>
      <c r="O70" s="223" t="s">
        <v>462</v>
      </c>
      <c r="P70" s="175" t="str">
        <f t="shared" si="8"/>
        <v>１２３４５６７８９０１２３４５６７８９０大会に乗り込んだ山崎は_x000D_大会賞金の奪取を計画していたようです</v>
      </c>
      <c r="Q70" s="176">
        <f t="shared" si="9"/>
        <v>30</v>
      </c>
    </row>
    <row r="71" spans="1:17" ht="76" x14ac:dyDescent="0.2">
      <c r="A71" s="79" t="s">
        <v>419</v>
      </c>
      <c r="B71" s="80">
        <f>floors!$C$2</f>
        <v>39013</v>
      </c>
      <c r="C71" s="251" t="str">
        <f ca="1">VLOOKUP($B71,OFFSET([2]quests!$A$1,0,0,COUNTA([2]quests!$A:$A),MATCH(C$1,[2]quests!$1:$1,0)-MATCH($B$1,[2]quests!$1:$1,0)+1),MATCH(C$1,[2]quests!$1:$1,0)-MATCH($B$1,[2]quests!$1:$1,0)+1,FALSE)</f>
        <v>兄左</v>
      </c>
      <c r="D71" s="251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2">
        <v>2</v>
      </c>
      <c r="F71" s="251" t="str">
        <f ca="1">VLOOKUP($B71&amp;"_"&amp;$E71,OFFSET([2]stages!$A$1,0,0,COUNTA([2]stages!$A:$A),MATCH(F$1,[2]stages!$2:$2,0)-MATCH("temp_stage",[2]stages!$2:$2,0)+1),MATCH(F$1,[2]stages!$2:$2,0)-MATCH("temp_stage",[2]stages!$2:$2,0)+1,FALSE)</f>
        <v>【中級】兄左</v>
      </c>
      <c r="G71" s="251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</v>
      </c>
      <c r="H71" s="252">
        <v>0</v>
      </c>
      <c r="I71" s="87">
        <f t="shared" si="0"/>
        <v>70</v>
      </c>
      <c r="J71" s="84" t="str">
        <f t="shared" si="7"/>
        <v>3901370</v>
      </c>
      <c r="K71" s="220" t="s">
        <v>127</v>
      </c>
      <c r="L71" s="221" t="s">
        <v>448</v>
      </c>
      <c r="M71" s="222" t="s">
        <v>445</v>
      </c>
      <c r="N71" s="223" t="s">
        <v>200</v>
      </c>
      <c r="O71" s="223" t="s">
        <v>462</v>
      </c>
      <c r="P71" s="175" t="str">
        <f t="shared" si="8"/>
        <v>１２３４５６７８９０１２３４５６７８９０山崎はその凶暴性から_x000D_ＡＬＩＣＥのアンダーグラウンドでも_x000D_恐れられていました_x000D_</v>
      </c>
      <c r="Q71" s="176">
        <f t="shared" si="9"/>
        <v>39</v>
      </c>
    </row>
    <row r="72" spans="1:17" ht="77" thickBot="1" x14ac:dyDescent="0.25">
      <c r="A72" s="79" t="s">
        <v>419</v>
      </c>
      <c r="B72" s="80">
        <f>floors!$C$2</f>
        <v>39013</v>
      </c>
      <c r="C72" s="251" t="str">
        <f ca="1">VLOOKUP($B72,OFFSET([2]quests!$A$1,0,0,COUNTA([2]quests!$A:$A),MATCH(C$1,[2]quests!$1:$1,0)-MATCH($B$1,[2]quests!$1:$1,0)+1),MATCH(C$1,[2]quests!$1:$1,0)-MATCH($B$1,[2]quests!$1:$1,0)+1,FALSE)</f>
        <v>兄左</v>
      </c>
      <c r="D72" s="251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2">
        <v>2</v>
      </c>
      <c r="F72" s="251" t="str">
        <f ca="1">VLOOKUP($B72&amp;"_"&amp;$E72,OFFSET([2]stages!$A$1,0,0,COUNTA([2]stages!$A:$A),MATCH(F$1,[2]stages!$2:$2,0)-MATCH("temp_stage",[2]stages!$2:$2,0)+1),MATCH(F$1,[2]stages!$2:$2,0)-MATCH("temp_stage",[2]stages!$2:$2,0)+1,FALSE)</f>
        <v>【中級】兄左</v>
      </c>
      <c r="G72" s="251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</v>
      </c>
      <c r="H72" s="252">
        <v>0</v>
      </c>
      <c r="I72" s="87">
        <f t="shared" si="0"/>
        <v>71</v>
      </c>
      <c r="J72" s="84" t="str">
        <f t="shared" si="7"/>
        <v>3901371</v>
      </c>
      <c r="K72" s="220" t="s">
        <v>127</v>
      </c>
      <c r="L72" s="221" t="s">
        <v>449</v>
      </c>
      <c r="M72" s="222" t="s">
        <v>514</v>
      </c>
      <c r="N72" s="223" t="s">
        <v>200</v>
      </c>
      <c r="O72" s="223" t="s">
        <v>462</v>
      </c>
      <c r="P72" s="175" t="str">
        <f t="shared" si="8"/>
        <v>１２３４５６７８９０１２３４５６７８９０ウィルスは闇マーケットで_x000D_山崎が入手したとも噂されています_x000D_真偽を確かめるために_x000D_事件を追う必要がありそうです</v>
      </c>
      <c r="Q72" s="233">
        <f t="shared" si="9"/>
        <v>55</v>
      </c>
    </row>
    <row r="73" spans="1:17" ht="46" x14ac:dyDescent="0.2">
      <c r="A73" s="79" t="s">
        <v>419</v>
      </c>
      <c r="B73" s="80">
        <f>floors!$C$2</f>
        <v>39013</v>
      </c>
      <c r="C73" s="251" t="str">
        <f ca="1">VLOOKUP($B73,OFFSET([2]quests!$A$1,0,0,COUNTA([2]quests!$A:$A),MATCH(C$1,[2]quests!$1:$1,0)-MATCH($B$1,[2]quests!$1:$1,0)+1),MATCH(C$1,[2]quests!$1:$1,0)-MATCH($B$1,[2]quests!$1:$1,0)+1,FALSE)</f>
        <v>兄左</v>
      </c>
      <c r="D73" s="251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2">
        <v>2</v>
      </c>
      <c r="F73" s="251" t="str">
        <f ca="1">VLOOKUP($B73&amp;"_"&amp;$E73,OFFSET([2]stages!$A$1,0,0,COUNTA([2]stages!$A:$A),MATCH(F$1,[2]stages!$2:$2,0)-MATCH("temp_stage",[2]stages!$2:$2,0)+1),MATCH(F$1,[2]stages!$2:$2,0)-MATCH("temp_stage",[2]stages!$2:$2,0)+1,FALSE)</f>
        <v>【中級】兄左</v>
      </c>
      <c r="G73" s="251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</v>
      </c>
      <c r="H73" s="252">
        <v>0</v>
      </c>
      <c r="I73" s="87">
        <f t="shared" si="0"/>
        <v>72</v>
      </c>
      <c r="J73" s="84" t="str">
        <f t="shared" si="7"/>
        <v>3901372</v>
      </c>
      <c r="K73" s="220" t="s">
        <v>127</v>
      </c>
      <c r="L73" s="221" t="s">
        <v>463</v>
      </c>
      <c r="M73" s="222" t="s">
        <v>464</v>
      </c>
      <c r="N73" s="223" t="s">
        <v>462</v>
      </c>
      <c r="O73" s="223">
        <v>1579</v>
      </c>
      <c r="P73" s="175" t="str">
        <f t="shared" si="8"/>
        <v>１２３４５６７８９０１２３４５６７８９０俺の炎で燃えつきちまいな！_x000D_弱い奴に用はねえぜ！</v>
      </c>
      <c r="Q73" s="176">
        <f t="shared" si="9"/>
        <v>24</v>
      </c>
    </row>
    <row r="74" spans="1:17" ht="46" x14ac:dyDescent="0.2">
      <c r="A74" s="79" t="s">
        <v>419</v>
      </c>
      <c r="B74" s="80">
        <f>floors!$C$2</f>
        <v>39013</v>
      </c>
      <c r="C74" s="251" t="str">
        <f ca="1">VLOOKUP($B74,OFFSET([2]quests!$A$1,0,0,COUNTA([2]quests!$A:$A),MATCH(C$1,[2]quests!$1:$1,0)-MATCH($B$1,[2]quests!$1:$1,0)+1),MATCH(C$1,[2]quests!$1:$1,0)-MATCH($B$1,[2]quests!$1:$1,0)+1,FALSE)</f>
        <v>兄左</v>
      </c>
      <c r="D74" s="251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2">
        <v>2</v>
      </c>
      <c r="F74" s="251" t="str">
        <f ca="1">VLOOKUP($B74&amp;"_"&amp;$E74,OFFSET([2]stages!$A$1,0,0,COUNTA([2]stages!$A:$A),MATCH(F$1,[2]stages!$2:$2,0)-MATCH("temp_stage",[2]stages!$2:$2,0)+1),MATCH(F$1,[2]stages!$2:$2,0)-MATCH("temp_stage",[2]stages!$2:$2,0)+1,FALSE)</f>
        <v>【中級】兄左</v>
      </c>
      <c r="G74" s="251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</v>
      </c>
      <c r="H74" s="252">
        <v>0</v>
      </c>
      <c r="I74" s="87">
        <f t="shared" si="0"/>
        <v>73</v>
      </c>
      <c r="J74" s="84" t="str">
        <f t="shared" si="7"/>
        <v>3901373</v>
      </c>
      <c r="K74" s="220" t="s">
        <v>127</v>
      </c>
      <c r="L74" s="221" t="s">
        <v>465</v>
      </c>
      <c r="M74" s="222" t="s">
        <v>466</v>
      </c>
      <c r="N74" s="223" t="s">
        <v>462</v>
      </c>
      <c r="O74" s="223">
        <v>1587</v>
      </c>
      <c r="P74" s="175" t="str">
        <f t="shared" si="8"/>
        <v>１２３４５６７８９０１２３４５６７８９０全身全霊をかけた試合、楽しかったです。_x000D_ありがとうございました！</v>
      </c>
      <c r="Q74" s="176">
        <f t="shared" si="9"/>
        <v>32</v>
      </c>
    </row>
    <row r="75" spans="1:17" ht="31" x14ac:dyDescent="0.2">
      <c r="A75" s="79" t="s">
        <v>419</v>
      </c>
      <c r="B75" s="80">
        <f>floors!$C$2</f>
        <v>39013</v>
      </c>
      <c r="C75" s="251" t="str">
        <f ca="1">VLOOKUP($B75,OFFSET([2]quests!$A$1,0,0,COUNTA([2]quests!$A:$A),MATCH(C$1,[2]quests!$1:$1,0)-MATCH($B$1,[2]quests!$1:$1,0)+1),MATCH(C$1,[2]quests!$1:$1,0)-MATCH($B$1,[2]quests!$1:$1,0)+1,FALSE)</f>
        <v>兄左</v>
      </c>
      <c r="D75" s="251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2">
        <v>2</v>
      </c>
      <c r="F75" s="251" t="str">
        <f ca="1">VLOOKUP($B75&amp;"_"&amp;$E75,OFFSET([2]stages!$A$1,0,0,COUNTA([2]stages!$A:$A),MATCH(F$1,[2]stages!$2:$2,0)-MATCH("temp_stage",[2]stages!$2:$2,0)+1),MATCH(F$1,[2]stages!$2:$2,0)-MATCH("temp_stage",[2]stages!$2:$2,0)+1,FALSE)</f>
        <v>【中級】兄左</v>
      </c>
      <c r="G75" s="251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</v>
      </c>
      <c r="H75" s="252">
        <v>0</v>
      </c>
      <c r="I75" s="87">
        <f t="shared" si="0"/>
        <v>74</v>
      </c>
      <c r="J75" s="84" t="str">
        <f t="shared" si="7"/>
        <v>3901374</v>
      </c>
      <c r="K75" s="220" t="s">
        <v>127</v>
      </c>
      <c r="L75" s="221" t="s">
        <v>467</v>
      </c>
      <c r="M75" s="222" t="s">
        <v>468</v>
      </c>
      <c r="N75" s="223" t="s">
        <v>462</v>
      </c>
      <c r="O75" s="223">
        <v>1581</v>
      </c>
      <c r="P75" s="175" t="str">
        <f t="shared" si="8"/>
        <v>１２３４５６７８９０１２３４５６７８９０おしまいですか？ふふっ、つまんないの！</v>
      </c>
      <c r="Q75" s="176">
        <f t="shared" si="9"/>
        <v>19</v>
      </c>
    </row>
    <row r="76" spans="1:17" ht="61" x14ac:dyDescent="0.2">
      <c r="A76" s="79" t="s">
        <v>419</v>
      </c>
      <c r="B76" s="80">
        <f>floors!$C$2</f>
        <v>39013</v>
      </c>
      <c r="C76" s="251" t="str">
        <f ca="1">VLOOKUP($B76,OFFSET([2]quests!$A$1,0,0,COUNTA([2]quests!$A:$A),MATCH(C$1,[2]quests!$1:$1,0)-MATCH($B$1,[2]quests!$1:$1,0)+1),MATCH(C$1,[2]quests!$1:$1,0)-MATCH($B$1,[2]quests!$1:$1,0)+1,FALSE)</f>
        <v>兄左</v>
      </c>
      <c r="D76" s="251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2">
        <v>2</v>
      </c>
      <c r="F76" s="251" t="str">
        <f ca="1">VLOOKUP($B76&amp;"_"&amp;$E76,OFFSET([2]stages!$A$1,0,0,COUNTA([2]stages!$A:$A),MATCH(F$1,[2]stages!$2:$2,0)-MATCH("temp_stage",[2]stages!$2:$2,0)+1),MATCH(F$1,[2]stages!$2:$2,0)-MATCH("temp_stage",[2]stages!$2:$2,0)+1,FALSE)</f>
        <v>【中級】兄左</v>
      </c>
      <c r="G76" s="251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</v>
      </c>
      <c r="H76" s="252">
        <v>0</v>
      </c>
      <c r="I76" s="87">
        <f t="shared" si="0"/>
        <v>75</v>
      </c>
      <c r="J76" s="84" t="str">
        <f t="shared" si="7"/>
        <v>3901375</v>
      </c>
      <c r="K76" s="220" t="s">
        <v>127</v>
      </c>
      <c r="L76" s="221" t="s">
        <v>469</v>
      </c>
      <c r="M76" s="222" t="s">
        <v>470</v>
      </c>
      <c r="N76" s="223" t="s">
        <v>462</v>
      </c>
      <c r="O76" s="223">
        <v>1570</v>
      </c>
      <c r="P76" s="175" t="str">
        <f t="shared" si="8"/>
        <v>１２３４５６７８９０１２３４５６７８９０戦いに性別は関係ない。_x000D_最後に立っていた奴が、強者だ！_x000D_わかるだろ！</v>
      </c>
      <c r="Q76" s="176">
        <f t="shared" si="9"/>
        <v>34</v>
      </c>
    </row>
    <row r="77" spans="1:17" ht="46" x14ac:dyDescent="0.2">
      <c r="A77" s="79" t="s">
        <v>419</v>
      </c>
      <c r="B77" s="80">
        <f>floors!$C$2</f>
        <v>39013</v>
      </c>
      <c r="C77" s="251" t="str">
        <f ca="1">VLOOKUP($B77,OFFSET([2]quests!$A$1,0,0,COUNTA([2]quests!$A:$A),MATCH(C$1,[2]quests!$1:$1,0)-MATCH($B$1,[2]quests!$1:$1,0)+1),MATCH(C$1,[2]quests!$1:$1,0)-MATCH($B$1,[2]quests!$1:$1,0)+1,FALSE)</f>
        <v>兄左</v>
      </c>
      <c r="D77" s="251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2">
        <v>2</v>
      </c>
      <c r="F77" s="251" t="str">
        <f ca="1">VLOOKUP($B77&amp;"_"&amp;$E77,OFFSET([2]stages!$A$1,0,0,COUNTA([2]stages!$A:$A),MATCH(F$1,[2]stages!$2:$2,0)-MATCH("temp_stage",[2]stages!$2:$2,0)+1),MATCH(F$1,[2]stages!$2:$2,0)-MATCH("temp_stage",[2]stages!$2:$2,0)+1,FALSE)</f>
        <v>【中級】兄左</v>
      </c>
      <c r="G77" s="251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</v>
      </c>
      <c r="H77" s="252">
        <v>0</v>
      </c>
      <c r="I77" s="87">
        <f t="shared" si="0"/>
        <v>76</v>
      </c>
      <c r="J77" s="84" t="str">
        <f t="shared" si="7"/>
        <v>3901376</v>
      </c>
      <c r="K77" s="220" t="s">
        <v>127</v>
      </c>
      <c r="L77" s="221" t="s">
        <v>471</v>
      </c>
      <c r="M77" s="222" t="s">
        <v>472</v>
      </c>
      <c r="N77" s="223" t="s">
        <v>462</v>
      </c>
      <c r="O77" s="223">
        <v>1568</v>
      </c>
      <c r="P77" s="175" t="str">
        <f t="shared" si="8"/>
        <v>１２３４５６７８９０１２３４５６７８９０遊びがすぎます。それでは勝つ事はおろか、_x000D_私に触れる事も出来ませんね</v>
      </c>
      <c r="Q77" s="176">
        <f t="shared" si="9"/>
        <v>34</v>
      </c>
    </row>
    <row r="78" spans="1:17" ht="46" x14ac:dyDescent="0.2">
      <c r="A78" s="79" t="s">
        <v>419</v>
      </c>
      <c r="B78" s="80">
        <f>floors!$C$2</f>
        <v>39013</v>
      </c>
      <c r="C78" s="251" t="str">
        <f ca="1">VLOOKUP($B78,OFFSET([2]quests!$A$1,0,0,COUNTA([2]quests!$A:$A),MATCH(C$1,[2]quests!$1:$1,0)-MATCH($B$1,[2]quests!$1:$1,0)+1),MATCH(C$1,[2]quests!$1:$1,0)-MATCH($B$1,[2]quests!$1:$1,0)+1,FALSE)</f>
        <v>兄左</v>
      </c>
      <c r="D78" s="251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2">
        <v>2</v>
      </c>
      <c r="F78" s="251" t="str">
        <f ca="1">VLOOKUP($B78&amp;"_"&amp;$E78,OFFSET([2]stages!$A$1,0,0,COUNTA([2]stages!$A:$A),MATCH(F$1,[2]stages!$2:$2,0)-MATCH("temp_stage",[2]stages!$2:$2,0)+1),MATCH(F$1,[2]stages!$2:$2,0)-MATCH("temp_stage",[2]stages!$2:$2,0)+1,FALSE)</f>
        <v>【中級】兄左</v>
      </c>
      <c r="G78" s="251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</v>
      </c>
      <c r="H78" s="252">
        <v>0</v>
      </c>
      <c r="I78" s="87">
        <f t="shared" si="0"/>
        <v>77</v>
      </c>
      <c r="J78" s="84" t="str">
        <f t="shared" si="7"/>
        <v>3901377</v>
      </c>
      <c r="K78" s="220" t="s">
        <v>127</v>
      </c>
      <c r="L78" s="221" t="s">
        <v>473</v>
      </c>
      <c r="M78" s="222" t="s">
        <v>474</v>
      </c>
      <c r="N78" s="223" t="s">
        <v>462</v>
      </c>
      <c r="O78" s="223">
        <v>1553</v>
      </c>
      <c r="P78" s="175" t="str">
        <f t="shared" si="8"/>
        <v>１２３４５６７８９０１２３４５６７８９０いったい何にしびれてる？_x000D_電撃か？それとも俺の美貌にかい？</v>
      </c>
      <c r="Q78" s="176">
        <f t="shared" si="9"/>
        <v>29</v>
      </c>
    </row>
    <row r="79" spans="1:17" ht="46" x14ac:dyDescent="0.2">
      <c r="A79" s="79" t="s">
        <v>419</v>
      </c>
      <c r="B79" s="80">
        <f>floors!$C$2</f>
        <v>39013</v>
      </c>
      <c r="C79" s="251" t="str">
        <f ca="1">VLOOKUP($B79,OFFSET([2]quests!$A$1,0,0,COUNTA([2]quests!$A:$A),MATCH(C$1,[2]quests!$1:$1,0)-MATCH($B$1,[2]quests!$1:$1,0)+1),MATCH(C$1,[2]quests!$1:$1,0)-MATCH($B$1,[2]quests!$1:$1,0)+1,FALSE)</f>
        <v>兄左</v>
      </c>
      <c r="D79" s="251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2">
        <v>2</v>
      </c>
      <c r="F79" s="251" t="str">
        <f ca="1">VLOOKUP($B79&amp;"_"&amp;$E79,OFFSET([2]stages!$A$1,0,0,COUNTA([2]stages!$A:$A),MATCH(F$1,[2]stages!$2:$2,0)-MATCH("temp_stage",[2]stages!$2:$2,0)+1),MATCH(F$1,[2]stages!$2:$2,0)-MATCH("temp_stage",[2]stages!$2:$2,0)+1,FALSE)</f>
        <v>【中級】兄左</v>
      </c>
      <c r="G79" s="251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</v>
      </c>
      <c r="H79" s="252">
        <v>0</v>
      </c>
      <c r="I79" s="87">
        <f t="shared" si="0"/>
        <v>78</v>
      </c>
      <c r="J79" s="84" t="str">
        <f t="shared" si="7"/>
        <v>3901378</v>
      </c>
      <c r="K79" s="220" t="s">
        <v>127</v>
      </c>
      <c r="L79" s="221" t="s">
        <v>475</v>
      </c>
      <c r="M79" s="222" t="s">
        <v>476</v>
      </c>
      <c r="N79" s="223" t="s">
        <v>462</v>
      </c>
      <c r="O79" s="223">
        <v>1566</v>
      </c>
      <c r="P79" s="175" t="str">
        <f t="shared" si="8"/>
        <v>１２３４５６７８９０１２３４５６７８９０ナイスバディで最強の格闘家の_x000D_私に勝とうなんてやっぱ、無謀って感じぃ！</v>
      </c>
      <c r="Q79" s="176">
        <f t="shared" si="9"/>
        <v>35</v>
      </c>
    </row>
    <row r="80" spans="1:17" ht="46" x14ac:dyDescent="0.2">
      <c r="A80" s="79" t="s">
        <v>419</v>
      </c>
      <c r="B80" s="80">
        <f>floors!$C$2</f>
        <v>39013</v>
      </c>
      <c r="C80" s="251" t="str">
        <f ca="1">VLOOKUP($B80,OFFSET([2]quests!$A$1,0,0,COUNTA([2]quests!$A:$A),MATCH(C$1,[2]quests!$1:$1,0)-MATCH($B$1,[2]quests!$1:$1,0)+1),MATCH(C$1,[2]quests!$1:$1,0)-MATCH($B$1,[2]quests!$1:$1,0)+1,FALSE)</f>
        <v>兄左</v>
      </c>
      <c r="D80" s="251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2">
        <v>2</v>
      </c>
      <c r="F80" s="251" t="str">
        <f ca="1">VLOOKUP($B80&amp;"_"&amp;$E80,OFFSET([2]stages!$A$1,0,0,COUNTA([2]stages!$A:$A),MATCH(F$1,[2]stages!$2:$2,0)-MATCH("temp_stage",[2]stages!$2:$2,0)+1),MATCH(F$1,[2]stages!$2:$2,0)-MATCH("temp_stage",[2]stages!$2:$2,0)+1,FALSE)</f>
        <v>【中級】兄左</v>
      </c>
      <c r="G80" s="251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</v>
      </c>
      <c r="H80" s="252">
        <v>0</v>
      </c>
      <c r="I80" s="87">
        <f t="shared" si="0"/>
        <v>79</v>
      </c>
      <c r="J80" s="84" t="str">
        <f t="shared" si="7"/>
        <v>3901379</v>
      </c>
      <c r="K80" s="220" t="s">
        <v>127</v>
      </c>
      <c r="L80" s="221" t="s">
        <v>477</v>
      </c>
      <c r="M80" s="222" t="s">
        <v>478</v>
      </c>
      <c r="N80" s="223" t="s">
        <v>462</v>
      </c>
      <c r="O80" s="223">
        <v>1551</v>
      </c>
      <c r="P80" s="175" t="str">
        <f t="shared" si="8"/>
        <v>１２３４５６７８９０１２３４５６７８９０何が足りねえかわかったろ？_x000D_へこんでる暇はないはずだぜ！</v>
      </c>
      <c r="Q80" s="176">
        <f t="shared" si="9"/>
        <v>28</v>
      </c>
    </row>
    <row r="81" spans="1:17" ht="31" x14ac:dyDescent="0.2">
      <c r="A81" s="79" t="s">
        <v>419</v>
      </c>
      <c r="B81" s="80">
        <f>floors!$C$2</f>
        <v>39013</v>
      </c>
      <c r="C81" s="251" t="str">
        <f ca="1">VLOOKUP($B81,OFFSET([2]quests!$A$1,0,0,COUNTA([2]quests!$A:$A),MATCH(C$1,[2]quests!$1:$1,0)-MATCH($B$1,[2]quests!$1:$1,0)+1),MATCH(C$1,[2]quests!$1:$1,0)-MATCH($B$1,[2]quests!$1:$1,0)+1,FALSE)</f>
        <v>兄左</v>
      </c>
      <c r="D81" s="251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2">
        <v>2</v>
      </c>
      <c r="F81" s="251" t="str">
        <f ca="1">VLOOKUP($B81&amp;"_"&amp;$E81,OFFSET([2]stages!$A$1,0,0,COUNTA([2]stages!$A:$A),MATCH(F$1,[2]stages!$2:$2,0)-MATCH("temp_stage",[2]stages!$2:$2,0)+1),MATCH(F$1,[2]stages!$2:$2,0)-MATCH("temp_stage",[2]stages!$2:$2,0)+1,FALSE)</f>
        <v>【中級】兄左</v>
      </c>
      <c r="G81" s="251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</v>
      </c>
      <c r="H81" s="252">
        <v>0</v>
      </c>
      <c r="I81" s="87">
        <f t="shared" si="0"/>
        <v>80</v>
      </c>
      <c r="J81" s="84" t="str">
        <f t="shared" si="7"/>
        <v>3901380</v>
      </c>
      <c r="K81" s="220" t="s">
        <v>127</v>
      </c>
      <c r="L81" s="221" t="s">
        <v>479</v>
      </c>
      <c r="M81" s="222" t="s">
        <v>480</v>
      </c>
      <c r="N81" s="223" t="s">
        <v>462</v>
      </c>
      <c r="O81" s="223">
        <v>1555</v>
      </c>
      <c r="P81" s="175" t="str">
        <f t="shared" si="8"/>
        <v>１２３４５６７８９０１２３４５６７８９０これが答えだ…！</v>
      </c>
      <c r="Q81" s="176">
        <f t="shared" si="9"/>
        <v>8</v>
      </c>
    </row>
    <row r="82" spans="1:17" ht="46" x14ac:dyDescent="0.2">
      <c r="A82" s="79" t="s">
        <v>419</v>
      </c>
      <c r="B82" s="80">
        <f>floors!$C$2</f>
        <v>39013</v>
      </c>
      <c r="C82" s="251" t="str">
        <f ca="1">VLOOKUP($B82,OFFSET([2]quests!$A$1,0,0,COUNTA([2]quests!$A:$A),MATCH(C$1,[2]quests!$1:$1,0)-MATCH($B$1,[2]quests!$1:$1,0)+1),MATCH(C$1,[2]quests!$1:$1,0)-MATCH($B$1,[2]quests!$1:$1,0)+1,FALSE)</f>
        <v>兄左</v>
      </c>
      <c r="D82" s="251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2">
        <v>2</v>
      </c>
      <c r="F82" s="251" t="str">
        <f ca="1">VLOOKUP($B82&amp;"_"&amp;$E82,OFFSET([2]stages!$A$1,0,0,COUNTA([2]stages!$A:$A),MATCH(F$1,[2]stages!$2:$2,0)-MATCH("temp_stage",[2]stages!$2:$2,0)+1),MATCH(F$1,[2]stages!$2:$2,0)-MATCH("temp_stage",[2]stages!$2:$2,0)+1,FALSE)</f>
        <v>【中級】兄左</v>
      </c>
      <c r="G82" s="251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</v>
      </c>
      <c r="H82" s="252">
        <v>0</v>
      </c>
      <c r="I82" s="87">
        <f t="shared" si="0"/>
        <v>81</v>
      </c>
      <c r="J82" s="84" t="str">
        <f t="shared" si="7"/>
        <v>3901381</v>
      </c>
      <c r="K82" s="220" t="s">
        <v>127</v>
      </c>
      <c r="L82" s="221" t="s">
        <v>481</v>
      </c>
      <c r="M82" s="222" t="s">
        <v>482</v>
      </c>
      <c r="N82" s="223" t="s">
        <v>462</v>
      </c>
      <c r="O82" s="223">
        <v>1556</v>
      </c>
      <c r="P82" s="175" t="str">
        <f t="shared" si="8"/>
        <v>１２３４５６７８９０１２３４５６７８９０絶対無比の空手！_x000D_それが極限流だ！覚えておく事だぜ！</v>
      </c>
      <c r="Q82" s="176">
        <f t="shared" si="9"/>
        <v>26</v>
      </c>
    </row>
    <row r="83" spans="1:17" ht="46" x14ac:dyDescent="0.2">
      <c r="A83" s="79" t="s">
        <v>419</v>
      </c>
      <c r="B83" s="80">
        <f>floors!$C$2</f>
        <v>39013</v>
      </c>
      <c r="C83" s="251" t="str">
        <f ca="1">VLOOKUP($B83,OFFSET([2]quests!$A$1,0,0,COUNTA([2]quests!$A:$A),MATCH(C$1,[2]quests!$1:$1,0)-MATCH($B$1,[2]quests!$1:$1,0)+1),MATCH(C$1,[2]quests!$1:$1,0)-MATCH($B$1,[2]quests!$1:$1,0)+1,FALSE)</f>
        <v>兄左</v>
      </c>
      <c r="D83" s="251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2">
        <v>2</v>
      </c>
      <c r="F83" s="251" t="str">
        <f ca="1">VLOOKUP($B83&amp;"_"&amp;$E83,OFFSET([2]stages!$A$1,0,0,COUNTA([2]stages!$A:$A),MATCH(F$1,[2]stages!$2:$2,0)-MATCH("temp_stage",[2]stages!$2:$2,0)+1),MATCH(F$1,[2]stages!$2:$2,0)-MATCH("temp_stage",[2]stages!$2:$2,0)+1,FALSE)</f>
        <v>【中級】兄左</v>
      </c>
      <c r="G83" s="251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</v>
      </c>
      <c r="H83" s="252">
        <v>0</v>
      </c>
      <c r="I83" s="87">
        <f t="shared" si="0"/>
        <v>82</v>
      </c>
      <c r="J83" s="84" t="str">
        <f t="shared" si="7"/>
        <v>3901382</v>
      </c>
      <c r="K83" s="220" t="s">
        <v>127</v>
      </c>
      <c r="L83" s="221" t="s">
        <v>483</v>
      </c>
      <c r="M83" s="222" t="s">
        <v>484</v>
      </c>
      <c r="N83" s="223" t="s">
        <v>462</v>
      </c>
      <c r="O83" s="223">
        <v>1558</v>
      </c>
      <c r="P83" s="175" t="str">
        <f t="shared" si="8"/>
        <v>１２３４５６７８９０１２３４５６７８９０勝負は勝負！_x000D_負けたからってスネちゃダメよ！</v>
      </c>
      <c r="Q83" s="176">
        <f t="shared" si="9"/>
        <v>22</v>
      </c>
    </row>
    <row r="84" spans="1:17" ht="46" x14ac:dyDescent="0.2">
      <c r="A84" s="79" t="s">
        <v>419</v>
      </c>
      <c r="B84" s="80">
        <f>floors!$C$2</f>
        <v>39013</v>
      </c>
      <c r="C84" s="251" t="str">
        <f ca="1">VLOOKUP($B84,OFFSET([2]quests!$A$1,0,0,COUNTA([2]quests!$A:$A),MATCH(C$1,[2]quests!$1:$1,0)-MATCH($B$1,[2]quests!$1:$1,0)+1),MATCH(C$1,[2]quests!$1:$1,0)-MATCH($B$1,[2]quests!$1:$1,0)+1,FALSE)</f>
        <v>兄左</v>
      </c>
      <c r="D84" s="251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2">
        <v>2</v>
      </c>
      <c r="F84" s="251" t="str">
        <f ca="1">VLOOKUP($B84&amp;"_"&amp;$E84,OFFSET([2]stages!$A$1,0,0,COUNTA([2]stages!$A:$A),MATCH(F$1,[2]stages!$2:$2,0)-MATCH("temp_stage",[2]stages!$2:$2,0)+1),MATCH(F$1,[2]stages!$2:$2,0)-MATCH("temp_stage",[2]stages!$2:$2,0)+1,FALSE)</f>
        <v>【中級】兄左</v>
      </c>
      <c r="G84" s="251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</v>
      </c>
      <c r="H84" s="252">
        <v>0</v>
      </c>
      <c r="I84" s="87">
        <f t="shared" si="0"/>
        <v>83</v>
      </c>
      <c r="J84" s="84" t="str">
        <f t="shared" si="7"/>
        <v>3901383</v>
      </c>
      <c r="K84" s="220" t="s">
        <v>127</v>
      </c>
      <c r="L84" s="221" t="s">
        <v>485</v>
      </c>
      <c r="M84" s="222" t="s">
        <v>486</v>
      </c>
      <c r="N84" s="223" t="s">
        <v>462</v>
      </c>
      <c r="O84" s="223">
        <v>1560</v>
      </c>
      <c r="P84" s="175" t="str">
        <f t="shared" si="8"/>
        <v>１２３４５６７８９０１２３４５６７８９０ワイの力みくびるなんて_x000D_まだまだ、ひよっこって事やな！</v>
      </c>
      <c r="Q84" s="176">
        <f t="shared" si="9"/>
        <v>27</v>
      </c>
    </row>
    <row r="85" spans="1:17" ht="61" x14ac:dyDescent="0.2">
      <c r="A85" s="79" t="s">
        <v>419</v>
      </c>
      <c r="B85" s="80">
        <f>floors!$C$2</f>
        <v>39013</v>
      </c>
      <c r="C85" s="251" t="str">
        <f ca="1">VLOOKUP($B85,OFFSET([2]quests!$A$1,0,0,COUNTA([2]quests!$A:$A),MATCH(C$1,[2]quests!$1:$1,0)-MATCH($B$1,[2]quests!$1:$1,0)+1),MATCH(C$1,[2]quests!$1:$1,0)-MATCH($B$1,[2]quests!$1:$1,0)+1,FALSE)</f>
        <v>兄左</v>
      </c>
      <c r="D85" s="251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2">
        <v>2</v>
      </c>
      <c r="F85" s="251" t="str">
        <f ca="1">VLOOKUP($B85&amp;"_"&amp;$E85,OFFSET([2]stages!$A$1,0,0,COUNTA([2]stages!$A:$A),MATCH(F$1,[2]stages!$2:$2,0)-MATCH("temp_stage",[2]stages!$2:$2,0)+1),MATCH(F$1,[2]stages!$2:$2,0)-MATCH("temp_stage",[2]stages!$2:$2,0)+1,FALSE)</f>
        <v>【中級】兄左</v>
      </c>
      <c r="G85" s="251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</v>
      </c>
      <c r="H85" s="252">
        <v>0</v>
      </c>
      <c r="I85" s="87">
        <f t="shared" si="0"/>
        <v>84</v>
      </c>
      <c r="J85" s="84" t="str">
        <f t="shared" si="7"/>
        <v>3901384</v>
      </c>
      <c r="K85" s="220" t="s">
        <v>127</v>
      </c>
      <c r="L85" s="221" t="s">
        <v>487</v>
      </c>
      <c r="M85" s="222" t="s">
        <v>488</v>
      </c>
      <c r="N85" s="223" t="s">
        <v>462</v>
      </c>
      <c r="O85" s="223">
        <v>1561</v>
      </c>
      <c r="P85" s="175" t="str">
        <f t="shared" si="8"/>
        <v>１２３４５６７８９０１２３４５６７８９０甘い夢を見続けるなら、_x000D_夢の中だけで十分だぜ！_x000D_現実は厳しいって事だ！</v>
      </c>
      <c r="Q85" s="176">
        <f t="shared" si="9"/>
        <v>35</v>
      </c>
    </row>
    <row r="86" spans="1:17" ht="46" x14ac:dyDescent="0.2">
      <c r="A86" s="79" t="s">
        <v>419</v>
      </c>
      <c r="B86" s="80">
        <f>floors!$C$2</f>
        <v>39013</v>
      </c>
      <c r="C86" s="251" t="str">
        <f ca="1">VLOOKUP($B86,OFFSET([2]quests!$A$1,0,0,COUNTA([2]quests!$A:$A),MATCH(C$1,[2]quests!$1:$1,0)-MATCH($B$1,[2]quests!$1:$1,0)+1),MATCH(C$1,[2]quests!$1:$1,0)-MATCH($B$1,[2]quests!$1:$1,0)+1,FALSE)</f>
        <v>兄左</v>
      </c>
      <c r="D86" s="251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2">
        <v>2</v>
      </c>
      <c r="F86" s="251" t="str">
        <f ca="1">VLOOKUP($B86&amp;"_"&amp;$E86,OFFSET([2]stages!$A$1,0,0,COUNTA([2]stages!$A:$A),MATCH(F$1,[2]stages!$2:$2,0)-MATCH("temp_stage",[2]stages!$2:$2,0)+1),MATCH(F$1,[2]stages!$2:$2,0)-MATCH("temp_stage",[2]stages!$2:$2,0)+1,FALSE)</f>
        <v>【中級】兄左</v>
      </c>
      <c r="G86" s="251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</v>
      </c>
      <c r="H86" s="252">
        <v>0</v>
      </c>
      <c r="I86" s="87">
        <f t="shared" si="0"/>
        <v>85</v>
      </c>
      <c r="J86" s="84" t="str">
        <f t="shared" si="7"/>
        <v>3901385</v>
      </c>
      <c r="K86" s="220" t="s">
        <v>127</v>
      </c>
      <c r="L86" s="221" t="s">
        <v>489</v>
      </c>
      <c r="M86" s="222" t="s">
        <v>490</v>
      </c>
      <c r="N86" s="223" t="s">
        <v>462</v>
      </c>
      <c r="O86" s="223">
        <v>1563</v>
      </c>
      <c r="P86" s="175" t="str">
        <f t="shared" si="8"/>
        <v>１２３４５６７８９０１２３４５６７８９０相手の力量を見誤ると大怪我するよ。_x000D_気をつけるんだ！</v>
      </c>
      <c r="Q86" s="176">
        <f t="shared" si="9"/>
        <v>26</v>
      </c>
    </row>
    <row r="87" spans="1:17" ht="46" x14ac:dyDescent="0.2">
      <c r="A87" s="79" t="s">
        <v>419</v>
      </c>
      <c r="B87" s="80">
        <f>floors!$C$2</f>
        <v>39013</v>
      </c>
      <c r="C87" s="251" t="str">
        <f ca="1">VLOOKUP($B87,OFFSET([2]quests!$A$1,0,0,COUNTA([2]quests!$A:$A),MATCH(C$1,[2]quests!$1:$1,0)-MATCH($B$1,[2]quests!$1:$1,0)+1),MATCH(C$1,[2]quests!$1:$1,0)-MATCH($B$1,[2]quests!$1:$1,0)+1,FALSE)</f>
        <v>兄左</v>
      </c>
      <c r="D87" s="251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2">
        <v>2</v>
      </c>
      <c r="F87" s="251" t="str">
        <f ca="1">VLOOKUP($B87&amp;"_"&amp;$E87,OFFSET([2]stages!$A$1,0,0,COUNTA([2]stages!$A:$A),MATCH(F$1,[2]stages!$2:$2,0)-MATCH("temp_stage",[2]stages!$2:$2,0)+1),MATCH(F$1,[2]stages!$2:$2,0)-MATCH("temp_stage",[2]stages!$2:$2,0)+1,FALSE)</f>
        <v>【中級】兄左</v>
      </c>
      <c r="G87" s="251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</v>
      </c>
      <c r="H87" s="252">
        <v>0</v>
      </c>
      <c r="I87" s="87">
        <f t="shared" si="0"/>
        <v>86</v>
      </c>
      <c r="J87" s="84" t="str">
        <f t="shared" si="7"/>
        <v>3901386</v>
      </c>
      <c r="K87" s="220" t="s">
        <v>127</v>
      </c>
      <c r="L87" s="221" t="s">
        <v>491</v>
      </c>
      <c r="M87" s="222" t="s">
        <v>492</v>
      </c>
      <c r="N87" s="223" t="s">
        <v>462</v>
      </c>
      <c r="O87" s="223">
        <v>1565</v>
      </c>
      <c r="P87" s="175" t="str">
        <f t="shared" si="8"/>
        <v>１２３４５６７８９０１２３４５６７８９０勝利者はいつもこの俺！ジョー東様よ！_x000D_そこんとこ勘違いしちゃいけねーぜ！</v>
      </c>
      <c r="Q87" s="176">
        <f t="shared" si="9"/>
        <v>36</v>
      </c>
    </row>
    <row r="88" spans="1:17" ht="46" x14ac:dyDescent="0.2">
      <c r="A88" s="79" t="s">
        <v>419</v>
      </c>
      <c r="B88" s="80">
        <f>floors!$C$2</f>
        <v>39013</v>
      </c>
      <c r="C88" s="251" t="str">
        <f ca="1">VLOOKUP($B88,OFFSET([2]quests!$A$1,0,0,COUNTA([2]quests!$A:$A),MATCH(C$1,[2]quests!$1:$1,0)-MATCH($B$1,[2]quests!$1:$1,0)+1),MATCH(C$1,[2]quests!$1:$1,0)-MATCH($B$1,[2]quests!$1:$1,0)+1,FALSE)</f>
        <v>兄左</v>
      </c>
      <c r="D88" s="251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2">
        <v>2</v>
      </c>
      <c r="F88" s="251" t="str">
        <f ca="1">VLOOKUP($B88&amp;"_"&amp;$E88,OFFSET([2]stages!$A$1,0,0,COUNTA([2]stages!$A:$A),MATCH(F$1,[2]stages!$2:$2,0)-MATCH("temp_stage",[2]stages!$2:$2,0)+1),MATCH(F$1,[2]stages!$2:$2,0)-MATCH("temp_stage",[2]stages!$2:$2,0)+1,FALSE)</f>
        <v>【中級】兄左</v>
      </c>
      <c r="G88" s="251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</v>
      </c>
      <c r="H88" s="252">
        <v>0</v>
      </c>
      <c r="I88" s="87">
        <f t="shared" si="0"/>
        <v>87</v>
      </c>
      <c r="J88" s="84" t="str">
        <f t="shared" si="7"/>
        <v>3901387</v>
      </c>
      <c r="K88" s="220" t="s">
        <v>127</v>
      </c>
      <c r="L88" s="221" t="s">
        <v>493</v>
      </c>
      <c r="M88" s="222" t="s">
        <v>494</v>
      </c>
      <c r="N88" s="223" t="s">
        <v>462</v>
      </c>
      <c r="O88" s="223">
        <v>1571</v>
      </c>
      <c r="P88" s="175" t="str">
        <f t="shared" si="8"/>
        <v>１２３４５６７８９０１２３４５６７８９０失せろ！キサマ等にくれてやるのは_x000D_痛み、苦しみという名の慈悲だけだ！！！</v>
      </c>
      <c r="Q88" s="176">
        <f t="shared" si="9"/>
        <v>36</v>
      </c>
    </row>
    <row r="89" spans="1:17" ht="46" x14ac:dyDescent="0.2">
      <c r="A89" s="79" t="s">
        <v>419</v>
      </c>
      <c r="B89" s="80">
        <f>floors!$C$2</f>
        <v>39013</v>
      </c>
      <c r="C89" s="251" t="str">
        <f ca="1">VLOOKUP($B89,OFFSET([2]quests!$A$1,0,0,COUNTA([2]quests!$A:$A),MATCH(C$1,[2]quests!$1:$1,0)-MATCH($B$1,[2]quests!$1:$1,0)+1),MATCH(C$1,[2]quests!$1:$1,0)-MATCH($B$1,[2]quests!$1:$1,0)+1,FALSE)</f>
        <v>兄左</v>
      </c>
      <c r="D89" s="251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2">
        <v>2</v>
      </c>
      <c r="F89" s="251" t="str">
        <f ca="1">VLOOKUP($B89&amp;"_"&amp;$E89,OFFSET([2]stages!$A$1,0,0,COUNTA([2]stages!$A:$A),MATCH(F$1,[2]stages!$2:$2,0)-MATCH("temp_stage",[2]stages!$2:$2,0)+1),MATCH(F$1,[2]stages!$2:$2,0)-MATCH("temp_stage",[2]stages!$2:$2,0)+1,FALSE)</f>
        <v>【中級】兄左</v>
      </c>
      <c r="G89" s="251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</v>
      </c>
      <c r="H89" s="252">
        <v>0</v>
      </c>
      <c r="I89" s="87">
        <f t="shared" si="0"/>
        <v>88</v>
      </c>
      <c r="J89" s="84" t="str">
        <f t="shared" si="7"/>
        <v>3901388</v>
      </c>
      <c r="K89" s="220" t="s">
        <v>127</v>
      </c>
      <c r="L89" s="221" t="s">
        <v>495</v>
      </c>
      <c r="M89" s="222" t="s">
        <v>496</v>
      </c>
      <c r="N89" s="223" t="s">
        <v>462</v>
      </c>
      <c r="O89" s="223">
        <v>1573</v>
      </c>
      <c r="P89" s="175" t="str">
        <f t="shared" si="8"/>
        <v>１２３４５６７８９０１２３４５６７８９０意識が無くなるまでしばらくあるよ。_x000D_好きな歌でも口ずさんで待つんだね</v>
      </c>
      <c r="Q89" s="176">
        <f t="shared" si="9"/>
        <v>34</v>
      </c>
    </row>
    <row r="90" spans="1:17" ht="31" x14ac:dyDescent="0.2">
      <c r="A90" s="79" t="s">
        <v>419</v>
      </c>
      <c r="B90" s="80">
        <f>floors!$C$2</f>
        <v>39013</v>
      </c>
      <c r="C90" s="251" t="str">
        <f ca="1">VLOOKUP($B90,OFFSET([2]quests!$A$1,0,0,COUNTA([2]quests!$A:$A),MATCH(C$1,[2]quests!$1:$1,0)-MATCH($B$1,[2]quests!$1:$1,0)+1),MATCH(C$1,[2]quests!$1:$1,0)-MATCH($B$1,[2]quests!$1:$1,0)+1,FALSE)</f>
        <v>兄左</v>
      </c>
      <c r="D90" s="251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2">
        <v>2</v>
      </c>
      <c r="F90" s="251" t="str">
        <f ca="1">VLOOKUP($B90&amp;"_"&amp;$E90,OFFSET([2]stages!$A$1,0,0,COUNTA([2]stages!$A:$A),MATCH(F$1,[2]stages!$2:$2,0)-MATCH("temp_stage",[2]stages!$2:$2,0)+1),MATCH(F$1,[2]stages!$2:$2,0)-MATCH("temp_stage",[2]stages!$2:$2,0)+1,FALSE)</f>
        <v>【中級】兄左</v>
      </c>
      <c r="G90" s="251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</v>
      </c>
      <c r="H90" s="252">
        <v>0</v>
      </c>
      <c r="I90" s="87">
        <f t="shared" si="0"/>
        <v>89</v>
      </c>
      <c r="J90" s="84" t="str">
        <f t="shared" si="7"/>
        <v>3901389</v>
      </c>
      <c r="K90" s="220" t="s">
        <v>127</v>
      </c>
      <c r="L90" s="221" t="s">
        <v>497</v>
      </c>
      <c r="M90" s="222" t="s">
        <v>498</v>
      </c>
      <c r="N90" s="223" t="s">
        <v>462</v>
      </c>
      <c r="O90" s="223">
        <v>1574</v>
      </c>
      <c r="P90" s="175" t="str">
        <f t="shared" si="8"/>
        <v>１２３４５６７８９０１２３４５６７８９０おやすみなさい。百万回のごきげんよう…</v>
      </c>
      <c r="Q90" s="176">
        <f t="shared" si="9"/>
        <v>19</v>
      </c>
    </row>
    <row r="91" spans="1:17" ht="61" x14ac:dyDescent="0.2">
      <c r="A91" s="79" t="s">
        <v>419</v>
      </c>
      <c r="B91" s="80">
        <f>floors!$C$2</f>
        <v>39013</v>
      </c>
      <c r="C91" s="251" t="str">
        <f ca="1">VLOOKUP($B91,OFFSET([2]quests!$A$1,0,0,COUNTA([2]quests!$A:$A),MATCH(C$1,[2]quests!$1:$1,0)-MATCH($B$1,[2]quests!$1:$1,0)+1),MATCH(C$1,[2]quests!$1:$1,0)-MATCH($B$1,[2]quests!$1:$1,0)+1,FALSE)</f>
        <v>兄左</v>
      </c>
      <c r="D91" s="251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2">
        <v>2</v>
      </c>
      <c r="F91" s="251" t="str">
        <f ca="1">VLOOKUP($B91&amp;"_"&amp;$E91,OFFSET([2]stages!$A$1,0,0,COUNTA([2]stages!$A:$A),MATCH(F$1,[2]stages!$2:$2,0)-MATCH("temp_stage",[2]stages!$2:$2,0)+1),MATCH(F$1,[2]stages!$2:$2,0)-MATCH("temp_stage",[2]stages!$2:$2,0)+1,FALSE)</f>
        <v>【中級】兄左</v>
      </c>
      <c r="G91" s="251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</v>
      </c>
      <c r="H91" s="252">
        <v>0</v>
      </c>
      <c r="I91" s="87">
        <f t="shared" si="0"/>
        <v>90</v>
      </c>
      <c r="J91" s="84" t="str">
        <f t="shared" si="7"/>
        <v>3901390</v>
      </c>
      <c r="K91" s="220" t="s">
        <v>127</v>
      </c>
      <c r="L91" s="221" t="s">
        <v>499</v>
      </c>
      <c r="M91" s="222" t="s">
        <v>500</v>
      </c>
      <c r="N91" s="223" t="s">
        <v>462</v>
      </c>
      <c r="O91" s="223">
        <v>1575</v>
      </c>
      <c r="P91" s="175" t="str">
        <f t="shared" si="8"/>
        <v>１２３４５６７８９０１２３４５６７８９０いい試合でした。_x000D_私もつい本気になってしまったようです！_x000D_ハッハッハ！！</v>
      </c>
      <c r="Q91" s="176">
        <f t="shared" si="9"/>
        <v>36</v>
      </c>
    </row>
    <row r="92" spans="1:17" ht="46" x14ac:dyDescent="0.2">
      <c r="A92" s="79" t="s">
        <v>419</v>
      </c>
      <c r="B92" s="80">
        <f>floors!$C$2</f>
        <v>39013</v>
      </c>
      <c r="C92" s="251" t="str">
        <f ca="1">VLOOKUP($B92,OFFSET([2]quests!$A$1,0,0,COUNTA([2]quests!$A:$A),MATCH(C$1,[2]quests!$1:$1,0)-MATCH($B$1,[2]quests!$1:$1,0)+1),MATCH(C$1,[2]quests!$1:$1,0)-MATCH($B$1,[2]quests!$1:$1,0)+1,FALSE)</f>
        <v>兄左</v>
      </c>
      <c r="D92" s="251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2">
        <v>2</v>
      </c>
      <c r="F92" s="251" t="str">
        <f ca="1">VLOOKUP($B92&amp;"_"&amp;$E92,OFFSET([2]stages!$A$1,0,0,COUNTA([2]stages!$A:$A),MATCH(F$1,[2]stages!$2:$2,0)-MATCH("temp_stage",[2]stages!$2:$2,0)+1),MATCH(F$1,[2]stages!$2:$2,0)-MATCH("temp_stage",[2]stages!$2:$2,0)+1,FALSE)</f>
        <v>【中級】兄左</v>
      </c>
      <c r="G92" s="251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</v>
      </c>
      <c r="H92" s="252">
        <v>0</v>
      </c>
      <c r="I92" s="87">
        <f t="shared" si="0"/>
        <v>91</v>
      </c>
      <c r="J92" s="84" t="str">
        <f t="shared" si="7"/>
        <v>3901391</v>
      </c>
      <c r="K92" s="220" t="s">
        <v>127</v>
      </c>
      <c r="L92" s="221" t="s">
        <v>501</v>
      </c>
      <c r="M92" s="222" t="s">
        <v>502</v>
      </c>
      <c r="N92" s="223" t="s">
        <v>462</v>
      </c>
      <c r="O92" s="223">
        <v>1577</v>
      </c>
      <c r="P92" s="175" t="str">
        <f t="shared" si="8"/>
        <v>１２３４５６７８９０１２３４５６７８９０ってゆっかー、じぶんらよわすぎぃー、_x000D_みたいなぁーでヤンスぅー</v>
      </c>
      <c r="Q92" s="176">
        <f t="shared" si="9"/>
        <v>31</v>
      </c>
    </row>
    <row r="93" spans="1:17" ht="61" x14ac:dyDescent="0.2">
      <c r="A93" s="79" t="s">
        <v>419</v>
      </c>
      <c r="B93" s="80">
        <f>floors!$C$2</f>
        <v>39013</v>
      </c>
      <c r="C93" s="251" t="str">
        <f ca="1">VLOOKUP($B93,OFFSET([2]quests!$A$1,0,0,COUNTA([2]quests!$A:$A),MATCH(C$1,[2]quests!$1:$1,0)-MATCH($B$1,[2]quests!$1:$1,0)+1),MATCH(C$1,[2]quests!$1:$1,0)-MATCH($B$1,[2]quests!$1:$1,0)+1,FALSE)</f>
        <v>兄左</v>
      </c>
      <c r="D93" s="251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2">
        <v>2</v>
      </c>
      <c r="F93" s="251" t="str">
        <f ca="1">VLOOKUP($B93&amp;"_"&amp;$E93,OFFSET([2]stages!$A$1,0,0,COUNTA([2]stages!$A:$A),MATCH(F$1,[2]stages!$2:$2,0)-MATCH("temp_stage",[2]stages!$2:$2,0)+1),MATCH(F$1,[2]stages!$2:$2,0)-MATCH("temp_stage",[2]stages!$2:$2,0)+1,FALSE)</f>
        <v>【中級】兄左</v>
      </c>
      <c r="G93" s="251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</v>
      </c>
      <c r="H93" s="252">
        <v>0</v>
      </c>
      <c r="I93" s="87">
        <f t="shared" si="0"/>
        <v>92</v>
      </c>
      <c r="J93" s="84" t="str">
        <f t="shared" si="7"/>
        <v>3901392</v>
      </c>
      <c r="K93" s="220" t="s">
        <v>127</v>
      </c>
      <c r="L93" s="221" t="s">
        <v>503</v>
      </c>
      <c r="M93" s="222" t="s">
        <v>504</v>
      </c>
      <c r="N93" s="223" t="s">
        <v>462</v>
      </c>
      <c r="O93" s="223">
        <v>1578</v>
      </c>
      <c r="P93" s="175" t="str">
        <f t="shared" si="8"/>
        <v>１２３４５６７８９０１２３４５６７８９０なんでぇ。_x000D_もう、オレのオモチャが壊れちまったぜ！！_x000D_面白くねえな！</v>
      </c>
      <c r="Q93" s="176">
        <f t="shared" si="9"/>
        <v>34</v>
      </c>
    </row>
    <row r="94" spans="1:17" ht="46" x14ac:dyDescent="0.2">
      <c r="A94" s="79" t="s">
        <v>419</v>
      </c>
      <c r="B94" s="80">
        <f>floors!$C$2</f>
        <v>39013</v>
      </c>
      <c r="C94" s="251" t="str">
        <f ca="1">VLOOKUP($B94,OFFSET([2]quests!$A$1,0,0,COUNTA([2]quests!$A:$A),MATCH(C$1,[2]quests!$1:$1,0)-MATCH($B$1,[2]quests!$1:$1,0)+1),MATCH(C$1,[2]quests!$1:$1,0)-MATCH($B$1,[2]quests!$1:$1,0)+1,FALSE)</f>
        <v>兄左</v>
      </c>
      <c r="D94" s="251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2">
        <v>2</v>
      </c>
      <c r="F94" s="251" t="str">
        <f ca="1">VLOOKUP($B94&amp;"_"&amp;$E94,OFFSET([2]stages!$A$1,0,0,COUNTA([2]stages!$A:$A),MATCH(F$1,[2]stages!$2:$2,0)-MATCH("temp_stage",[2]stages!$2:$2,0)+1),MATCH(F$1,[2]stages!$2:$2,0)-MATCH("temp_stage",[2]stages!$2:$2,0)+1,FALSE)</f>
        <v>【中級】兄左</v>
      </c>
      <c r="G94" s="251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</v>
      </c>
      <c r="H94" s="252">
        <v>0</v>
      </c>
      <c r="I94" s="87">
        <f t="shared" si="0"/>
        <v>93</v>
      </c>
      <c r="J94" s="84" t="str">
        <f t="shared" si="7"/>
        <v>3901393</v>
      </c>
      <c r="K94" s="220" t="s">
        <v>127</v>
      </c>
      <c r="L94" s="221" t="s">
        <v>505</v>
      </c>
      <c r="M94" s="222" t="s">
        <v>506</v>
      </c>
      <c r="N94" s="223" t="s">
        <v>462</v>
      </c>
      <c r="O94" s="223">
        <v>1584</v>
      </c>
      <c r="P94" s="175" t="str">
        <f t="shared" si="8"/>
        <v>１２３４５６７８９０１２３４５６７８９０いちいちシャクに触る野郎だなぁ！_x000D_沈めるぞ！！</v>
      </c>
      <c r="Q94" s="176">
        <f t="shared" si="9"/>
        <v>23</v>
      </c>
    </row>
    <row r="95" spans="1:17" ht="61" x14ac:dyDescent="0.2">
      <c r="A95" s="79" t="s">
        <v>198</v>
      </c>
      <c r="B95" s="80">
        <f>floors!$C$2</f>
        <v>39013</v>
      </c>
      <c r="C95" s="251" t="str">
        <f ca="1">VLOOKUP($B95,OFFSET([2]quests!$A$1,0,0,COUNTA([2]quests!$A:$A),MATCH(C$1,[2]quests!$1:$1,0)-MATCH($B$1,[2]quests!$1:$1,0)+1),MATCH(C$1,[2]quests!$1:$1,0)-MATCH($B$1,[2]quests!$1:$1,0)+1,FALSE)</f>
        <v>兄左</v>
      </c>
      <c r="D95" s="251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2">
        <v>1</v>
      </c>
      <c r="F95" s="251" t="str">
        <f ca="1">VLOOKUP($B95&amp;"_"&amp;$E95,OFFSET([2]stages!$A$1,0,0,COUNTA([2]stages!$A:$A),MATCH(F$1,[2]stages!$2:$2,0)-MATCH("temp_stage",[2]stages!$2:$2,0)+1),MATCH(F$1,[2]stages!$2:$2,0)-MATCH("temp_stage",[2]stages!$2:$2,0)+1,FALSE)</f>
        <v>【初級】兄左</v>
      </c>
      <c r="G95" s="251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</v>
      </c>
      <c r="H95" s="252">
        <v>1</v>
      </c>
      <c r="I95" s="87">
        <f t="shared" si="0"/>
        <v>94</v>
      </c>
      <c r="J95" s="84" t="str">
        <f t="shared" si="7"/>
        <v>3901394</v>
      </c>
      <c r="K95" s="217" t="s">
        <v>127</v>
      </c>
      <c r="L95" s="218" t="s">
        <v>446</v>
      </c>
      <c r="M95" s="208" t="s">
        <v>507</v>
      </c>
      <c r="N95" s="219" t="s">
        <v>200</v>
      </c>
      <c r="O95" s="219" t="s">
        <v>462</v>
      </c>
      <c r="P95" s="175" t="str">
        <f t="shared" si="8"/>
        <v>１２３４５６７８９０１２３４５６７８９０アンダーグラウンドのエネミーたちは_x000D_連携すると強力です_x000D_強い敵を見極めて１体ずつ倒しましょう</v>
      </c>
      <c r="Q95" s="232">
        <f t="shared" si="9"/>
        <v>46</v>
      </c>
    </row>
    <row r="96" spans="1:17" ht="76" x14ac:dyDescent="0.2">
      <c r="A96" s="79" t="s">
        <v>198</v>
      </c>
      <c r="B96" s="80">
        <f>floors!$C$2</f>
        <v>39013</v>
      </c>
      <c r="C96" s="251" t="str">
        <f ca="1">VLOOKUP($B96,OFFSET([2]quests!$A$1,0,0,COUNTA([2]quests!$A:$A),MATCH(C$1,[2]quests!$1:$1,0)-MATCH($B$1,[2]quests!$1:$1,0)+1),MATCH(C$1,[2]quests!$1:$1,0)-MATCH($B$1,[2]quests!$1:$1,0)+1,FALSE)</f>
        <v>兄左</v>
      </c>
      <c r="D96" s="251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2">
        <v>1</v>
      </c>
      <c r="F96" s="251" t="str">
        <f ca="1">VLOOKUP($B96&amp;"_"&amp;$E96,OFFSET([2]stages!$A$1,0,0,COUNTA([2]stages!$A:$A),MATCH(F$1,[2]stages!$2:$2,0)-MATCH("temp_stage",[2]stages!$2:$2,0)+1),MATCH(F$1,[2]stages!$2:$2,0)-MATCH("temp_stage",[2]stages!$2:$2,0)+1,FALSE)</f>
        <v>【初級】兄左</v>
      </c>
      <c r="G96" s="251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</v>
      </c>
      <c r="H96" s="252">
        <v>2</v>
      </c>
      <c r="I96" s="87">
        <f t="shared" si="0"/>
        <v>95</v>
      </c>
      <c r="J96" s="84" t="str">
        <f t="shared" si="7"/>
        <v>3901395</v>
      </c>
      <c r="K96" s="213" t="s">
        <v>127</v>
      </c>
      <c r="L96" s="214" t="s">
        <v>446</v>
      </c>
      <c r="M96" s="215" t="s">
        <v>508</v>
      </c>
      <c r="N96" s="216" t="s">
        <v>200</v>
      </c>
      <c r="O96" s="216" t="s">
        <v>462</v>
      </c>
      <c r="P96" s="175" t="str">
        <f t="shared" si="8"/>
        <v>１２３４５６７８９０１２３４５６７８９０敵のカウンター攻撃に対しては_x000D_ハートパネルだけを割ったり_x000D_スキルやフィーバーで倒しきると_x000D_反撃によるダメージを避けられます</v>
      </c>
      <c r="Q96" s="176">
        <f t="shared" si="9"/>
        <v>61</v>
      </c>
    </row>
    <row r="97" spans="1:17" ht="91" x14ac:dyDescent="0.2">
      <c r="A97" s="79" t="s">
        <v>198</v>
      </c>
      <c r="B97" s="80">
        <f>floors!$C$2</f>
        <v>39013</v>
      </c>
      <c r="C97" s="251" t="str">
        <f ca="1">VLOOKUP($B97,OFFSET([2]quests!$A$1,0,0,COUNTA([2]quests!$A:$A),MATCH(C$1,[2]quests!$1:$1,0)-MATCH($B$1,[2]quests!$1:$1,0)+1),MATCH(C$1,[2]quests!$1:$1,0)-MATCH($B$1,[2]quests!$1:$1,0)+1,FALSE)</f>
        <v>兄左</v>
      </c>
      <c r="D97" s="251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2">
        <v>1</v>
      </c>
      <c r="F97" s="251" t="str">
        <f ca="1">VLOOKUP($B97&amp;"_"&amp;$E97,OFFSET([2]stages!$A$1,0,0,COUNTA([2]stages!$A:$A),MATCH(F$1,[2]stages!$2:$2,0)-MATCH("temp_stage",[2]stages!$2:$2,0)+1),MATCH(F$1,[2]stages!$2:$2,0)-MATCH("temp_stage",[2]stages!$2:$2,0)+1,FALSE)</f>
        <v>【初級】兄左</v>
      </c>
      <c r="G97" s="251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</v>
      </c>
      <c r="H97" s="252">
        <v>2</v>
      </c>
      <c r="I97" s="87">
        <f t="shared" si="0"/>
        <v>96</v>
      </c>
      <c r="J97" s="84" t="str">
        <f t="shared" si="7"/>
        <v>3901396</v>
      </c>
      <c r="K97" s="213" t="s">
        <v>127</v>
      </c>
      <c r="L97" s="214" t="s">
        <v>446</v>
      </c>
      <c r="M97" s="215" t="s">
        <v>509</v>
      </c>
      <c r="N97" s="216" t="s">
        <v>200</v>
      </c>
      <c r="O97" s="216" t="s">
        <v>462</v>
      </c>
      <c r="P97" s="175" t="str">
        <f t="shared" si="8"/>
        <v>１２３４５６７８９０１２３４５６７８９０山崎はＨＰが減るほど_x000D_単体攻撃の威力が上がり危険になります_x000D_タイミングを見極めてフィーバーやスキルで_x000D_一気に押し切りましょう</v>
      </c>
      <c r="Q97" s="176">
        <f t="shared" si="9"/>
        <v>62</v>
      </c>
    </row>
    <row r="98" spans="1:17" ht="76" x14ac:dyDescent="0.2">
      <c r="A98" s="79" t="s">
        <v>198</v>
      </c>
      <c r="B98" s="80">
        <f>floors!$C$2</f>
        <v>39013</v>
      </c>
      <c r="C98" s="251" t="str">
        <f ca="1">VLOOKUP($B98,OFFSET([2]quests!$A$1,0,0,COUNTA([2]quests!$A:$A),MATCH(C$1,[2]quests!$1:$1,0)-MATCH($B$1,[2]quests!$1:$1,0)+1),MATCH(C$1,[2]quests!$1:$1,0)-MATCH($B$1,[2]quests!$1:$1,0)+1,FALSE)</f>
        <v>兄左</v>
      </c>
      <c r="D98" s="251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2">
        <v>1</v>
      </c>
      <c r="F98" s="251" t="str">
        <f ca="1">VLOOKUP($B98&amp;"_"&amp;$E98,OFFSET([2]stages!$A$1,0,0,COUNTA([2]stages!$A:$A),MATCH(F$1,[2]stages!$2:$2,0)-MATCH("temp_stage",[2]stages!$2:$2,0)+1),MATCH(F$1,[2]stages!$2:$2,0)-MATCH("temp_stage",[2]stages!$2:$2,0)+1,FALSE)</f>
        <v>【初級】兄左</v>
      </c>
      <c r="G98" s="251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</v>
      </c>
      <c r="H98" s="252">
        <v>3</v>
      </c>
      <c r="I98" s="87">
        <f t="shared" si="0"/>
        <v>97</v>
      </c>
      <c r="J98" s="84" t="str">
        <f t="shared" si="7"/>
        <v>3901397</v>
      </c>
      <c r="K98" s="209" t="s">
        <v>127</v>
      </c>
      <c r="L98" s="210" t="s">
        <v>446</v>
      </c>
      <c r="M98" s="211" t="s">
        <v>510</v>
      </c>
      <c r="N98" s="212" t="s">
        <v>200</v>
      </c>
      <c r="O98" s="212" t="s">
        <v>462</v>
      </c>
      <c r="P98" s="175" t="str">
        <f t="shared" si="8"/>
        <v>１２３４５６７８９０１２３４５６７８９０パネルを青と赤に分断された後には_x000D_どちらかを吸収する超必殺技がきます_x000D_それを読みうまく消せると_x000D_反撃のチャンスです</v>
      </c>
      <c r="Q98" s="176">
        <f t="shared" si="9"/>
        <v>57</v>
      </c>
    </row>
    <row r="99" spans="1:17" ht="76" x14ac:dyDescent="0.2">
      <c r="A99" s="79" t="s">
        <v>198</v>
      </c>
      <c r="B99" s="80">
        <f>floors!$C$2</f>
        <v>39013</v>
      </c>
      <c r="C99" s="251" t="str">
        <f ca="1">VLOOKUP($B99,OFFSET([2]quests!$A$1,0,0,COUNTA([2]quests!$A:$A),MATCH(C$1,[2]quests!$1:$1,0)-MATCH($B$1,[2]quests!$1:$1,0)+1),MATCH(C$1,[2]quests!$1:$1,0)-MATCH($B$1,[2]quests!$1:$1,0)+1,FALSE)</f>
        <v>兄左</v>
      </c>
      <c r="D99" s="251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2">
        <v>1</v>
      </c>
      <c r="F99" s="251" t="str">
        <f ca="1">VLOOKUP($B99&amp;"_"&amp;$E99,OFFSET([2]stages!$A$1,0,0,COUNTA([2]stages!$A:$A),MATCH(F$1,[2]stages!$2:$2,0)-MATCH("temp_stage",[2]stages!$2:$2,0)+1),MATCH(F$1,[2]stages!$2:$2,0)-MATCH("temp_stage",[2]stages!$2:$2,0)+1,FALSE)</f>
        <v>【初級】兄左</v>
      </c>
      <c r="G99" s="251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</v>
      </c>
      <c r="H99" s="252">
        <v>3</v>
      </c>
      <c r="I99" s="87">
        <f t="shared" si="0"/>
        <v>98</v>
      </c>
      <c r="J99" s="84" t="str">
        <f t="shared" si="7"/>
        <v>3901398</v>
      </c>
      <c r="K99" s="209" t="s">
        <v>127</v>
      </c>
      <c r="L99" s="210" t="s">
        <v>446</v>
      </c>
      <c r="M99" s="211" t="s">
        <v>511</v>
      </c>
      <c r="N99" s="212" t="s">
        <v>200</v>
      </c>
      <c r="O99" s="212" t="s">
        <v>462</v>
      </c>
      <c r="P99" s="175" t="str">
        <f t="shared" si="8"/>
        <v>１２３４５６７８９０１２３４５６７８９０青か赤のパネルを吸収する超必殺技は_x000D_受けてしまうと大ダメージになります_x000D_ピンチの時にはフィーバーを使って_x000D_避けてしまいましょう</v>
      </c>
      <c r="Q99" s="176">
        <f t="shared" si="9"/>
        <v>63</v>
      </c>
    </row>
    <row r="100" spans="1:17" ht="76" x14ac:dyDescent="0.2">
      <c r="A100" s="79" t="s">
        <v>198</v>
      </c>
      <c r="B100" s="80">
        <f>floors!$C$2</f>
        <v>39013</v>
      </c>
      <c r="C100" s="251" t="str">
        <f ca="1">VLOOKUP($B100,OFFSET([2]quests!$A$1,0,0,COUNTA([2]quests!$A:$A),MATCH(C$1,[2]quests!$1:$1,0)-MATCH($B$1,[2]quests!$1:$1,0)+1),MATCH(C$1,[2]quests!$1:$1,0)-MATCH($B$1,[2]quests!$1:$1,0)+1,FALSE)</f>
        <v>兄左</v>
      </c>
      <c r="D100" s="251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2">
        <v>1</v>
      </c>
      <c r="F100" s="251" t="str">
        <f ca="1">VLOOKUP($B100&amp;"_"&amp;$E100,OFFSET([2]stages!$A$1,0,0,COUNTA([2]stages!$A:$A),MATCH(F$1,[2]stages!$2:$2,0)-MATCH("temp_stage",[2]stages!$2:$2,0)+1),MATCH(F$1,[2]stages!$2:$2,0)-MATCH("temp_stage",[2]stages!$2:$2,0)+1,FALSE)</f>
        <v>【初級】兄左</v>
      </c>
      <c r="G100" s="251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</v>
      </c>
      <c r="H100" s="252">
        <v>3</v>
      </c>
      <c r="I100" s="87">
        <f t="shared" si="0"/>
        <v>99</v>
      </c>
      <c r="J100" s="84" t="str">
        <f t="shared" si="7"/>
        <v>3901399</v>
      </c>
      <c r="K100" s="209" t="s">
        <v>127</v>
      </c>
      <c r="L100" s="210" t="s">
        <v>446</v>
      </c>
      <c r="M100" s="211" t="s">
        <v>512</v>
      </c>
      <c r="N100" s="212" t="s">
        <v>200</v>
      </c>
      <c r="O100" s="212" t="s">
        <v>462</v>
      </c>
      <c r="P100" s="175" t="str">
        <f t="shared" si="8"/>
        <v>１２３４５６７８９０１２３４５６７８９０山崎が２ゲージ目に使用する_x000D_ウィルス攻撃は強力です_x000D_解除するスキルを準備して挑むと_x000D_安心して戦えます</v>
      </c>
      <c r="Q100" s="176">
        <f t="shared" si="9"/>
        <v>50</v>
      </c>
    </row>
    <row r="101" spans="1:17" ht="46" x14ac:dyDescent="0.2">
      <c r="A101" s="79" t="s">
        <v>419</v>
      </c>
      <c r="B101" s="80">
        <f>floors!$C$2</f>
        <v>39013</v>
      </c>
      <c r="C101" s="251" t="str">
        <f ca="1">VLOOKUP($B101,OFFSET([2]quests!$A$1,0,0,COUNTA([2]quests!$A:$A),MATCH(C$1,[2]quests!$1:$1,0)-MATCH($B$1,[2]quests!$1:$1,0)+1),MATCH(C$1,[2]quests!$1:$1,0)-MATCH($B$1,[2]quests!$1:$1,0)+1,FALSE)</f>
        <v>兄左</v>
      </c>
      <c r="D101" s="251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2">
        <v>1</v>
      </c>
      <c r="F101" s="251" t="str">
        <f ca="1">VLOOKUP($B101&amp;"_"&amp;$E101,OFFSET([2]stages!$A$1,0,0,COUNTA([2]stages!$A:$A),MATCH(F$1,[2]stages!$2:$2,0)-MATCH("temp_stage",[2]stages!$2:$2,0)+1),MATCH(F$1,[2]stages!$2:$2,0)-MATCH("temp_stage",[2]stages!$2:$2,0)+1,FALSE)</f>
        <v>【初級】兄左</v>
      </c>
      <c r="G101" s="251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</v>
      </c>
      <c r="H101" s="252">
        <v>0</v>
      </c>
      <c r="I101" s="87">
        <f t="shared" si="0"/>
        <v>100</v>
      </c>
      <c r="J101" s="84" t="str">
        <f t="shared" si="7"/>
        <v>39013100</v>
      </c>
      <c r="K101" s="220" t="s">
        <v>127</v>
      </c>
      <c r="L101" s="221" t="s">
        <v>447</v>
      </c>
      <c r="M101" s="222" t="s">
        <v>513</v>
      </c>
      <c r="N101" s="223" t="s">
        <v>200</v>
      </c>
      <c r="O101" s="223" t="s">
        <v>462</v>
      </c>
      <c r="P101" s="175" t="str">
        <f t="shared" si="8"/>
        <v>１２３４５６７８９０１２３４５６７８９０大会に乗り込んだ山崎は_x000D_大会賞金の奪取を計画していたようです</v>
      </c>
      <c r="Q101" s="176">
        <f t="shared" si="9"/>
        <v>30</v>
      </c>
    </row>
    <row r="102" spans="1:17" ht="76" x14ac:dyDescent="0.2">
      <c r="A102" s="79" t="s">
        <v>419</v>
      </c>
      <c r="B102" s="80">
        <f>floors!$C$2</f>
        <v>39013</v>
      </c>
      <c r="C102" s="251" t="str">
        <f ca="1">VLOOKUP($B102,OFFSET([2]quests!$A$1,0,0,COUNTA([2]quests!$A:$A),MATCH(C$1,[2]quests!$1:$1,0)-MATCH($B$1,[2]quests!$1:$1,0)+1),MATCH(C$1,[2]quests!$1:$1,0)-MATCH($B$1,[2]quests!$1:$1,0)+1,FALSE)</f>
        <v>兄左</v>
      </c>
      <c r="D102" s="251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2">
        <v>1</v>
      </c>
      <c r="F102" s="251" t="str">
        <f ca="1">VLOOKUP($B102&amp;"_"&amp;$E102,OFFSET([2]stages!$A$1,0,0,COUNTA([2]stages!$A:$A),MATCH(F$1,[2]stages!$2:$2,0)-MATCH("temp_stage",[2]stages!$2:$2,0)+1),MATCH(F$1,[2]stages!$2:$2,0)-MATCH("temp_stage",[2]stages!$2:$2,0)+1,FALSE)</f>
        <v>【初級】兄左</v>
      </c>
      <c r="G102" s="251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</v>
      </c>
      <c r="H102" s="252">
        <v>0</v>
      </c>
      <c r="I102" s="87">
        <f t="shared" si="0"/>
        <v>101</v>
      </c>
      <c r="J102" s="84" t="str">
        <f t="shared" si="7"/>
        <v>39013101</v>
      </c>
      <c r="K102" s="220" t="s">
        <v>127</v>
      </c>
      <c r="L102" s="221" t="s">
        <v>448</v>
      </c>
      <c r="M102" s="222" t="s">
        <v>445</v>
      </c>
      <c r="N102" s="223" t="s">
        <v>200</v>
      </c>
      <c r="O102" s="223" t="s">
        <v>462</v>
      </c>
      <c r="P102" s="175" t="str">
        <f t="shared" si="8"/>
        <v>１２３４５６７８９０１２３４５６７８９０山崎はその凶暴性から_x000D_ＡＬＩＣＥのアンダーグラウンドでも_x000D_恐れられていました_x000D_</v>
      </c>
      <c r="Q102" s="176">
        <f t="shared" si="9"/>
        <v>39</v>
      </c>
    </row>
    <row r="103" spans="1:17" ht="76" x14ac:dyDescent="0.2">
      <c r="A103" s="79" t="s">
        <v>419</v>
      </c>
      <c r="B103" s="80">
        <f>floors!$C$2</f>
        <v>39013</v>
      </c>
      <c r="C103" s="251" t="str">
        <f ca="1">VLOOKUP($B103,OFFSET([2]quests!$A$1,0,0,COUNTA([2]quests!$A:$A),MATCH(C$1,[2]quests!$1:$1,0)-MATCH($B$1,[2]quests!$1:$1,0)+1),MATCH(C$1,[2]quests!$1:$1,0)-MATCH($B$1,[2]quests!$1:$1,0)+1,FALSE)</f>
        <v>兄左</v>
      </c>
      <c r="D103" s="251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2">
        <v>1</v>
      </c>
      <c r="F103" s="251" t="str">
        <f ca="1">VLOOKUP($B103&amp;"_"&amp;$E103,OFFSET([2]stages!$A$1,0,0,COUNTA([2]stages!$A:$A),MATCH(F$1,[2]stages!$2:$2,0)-MATCH("temp_stage",[2]stages!$2:$2,0)+1),MATCH(F$1,[2]stages!$2:$2,0)-MATCH("temp_stage",[2]stages!$2:$2,0)+1,FALSE)</f>
        <v>【初級】兄左</v>
      </c>
      <c r="G103" s="251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</v>
      </c>
      <c r="H103" s="252">
        <v>0</v>
      </c>
      <c r="I103" s="87">
        <f t="shared" si="0"/>
        <v>102</v>
      </c>
      <c r="J103" s="84" t="str">
        <f t="shared" si="7"/>
        <v>39013102</v>
      </c>
      <c r="K103" s="220" t="s">
        <v>127</v>
      </c>
      <c r="L103" s="221" t="s">
        <v>449</v>
      </c>
      <c r="M103" s="222" t="s">
        <v>514</v>
      </c>
      <c r="N103" s="223" t="s">
        <v>200</v>
      </c>
      <c r="O103" s="223" t="s">
        <v>462</v>
      </c>
      <c r="P103" s="175" t="str">
        <f t="shared" si="8"/>
        <v>１２３４５６７８９０１２３４５６７８９０ウィルスは闇マーケットで_x000D_山崎が入手したとも噂されています_x000D_真偽を確かめるために_x000D_事件を追う必要がありそうです</v>
      </c>
      <c r="Q103" s="176">
        <f t="shared" si="9"/>
        <v>55</v>
      </c>
    </row>
    <row r="104" spans="1:17" ht="46" x14ac:dyDescent="0.2">
      <c r="A104" s="79" t="s">
        <v>419</v>
      </c>
      <c r="B104" s="80">
        <f>floors!$C$2</f>
        <v>39013</v>
      </c>
      <c r="C104" s="251" t="str">
        <f ca="1">VLOOKUP($B104,OFFSET([2]quests!$A$1,0,0,COUNTA([2]quests!$A:$A),MATCH(C$1,[2]quests!$1:$1,0)-MATCH($B$1,[2]quests!$1:$1,0)+1),MATCH(C$1,[2]quests!$1:$1,0)-MATCH($B$1,[2]quests!$1:$1,0)+1,FALSE)</f>
        <v>兄左</v>
      </c>
      <c r="D104" s="251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2">
        <v>1</v>
      </c>
      <c r="F104" s="251" t="str">
        <f ca="1">VLOOKUP($B104&amp;"_"&amp;$E104,OFFSET([2]stages!$A$1,0,0,COUNTA([2]stages!$A:$A),MATCH(F$1,[2]stages!$2:$2,0)-MATCH("temp_stage",[2]stages!$2:$2,0)+1),MATCH(F$1,[2]stages!$2:$2,0)-MATCH("temp_stage",[2]stages!$2:$2,0)+1,FALSE)</f>
        <v>【初級】兄左</v>
      </c>
      <c r="G104" s="251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</v>
      </c>
      <c r="H104" s="252">
        <v>0</v>
      </c>
      <c r="I104" s="87">
        <f t="shared" si="0"/>
        <v>103</v>
      </c>
      <c r="J104" s="84" t="str">
        <f t="shared" ref="J104:J125" si="13">B104&amp;TEXT(I104,"00")</f>
        <v>39013103</v>
      </c>
      <c r="K104" s="220" t="s">
        <v>127</v>
      </c>
      <c r="L104" s="221" t="s">
        <v>463</v>
      </c>
      <c r="M104" s="222" t="s">
        <v>464</v>
      </c>
      <c r="N104" s="223" t="s">
        <v>462</v>
      </c>
      <c r="O104" s="223">
        <v>1579</v>
      </c>
      <c r="P104" s="175" t="str">
        <f t="shared" ref="P104:P125" si="14">"１２３４５６７８９０１２３４５６７８９０"&amp;DBCS(M104)</f>
        <v>１２３４５６７８９０１２３４５６７８９０俺の炎で燃えつきちまいな！_x000D_弱い奴に用はねえぜ！</v>
      </c>
      <c r="Q104" s="176">
        <f t="shared" ref="Q104:Q125" si="15">LEN(M104)</f>
        <v>24</v>
      </c>
    </row>
    <row r="105" spans="1:17" ht="46" x14ac:dyDescent="0.2">
      <c r="A105" s="79" t="s">
        <v>419</v>
      </c>
      <c r="B105" s="80">
        <f>floors!$C$2</f>
        <v>39013</v>
      </c>
      <c r="C105" s="251" t="str">
        <f ca="1">VLOOKUP($B105,OFFSET([2]quests!$A$1,0,0,COUNTA([2]quests!$A:$A),MATCH(C$1,[2]quests!$1:$1,0)-MATCH($B$1,[2]quests!$1:$1,0)+1),MATCH(C$1,[2]quests!$1:$1,0)-MATCH($B$1,[2]quests!$1:$1,0)+1,FALSE)</f>
        <v>兄左</v>
      </c>
      <c r="D105" s="251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2">
        <v>1</v>
      </c>
      <c r="F105" s="251" t="str">
        <f ca="1">VLOOKUP($B105&amp;"_"&amp;$E105,OFFSET([2]stages!$A$1,0,0,COUNTA([2]stages!$A:$A),MATCH(F$1,[2]stages!$2:$2,0)-MATCH("temp_stage",[2]stages!$2:$2,0)+1),MATCH(F$1,[2]stages!$2:$2,0)-MATCH("temp_stage",[2]stages!$2:$2,0)+1,FALSE)</f>
        <v>【初級】兄左</v>
      </c>
      <c r="G105" s="251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</v>
      </c>
      <c r="H105" s="252">
        <v>0</v>
      </c>
      <c r="I105" s="87">
        <f t="shared" si="0"/>
        <v>104</v>
      </c>
      <c r="J105" s="84" t="str">
        <f t="shared" si="13"/>
        <v>39013104</v>
      </c>
      <c r="K105" s="220" t="s">
        <v>127</v>
      </c>
      <c r="L105" s="221" t="s">
        <v>465</v>
      </c>
      <c r="M105" s="222" t="s">
        <v>466</v>
      </c>
      <c r="N105" s="223" t="s">
        <v>462</v>
      </c>
      <c r="O105" s="223">
        <v>1587</v>
      </c>
      <c r="P105" s="175" t="str">
        <f t="shared" si="14"/>
        <v>１２３４５６７８９０１２３４５６７８９０全身全霊をかけた試合、楽しかったです。_x000D_ありがとうございました！</v>
      </c>
      <c r="Q105" s="176">
        <f t="shared" si="15"/>
        <v>32</v>
      </c>
    </row>
    <row r="106" spans="1:17" ht="31" x14ac:dyDescent="0.2">
      <c r="A106" s="79" t="s">
        <v>419</v>
      </c>
      <c r="B106" s="80">
        <f>floors!$C$2</f>
        <v>39013</v>
      </c>
      <c r="C106" s="251" t="str">
        <f ca="1">VLOOKUP($B106,OFFSET([2]quests!$A$1,0,0,COUNTA([2]quests!$A:$A),MATCH(C$1,[2]quests!$1:$1,0)-MATCH($B$1,[2]quests!$1:$1,0)+1),MATCH(C$1,[2]quests!$1:$1,0)-MATCH($B$1,[2]quests!$1:$1,0)+1,FALSE)</f>
        <v>兄左</v>
      </c>
      <c r="D106" s="251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2">
        <v>1</v>
      </c>
      <c r="F106" s="251" t="str">
        <f ca="1">VLOOKUP($B106&amp;"_"&amp;$E106,OFFSET([2]stages!$A$1,0,0,COUNTA([2]stages!$A:$A),MATCH(F$1,[2]stages!$2:$2,0)-MATCH("temp_stage",[2]stages!$2:$2,0)+1),MATCH(F$1,[2]stages!$2:$2,0)-MATCH("temp_stage",[2]stages!$2:$2,0)+1,FALSE)</f>
        <v>【初級】兄左</v>
      </c>
      <c r="G106" s="251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</v>
      </c>
      <c r="H106" s="252">
        <v>0</v>
      </c>
      <c r="I106" s="87">
        <f t="shared" si="0"/>
        <v>105</v>
      </c>
      <c r="J106" s="84" t="str">
        <f t="shared" si="13"/>
        <v>39013105</v>
      </c>
      <c r="K106" s="220" t="s">
        <v>127</v>
      </c>
      <c r="L106" s="221" t="s">
        <v>467</v>
      </c>
      <c r="M106" s="222" t="s">
        <v>468</v>
      </c>
      <c r="N106" s="223" t="s">
        <v>462</v>
      </c>
      <c r="O106" s="223">
        <v>1581</v>
      </c>
      <c r="P106" s="175" t="str">
        <f t="shared" si="14"/>
        <v>１２３４５６７８９０１２３４５６７８９０おしまいですか？ふふっ、つまんないの！</v>
      </c>
      <c r="Q106" s="176">
        <f t="shared" si="15"/>
        <v>19</v>
      </c>
    </row>
    <row r="107" spans="1:17" ht="61" x14ac:dyDescent="0.2">
      <c r="A107" s="79" t="s">
        <v>419</v>
      </c>
      <c r="B107" s="80">
        <f>floors!$C$2</f>
        <v>39013</v>
      </c>
      <c r="C107" s="251" t="str">
        <f ca="1">VLOOKUP($B107,OFFSET([2]quests!$A$1,0,0,COUNTA([2]quests!$A:$A),MATCH(C$1,[2]quests!$1:$1,0)-MATCH($B$1,[2]quests!$1:$1,0)+1),MATCH(C$1,[2]quests!$1:$1,0)-MATCH($B$1,[2]quests!$1:$1,0)+1,FALSE)</f>
        <v>兄左</v>
      </c>
      <c r="D107" s="251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2">
        <v>1</v>
      </c>
      <c r="F107" s="251" t="str">
        <f ca="1">VLOOKUP($B107&amp;"_"&amp;$E107,OFFSET([2]stages!$A$1,0,0,COUNTA([2]stages!$A:$A),MATCH(F$1,[2]stages!$2:$2,0)-MATCH("temp_stage",[2]stages!$2:$2,0)+1),MATCH(F$1,[2]stages!$2:$2,0)-MATCH("temp_stage",[2]stages!$2:$2,0)+1,FALSE)</f>
        <v>【初級】兄左</v>
      </c>
      <c r="G107" s="251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</v>
      </c>
      <c r="H107" s="252">
        <v>0</v>
      </c>
      <c r="I107" s="87">
        <f t="shared" si="0"/>
        <v>106</v>
      </c>
      <c r="J107" s="84" t="str">
        <f t="shared" si="13"/>
        <v>39013106</v>
      </c>
      <c r="K107" s="220" t="s">
        <v>127</v>
      </c>
      <c r="L107" s="221" t="s">
        <v>469</v>
      </c>
      <c r="M107" s="222" t="s">
        <v>470</v>
      </c>
      <c r="N107" s="223" t="s">
        <v>462</v>
      </c>
      <c r="O107" s="223">
        <v>1570</v>
      </c>
      <c r="P107" s="175" t="str">
        <f t="shared" si="14"/>
        <v>１２３４５６７８９０１２３４５６７８９０戦いに性別は関係ない。_x000D_最後に立っていた奴が、強者だ！_x000D_わかるだろ！</v>
      </c>
      <c r="Q107" s="176">
        <f t="shared" si="15"/>
        <v>34</v>
      </c>
    </row>
    <row r="108" spans="1:17" ht="46" x14ac:dyDescent="0.2">
      <c r="A108" s="79" t="s">
        <v>419</v>
      </c>
      <c r="B108" s="80">
        <f>floors!$C$2</f>
        <v>39013</v>
      </c>
      <c r="C108" s="251" t="str">
        <f ca="1">VLOOKUP($B108,OFFSET([2]quests!$A$1,0,0,COUNTA([2]quests!$A:$A),MATCH(C$1,[2]quests!$1:$1,0)-MATCH($B$1,[2]quests!$1:$1,0)+1),MATCH(C$1,[2]quests!$1:$1,0)-MATCH($B$1,[2]quests!$1:$1,0)+1,FALSE)</f>
        <v>兄左</v>
      </c>
      <c r="D108" s="251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2">
        <v>1</v>
      </c>
      <c r="F108" s="251" t="str">
        <f ca="1">VLOOKUP($B108&amp;"_"&amp;$E108,OFFSET([2]stages!$A$1,0,0,COUNTA([2]stages!$A:$A),MATCH(F$1,[2]stages!$2:$2,0)-MATCH("temp_stage",[2]stages!$2:$2,0)+1),MATCH(F$1,[2]stages!$2:$2,0)-MATCH("temp_stage",[2]stages!$2:$2,0)+1,FALSE)</f>
        <v>【初級】兄左</v>
      </c>
      <c r="G108" s="251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</v>
      </c>
      <c r="H108" s="252">
        <v>0</v>
      </c>
      <c r="I108" s="87">
        <f t="shared" si="0"/>
        <v>107</v>
      </c>
      <c r="J108" s="84" t="str">
        <f t="shared" si="13"/>
        <v>39013107</v>
      </c>
      <c r="K108" s="220" t="s">
        <v>127</v>
      </c>
      <c r="L108" s="221" t="s">
        <v>471</v>
      </c>
      <c r="M108" s="222" t="s">
        <v>472</v>
      </c>
      <c r="N108" s="223" t="s">
        <v>462</v>
      </c>
      <c r="O108" s="223">
        <v>1568</v>
      </c>
      <c r="P108" s="175" t="str">
        <f t="shared" si="14"/>
        <v>１２３４５６７８９０１２３４５６７８９０遊びがすぎます。それでは勝つ事はおろか、_x000D_私に触れる事も出来ませんね</v>
      </c>
      <c r="Q108" s="176">
        <f t="shared" si="15"/>
        <v>34</v>
      </c>
    </row>
    <row r="109" spans="1:17" ht="46" x14ac:dyDescent="0.2">
      <c r="A109" s="79" t="s">
        <v>419</v>
      </c>
      <c r="B109" s="80">
        <f>floors!$C$2</f>
        <v>39013</v>
      </c>
      <c r="C109" s="251" t="str">
        <f ca="1">VLOOKUP($B109,OFFSET([2]quests!$A$1,0,0,COUNTA([2]quests!$A:$A),MATCH(C$1,[2]quests!$1:$1,0)-MATCH($B$1,[2]quests!$1:$1,0)+1),MATCH(C$1,[2]quests!$1:$1,0)-MATCH($B$1,[2]quests!$1:$1,0)+1,FALSE)</f>
        <v>兄左</v>
      </c>
      <c r="D109" s="251" t="str">
        <f ca="1">VLOOKUP($B109,OFFSET([2]quests!$A$1,0,0,COUNTA([2]quests!$A:$A),MATCH(D$1,[2]quests!$1:$1,0)-MATCH($B$1,[2]quests!$1:$1,0)+1),MATCH(D$1,[2]quests!$1:$1,0)-MATCH($B$1,[2]quests!$1:$1,0)+1,FALSE)</f>
        <v>コラボクエスト</v>
      </c>
      <c r="E109" s="82">
        <v>1</v>
      </c>
      <c r="F109" s="251" t="str">
        <f ca="1">VLOOKUP($B109&amp;"_"&amp;$E109,OFFSET([2]stages!$A$1,0,0,COUNTA([2]stages!$A:$A),MATCH(F$1,[2]stages!$2:$2,0)-MATCH("temp_stage",[2]stages!$2:$2,0)+1),MATCH(F$1,[2]stages!$2:$2,0)-MATCH("temp_stage",[2]stages!$2:$2,0)+1,FALSE)</f>
        <v>【初級】兄左</v>
      </c>
      <c r="G109" s="251" t="str">
        <f ca="1">VLOOKUP($B109&amp;"_"&amp;$E109,OFFSET([2]stages!$A$1,0,0,COUNTA([2]stages!$A:$A),MATCH(G$1,[2]stages!$2:$2,0)-MATCH("temp_stage",[2]stages!$2:$2,0)+1),MATCH(G$1,[2]stages!$2:$2,0)-MATCH("temp_stage",[2]stages!$2:$2,0)+1,FALSE)</f>
        <v>コラボクエスト</v>
      </c>
      <c r="H109" s="252">
        <v>0</v>
      </c>
      <c r="I109" s="87">
        <f t="shared" si="0"/>
        <v>108</v>
      </c>
      <c r="J109" s="84" t="str">
        <f t="shared" si="13"/>
        <v>39013108</v>
      </c>
      <c r="K109" s="220" t="s">
        <v>127</v>
      </c>
      <c r="L109" s="221" t="s">
        <v>473</v>
      </c>
      <c r="M109" s="222" t="s">
        <v>474</v>
      </c>
      <c r="N109" s="223" t="s">
        <v>462</v>
      </c>
      <c r="O109" s="223">
        <v>1553</v>
      </c>
      <c r="P109" s="175" t="str">
        <f t="shared" si="14"/>
        <v>１２３４５６７８９０１２３４５６７８９０いったい何にしびれてる？_x000D_電撃か？それとも俺の美貌にかい？</v>
      </c>
      <c r="Q109" s="176">
        <f t="shared" si="15"/>
        <v>29</v>
      </c>
    </row>
    <row r="110" spans="1:17" ht="46" x14ac:dyDescent="0.2">
      <c r="A110" s="79" t="s">
        <v>419</v>
      </c>
      <c r="B110" s="80">
        <f>floors!$C$2</f>
        <v>39013</v>
      </c>
      <c r="C110" s="251" t="str">
        <f ca="1">VLOOKUP($B110,OFFSET([2]quests!$A$1,0,0,COUNTA([2]quests!$A:$A),MATCH(C$1,[2]quests!$1:$1,0)-MATCH($B$1,[2]quests!$1:$1,0)+1),MATCH(C$1,[2]quests!$1:$1,0)-MATCH($B$1,[2]quests!$1:$1,0)+1,FALSE)</f>
        <v>兄左</v>
      </c>
      <c r="D110" s="251" t="str">
        <f ca="1">VLOOKUP($B110,OFFSET([2]quests!$A$1,0,0,COUNTA([2]quests!$A:$A),MATCH(D$1,[2]quests!$1:$1,0)-MATCH($B$1,[2]quests!$1:$1,0)+1),MATCH(D$1,[2]quests!$1:$1,0)-MATCH($B$1,[2]quests!$1:$1,0)+1,FALSE)</f>
        <v>コラボクエスト</v>
      </c>
      <c r="E110" s="82">
        <v>1</v>
      </c>
      <c r="F110" s="251" t="str">
        <f ca="1">VLOOKUP($B110&amp;"_"&amp;$E110,OFFSET([2]stages!$A$1,0,0,COUNTA([2]stages!$A:$A),MATCH(F$1,[2]stages!$2:$2,0)-MATCH("temp_stage",[2]stages!$2:$2,0)+1),MATCH(F$1,[2]stages!$2:$2,0)-MATCH("temp_stage",[2]stages!$2:$2,0)+1,FALSE)</f>
        <v>【初級】兄左</v>
      </c>
      <c r="G110" s="251" t="str">
        <f ca="1">VLOOKUP($B110&amp;"_"&amp;$E110,OFFSET([2]stages!$A$1,0,0,COUNTA([2]stages!$A:$A),MATCH(G$1,[2]stages!$2:$2,0)-MATCH("temp_stage",[2]stages!$2:$2,0)+1),MATCH(G$1,[2]stages!$2:$2,0)-MATCH("temp_stage",[2]stages!$2:$2,0)+1,FALSE)</f>
        <v>コラボクエスト</v>
      </c>
      <c r="H110" s="252">
        <v>0</v>
      </c>
      <c r="I110" s="87">
        <f t="shared" si="0"/>
        <v>109</v>
      </c>
      <c r="J110" s="84" t="str">
        <f t="shared" si="13"/>
        <v>39013109</v>
      </c>
      <c r="K110" s="220" t="s">
        <v>127</v>
      </c>
      <c r="L110" s="221" t="s">
        <v>475</v>
      </c>
      <c r="M110" s="222" t="s">
        <v>476</v>
      </c>
      <c r="N110" s="223" t="s">
        <v>462</v>
      </c>
      <c r="O110" s="223">
        <v>1566</v>
      </c>
      <c r="P110" s="175" t="str">
        <f t="shared" si="14"/>
        <v>１２３４５６７８９０１２３４５６７８９０ナイスバディで最強の格闘家の_x000D_私に勝とうなんてやっぱ、無謀って感じぃ！</v>
      </c>
      <c r="Q110" s="176">
        <f t="shared" si="15"/>
        <v>35</v>
      </c>
    </row>
    <row r="111" spans="1:17" ht="46" x14ac:dyDescent="0.2">
      <c r="A111" s="79" t="s">
        <v>419</v>
      </c>
      <c r="B111" s="80">
        <f>floors!$C$2</f>
        <v>39013</v>
      </c>
      <c r="C111" s="251" t="str">
        <f ca="1">VLOOKUP($B111,OFFSET([2]quests!$A$1,0,0,COUNTA([2]quests!$A:$A),MATCH(C$1,[2]quests!$1:$1,0)-MATCH($B$1,[2]quests!$1:$1,0)+1),MATCH(C$1,[2]quests!$1:$1,0)-MATCH($B$1,[2]quests!$1:$1,0)+1,FALSE)</f>
        <v>兄左</v>
      </c>
      <c r="D111" s="251" t="str">
        <f ca="1">VLOOKUP($B111,OFFSET([2]quests!$A$1,0,0,COUNTA([2]quests!$A:$A),MATCH(D$1,[2]quests!$1:$1,0)-MATCH($B$1,[2]quests!$1:$1,0)+1),MATCH(D$1,[2]quests!$1:$1,0)-MATCH($B$1,[2]quests!$1:$1,0)+1,FALSE)</f>
        <v>コラボクエスト</v>
      </c>
      <c r="E111" s="82">
        <v>1</v>
      </c>
      <c r="F111" s="251" t="str">
        <f ca="1">VLOOKUP($B111&amp;"_"&amp;$E111,OFFSET([2]stages!$A$1,0,0,COUNTA([2]stages!$A:$A),MATCH(F$1,[2]stages!$2:$2,0)-MATCH("temp_stage",[2]stages!$2:$2,0)+1),MATCH(F$1,[2]stages!$2:$2,0)-MATCH("temp_stage",[2]stages!$2:$2,0)+1,FALSE)</f>
        <v>【初級】兄左</v>
      </c>
      <c r="G111" s="251" t="str">
        <f ca="1">VLOOKUP($B111&amp;"_"&amp;$E111,OFFSET([2]stages!$A$1,0,0,COUNTA([2]stages!$A:$A),MATCH(G$1,[2]stages!$2:$2,0)-MATCH("temp_stage",[2]stages!$2:$2,0)+1),MATCH(G$1,[2]stages!$2:$2,0)-MATCH("temp_stage",[2]stages!$2:$2,0)+1,FALSE)</f>
        <v>コラボクエスト</v>
      </c>
      <c r="H111" s="252">
        <v>0</v>
      </c>
      <c r="I111" s="87">
        <f t="shared" si="0"/>
        <v>110</v>
      </c>
      <c r="J111" s="84" t="str">
        <f t="shared" si="13"/>
        <v>39013110</v>
      </c>
      <c r="K111" s="220" t="s">
        <v>127</v>
      </c>
      <c r="L111" s="221" t="s">
        <v>477</v>
      </c>
      <c r="M111" s="222" t="s">
        <v>478</v>
      </c>
      <c r="N111" s="223" t="s">
        <v>462</v>
      </c>
      <c r="O111" s="223">
        <v>1551</v>
      </c>
      <c r="P111" s="175" t="str">
        <f t="shared" si="14"/>
        <v>１２３４５６７８９０１２３４５６７８９０何が足りねえかわかったろ？_x000D_へこんでる暇はないはずだぜ！</v>
      </c>
      <c r="Q111" s="176">
        <f t="shared" si="15"/>
        <v>28</v>
      </c>
    </row>
    <row r="112" spans="1:17" ht="31" x14ac:dyDescent="0.2">
      <c r="A112" s="79" t="s">
        <v>419</v>
      </c>
      <c r="B112" s="80">
        <f>floors!$C$2</f>
        <v>39013</v>
      </c>
      <c r="C112" s="251" t="str">
        <f ca="1">VLOOKUP($B112,OFFSET([2]quests!$A$1,0,0,COUNTA([2]quests!$A:$A),MATCH(C$1,[2]quests!$1:$1,0)-MATCH($B$1,[2]quests!$1:$1,0)+1),MATCH(C$1,[2]quests!$1:$1,0)-MATCH($B$1,[2]quests!$1:$1,0)+1,FALSE)</f>
        <v>兄左</v>
      </c>
      <c r="D112" s="251" t="str">
        <f ca="1">VLOOKUP($B112,OFFSET([2]quests!$A$1,0,0,COUNTA([2]quests!$A:$A),MATCH(D$1,[2]quests!$1:$1,0)-MATCH($B$1,[2]quests!$1:$1,0)+1),MATCH(D$1,[2]quests!$1:$1,0)-MATCH($B$1,[2]quests!$1:$1,0)+1,FALSE)</f>
        <v>コラボクエスト</v>
      </c>
      <c r="E112" s="82">
        <v>1</v>
      </c>
      <c r="F112" s="251" t="str">
        <f ca="1">VLOOKUP($B112&amp;"_"&amp;$E112,OFFSET([2]stages!$A$1,0,0,COUNTA([2]stages!$A:$A),MATCH(F$1,[2]stages!$2:$2,0)-MATCH("temp_stage",[2]stages!$2:$2,0)+1),MATCH(F$1,[2]stages!$2:$2,0)-MATCH("temp_stage",[2]stages!$2:$2,0)+1,FALSE)</f>
        <v>【初級】兄左</v>
      </c>
      <c r="G112" s="251" t="str">
        <f ca="1">VLOOKUP($B112&amp;"_"&amp;$E112,OFFSET([2]stages!$A$1,0,0,COUNTA([2]stages!$A:$A),MATCH(G$1,[2]stages!$2:$2,0)-MATCH("temp_stage",[2]stages!$2:$2,0)+1),MATCH(G$1,[2]stages!$2:$2,0)-MATCH("temp_stage",[2]stages!$2:$2,0)+1,FALSE)</f>
        <v>コラボクエスト</v>
      </c>
      <c r="H112" s="252">
        <v>0</v>
      </c>
      <c r="I112" s="87">
        <f t="shared" si="0"/>
        <v>111</v>
      </c>
      <c r="J112" s="84" t="str">
        <f t="shared" si="13"/>
        <v>39013111</v>
      </c>
      <c r="K112" s="220" t="s">
        <v>127</v>
      </c>
      <c r="L112" s="221" t="s">
        <v>479</v>
      </c>
      <c r="M112" s="222" t="s">
        <v>480</v>
      </c>
      <c r="N112" s="223" t="s">
        <v>462</v>
      </c>
      <c r="O112" s="223">
        <v>1555</v>
      </c>
      <c r="P112" s="175" t="str">
        <f t="shared" si="14"/>
        <v>１２３４５６７８９０１２３４５６７８９０これが答えだ…！</v>
      </c>
      <c r="Q112" s="176">
        <f t="shared" si="15"/>
        <v>8</v>
      </c>
    </row>
    <row r="113" spans="1:17" ht="46" x14ac:dyDescent="0.2">
      <c r="A113" s="79" t="s">
        <v>419</v>
      </c>
      <c r="B113" s="80">
        <f>floors!$C$2</f>
        <v>39013</v>
      </c>
      <c r="C113" s="251" t="str">
        <f ca="1">VLOOKUP($B113,OFFSET([2]quests!$A$1,0,0,COUNTA([2]quests!$A:$A),MATCH(C$1,[2]quests!$1:$1,0)-MATCH($B$1,[2]quests!$1:$1,0)+1),MATCH(C$1,[2]quests!$1:$1,0)-MATCH($B$1,[2]quests!$1:$1,0)+1,FALSE)</f>
        <v>兄左</v>
      </c>
      <c r="D113" s="251" t="str">
        <f ca="1">VLOOKUP($B113,OFFSET([2]quests!$A$1,0,0,COUNTA([2]quests!$A:$A),MATCH(D$1,[2]quests!$1:$1,0)-MATCH($B$1,[2]quests!$1:$1,0)+1),MATCH(D$1,[2]quests!$1:$1,0)-MATCH($B$1,[2]quests!$1:$1,0)+1,FALSE)</f>
        <v>コラボクエスト</v>
      </c>
      <c r="E113" s="82">
        <v>1</v>
      </c>
      <c r="F113" s="251" t="str">
        <f ca="1">VLOOKUP($B113&amp;"_"&amp;$E113,OFFSET([2]stages!$A$1,0,0,COUNTA([2]stages!$A:$A),MATCH(F$1,[2]stages!$2:$2,0)-MATCH("temp_stage",[2]stages!$2:$2,0)+1),MATCH(F$1,[2]stages!$2:$2,0)-MATCH("temp_stage",[2]stages!$2:$2,0)+1,FALSE)</f>
        <v>【初級】兄左</v>
      </c>
      <c r="G113" s="251" t="str">
        <f ca="1">VLOOKUP($B113&amp;"_"&amp;$E113,OFFSET([2]stages!$A$1,0,0,COUNTA([2]stages!$A:$A),MATCH(G$1,[2]stages!$2:$2,0)-MATCH("temp_stage",[2]stages!$2:$2,0)+1),MATCH(G$1,[2]stages!$2:$2,0)-MATCH("temp_stage",[2]stages!$2:$2,0)+1,FALSE)</f>
        <v>コラボクエスト</v>
      </c>
      <c r="H113" s="252">
        <v>0</v>
      </c>
      <c r="I113" s="87">
        <f t="shared" si="0"/>
        <v>112</v>
      </c>
      <c r="J113" s="84" t="str">
        <f t="shared" si="13"/>
        <v>39013112</v>
      </c>
      <c r="K113" s="220" t="s">
        <v>127</v>
      </c>
      <c r="L113" s="221" t="s">
        <v>481</v>
      </c>
      <c r="M113" s="222" t="s">
        <v>482</v>
      </c>
      <c r="N113" s="223" t="s">
        <v>462</v>
      </c>
      <c r="O113" s="223">
        <v>1556</v>
      </c>
      <c r="P113" s="175" t="str">
        <f t="shared" si="14"/>
        <v>１２３４５６７８９０１２３４５６７８９０絶対無比の空手！_x000D_それが極限流だ！覚えておく事だぜ！</v>
      </c>
      <c r="Q113" s="176">
        <f t="shared" si="15"/>
        <v>26</v>
      </c>
    </row>
    <row r="114" spans="1:17" ht="46" x14ac:dyDescent="0.2">
      <c r="A114" s="79" t="s">
        <v>419</v>
      </c>
      <c r="B114" s="80">
        <f>floors!$C$2</f>
        <v>39013</v>
      </c>
      <c r="C114" s="251" t="str">
        <f ca="1">VLOOKUP($B114,OFFSET([2]quests!$A$1,0,0,COUNTA([2]quests!$A:$A),MATCH(C$1,[2]quests!$1:$1,0)-MATCH($B$1,[2]quests!$1:$1,0)+1),MATCH(C$1,[2]quests!$1:$1,0)-MATCH($B$1,[2]quests!$1:$1,0)+1,FALSE)</f>
        <v>兄左</v>
      </c>
      <c r="D114" s="251" t="str">
        <f ca="1">VLOOKUP($B114,OFFSET([2]quests!$A$1,0,0,COUNTA([2]quests!$A:$A),MATCH(D$1,[2]quests!$1:$1,0)-MATCH($B$1,[2]quests!$1:$1,0)+1),MATCH(D$1,[2]quests!$1:$1,0)-MATCH($B$1,[2]quests!$1:$1,0)+1,FALSE)</f>
        <v>コラボクエスト</v>
      </c>
      <c r="E114" s="82">
        <v>1</v>
      </c>
      <c r="F114" s="251" t="str">
        <f ca="1">VLOOKUP($B114&amp;"_"&amp;$E114,OFFSET([2]stages!$A$1,0,0,COUNTA([2]stages!$A:$A),MATCH(F$1,[2]stages!$2:$2,0)-MATCH("temp_stage",[2]stages!$2:$2,0)+1),MATCH(F$1,[2]stages!$2:$2,0)-MATCH("temp_stage",[2]stages!$2:$2,0)+1,FALSE)</f>
        <v>【初級】兄左</v>
      </c>
      <c r="G114" s="251" t="str">
        <f ca="1">VLOOKUP($B114&amp;"_"&amp;$E114,OFFSET([2]stages!$A$1,0,0,COUNTA([2]stages!$A:$A),MATCH(G$1,[2]stages!$2:$2,0)-MATCH("temp_stage",[2]stages!$2:$2,0)+1),MATCH(G$1,[2]stages!$2:$2,0)-MATCH("temp_stage",[2]stages!$2:$2,0)+1,FALSE)</f>
        <v>コラボクエスト</v>
      </c>
      <c r="H114" s="252">
        <v>0</v>
      </c>
      <c r="I114" s="87">
        <f t="shared" si="0"/>
        <v>113</v>
      </c>
      <c r="J114" s="84" t="str">
        <f t="shared" si="13"/>
        <v>39013113</v>
      </c>
      <c r="K114" s="220" t="s">
        <v>127</v>
      </c>
      <c r="L114" s="221" t="s">
        <v>483</v>
      </c>
      <c r="M114" s="222" t="s">
        <v>484</v>
      </c>
      <c r="N114" s="223" t="s">
        <v>462</v>
      </c>
      <c r="O114" s="223">
        <v>1558</v>
      </c>
      <c r="P114" s="175" t="str">
        <f t="shared" si="14"/>
        <v>１２３４５６７８９０１２３４５６７８９０勝負は勝負！_x000D_負けたからってスネちゃダメよ！</v>
      </c>
      <c r="Q114" s="176">
        <f t="shared" si="15"/>
        <v>22</v>
      </c>
    </row>
    <row r="115" spans="1:17" ht="46" x14ac:dyDescent="0.2">
      <c r="A115" s="79" t="s">
        <v>419</v>
      </c>
      <c r="B115" s="80">
        <f>floors!$C$2</f>
        <v>39013</v>
      </c>
      <c r="C115" s="251" t="str">
        <f ca="1">VLOOKUP($B115,OFFSET([2]quests!$A$1,0,0,COUNTA([2]quests!$A:$A),MATCH(C$1,[2]quests!$1:$1,0)-MATCH($B$1,[2]quests!$1:$1,0)+1),MATCH(C$1,[2]quests!$1:$1,0)-MATCH($B$1,[2]quests!$1:$1,0)+1,FALSE)</f>
        <v>兄左</v>
      </c>
      <c r="D115" s="251" t="str">
        <f ca="1">VLOOKUP($B115,OFFSET([2]quests!$A$1,0,0,COUNTA([2]quests!$A:$A),MATCH(D$1,[2]quests!$1:$1,0)-MATCH($B$1,[2]quests!$1:$1,0)+1),MATCH(D$1,[2]quests!$1:$1,0)-MATCH($B$1,[2]quests!$1:$1,0)+1,FALSE)</f>
        <v>コラボクエスト</v>
      </c>
      <c r="E115" s="82">
        <v>1</v>
      </c>
      <c r="F115" s="251" t="str">
        <f ca="1">VLOOKUP($B115&amp;"_"&amp;$E115,OFFSET([2]stages!$A$1,0,0,COUNTA([2]stages!$A:$A),MATCH(F$1,[2]stages!$2:$2,0)-MATCH("temp_stage",[2]stages!$2:$2,0)+1),MATCH(F$1,[2]stages!$2:$2,0)-MATCH("temp_stage",[2]stages!$2:$2,0)+1,FALSE)</f>
        <v>【初級】兄左</v>
      </c>
      <c r="G115" s="251" t="str">
        <f ca="1">VLOOKUP($B115&amp;"_"&amp;$E115,OFFSET([2]stages!$A$1,0,0,COUNTA([2]stages!$A:$A),MATCH(G$1,[2]stages!$2:$2,0)-MATCH("temp_stage",[2]stages!$2:$2,0)+1),MATCH(G$1,[2]stages!$2:$2,0)-MATCH("temp_stage",[2]stages!$2:$2,0)+1,FALSE)</f>
        <v>コラボクエスト</v>
      </c>
      <c r="H115" s="252">
        <v>0</v>
      </c>
      <c r="I115" s="87">
        <f t="shared" si="0"/>
        <v>114</v>
      </c>
      <c r="J115" s="84" t="str">
        <f t="shared" si="13"/>
        <v>39013114</v>
      </c>
      <c r="K115" s="220" t="s">
        <v>127</v>
      </c>
      <c r="L115" s="221" t="s">
        <v>485</v>
      </c>
      <c r="M115" s="222" t="s">
        <v>486</v>
      </c>
      <c r="N115" s="223" t="s">
        <v>462</v>
      </c>
      <c r="O115" s="223">
        <v>1560</v>
      </c>
      <c r="P115" s="175" t="str">
        <f t="shared" si="14"/>
        <v>１２３４５６７８９０１２３４５６７８９０ワイの力みくびるなんて_x000D_まだまだ、ひよっこって事やな！</v>
      </c>
      <c r="Q115" s="176">
        <f t="shared" si="15"/>
        <v>27</v>
      </c>
    </row>
    <row r="116" spans="1:17" ht="61" x14ac:dyDescent="0.2">
      <c r="A116" s="79" t="s">
        <v>419</v>
      </c>
      <c r="B116" s="80">
        <f>floors!$C$2</f>
        <v>39013</v>
      </c>
      <c r="C116" s="251" t="str">
        <f ca="1">VLOOKUP($B116,OFFSET([2]quests!$A$1,0,0,COUNTA([2]quests!$A:$A),MATCH(C$1,[2]quests!$1:$1,0)-MATCH($B$1,[2]quests!$1:$1,0)+1),MATCH(C$1,[2]quests!$1:$1,0)-MATCH($B$1,[2]quests!$1:$1,0)+1,FALSE)</f>
        <v>兄左</v>
      </c>
      <c r="D116" s="251" t="str">
        <f ca="1">VLOOKUP($B116,OFFSET([2]quests!$A$1,0,0,COUNTA([2]quests!$A:$A),MATCH(D$1,[2]quests!$1:$1,0)-MATCH($B$1,[2]quests!$1:$1,0)+1),MATCH(D$1,[2]quests!$1:$1,0)-MATCH($B$1,[2]quests!$1:$1,0)+1,FALSE)</f>
        <v>コラボクエスト</v>
      </c>
      <c r="E116" s="82">
        <v>1</v>
      </c>
      <c r="F116" s="251" t="str">
        <f ca="1">VLOOKUP($B116&amp;"_"&amp;$E116,OFFSET([2]stages!$A$1,0,0,COUNTA([2]stages!$A:$A),MATCH(F$1,[2]stages!$2:$2,0)-MATCH("temp_stage",[2]stages!$2:$2,0)+1),MATCH(F$1,[2]stages!$2:$2,0)-MATCH("temp_stage",[2]stages!$2:$2,0)+1,FALSE)</f>
        <v>【初級】兄左</v>
      </c>
      <c r="G116" s="251" t="str">
        <f ca="1">VLOOKUP($B116&amp;"_"&amp;$E116,OFFSET([2]stages!$A$1,0,0,COUNTA([2]stages!$A:$A),MATCH(G$1,[2]stages!$2:$2,0)-MATCH("temp_stage",[2]stages!$2:$2,0)+1),MATCH(G$1,[2]stages!$2:$2,0)-MATCH("temp_stage",[2]stages!$2:$2,0)+1,FALSE)</f>
        <v>コラボクエスト</v>
      </c>
      <c r="H116" s="252">
        <v>0</v>
      </c>
      <c r="I116" s="87">
        <f t="shared" si="0"/>
        <v>115</v>
      </c>
      <c r="J116" s="84" t="str">
        <f t="shared" si="13"/>
        <v>39013115</v>
      </c>
      <c r="K116" s="220" t="s">
        <v>127</v>
      </c>
      <c r="L116" s="221" t="s">
        <v>487</v>
      </c>
      <c r="M116" s="222" t="s">
        <v>488</v>
      </c>
      <c r="N116" s="223" t="s">
        <v>462</v>
      </c>
      <c r="O116" s="223">
        <v>1561</v>
      </c>
      <c r="P116" s="175" t="str">
        <f t="shared" si="14"/>
        <v>１２３４５６７８９０１２３４５６７８９０甘い夢を見続けるなら、_x000D_夢の中だけで十分だぜ！_x000D_現実は厳しいって事だ！</v>
      </c>
      <c r="Q116" s="176">
        <f t="shared" si="15"/>
        <v>35</v>
      </c>
    </row>
    <row r="117" spans="1:17" ht="46" x14ac:dyDescent="0.2">
      <c r="A117" s="79" t="s">
        <v>419</v>
      </c>
      <c r="B117" s="80">
        <f>floors!$C$2</f>
        <v>39013</v>
      </c>
      <c r="C117" s="251" t="str">
        <f ca="1">VLOOKUP($B117,OFFSET([2]quests!$A$1,0,0,COUNTA([2]quests!$A:$A),MATCH(C$1,[2]quests!$1:$1,0)-MATCH($B$1,[2]quests!$1:$1,0)+1),MATCH(C$1,[2]quests!$1:$1,0)-MATCH($B$1,[2]quests!$1:$1,0)+1,FALSE)</f>
        <v>兄左</v>
      </c>
      <c r="D117" s="251" t="str">
        <f ca="1">VLOOKUP($B117,OFFSET([2]quests!$A$1,0,0,COUNTA([2]quests!$A:$A),MATCH(D$1,[2]quests!$1:$1,0)-MATCH($B$1,[2]quests!$1:$1,0)+1),MATCH(D$1,[2]quests!$1:$1,0)-MATCH($B$1,[2]quests!$1:$1,0)+1,FALSE)</f>
        <v>コラボクエスト</v>
      </c>
      <c r="E117" s="82">
        <v>1</v>
      </c>
      <c r="F117" s="251" t="str">
        <f ca="1">VLOOKUP($B117&amp;"_"&amp;$E117,OFFSET([2]stages!$A$1,0,0,COUNTA([2]stages!$A:$A),MATCH(F$1,[2]stages!$2:$2,0)-MATCH("temp_stage",[2]stages!$2:$2,0)+1),MATCH(F$1,[2]stages!$2:$2,0)-MATCH("temp_stage",[2]stages!$2:$2,0)+1,FALSE)</f>
        <v>【初級】兄左</v>
      </c>
      <c r="G117" s="251" t="str">
        <f ca="1">VLOOKUP($B117&amp;"_"&amp;$E117,OFFSET([2]stages!$A$1,0,0,COUNTA([2]stages!$A:$A),MATCH(G$1,[2]stages!$2:$2,0)-MATCH("temp_stage",[2]stages!$2:$2,0)+1),MATCH(G$1,[2]stages!$2:$2,0)-MATCH("temp_stage",[2]stages!$2:$2,0)+1,FALSE)</f>
        <v>コラボクエスト</v>
      </c>
      <c r="H117" s="252">
        <v>0</v>
      </c>
      <c r="I117" s="87">
        <f t="shared" si="0"/>
        <v>116</v>
      </c>
      <c r="J117" s="84" t="str">
        <f t="shared" si="13"/>
        <v>39013116</v>
      </c>
      <c r="K117" s="220" t="s">
        <v>127</v>
      </c>
      <c r="L117" s="221" t="s">
        <v>489</v>
      </c>
      <c r="M117" s="222" t="s">
        <v>490</v>
      </c>
      <c r="N117" s="223" t="s">
        <v>462</v>
      </c>
      <c r="O117" s="223">
        <v>1563</v>
      </c>
      <c r="P117" s="175" t="str">
        <f t="shared" si="14"/>
        <v>１２３４５６７８９０１２３４５６７８９０相手の力量を見誤ると大怪我するよ。_x000D_気をつけるんだ！</v>
      </c>
      <c r="Q117" s="176">
        <f t="shared" si="15"/>
        <v>26</v>
      </c>
    </row>
    <row r="118" spans="1:17" ht="46" x14ac:dyDescent="0.2">
      <c r="A118" s="79" t="s">
        <v>419</v>
      </c>
      <c r="B118" s="80">
        <f>floors!$C$2</f>
        <v>39013</v>
      </c>
      <c r="C118" s="251" t="str">
        <f ca="1">VLOOKUP($B118,OFFSET([2]quests!$A$1,0,0,COUNTA([2]quests!$A:$A),MATCH(C$1,[2]quests!$1:$1,0)-MATCH($B$1,[2]quests!$1:$1,0)+1),MATCH(C$1,[2]quests!$1:$1,0)-MATCH($B$1,[2]quests!$1:$1,0)+1,FALSE)</f>
        <v>兄左</v>
      </c>
      <c r="D118" s="251" t="str">
        <f ca="1">VLOOKUP($B118,OFFSET([2]quests!$A$1,0,0,COUNTA([2]quests!$A:$A),MATCH(D$1,[2]quests!$1:$1,0)-MATCH($B$1,[2]quests!$1:$1,0)+1),MATCH(D$1,[2]quests!$1:$1,0)-MATCH($B$1,[2]quests!$1:$1,0)+1,FALSE)</f>
        <v>コラボクエスト</v>
      </c>
      <c r="E118" s="82">
        <v>1</v>
      </c>
      <c r="F118" s="251" t="str">
        <f ca="1">VLOOKUP($B118&amp;"_"&amp;$E118,OFFSET([2]stages!$A$1,0,0,COUNTA([2]stages!$A:$A),MATCH(F$1,[2]stages!$2:$2,0)-MATCH("temp_stage",[2]stages!$2:$2,0)+1),MATCH(F$1,[2]stages!$2:$2,0)-MATCH("temp_stage",[2]stages!$2:$2,0)+1,FALSE)</f>
        <v>【初級】兄左</v>
      </c>
      <c r="G118" s="251" t="str">
        <f ca="1">VLOOKUP($B118&amp;"_"&amp;$E118,OFFSET([2]stages!$A$1,0,0,COUNTA([2]stages!$A:$A),MATCH(G$1,[2]stages!$2:$2,0)-MATCH("temp_stage",[2]stages!$2:$2,0)+1),MATCH(G$1,[2]stages!$2:$2,0)-MATCH("temp_stage",[2]stages!$2:$2,0)+1,FALSE)</f>
        <v>コラボクエスト</v>
      </c>
      <c r="H118" s="252">
        <v>0</v>
      </c>
      <c r="I118" s="87">
        <f t="shared" si="0"/>
        <v>117</v>
      </c>
      <c r="J118" s="84" t="str">
        <f t="shared" si="13"/>
        <v>39013117</v>
      </c>
      <c r="K118" s="220" t="s">
        <v>127</v>
      </c>
      <c r="L118" s="221" t="s">
        <v>491</v>
      </c>
      <c r="M118" s="222" t="s">
        <v>492</v>
      </c>
      <c r="N118" s="223" t="s">
        <v>462</v>
      </c>
      <c r="O118" s="223">
        <v>1565</v>
      </c>
      <c r="P118" s="175" t="str">
        <f t="shared" si="14"/>
        <v>１２３４５６７８９０１２３４５６７８９０勝利者はいつもこの俺！ジョー東様よ！_x000D_そこんとこ勘違いしちゃいけねーぜ！</v>
      </c>
      <c r="Q118" s="176">
        <f t="shared" si="15"/>
        <v>36</v>
      </c>
    </row>
    <row r="119" spans="1:17" ht="46" x14ac:dyDescent="0.2">
      <c r="A119" s="79" t="s">
        <v>419</v>
      </c>
      <c r="B119" s="80">
        <f>floors!$C$2</f>
        <v>39013</v>
      </c>
      <c r="C119" s="251" t="str">
        <f ca="1">VLOOKUP($B119,OFFSET([2]quests!$A$1,0,0,COUNTA([2]quests!$A:$A),MATCH(C$1,[2]quests!$1:$1,0)-MATCH($B$1,[2]quests!$1:$1,0)+1),MATCH(C$1,[2]quests!$1:$1,0)-MATCH($B$1,[2]quests!$1:$1,0)+1,FALSE)</f>
        <v>兄左</v>
      </c>
      <c r="D119" s="251" t="str">
        <f ca="1">VLOOKUP($B119,OFFSET([2]quests!$A$1,0,0,COUNTA([2]quests!$A:$A),MATCH(D$1,[2]quests!$1:$1,0)-MATCH($B$1,[2]quests!$1:$1,0)+1),MATCH(D$1,[2]quests!$1:$1,0)-MATCH($B$1,[2]quests!$1:$1,0)+1,FALSE)</f>
        <v>コラボクエスト</v>
      </c>
      <c r="E119" s="82">
        <v>1</v>
      </c>
      <c r="F119" s="251" t="str">
        <f ca="1">VLOOKUP($B119&amp;"_"&amp;$E119,OFFSET([2]stages!$A$1,0,0,COUNTA([2]stages!$A:$A),MATCH(F$1,[2]stages!$2:$2,0)-MATCH("temp_stage",[2]stages!$2:$2,0)+1),MATCH(F$1,[2]stages!$2:$2,0)-MATCH("temp_stage",[2]stages!$2:$2,0)+1,FALSE)</f>
        <v>【初級】兄左</v>
      </c>
      <c r="G119" s="251" t="str">
        <f ca="1">VLOOKUP($B119&amp;"_"&amp;$E119,OFFSET([2]stages!$A$1,0,0,COUNTA([2]stages!$A:$A),MATCH(G$1,[2]stages!$2:$2,0)-MATCH("temp_stage",[2]stages!$2:$2,0)+1),MATCH(G$1,[2]stages!$2:$2,0)-MATCH("temp_stage",[2]stages!$2:$2,0)+1,FALSE)</f>
        <v>コラボクエスト</v>
      </c>
      <c r="H119" s="252">
        <v>0</v>
      </c>
      <c r="I119" s="87">
        <f t="shared" si="0"/>
        <v>118</v>
      </c>
      <c r="J119" s="84" t="str">
        <f t="shared" si="13"/>
        <v>39013118</v>
      </c>
      <c r="K119" s="220" t="s">
        <v>127</v>
      </c>
      <c r="L119" s="221" t="s">
        <v>493</v>
      </c>
      <c r="M119" s="222" t="s">
        <v>494</v>
      </c>
      <c r="N119" s="223" t="s">
        <v>462</v>
      </c>
      <c r="O119" s="223">
        <v>1571</v>
      </c>
      <c r="P119" s="175" t="str">
        <f t="shared" si="14"/>
        <v>１２３４５６７８９０１２３４５６７８９０失せろ！キサマ等にくれてやるのは_x000D_痛み、苦しみという名の慈悲だけだ！！！</v>
      </c>
      <c r="Q119" s="176">
        <f t="shared" si="15"/>
        <v>36</v>
      </c>
    </row>
    <row r="120" spans="1:17" ht="46" x14ac:dyDescent="0.2">
      <c r="A120" s="79" t="s">
        <v>419</v>
      </c>
      <c r="B120" s="80">
        <f>floors!$C$2</f>
        <v>39013</v>
      </c>
      <c r="C120" s="251" t="str">
        <f ca="1">VLOOKUP($B120,OFFSET([2]quests!$A$1,0,0,COUNTA([2]quests!$A:$A),MATCH(C$1,[2]quests!$1:$1,0)-MATCH($B$1,[2]quests!$1:$1,0)+1),MATCH(C$1,[2]quests!$1:$1,0)-MATCH($B$1,[2]quests!$1:$1,0)+1,FALSE)</f>
        <v>兄左</v>
      </c>
      <c r="D120" s="251" t="str">
        <f ca="1">VLOOKUP($B120,OFFSET([2]quests!$A$1,0,0,COUNTA([2]quests!$A:$A),MATCH(D$1,[2]quests!$1:$1,0)-MATCH($B$1,[2]quests!$1:$1,0)+1),MATCH(D$1,[2]quests!$1:$1,0)-MATCH($B$1,[2]quests!$1:$1,0)+1,FALSE)</f>
        <v>コラボクエスト</v>
      </c>
      <c r="E120" s="82">
        <v>1</v>
      </c>
      <c r="F120" s="251" t="str">
        <f ca="1">VLOOKUP($B120&amp;"_"&amp;$E120,OFFSET([2]stages!$A$1,0,0,COUNTA([2]stages!$A:$A),MATCH(F$1,[2]stages!$2:$2,0)-MATCH("temp_stage",[2]stages!$2:$2,0)+1),MATCH(F$1,[2]stages!$2:$2,0)-MATCH("temp_stage",[2]stages!$2:$2,0)+1,FALSE)</f>
        <v>【初級】兄左</v>
      </c>
      <c r="G120" s="251" t="str">
        <f ca="1">VLOOKUP($B120&amp;"_"&amp;$E120,OFFSET([2]stages!$A$1,0,0,COUNTA([2]stages!$A:$A),MATCH(G$1,[2]stages!$2:$2,0)-MATCH("temp_stage",[2]stages!$2:$2,0)+1),MATCH(G$1,[2]stages!$2:$2,0)-MATCH("temp_stage",[2]stages!$2:$2,0)+1,FALSE)</f>
        <v>コラボクエスト</v>
      </c>
      <c r="H120" s="252">
        <v>0</v>
      </c>
      <c r="I120" s="87">
        <f t="shared" si="0"/>
        <v>119</v>
      </c>
      <c r="J120" s="84" t="str">
        <f t="shared" si="13"/>
        <v>39013119</v>
      </c>
      <c r="K120" s="220" t="s">
        <v>127</v>
      </c>
      <c r="L120" s="221" t="s">
        <v>495</v>
      </c>
      <c r="M120" s="222" t="s">
        <v>496</v>
      </c>
      <c r="N120" s="223" t="s">
        <v>462</v>
      </c>
      <c r="O120" s="223">
        <v>1573</v>
      </c>
      <c r="P120" s="175" t="str">
        <f t="shared" si="14"/>
        <v>１２３４５６７８９０１２３４５６７８９０意識が無くなるまでしばらくあるよ。_x000D_好きな歌でも口ずさんで待つんだね</v>
      </c>
      <c r="Q120" s="176">
        <f t="shared" si="15"/>
        <v>34</v>
      </c>
    </row>
    <row r="121" spans="1:17" ht="31" x14ac:dyDescent="0.2">
      <c r="A121" s="79" t="s">
        <v>419</v>
      </c>
      <c r="B121" s="80">
        <f>floors!$C$2</f>
        <v>39013</v>
      </c>
      <c r="C121" s="251" t="str">
        <f ca="1">VLOOKUP($B121,OFFSET([2]quests!$A$1,0,0,COUNTA([2]quests!$A:$A),MATCH(C$1,[2]quests!$1:$1,0)-MATCH($B$1,[2]quests!$1:$1,0)+1),MATCH(C$1,[2]quests!$1:$1,0)-MATCH($B$1,[2]quests!$1:$1,0)+1,FALSE)</f>
        <v>兄左</v>
      </c>
      <c r="D121" s="251" t="str">
        <f ca="1">VLOOKUP($B121,OFFSET([2]quests!$A$1,0,0,COUNTA([2]quests!$A:$A),MATCH(D$1,[2]quests!$1:$1,0)-MATCH($B$1,[2]quests!$1:$1,0)+1),MATCH(D$1,[2]quests!$1:$1,0)-MATCH($B$1,[2]quests!$1:$1,0)+1,FALSE)</f>
        <v>コラボクエスト</v>
      </c>
      <c r="E121" s="82">
        <v>1</v>
      </c>
      <c r="F121" s="251" t="str">
        <f ca="1">VLOOKUP($B121&amp;"_"&amp;$E121,OFFSET([2]stages!$A$1,0,0,COUNTA([2]stages!$A:$A),MATCH(F$1,[2]stages!$2:$2,0)-MATCH("temp_stage",[2]stages!$2:$2,0)+1),MATCH(F$1,[2]stages!$2:$2,0)-MATCH("temp_stage",[2]stages!$2:$2,0)+1,FALSE)</f>
        <v>【初級】兄左</v>
      </c>
      <c r="G121" s="251" t="str">
        <f ca="1">VLOOKUP($B121&amp;"_"&amp;$E121,OFFSET([2]stages!$A$1,0,0,COUNTA([2]stages!$A:$A),MATCH(G$1,[2]stages!$2:$2,0)-MATCH("temp_stage",[2]stages!$2:$2,0)+1),MATCH(G$1,[2]stages!$2:$2,0)-MATCH("temp_stage",[2]stages!$2:$2,0)+1,FALSE)</f>
        <v>コラボクエスト</v>
      </c>
      <c r="H121" s="252">
        <v>0</v>
      </c>
      <c r="I121" s="87">
        <f t="shared" si="0"/>
        <v>120</v>
      </c>
      <c r="J121" s="84" t="str">
        <f t="shared" si="13"/>
        <v>39013120</v>
      </c>
      <c r="K121" s="220" t="s">
        <v>127</v>
      </c>
      <c r="L121" s="221" t="s">
        <v>497</v>
      </c>
      <c r="M121" s="222" t="s">
        <v>498</v>
      </c>
      <c r="N121" s="223" t="s">
        <v>462</v>
      </c>
      <c r="O121" s="223">
        <v>1574</v>
      </c>
      <c r="P121" s="175" t="str">
        <f t="shared" si="14"/>
        <v>１２３４５６７８９０１２３４５６７８９０おやすみなさい。百万回のごきげんよう…</v>
      </c>
      <c r="Q121" s="176">
        <f t="shared" si="15"/>
        <v>19</v>
      </c>
    </row>
    <row r="122" spans="1:17" ht="61" x14ac:dyDescent="0.2">
      <c r="A122" s="79" t="s">
        <v>419</v>
      </c>
      <c r="B122" s="80">
        <f>floors!$C$2</f>
        <v>39013</v>
      </c>
      <c r="C122" s="251" t="str">
        <f ca="1">VLOOKUP($B122,OFFSET([2]quests!$A$1,0,0,COUNTA([2]quests!$A:$A),MATCH(C$1,[2]quests!$1:$1,0)-MATCH($B$1,[2]quests!$1:$1,0)+1),MATCH(C$1,[2]quests!$1:$1,0)-MATCH($B$1,[2]quests!$1:$1,0)+1,FALSE)</f>
        <v>兄左</v>
      </c>
      <c r="D122" s="251" t="str">
        <f ca="1">VLOOKUP($B122,OFFSET([2]quests!$A$1,0,0,COUNTA([2]quests!$A:$A),MATCH(D$1,[2]quests!$1:$1,0)-MATCH($B$1,[2]quests!$1:$1,0)+1),MATCH(D$1,[2]quests!$1:$1,0)-MATCH($B$1,[2]quests!$1:$1,0)+1,FALSE)</f>
        <v>コラボクエスト</v>
      </c>
      <c r="E122" s="82">
        <v>1</v>
      </c>
      <c r="F122" s="251" t="str">
        <f ca="1">VLOOKUP($B122&amp;"_"&amp;$E122,OFFSET([2]stages!$A$1,0,0,COUNTA([2]stages!$A:$A),MATCH(F$1,[2]stages!$2:$2,0)-MATCH("temp_stage",[2]stages!$2:$2,0)+1),MATCH(F$1,[2]stages!$2:$2,0)-MATCH("temp_stage",[2]stages!$2:$2,0)+1,FALSE)</f>
        <v>【初級】兄左</v>
      </c>
      <c r="G122" s="251" t="str">
        <f ca="1">VLOOKUP($B122&amp;"_"&amp;$E122,OFFSET([2]stages!$A$1,0,0,COUNTA([2]stages!$A:$A),MATCH(G$1,[2]stages!$2:$2,0)-MATCH("temp_stage",[2]stages!$2:$2,0)+1),MATCH(G$1,[2]stages!$2:$2,0)-MATCH("temp_stage",[2]stages!$2:$2,0)+1,FALSE)</f>
        <v>コラボクエスト</v>
      </c>
      <c r="H122" s="252">
        <v>0</v>
      </c>
      <c r="I122" s="87">
        <f t="shared" si="0"/>
        <v>121</v>
      </c>
      <c r="J122" s="84" t="str">
        <f t="shared" si="13"/>
        <v>39013121</v>
      </c>
      <c r="K122" s="220" t="s">
        <v>127</v>
      </c>
      <c r="L122" s="221" t="s">
        <v>499</v>
      </c>
      <c r="M122" s="222" t="s">
        <v>500</v>
      </c>
      <c r="N122" s="223" t="s">
        <v>462</v>
      </c>
      <c r="O122" s="223">
        <v>1575</v>
      </c>
      <c r="P122" s="175" t="str">
        <f t="shared" si="14"/>
        <v>１２３４５６７８９０１２３４５６７８９０いい試合でした。_x000D_私もつい本気になってしまったようです！_x000D_ハッハッハ！！</v>
      </c>
      <c r="Q122" s="176">
        <f t="shared" si="15"/>
        <v>36</v>
      </c>
    </row>
    <row r="123" spans="1:17" ht="46" x14ac:dyDescent="0.2">
      <c r="A123" s="79" t="s">
        <v>419</v>
      </c>
      <c r="B123" s="80">
        <f>floors!$C$2</f>
        <v>39013</v>
      </c>
      <c r="C123" s="251" t="str">
        <f ca="1">VLOOKUP($B123,OFFSET([2]quests!$A$1,0,0,COUNTA([2]quests!$A:$A),MATCH(C$1,[2]quests!$1:$1,0)-MATCH($B$1,[2]quests!$1:$1,0)+1),MATCH(C$1,[2]quests!$1:$1,0)-MATCH($B$1,[2]quests!$1:$1,0)+1,FALSE)</f>
        <v>兄左</v>
      </c>
      <c r="D123" s="251" t="str">
        <f ca="1">VLOOKUP($B123,OFFSET([2]quests!$A$1,0,0,COUNTA([2]quests!$A:$A),MATCH(D$1,[2]quests!$1:$1,0)-MATCH($B$1,[2]quests!$1:$1,0)+1),MATCH(D$1,[2]quests!$1:$1,0)-MATCH($B$1,[2]quests!$1:$1,0)+1,FALSE)</f>
        <v>コラボクエスト</v>
      </c>
      <c r="E123" s="82">
        <v>1</v>
      </c>
      <c r="F123" s="251" t="str">
        <f ca="1">VLOOKUP($B123&amp;"_"&amp;$E123,OFFSET([2]stages!$A$1,0,0,COUNTA([2]stages!$A:$A),MATCH(F$1,[2]stages!$2:$2,0)-MATCH("temp_stage",[2]stages!$2:$2,0)+1),MATCH(F$1,[2]stages!$2:$2,0)-MATCH("temp_stage",[2]stages!$2:$2,0)+1,FALSE)</f>
        <v>【初級】兄左</v>
      </c>
      <c r="G123" s="251" t="str">
        <f ca="1">VLOOKUP($B123&amp;"_"&amp;$E123,OFFSET([2]stages!$A$1,0,0,COUNTA([2]stages!$A:$A),MATCH(G$1,[2]stages!$2:$2,0)-MATCH("temp_stage",[2]stages!$2:$2,0)+1),MATCH(G$1,[2]stages!$2:$2,0)-MATCH("temp_stage",[2]stages!$2:$2,0)+1,FALSE)</f>
        <v>コラボクエスト</v>
      </c>
      <c r="H123" s="252">
        <v>0</v>
      </c>
      <c r="I123" s="87">
        <f t="shared" si="0"/>
        <v>122</v>
      </c>
      <c r="J123" s="84" t="str">
        <f t="shared" si="13"/>
        <v>39013122</v>
      </c>
      <c r="K123" s="220" t="s">
        <v>127</v>
      </c>
      <c r="L123" s="221" t="s">
        <v>501</v>
      </c>
      <c r="M123" s="222" t="s">
        <v>502</v>
      </c>
      <c r="N123" s="223" t="s">
        <v>462</v>
      </c>
      <c r="O123" s="223">
        <v>1577</v>
      </c>
      <c r="P123" s="175" t="str">
        <f t="shared" si="14"/>
        <v>１２３４５６７８９０１２３４５６７８９０ってゆっかー、じぶんらよわすぎぃー、_x000D_みたいなぁーでヤンスぅー</v>
      </c>
      <c r="Q123" s="176">
        <f t="shared" si="15"/>
        <v>31</v>
      </c>
    </row>
    <row r="124" spans="1:17" ht="61" x14ac:dyDescent="0.2">
      <c r="A124" s="79" t="s">
        <v>419</v>
      </c>
      <c r="B124" s="80">
        <f>floors!$C$2</f>
        <v>39013</v>
      </c>
      <c r="C124" s="251" t="str">
        <f ca="1">VLOOKUP($B124,OFFSET([2]quests!$A$1,0,0,COUNTA([2]quests!$A:$A),MATCH(C$1,[2]quests!$1:$1,0)-MATCH($B$1,[2]quests!$1:$1,0)+1),MATCH(C$1,[2]quests!$1:$1,0)-MATCH($B$1,[2]quests!$1:$1,0)+1,FALSE)</f>
        <v>兄左</v>
      </c>
      <c r="D124" s="251" t="str">
        <f ca="1">VLOOKUP($B124,OFFSET([2]quests!$A$1,0,0,COUNTA([2]quests!$A:$A),MATCH(D$1,[2]quests!$1:$1,0)-MATCH($B$1,[2]quests!$1:$1,0)+1),MATCH(D$1,[2]quests!$1:$1,0)-MATCH($B$1,[2]quests!$1:$1,0)+1,FALSE)</f>
        <v>コラボクエスト</v>
      </c>
      <c r="E124" s="82">
        <v>1</v>
      </c>
      <c r="F124" s="251" t="str">
        <f ca="1">VLOOKUP($B124&amp;"_"&amp;$E124,OFFSET([2]stages!$A$1,0,0,COUNTA([2]stages!$A:$A),MATCH(F$1,[2]stages!$2:$2,0)-MATCH("temp_stage",[2]stages!$2:$2,0)+1),MATCH(F$1,[2]stages!$2:$2,0)-MATCH("temp_stage",[2]stages!$2:$2,0)+1,FALSE)</f>
        <v>【初級】兄左</v>
      </c>
      <c r="G124" s="251" t="str">
        <f ca="1">VLOOKUP($B124&amp;"_"&amp;$E124,OFFSET([2]stages!$A$1,0,0,COUNTA([2]stages!$A:$A),MATCH(G$1,[2]stages!$2:$2,0)-MATCH("temp_stage",[2]stages!$2:$2,0)+1),MATCH(G$1,[2]stages!$2:$2,0)-MATCH("temp_stage",[2]stages!$2:$2,0)+1,FALSE)</f>
        <v>コラボクエスト</v>
      </c>
      <c r="H124" s="252">
        <v>0</v>
      </c>
      <c r="I124" s="87">
        <f t="shared" si="0"/>
        <v>123</v>
      </c>
      <c r="J124" s="84" t="str">
        <f t="shared" si="13"/>
        <v>39013123</v>
      </c>
      <c r="K124" s="220" t="s">
        <v>127</v>
      </c>
      <c r="L124" s="221" t="s">
        <v>503</v>
      </c>
      <c r="M124" s="222" t="s">
        <v>504</v>
      </c>
      <c r="N124" s="223" t="s">
        <v>462</v>
      </c>
      <c r="O124" s="223">
        <v>1578</v>
      </c>
      <c r="P124" s="175" t="str">
        <f t="shared" si="14"/>
        <v>１２３４５６７８９０１２３４５６７８９０なんでぇ。_x000D_もう、オレのオモチャが壊れちまったぜ！！_x000D_面白くねえな！</v>
      </c>
      <c r="Q124" s="176">
        <f t="shared" si="15"/>
        <v>34</v>
      </c>
    </row>
    <row r="125" spans="1:17" ht="46" x14ac:dyDescent="0.2">
      <c r="A125" s="79" t="s">
        <v>419</v>
      </c>
      <c r="B125" s="80">
        <f>floors!$C$2</f>
        <v>39013</v>
      </c>
      <c r="C125" s="251" t="str">
        <f ca="1">VLOOKUP($B125,OFFSET([2]quests!$A$1,0,0,COUNTA([2]quests!$A:$A),MATCH(C$1,[2]quests!$1:$1,0)-MATCH($B$1,[2]quests!$1:$1,0)+1),MATCH(C$1,[2]quests!$1:$1,0)-MATCH($B$1,[2]quests!$1:$1,0)+1,FALSE)</f>
        <v>兄左</v>
      </c>
      <c r="D125" s="251" t="str">
        <f ca="1">VLOOKUP($B125,OFFSET([2]quests!$A$1,0,0,COUNTA([2]quests!$A:$A),MATCH(D$1,[2]quests!$1:$1,0)-MATCH($B$1,[2]quests!$1:$1,0)+1),MATCH(D$1,[2]quests!$1:$1,0)-MATCH($B$1,[2]quests!$1:$1,0)+1,FALSE)</f>
        <v>コラボクエスト</v>
      </c>
      <c r="E125" s="82">
        <v>1</v>
      </c>
      <c r="F125" s="251" t="str">
        <f ca="1">VLOOKUP($B125&amp;"_"&amp;$E125,OFFSET([2]stages!$A$1,0,0,COUNTA([2]stages!$A:$A),MATCH(F$1,[2]stages!$2:$2,0)-MATCH("temp_stage",[2]stages!$2:$2,0)+1),MATCH(F$1,[2]stages!$2:$2,0)-MATCH("temp_stage",[2]stages!$2:$2,0)+1,FALSE)</f>
        <v>【初級】兄左</v>
      </c>
      <c r="G125" s="251" t="str">
        <f ca="1">VLOOKUP($B125&amp;"_"&amp;$E125,OFFSET([2]stages!$A$1,0,0,COUNTA([2]stages!$A:$A),MATCH(G$1,[2]stages!$2:$2,0)-MATCH("temp_stage",[2]stages!$2:$2,0)+1),MATCH(G$1,[2]stages!$2:$2,0)-MATCH("temp_stage",[2]stages!$2:$2,0)+1,FALSE)</f>
        <v>コラボクエスト</v>
      </c>
      <c r="H125" s="252">
        <v>0</v>
      </c>
      <c r="I125" s="87">
        <f t="shared" si="0"/>
        <v>124</v>
      </c>
      <c r="J125" s="84" t="str">
        <f t="shared" si="13"/>
        <v>39013124</v>
      </c>
      <c r="K125" s="220" t="s">
        <v>127</v>
      </c>
      <c r="L125" s="221" t="s">
        <v>505</v>
      </c>
      <c r="M125" s="222" t="s">
        <v>506</v>
      </c>
      <c r="N125" s="223" t="s">
        <v>462</v>
      </c>
      <c r="O125" s="223">
        <v>1584</v>
      </c>
      <c r="P125" s="175" t="str">
        <f t="shared" si="14"/>
        <v>１２３４５６７８９０１２３４５６７８９０いちいちシャクに触る野郎だなぁ！_x000D_沈めるぞ！！</v>
      </c>
      <c r="Q125" s="176">
        <f t="shared" si="15"/>
        <v>23</v>
      </c>
    </row>
  </sheetData>
  <phoneticPr fontId="5"/>
  <dataValidations count="1">
    <dataValidation type="list" allowBlank="1" showInputMessage="1" showErrorMessage="1" sqref="A2:A1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212</v>
      </c>
      <c r="B1" s="92" t="s">
        <v>213</v>
      </c>
      <c r="C1" s="75" t="s">
        <v>214</v>
      </c>
      <c r="D1" s="75" t="s">
        <v>33</v>
      </c>
      <c r="E1" s="92" t="s">
        <v>215</v>
      </c>
      <c r="F1" s="75" t="s">
        <v>216</v>
      </c>
      <c r="G1" s="75" t="s">
        <v>33</v>
      </c>
      <c r="H1" s="92" t="s">
        <v>217</v>
      </c>
      <c r="I1" s="92" t="s">
        <v>218</v>
      </c>
      <c r="J1" s="92" t="s">
        <v>219</v>
      </c>
      <c r="K1" s="71" t="s">
        <v>220</v>
      </c>
      <c r="L1" s="71" t="s">
        <v>221</v>
      </c>
      <c r="M1" s="71" t="s">
        <v>156</v>
      </c>
      <c r="N1" s="75" t="s">
        <v>16</v>
      </c>
      <c r="O1" s="71" t="s">
        <v>222</v>
      </c>
      <c r="P1" s="71" t="s">
        <v>57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93" t="str">
        <f>B2&amp;"_"&amp;E2&amp;"_"&amp;H2&amp;"_"&amp;I2&amp;"_"&amp;J2</f>
        <v>39013_4_everyone_full_member_1</v>
      </c>
      <c r="B2" s="80">
        <v>39013</v>
      </c>
      <c r="C2" s="81" t="str">
        <f ca="1">VLOOKUP($B2,OFFSET([2]quests!$A$1,0,0,COUNTA([2]quests!$A:$A),MATCH(C$1,[2]quests!$1:$1,0)-MATCH($B$1,[2]quests!$1:$1,0)+1),MATCH(C$1,[2]quests!$1:$1,0)-MATCH($B$1,[2]quests!$1:$1,0)+1,FALSE)</f>
        <v>兄左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【超級】兄左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3" t="s">
        <v>226</v>
      </c>
      <c r="I2" s="82" t="s">
        <v>458</v>
      </c>
      <c r="J2" s="82">
        <v>1</v>
      </c>
      <c r="K2" s="82">
        <v>100</v>
      </c>
      <c r="L2" s="82" t="s">
        <v>227</v>
      </c>
      <c r="M2" s="82">
        <v>1584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Sirius01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228</v>
      </c>
      <c r="X2" s="96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2017-06-01T03:16:41Z</dcterms:modified>
</cp:coreProperties>
</file>