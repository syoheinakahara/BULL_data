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740" yWindow="1240" windowWidth="29500" windowHeight="175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4" i="10" l="1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G75" i="9"/>
  <c r="H75" i="9"/>
  <c r="I75" i="9"/>
  <c r="J75" i="9"/>
  <c r="K75" i="9"/>
  <c r="L75" i="9"/>
  <c r="M75" i="9"/>
  <c r="N75" i="9"/>
  <c r="G76" i="9"/>
  <c r="H76" i="9"/>
  <c r="I76" i="9"/>
  <c r="J76" i="9"/>
  <c r="K76" i="9"/>
  <c r="L76" i="9"/>
  <c r="M76" i="9"/>
  <c r="N76" i="9"/>
  <c r="G77" i="9"/>
  <c r="H77" i="9"/>
  <c r="I77" i="9"/>
  <c r="J77" i="9"/>
  <c r="K77" i="9"/>
  <c r="L77" i="9"/>
  <c r="M77" i="9"/>
  <c r="N77" i="9"/>
  <c r="G78" i="9"/>
  <c r="H78" i="9"/>
  <c r="I78" i="9"/>
  <c r="J78" i="9"/>
  <c r="K78" i="9"/>
  <c r="L78" i="9"/>
  <c r="M78" i="9"/>
  <c r="N78" i="9"/>
  <c r="G79" i="9"/>
  <c r="H79" i="9"/>
  <c r="I79" i="9"/>
  <c r="J79" i="9"/>
  <c r="K79" i="9"/>
  <c r="L79" i="9"/>
  <c r="M79" i="9"/>
  <c r="N79" i="9"/>
  <c r="G80" i="9"/>
  <c r="H80" i="9"/>
  <c r="I80" i="9"/>
  <c r="J80" i="9"/>
  <c r="K80" i="9"/>
  <c r="L80" i="9"/>
  <c r="M80" i="9"/>
  <c r="N80" i="9"/>
  <c r="G81" i="9"/>
  <c r="H81" i="9"/>
  <c r="I81" i="9"/>
  <c r="J81" i="9"/>
  <c r="K81" i="9"/>
  <c r="L81" i="9"/>
  <c r="M81" i="9"/>
  <c r="N81" i="9"/>
  <c r="G82" i="9"/>
  <c r="H82" i="9"/>
  <c r="I82" i="9"/>
  <c r="J82" i="9"/>
  <c r="K82" i="9"/>
  <c r="L82" i="9"/>
  <c r="M82" i="9"/>
  <c r="N82" i="9"/>
  <c r="G83" i="9"/>
  <c r="H83" i="9"/>
  <c r="I83" i="9"/>
  <c r="J83" i="9"/>
  <c r="K83" i="9"/>
  <c r="L83" i="9"/>
  <c r="M83" i="9"/>
  <c r="N83" i="9"/>
  <c r="G84" i="9"/>
  <c r="H84" i="9"/>
  <c r="I84" i="9"/>
  <c r="J84" i="9"/>
  <c r="K84" i="9"/>
  <c r="L84" i="9"/>
  <c r="M84" i="9"/>
  <c r="N84" i="9"/>
  <c r="G85" i="9"/>
  <c r="H85" i="9"/>
  <c r="I85" i="9"/>
  <c r="J85" i="9"/>
  <c r="K85" i="9"/>
  <c r="L85" i="9"/>
  <c r="M85" i="9"/>
  <c r="N85" i="9"/>
  <c r="G86" i="9"/>
  <c r="H86" i="9"/>
  <c r="I86" i="9"/>
  <c r="J86" i="9"/>
  <c r="K86" i="9"/>
  <c r="L86" i="9"/>
  <c r="M86" i="9"/>
  <c r="N86" i="9"/>
  <c r="G87" i="9"/>
  <c r="H87" i="9"/>
  <c r="I87" i="9"/>
  <c r="J87" i="9"/>
  <c r="K87" i="9"/>
  <c r="L87" i="9"/>
  <c r="M87" i="9"/>
  <c r="N87" i="9"/>
  <c r="G88" i="9"/>
  <c r="H88" i="9"/>
  <c r="I88" i="9"/>
  <c r="J88" i="9"/>
  <c r="K88" i="9"/>
  <c r="L88" i="9"/>
  <c r="M88" i="9"/>
  <c r="N88" i="9"/>
  <c r="G89" i="9"/>
  <c r="H89" i="9"/>
  <c r="I89" i="9"/>
  <c r="J89" i="9"/>
  <c r="K89" i="9"/>
  <c r="L89" i="9"/>
  <c r="M89" i="9"/>
  <c r="N89" i="9"/>
  <c r="G90" i="9"/>
  <c r="H90" i="9"/>
  <c r="I90" i="9"/>
  <c r="J90" i="9"/>
  <c r="K90" i="9"/>
  <c r="L90" i="9"/>
  <c r="M90" i="9"/>
  <c r="N90" i="9"/>
  <c r="G91" i="9"/>
  <c r="H91" i="9"/>
  <c r="I91" i="9"/>
  <c r="J91" i="9"/>
  <c r="K91" i="9"/>
  <c r="L91" i="9"/>
  <c r="M91" i="9"/>
  <c r="N91" i="9"/>
  <c r="G92" i="9"/>
  <c r="H92" i="9"/>
  <c r="I92" i="9"/>
  <c r="J92" i="9"/>
  <c r="K92" i="9"/>
  <c r="L92" i="9"/>
  <c r="M92" i="9"/>
  <c r="N92" i="9"/>
  <c r="G93" i="9"/>
  <c r="H93" i="9"/>
  <c r="I93" i="9"/>
  <c r="J93" i="9"/>
  <c r="K93" i="9"/>
  <c r="L93" i="9"/>
  <c r="M93" i="9"/>
  <c r="N93" i="9"/>
  <c r="G94" i="9"/>
  <c r="H94" i="9"/>
  <c r="I94" i="9"/>
  <c r="J94" i="9"/>
  <c r="K94" i="9"/>
  <c r="L94" i="9"/>
  <c r="M94" i="9"/>
  <c r="N94" i="9"/>
  <c r="G95" i="9"/>
  <c r="H95" i="9"/>
  <c r="I95" i="9"/>
  <c r="J95" i="9"/>
  <c r="K95" i="9"/>
  <c r="L95" i="9"/>
  <c r="M95" i="9"/>
  <c r="N95" i="9"/>
  <c r="G96" i="9"/>
  <c r="H96" i="9"/>
  <c r="I96" i="9"/>
  <c r="J96" i="9"/>
  <c r="K96" i="9"/>
  <c r="L96" i="9"/>
  <c r="M96" i="9"/>
  <c r="N96" i="9"/>
  <c r="G97" i="9"/>
  <c r="H97" i="9"/>
  <c r="I97" i="9"/>
  <c r="J97" i="9"/>
  <c r="K97" i="9"/>
  <c r="L97" i="9"/>
  <c r="M97" i="9"/>
  <c r="N97" i="9"/>
  <c r="G98" i="9"/>
  <c r="H98" i="9"/>
  <c r="I98" i="9"/>
  <c r="J98" i="9"/>
  <c r="K98" i="9"/>
  <c r="L98" i="9"/>
  <c r="M98" i="9"/>
  <c r="N98" i="9"/>
  <c r="G99" i="9"/>
  <c r="H99" i="9"/>
  <c r="I99" i="9"/>
  <c r="J99" i="9"/>
  <c r="K99" i="9"/>
  <c r="L99" i="9"/>
  <c r="M99" i="9"/>
  <c r="N99" i="9"/>
  <c r="G100" i="9"/>
  <c r="H100" i="9"/>
  <c r="I100" i="9"/>
  <c r="J100" i="9"/>
  <c r="K100" i="9"/>
  <c r="L100" i="9"/>
  <c r="M100" i="9"/>
  <c r="N100" i="9"/>
  <c r="G101" i="9"/>
  <c r="H101" i="9"/>
  <c r="I101" i="9"/>
  <c r="J101" i="9"/>
  <c r="K101" i="9"/>
  <c r="L101" i="9"/>
  <c r="M101" i="9"/>
  <c r="N101" i="9"/>
  <c r="G102" i="9"/>
  <c r="H102" i="9"/>
  <c r="I102" i="9"/>
  <c r="J102" i="9"/>
  <c r="K102" i="9"/>
  <c r="L102" i="9"/>
  <c r="M102" i="9"/>
  <c r="N102" i="9"/>
  <c r="G103" i="9"/>
  <c r="H103" i="9"/>
  <c r="I103" i="9"/>
  <c r="J103" i="9"/>
  <c r="K103" i="9"/>
  <c r="L103" i="9"/>
  <c r="M103" i="9"/>
  <c r="N103" i="9"/>
  <c r="G104" i="9"/>
  <c r="H104" i="9"/>
  <c r="I104" i="9"/>
  <c r="J104" i="9"/>
  <c r="K104" i="9"/>
  <c r="L104" i="9"/>
  <c r="M104" i="9"/>
  <c r="N104" i="9"/>
  <c r="G105" i="9"/>
  <c r="H105" i="9"/>
  <c r="I105" i="9"/>
  <c r="J105" i="9"/>
  <c r="K105" i="9"/>
  <c r="L105" i="9"/>
  <c r="M105" i="9"/>
  <c r="N105" i="9"/>
  <c r="G106" i="9"/>
  <c r="H106" i="9"/>
  <c r="I106" i="9"/>
  <c r="J106" i="9"/>
  <c r="K106" i="9"/>
  <c r="L106" i="9"/>
  <c r="M106" i="9"/>
  <c r="N106" i="9"/>
  <c r="G107" i="9"/>
  <c r="H107" i="9"/>
  <c r="I107" i="9"/>
  <c r="J107" i="9"/>
  <c r="K107" i="9"/>
  <c r="L107" i="9"/>
  <c r="M107" i="9"/>
  <c r="N107" i="9"/>
  <c r="G108" i="9"/>
  <c r="H108" i="9"/>
  <c r="I108" i="9"/>
  <c r="J108" i="9"/>
  <c r="K108" i="9"/>
  <c r="L108" i="9"/>
  <c r="M108" i="9"/>
  <c r="N108" i="9"/>
  <c r="G109" i="9"/>
  <c r="H109" i="9"/>
  <c r="I109" i="9"/>
  <c r="J109" i="9"/>
  <c r="K109" i="9"/>
  <c r="L109" i="9"/>
  <c r="M109" i="9"/>
  <c r="N109" i="9"/>
  <c r="G110" i="9"/>
  <c r="H110" i="9"/>
  <c r="I110" i="9"/>
  <c r="J110" i="9"/>
  <c r="K110" i="9"/>
  <c r="L110" i="9"/>
  <c r="M110" i="9"/>
  <c r="N110" i="9"/>
  <c r="G111" i="9"/>
  <c r="H111" i="9"/>
  <c r="I111" i="9"/>
  <c r="J111" i="9"/>
  <c r="K111" i="9"/>
  <c r="L111" i="9"/>
  <c r="M111" i="9"/>
  <c r="N111" i="9"/>
  <c r="G112" i="9"/>
  <c r="H112" i="9"/>
  <c r="I112" i="9"/>
  <c r="J112" i="9"/>
  <c r="K112" i="9"/>
  <c r="L112" i="9"/>
  <c r="M112" i="9"/>
  <c r="N112" i="9"/>
  <c r="G113" i="9"/>
  <c r="H113" i="9"/>
  <c r="I113" i="9"/>
  <c r="J113" i="9"/>
  <c r="K113" i="9"/>
  <c r="L113" i="9"/>
  <c r="M113" i="9"/>
  <c r="N113" i="9"/>
  <c r="G114" i="9"/>
  <c r="H114" i="9"/>
  <c r="I114" i="9"/>
  <c r="J114" i="9"/>
  <c r="K114" i="9"/>
  <c r="L114" i="9"/>
  <c r="M114" i="9"/>
  <c r="N114" i="9"/>
  <c r="G115" i="9"/>
  <c r="H115" i="9"/>
  <c r="I115" i="9"/>
  <c r="J115" i="9"/>
  <c r="K115" i="9"/>
  <c r="L115" i="9"/>
  <c r="M115" i="9"/>
  <c r="N115" i="9"/>
  <c r="J63" i="11"/>
  <c r="J64" i="11"/>
  <c r="J65" i="11"/>
  <c r="J66" i="11"/>
  <c r="J67" i="11"/>
  <c r="J68" i="11"/>
  <c r="O110" i="9"/>
  <c r="E110" i="9"/>
  <c r="D110" i="9"/>
  <c r="A110" i="9"/>
  <c r="O100" i="9"/>
  <c r="E100" i="9"/>
  <c r="D100" i="9"/>
  <c r="A100" i="9"/>
  <c r="N13" i="22"/>
  <c r="G13" i="22"/>
  <c r="F13" i="22"/>
  <c r="D13" i="22"/>
  <c r="C13" i="22"/>
  <c r="A13" i="22"/>
  <c r="O76" i="9"/>
  <c r="E76" i="9"/>
  <c r="D76" i="9"/>
  <c r="A76" i="9"/>
  <c r="O66" i="9"/>
  <c r="E66" i="9"/>
  <c r="D66" i="9"/>
  <c r="A66" i="9"/>
  <c r="J57" i="11"/>
  <c r="O58" i="9"/>
  <c r="E58" i="9"/>
  <c r="D58" i="9"/>
  <c r="A58" i="9"/>
  <c r="O49" i="9"/>
  <c r="E49" i="9"/>
  <c r="D49" i="9"/>
  <c r="A49" i="9"/>
  <c r="J56" i="11"/>
  <c r="O39" i="9"/>
  <c r="E39" i="9"/>
  <c r="D39" i="9"/>
  <c r="A39" i="9"/>
  <c r="O35" i="9"/>
  <c r="E35" i="9"/>
  <c r="D35" i="9"/>
  <c r="A35" i="9"/>
  <c r="J62" i="11"/>
  <c r="O23" i="9"/>
  <c r="E23" i="9"/>
  <c r="D23" i="9"/>
  <c r="A23" i="9"/>
  <c r="J61" i="11"/>
  <c r="O13" i="9"/>
  <c r="J55" i="11"/>
  <c r="O14" i="9"/>
  <c r="J47" i="11"/>
  <c r="O15" i="9"/>
  <c r="J48" i="11"/>
  <c r="O16" i="9"/>
  <c r="J49" i="11"/>
  <c r="O17" i="9"/>
  <c r="J60" i="11"/>
  <c r="O3" i="9"/>
  <c r="E3" i="9"/>
  <c r="D3" i="9"/>
  <c r="A3" i="9"/>
  <c r="E13" i="9"/>
  <c r="D13" i="9"/>
  <c r="A13" i="9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G2" i="2"/>
  <c r="A2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B2" i="2"/>
  <c r="G3" i="2"/>
  <c r="A3" i="2"/>
  <c r="B3" i="2"/>
  <c r="G4" i="2"/>
  <c r="A4" i="2"/>
  <c r="B4" i="2"/>
  <c r="G5" i="2"/>
  <c r="A5" i="2"/>
  <c r="B5" i="2"/>
  <c r="G6" i="2"/>
  <c r="A6" i="2"/>
  <c r="B6" i="2"/>
  <c r="G7" i="2"/>
  <c r="A7" i="2"/>
  <c r="B7" i="2"/>
  <c r="G8" i="2"/>
  <c r="A8" i="2"/>
  <c r="B8" i="2"/>
  <c r="G9" i="2"/>
  <c r="A9" i="2"/>
  <c r="B9" i="2"/>
  <c r="G10" i="2"/>
  <c r="A10" i="2"/>
  <c r="B10" i="2"/>
  <c r="G11" i="2"/>
  <c r="A11" i="2"/>
  <c r="B11" i="2"/>
  <c r="N12" i="22"/>
  <c r="G12" i="22"/>
  <c r="F12" i="22"/>
  <c r="D12" i="22"/>
  <c r="C12" i="22"/>
  <c r="A12" i="22"/>
  <c r="N11" i="22"/>
  <c r="G11" i="22"/>
  <c r="F11" i="22"/>
  <c r="D11" i="22"/>
  <c r="C11" i="22"/>
  <c r="A11" i="22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N2" i="22"/>
  <c r="G2" i="22"/>
  <c r="F2" i="22"/>
  <c r="D2" i="22"/>
  <c r="C2" i="22"/>
  <c r="A2" i="22"/>
  <c r="I37" i="21"/>
  <c r="J37" i="21"/>
  <c r="G37" i="21"/>
  <c r="F37" i="21"/>
  <c r="D37" i="21"/>
  <c r="C37" i="21"/>
  <c r="I36" i="21"/>
  <c r="J36" i="21"/>
  <c r="G36" i="21"/>
  <c r="F36" i="21"/>
  <c r="D36" i="21"/>
  <c r="C36" i="21"/>
  <c r="I35" i="21"/>
  <c r="J35" i="21"/>
  <c r="G35" i="21"/>
  <c r="F35" i="21"/>
  <c r="D35" i="21"/>
  <c r="C35" i="21"/>
  <c r="I34" i="21"/>
  <c r="J34" i="21"/>
  <c r="G34" i="21"/>
  <c r="F34" i="21"/>
  <c r="D34" i="21"/>
  <c r="C34" i="21"/>
  <c r="I33" i="21"/>
  <c r="J33" i="21"/>
  <c r="G33" i="21"/>
  <c r="F33" i="21"/>
  <c r="D33" i="21"/>
  <c r="C33" i="21"/>
  <c r="I32" i="21"/>
  <c r="J32" i="21"/>
  <c r="G32" i="21"/>
  <c r="F32" i="21"/>
  <c r="D32" i="21"/>
  <c r="C32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50" i="11"/>
  <c r="J51" i="11"/>
  <c r="J52" i="11"/>
  <c r="J53" i="11"/>
  <c r="J54" i="11"/>
  <c r="J58" i="11"/>
  <c r="J59" i="11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E7" i="9"/>
  <c r="O7" i="9"/>
  <c r="A8" i="9"/>
  <c r="D8" i="9"/>
  <c r="E8" i="9"/>
  <c r="O8" i="9"/>
  <c r="A9" i="9"/>
  <c r="D9" i="9"/>
  <c r="E9" i="9"/>
  <c r="O9" i="9"/>
  <c r="A10" i="9"/>
  <c r="D10" i="9"/>
  <c r="E10" i="9"/>
  <c r="O10" i="9"/>
  <c r="A11" i="9"/>
  <c r="D11" i="9"/>
  <c r="E11" i="9"/>
  <c r="O11" i="9"/>
  <c r="A12" i="9"/>
  <c r="D12" i="9"/>
  <c r="E12" i="9"/>
  <c r="O12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O18" i="9"/>
  <c r="A19" i="9"/>
  <c r="D19" i="9"/>
  <c r="E19" i="9"/>
  <c r="O19" i="9"/>
  <c r="A20" i="9"/>
  <c r="D20" i="9"/>
  <c r="E20" i="9"/>
  <c r="O20" i="9"/>
  <c r="A21" i="9"/>
  <c r="D21" i="9"/>
  <c r="E21" i="9"/>
  <c r="O21" i="9"/>
  <c r="A22" i="9"/>
  <c r="D22" i="9"/>
  <c r="E22" i="9"/>
  <c r="O22" i="9"/>
  <c r="A24" i="9"/>
  <c r="D24" i="9"/>
  <c r="E24" i="9"/>
  <c r="O24" i="9"/>
  <c r="A25" i="9"/>
  <c r="D25" i="9"/>
  <c r="E25" i="9"/>
  <c r="O25" i="9"/>
  <c r="A26" i="9"/>
  <c r="D26" i="9"/>
  <c r="E26" i="9"/>
  <c r="O26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33" i="9"/>
  <c r="D33" i="9"/>
  <c r="E33" i="9"/>
  <c r="O33" i="9"/>
  <c r="A34" i="9"/>
  <c r="D34" i="9"/>
  <c r="E34" i="9"/>
  <c r="O34" i="9"/>
  <c r="A36" i="9"/>
  <c r="D36" i="9"/>
  <c r="E36" i="9"/>
  <c r="O36" i="9"/>
  <c r="A37" i="9"/>
  <c r="D37" i="9"/>
  <c r="E37" i="9"/>
  <c r="O37" i="9"/>
  <c r="A38" i="9"/>
  <c r="D38" i="9"/>
  <c r="E38" i="9"/>
  <c r="O38" i="9"/>
  <c r="A40" i="9"/>
  <c r="D40" i="9"/>
  <c r="E40" i="9"/>
  <c r="O40" i="9"/>
  <c r="A42" i="9"/>
  <c r="D42" i="9"/>
  <c r="E42" i="9"/>
  <c r="O42" i="9"/>
  <c r="A41" i="9"/>
  <c r="D41" i="9"/>
  <c r="E41" i="9"/>
  <c r="O41" i="9"/>
  <c r="A43" i="9"/>
  <c r="D43" i="9"/>
  <c r="E43" i="9"/>
  <c r="O43" i="9"/>
  <c r="A44" i="9"/>
  <c r="D44" i="9"/>
  <c r="E44" i="9"/>
  <c r="O44" i="9"/>
  <c r="A45" i="9"/>
  <c r="D45" i="9"/>
  <c r="E45" i="9"/>
  <c r="O45" i="9"/>
  <c r="A46" i="9"/>
  <c r="D46" i="9"/>
  <c r="E46" i="9"/>
  <c r="O46" i="9"/>
  <c r="A47" i="9"/>
  <c r="D47" i="9"/>
  <c r="E47" i="9"/>
  <c r="O47" i="9"/>
  <c r="A48" i="9"/>
  <c r="D48" i="9"/>
  <c r="E48" i="9"/>
  <c r="O48" i="9"/>
  <c r="A50" i="9"/>
  <c r="D50" i="9"/>
  <c r="E50" i="9"/>
  <c r="O50" i="9"/>
  <c r="A51" i="9"/>
  <c r="D51" i="9"/>
  <c r="E51" i="9"/>
  <c r="O51" i="9"/>
  <c r="A52" i="9"/>
  <c r="D52" i="9"/>
  <c r="E52" i="9"/>
  <c r="O52" i="9"/>
  <c r="A53" i="9"/>
  <c r="D53" i="9"/>
  <c r="E53" i="9"/>
  <c r="O53" i="9"/>
  <c r="A54" i="9"/>
  <c r="D54" i="9"/>
  <c r="E54" i="9"/>
  <c r="O54" i="9"/>
  <c r="A55" i="9"/>
  <c r="D55" i="9"/>
  <c r="E55" i="9"/>
  <c r="O55" i="9"/>
  <c r="A56" i="9"/>
  <c r="D56" i="9"/>
  <c r="E56" i="9"/>
  <c r="O56" i="9"/>
  <c r="A57" i="9"/>
  <c r="D57" i="9"/>
  <c r="E57" i="9"/>
  <c r="O57" i="9"/>
  <c r="A59" i="9"/>
  <c r="D59" i="9"/>
  <c r="E59" i="9"/>
  <c r="O59" i="9"/>
  <c r="A60" i="9"/>
  <c r="D60" i="9"/>
  <c r="E60" i="9"/>
  <c r="O60" i="9"/>
  <c r="A61" i="9"/>
  <c r="D61" i="9"/>
  <c r="E61" i="9"/>
  <c r="O61" i="9"/>
  <c r="A62" i="9"/>
  <c r="D62" i="9"/>
  <c r="E62" i="9"/>
  <c r="O62" i="9"/>
  <c r="A63" i="9"/>
  <c r="D63" i="9"/>
  <c r="E63" i="9"/>
  <c r="O63" i="9"/>
  <c r="A64" i="9"/>
  <c r="D64" i="9"/>
  <c r="E64" i="9"/>
  <c r="O64" i="9"/>
  <c r="A65" i="9"/>
  <c r="D65" i="9"/>
  <c r="E65" i="9"/>
  <c r="O65" i="9"/>
  <c r="A67" i="9"/>
  <c r="D67" i="9"/>
  <c r="E67" i="9"/>
  <c r="O67" i="9"/>
  <c r="A68" i="9"/>
  <c r="D68" i="9"/>
  <c r="E68" i="9"/>
  <c r="O68" i="9"/>
  <c r="A69" i="9"/>
  <c r="D69" i="9"/>
  <c r="E69" i="9"/>
  <c r="O69" i="9"/>
  <c r="A70" i="9"/>
  <c r="D70" i="9"/>
  <c r="E70" i="9"/>
  <c r="O70" i="9"/>
  <c r="A71" i="9"/>
  <c r="D71" i="9"/>
  <c r="E71" i="9"/>
  <c r="O71" i="9"/>
  <c r="A72" i="9"/>
  <c r="D72" i="9"/>
  <c r="E72" i="9"/>
  <c r="O72" i="9"/>
  <c r="A73" i="9"/>
  <c r="D73" i="9"/>
  <c r="E73" i="9"/>
  <c r="O73" i="9"/>
  <c r="A74" i="9"/>
  <c r="D74" i="9"/>
  <c r="E74" i="9"/>
  <c r="O74" i="9"/>
  <c r="A75" i="9"/>
  <c r="D75" i="9"/>
  <c r="E75" i="9"/>
  <c r="O75" i="9"/>
  <c r="A77" i="9"/>
  <c r="D77" i="9"/>
  <c r="E77" i="9"/>
  <c r="O77" i="9"/>
  <c r="A78" i="9"/>
  <c r="D78" i="9"/>
  <c r="E78" i="9"/>
  <c r="O78" i="9"/>
  <c r="A79" i="9"/>
  <c r="D79" i="9"/>
  <c r="E79" i="9"/>
  <c r="O79" i="9"/>
  <c r="A80" i="9"/>
  <c r="D80" i="9"/>
  <c r="E80" i="9"/>
  <c r="O80" i="9"/>
  <c r="A81" i="9"/>
  <c r="D81" i="9"/>
  <c r="E81" i="9"/>
  <c r="O81" i="9"/>
  <c r="A82" i="9"/>
  <c r="D82" i="9"/>
  <c r="E82" i="9"/>
  <c r="O82" i="9"/>
  <c r="A83" i="9"/>
  <c r="D83" i="9"/>
  <c r="E83" i="9"/>
  <c r="O83" i="9"/>
  <c r="A84" i="9"/>
  <c r="D84" i="9"/>
  <c r="E84" i="9"/>
  <c r="O84" i="9"/>
  <c r="A85" i="9"/>
  <c r="D85" i="9"/>
  <c r="E85" i="9"/>
  <c r="O85" i="9"/>
  <c r="A86" i="9"/>
  <c r="D86" i="9"/>
  <c r="E86" i="9"/>
  <c r="O86" i="9"/>
  <c r="A87" i="9"/>
  <c r="D87" i="9"/>
  <c r="E87" i="9"/>
  <c r="O87" i="9"/>
  <c r="A88" i="9"/>
  <c r="D88" i="9"/>
  <c r="E88" i="9"/>
  <c r="O88" i="9"/>
  <c r="A89" i="9"/>
  <c r="D89" i="9"/>
  <c r="E89" i="9"/>
  <c r="O89" i="9"/>
  <c r="A90" i="9"/>
  <c r="D90" i="9"/>
  <c r="E90" i="9"/>
  <c r="O90" i="9"/>
  <c r="A91" i="9"/>
  <c r="D91" i="9"/>
  <c r="E91" i="9"/>
  <c r="O91" i="9"/>
  <c r="A92" i="9"/>
  <c r="D92" i="9"/>
  <c r="E92" i="9"/>
  <c r="O92" i="9"/>
  <c r="A93" i="9"/>
  <c r="D93" i="9"/>
  <c r="E93" i="9"/>
  <c r="O93" i="9"/>
  <c r="A94" i="9"/>
  <c r="D94" i="9"/>
  <c r="E94" i="9"/>
  <c r="O94" i="9"/>
  <c r="A95" i="9"/>
  <c r="D95" i="9"/>
  <c r="E95" i="9"/>
  <c r="O95" i="9"/>
  <c r="A96" i="9"/>
  <c r="D96" i="9"/>
  <c r="E96" i="9"/>
  <c r="O96" i="9"/>
  <c r="A97" i="9"/>
  <c r="D97" i="9"/>
  <c r="E97" i="9"/>
  <c r="O97" i="9"/>
  <c r="A98" i="9"/>
  <c r="D98" i="9"/>
  <c r="E98" i="9"/>
  <c r="O98" i="9"/>
  <c r="A99" i="9"/>
  <c r="D99" i="9"/>
  <c r="E99" i="9"/>
  <c r="O99" i="9"/>
  <c r="A101" i="9"/>
  <c r="D101" i="9"/>
  <c r="E101" i="9"/>
  <c r="O101" i="9"/>
  <c r="A102" i="9"/>
  <c r="D102" i="9"/>
  <c r="E102" i="9"/>
  <c r="O102" i="9"/>
  <c r="A103" i="9"/>
  <c r="D103" i="9"/>
  <c r="E103" i="9"/>
  <c r="O103" i="9"/>
  <c r="A104" i="9"/>
  <c r="D104" i="9"/>
  <c r="E104" i="9"/>
  <c r="O104" i="9"/>
  <c r="A105" i="9"/>
  <c r="D105" i="9"/>
  <c r="E105" i="9"/>
  <c r="O105" i="9"/>
  <c r="A106" i="9"/>
  <c r="D106" i="9"/>
  <c r="E106" i="9"/>
  <c r="O106" i="9"/>
  <c r="A107" i="9"/>
  <c r="D107" i="9"/>
  <c r="E107" i="9"/>
  <c r="O107" i="9"/>
  <c r="A108" i="9"/>
  <c r="D108" i="9"/>
  <c r="E108" i="9"/>
  <c r="O108" i="9"/>
  <c r="A109" i="9"/>
  <c r="D109" i="9"/>
  <c r="E109" i="9"/>
  <c r="O109" i="9"/>
  <c r="A111" i="9"/>
  <c r="D111" i="9"/>
  <c r="E111" i="9"/>
  <c r="O111" i="9"/>
  <c r="A112" i="9"/>
  <c r="D112" i="9"/>
  <c r="E112" i="9"/>
  <c r="O112" i="9"/>
  <c r="A113" i="9"/>
  <c r="D113" i="9"/>
  <c r="E113" i="9"/>
  <c r="O113" i="9"/>
  <c r="A114" i="9"/>
  <c r="D114" i="9"/>
  <c r="E114" i="9"/>
  <c r="O114" i="9"/>
  <c r="A115" i="9"/>
  <c r="D115" i="9"/>
  <c r="E115" i="9"/>
  <c r="O115" i="9"/>
  <c r="U2" i="7"/>
  <c r="U3" i="7"/>
  <c r="U4" i="7"/>
  <c r="U5" i="7"/>
  <c r="W5" i="7"/>
  <c r="W4" i="7"/>
  <c r="W3" i="7"/>
  <c r="W2" i="7"/>
  <c r="H5" i="7"/>
  <c r="D5" i="7"/>
  <c r="F5" i="7"/>
  <c r="E5" i="7"/>
  <c r="H4" i="7"/>
  <c r="D4" i="7"/>
  <c r="F4" i="7"/>
  <c r="E4" i="7"/>
  <c r="H3" i="7"/>
  <c r="D3" i="7"/>
  <c r="F3" i="7"/>
  <c r="E3" i="7"/>
  <c r="H2" i="7"/>
  <c r="D2" i="7"/>
  <c r="F2" i="7"/>
  <c r="E2" i="7"/>
  <c r="A3" i="7"/>
  <c r="N3" i="7"/>
  <c r="O3" i="7"/>
  <c r="P3" i="7"/>
  <c r="Q3" i="7"/>
  <c r="R3" i="7"/>
  <c r="A4" i="7"/>
  <c r="N4" i="7"/>
  <c r="O4" i="7"/>
  <c r="P4" i="7"/>
  <c r="Q4" i="7"/>
  <c r="R4" i="7"/>
  <c r="A5" i="7"/>
  <c r="N5" i="7"/>
  <c r="O5" i="7"/>
  <c r="P5" i="7"/>
  <c r="Q5" i="7"/>
  <c r="R5" i="7"/>
  <c r="D19" i="1"/>
  <c r="F19" i="1"/>
  <c r="E19" i="1"/>
  <c r="D18" i="1"/>
  <c r="F18" i="1"/>
  <c r="E18" i="1"/>
  <c r="D17" i="1"/>
  <c r="F17" i="1"/>
  <c r="E17" i="1"/>
  <c r="D16" i="1"/>
  <c r="F16" i="1"/>
  <c r="E16" i="1"/>
  <c r="D15" i="1"/>
  <c r="F15" i="1"/>
  <c r="E15" i="1"/>
  <c r="D14" i="1"/>
  <c r="F14" i="1"/>
  <c r="E14" i="1"/>
  <c r="D13" i="1"/>
  <c r="F13" i="1"/>
  <c r="E13" i="1"/>
  <c r="D12" i="1"/>
  <c r="F12" i="1"/>
  <c r="E12" i="1"/>
  <c r="D11" i="1"/>
  <c r="F11" i="1"/>
  <c r="E11" i="1"/>
  <c r="D10" i="1"/>
  <c r="F10" i="1"/>
  <c r="E10" i="1"/>
  <c r="D9" i="1"/>
  <c r="F9" i="1"/>
  <c r="E9" i="1"/>
  <c r="D8" i="1"/>
  <c r="F8" i="1"/>
  <c r="E8" i="1"/>
  <c r="D7" i="1"/>
  <c r="F7" i="1"/>
  <c r="E7" i="1"/>
  <c r="D6" i="1"/>
  <c r="F6" i="1"/>
  <c r="E6" i="1"/>
  <c r="D5" i="1"/>
  <c r="F5" i="1"/>
  <c r="E5" i="1"/>
  <c r="D4" i="1"/>
  <c r="F4" i="1"/>
  <c r="E4" i="1"/>
  <c r="D3" i="1"/>
  <c r="F3" i="1"/>
  <c r="E3" i="1"/>
  <c r="D2" i="1"/>
  <c r="F2" i="1"/>
  <c r="E2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M11" i="1"/>
  <c r="N11" i="1"/>
  <c r="O11" i="1"/>
  <c r="P11" i="1"/>
  <c r="Q11" i="1"/>
  <c r="T11" i="1"/>
  <c r="V11" i="1"/>
  <c r="E2" i="9"/>
  <c r="X11" i="1"/>
  <c r="AD11" i="1"/>
  <c r="AE11" i="1"/>
  <c r="AF11" i="1"/>
  <c r="AG11" i="1"/>
  <c r="AI11" i="1"/>
  <c r="M12" i="1"/>
  <c r="N12" i="1"/>
  <c r="O12" i="1"/>
  <c r="P12" i="1"/>
  <c r="Q12" i="1"/>
  <c r="T12" i="1"/>
  <c r="V12" i="1"/>
  <c r="X12" i="1"/>
  <c r="AD12" i="1"/>
  <c r="AE12" i="1"/>
  <c r="AF12" i="1"/>
  <c r="AG12" i="1"/>
  <c r="AI12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M14" i="1"/>
  <c r="N14" i="1"/>
  <c r="O14" i="1"/>
  <c r="P14" i="1"/>
  <c r="Q14" i="1"/>
  <c r="T14" i="1"/>
  <c r="V14" i="1"/>
  <c r="X14" i="1"/>
  <c r="AD14" i="1"/>
  <c r="AE14" i="1"/>
  <c r="AF14" i="1"/>
  <c r="AG14" i="1"/>
  <c r="AI14" i="1"/>
  <c r="M15" i="1"/>
  <c r="N15" i="1"/>
  <c r="O15" i="1"/>
  <c r="P15" i="1"/>
  <c r="Q15" i="1"/>
  <c r="T15" i="1"/>
  <c r="V15" i="1"/>
  <c r="X15" i="1"/>
  <c r="AD15" i="1"/>
  <c r="AE15" i="1"/>
  <c r="AF15" i="1"/>
  <c r="AG15" i="1"/>
  <c r="AI15" i="1"/>
  <c r="M16" i="1"/>
  <c r="N16" i="1"/>
  <c r="O16" i="1"/>
  <c r="P16" i="1"/>
  <c r="Q16" i="1"/>
  <c r="T16" i="1"/>
  <c r="V16" i="1"/>
  <c r="X16" i="1"/>
  <c r="AD16" i="1"/>
  <c r="AE16" i="1"/>
  <c r="AF16" i="1"/>
  <c r="AG16" i="1"/>
  <c r="AI16" i="1"/>
  <c r="M17" i="1"/>
  <c r="N17" i="1"/>
  <c r="O17" i="1"/>
  <c r="P17" i="1"/>
  <c r="Q17" i="1"/>
  <c r="T17" i="1"/>
  <c r="V17" i="1"/>
  <c r="X17" i="1"/>
  <c r="AD17" i="1"/>
  <c r="AE17" i="1"/>
  <c r="AF17" i="1"/>
  <c r="AG17" i="1"/>
  <c r="AI17" i="1"/>
  <c r="M18" i="1"/>
  <c r="N18" i="1"/>
  <c r="O18" i="1"/>
  <c r="P18" i="1"/>
  <c r="Q18" i="1"/>
  <c r="T18" i="1"/>
  <c r="V18" i="1"/>
  <c r="X18" i="1"/>
  <c r="AD18" i="1"/>
  <c r="AE18" i="1"/>
  <c r="AF18" i="1"/>
  <c r="AG18" i="1"/>
  <c r="AI18" i="1"/>
  <c r="M19" i="1"/>
  <c r="N19" i="1"/>
  <c r="O19" i="1"/>
  <c r="P19" i="1"/>
  <c r="Q19" i="1"/>
  <c r="T19" i="1"/>
  <c r="V19" i="1"/>
  <c r="X19" i="1"/>
  <c r="AD19" i="1"/>
  <c r="AE19" i="1"/>
  <c r="AF19" i="1"/>
  <c r="AG19" i="1"/>
  <c r="AI19" i="1"/>
  <c r="H11" i="2"/>
  <c r="E11" i="2"/>
  <c r="D11" i="2"/>
  <c r="H10" i="2"/>
  <c r="E10" i="2"/>
  <c r="D10" i="2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V3" i="1"/>
  <c r="V2" i="1"/>
  <c r="T3" i="1"/>
  <c r="T2" i="1"/>
  <c r="C13" i="16"/>
  <c r="E13" i="16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AI2" i="1"/>
  <c r="E8" i="16"/>
  <c r="E7" i="16"/>
  <c r="E6" i="16"/>
  <c r="E5" i="16"/>
  <c r="E4" i="16"/>
  <c r="E3" i="16"/>
  <c r="E2" i="16"/>
  <c r="A2" i="1"/>
  <c r="AI3" i="1"/>
  <c r="A2" i="9"/>
  <c r="A2" i="7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<sst xmlns="http://schemas.openxmlformats.org/spreadsheetml/2006/main" count="1418" uniqueCount="621">
  <si>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</si>
  <si>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</si>
  <si>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</si>
  <si>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</si>
  <si>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</si>
  <si>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</si>
  <si>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</si>
  <si>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</si>
  <si>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</si>
  <si>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</si>
  <si>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</si>
  <si>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</si>
  <si>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</si>
  <si>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</si>
  <si>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</si>
  <si>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</si>
  <si>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</si>
  <si>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</si>
  <si>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</si>
  <si>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</si>
  <si>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</si>
  <si>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</si>
  <si>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</si>
  <si>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</si>
  <si>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</si>
  <si>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</si>
  <si>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</si>
  <si>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</si>
  <si>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</si>
  <si>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</si>
  <si>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</si>
  <si>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</si>
  <si>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</si>
  <si>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</si>
  <si>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</si>
  <si>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</si>
  <si>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</si>
  <si>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</si>
  <si>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</si>
  <si>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</si>
  <si>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</si>
  <si>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</si>
  <si>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</si>
  <si>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</si>
  <si>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</si>
  <si>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</si>
  <si>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</si>
  <si>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</si>
  <si>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</si>
  <si>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</si>
  <si>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</si>
  <si>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</si>
  <si>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</si>
  <si>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</si>
  <si>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</si>
  <si>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</si>
  <si>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</si>
  <si>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</si>
  <si>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</si>
  <si>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</si>
  <si>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</si>
  <si>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</si>
  <si>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</si>
  <si>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</si>
  <si>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</si>
  <si>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</si>
  <si>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</si>
  <si>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</si>
  <si>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</si>
  <si>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</si>
  <si>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</si>
  <si>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</si>
  <si>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</si>
  <si>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</si>
  <si>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</si>
  <si>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</si>
  <si>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</si>
  <si>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</si>
  <si>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</si>
  <si>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</si>
  <si>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</si>
  <si>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</si>
  <si>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</si>
  <si>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</si>
  <si>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</si>
  <si>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</si>
  <si>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</si>
  <si>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</si>
  <si>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</si>
  <si>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</si>
  <si>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</si>
  <si>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</si>
  <si>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</si>
  <si>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</si>
  <si>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</si>
  <si>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</si>
  <si>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</si>
  <si>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</si>
  <si>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</si>
  <si>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</si>
  <si>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</si>
  <si>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</si>
  <si>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</si>
  <si>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</si>
  <si>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</si>
  <si>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</si>
  <si>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</si>
  <si>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</si>
  <si>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</si>
  <si>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</si>
  <si>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</si>
  <si>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</si>
  <si>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</si>
  <si>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</si>
  <si>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</si>
  <si>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</si>
  <si>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</si>
  <si>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</si>
  <si>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</si>
  <si>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</si>
  <si>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</si>
  <si>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</si>
  <si>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</si>
  <si>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</si>
  <si>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</si>
  <si>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</si>
  <si>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</si>
  <si>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</si>
  <si>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</si>
  <si>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</si>
  <si>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</si>
  <si>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</si>
  <si>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</si>
  <si>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</si>
  <si>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</si>
  <si>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</si>
  <si>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</si>
  <si>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</si>
  <si>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</si>
  <si>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</si>
  <si>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</si>
  <si>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</si>
  <si>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</si>
  <si>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</si>
  <si>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</si>
  <si>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</si>
  <si>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</si>
  <si>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</si>
  <si>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</si>
  <si>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</si>
  <si>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</si>
  <si>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</si>
  <si>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</si>
  <si>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</si>
  <si>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</si>
  <si>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</si>
  <si>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</si>
  <si>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</si>
  <si>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</si>
  <si>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</si>
  <si>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</si>
  <si>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</si>
  <si>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</si>
  <si>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</si>
  <si>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</si>
  <si>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</si>
  <si>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</si>
  <si>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</si>
  <si>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</si>
  <si>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</si>
  <si>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</si>
  <si>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</si>
  <si>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</si>
  <si>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</si>
  <si>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</si>
  <si>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</si>
  <si>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</si>
  <si>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</si>
  <si>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</si>
  <si>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</si>
  <si>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</si>
  <si>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</si>
  <si>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</si>
  <si>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skip</t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</si>
  <si>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</si>
  <si>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</si>
  <si>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</si>
  <si>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</si>
  <si>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</si>
  <si>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</si>
  <si>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</si>
  <si>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</si>
  <si>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</si>
  <si>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</si>
  <si>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complete</t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</si>
  <si>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</si>
  <si>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</si>
  <si>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</si>
  <si>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</si>
  <si>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</si>
  <si>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</si>
  <si>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</si>
  <si>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</si>
  <si>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</si>
  <si>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</si>
  <si>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</si>
  <si>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</si>
  <si>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</si>
  <si>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</si>
  <si>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</si>
  <si>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</si>
  <si>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</si>
  <si>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</si>
  <si>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</si>
  <si>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</si>
  <si>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</si>
  <si>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</si>
  <si>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</si>
  <si>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</si>
  <si>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</si>
  <si>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</si>
  <si>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</si>
  <si>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</si>
  <si>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</si>
  <si>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</si>
  <si>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</si>
  <si>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</si>
  <si>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</si>
  <si>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</si>
  <si>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</si>
  <si>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</si>
  <si>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</si>
  <si>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</si>
  <si>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</si>
  <si>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</si>
  <si>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</si>
  <si>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</si>
  <si>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</si>
  <si>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</si>
  <si>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</si>
  <si>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</si>
  <si>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hp</t>
    <phoneticPr fontId="6"/>
  </si>
  <si>
    <t>attack</t>
    <phoneticPr fontId="6"/>
  </si>
  <si>
    <t>攻略のヒント</t>
    <rPh sb="0" eb="2">
      <t>コウリャク</t>
    </rPh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</si>
  <si>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</si>
  <si>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</si>
  <si>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</si>
  <si>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</si>
  <si>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</si>
  <si>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</si>
  <si>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</si>
  <si>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</si>
  <si>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</si>
  <si>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</si>
  <si>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</si>
  <si>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</si>
  <si>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</si>
  <si>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ねえ、つぎはなにしてあそぶー？</t>
    <phoneticPr fontId="6"/>
  </si>
  <si>
    <t>ja</t>
    <phoneticPr fontId="6"/>
  </si>
  <si>
    <t>こんびねーしょんあたっく！</t>
    <phoneticPr fontId="6"/>
  </si>
  <si>
    <t>2回連続攻撃</t>
    <rPh sb="1" eb="2">
      <t>カイ</t>
    </rPh>
    <rPh sb="2" eb="4">
      <t>レンゾク</t>
    </rPh>
    <rPh sb="4" eb="6">
      <t>コウゲキ</t>
    </rPh>
    <phoneticPr fontId="6"/>
  </si>
  <si>
    <t>どらごんだいぶ！</t>
    <phoneticPr fontId="6"/>
  </si>
  <si>
    <t>クリティカル！</t>
    <phoneticPr fontId="6"/>
  </si>
  <si>
    <t>おおきくなるよー！</t>
    <phoneticPr fontId="6"/>
  </si>
  <si>
    <t>どらごんぱわー！</t>
    <phoneticPr fontId="6"/>
  </si>
  <si>
    <t>■■■■■</t>
  </si>
  <si>
    <t>あら、迷子かしら？</t>
    <rPh sb="3" eb="5">
      <t>マイゴ</t>
    </rPh>
    <phoneticPr fontId="6"/>
  </si>
  <si>
    <t>ふーん…女神の秘境を探してるの</t>
    <rPh sb="4" eb="6">
      <t>メガミサマ</t>
    </rPh>
    <rPh sb="7" eb="9">
      <t>ヒキョウ</t>
    </rPh>
    <rPh sb="10" eb="11">
      <t>サガシテル</t>
    </rPh>
    <phoneticPr fontId="6"/>
  </si>
  <si>
    <t>あなたも…この景色を眺めにきたの…？</t>
    <rPh sb="7" eb="9">
      <t>ケシキ</t>
    </rPh>
    <rPh sb="10" eb="11">
      <t>ナガメニ</t>
    </rPh>
    <phoneticPr fontId="6"/>
  </si>
  <si>
    <t>それにしてもここは暑いわね…</t>
    <rPh sb="9" eb="10">
      <t>アツイ</t>
    </rPh>
    <phoneticPr fontId="6"/>
  </si>
  <si>
    <t>私の悪魔が…暴れだしそうよ…</t>
    <rPh sb="0" eb="1">
      <t>ワタシノナカ</t>
    </rPh>
    <rPh sb="2" eb="4">
      <t>アクマガ</t>
    </rPh>
    <rPh sb="6" eb="7">
      <t>アバレダシソウ</t>
    </rPh>
    <phoneticPr fontId="6"/>
  </si>
  <si>
    <t>だめ…もう限界…</t>
    <rPh sb="5" eb="7">
      <t>ゲンカイ</t>
    </rPh>
    <phoneticPr fontId="6"/>
  </si>
  <si>
    <t>ja</t>
    <phoneticPr fontId="6"/>
  </si>
  <si>
    <t>ドルフィンストライク</t>
    <phoneticPr fontId="6"/>
  </si>
  <si>
    <t>暑苦しいのは嫌…</t>
    <rPh sb="0" eb="2">
      <t>アツクルシイ</t>
    </rPh>
    <rPh sb="6" eb="7">
      <t>イヤ</t>
    </rPh>
    <phoneticPr fontId="6"/>
  </si>
  <si>
    <t>赤属性のユニットに大ダメージ</t>
    <rPh sb="0" eb="1">
      <t>アカ</t>
    </rPh>
    <rPh sb="1" eb="3">
      <t>ゾクセイ</t>
    </rPh>
    <rPh sb="9" eb="10">
      <t>ダイダメージ</t>
    </rPh>
    <phoneticPr fontId="6"/>
  </si>
  <si>
    <t>連鎖の氷影・グランドアイス</t>
    <rPh sb="3" eb="4">
      <t>コオリ</t>
    </rPh>
    <phoneticPr fontId="6"/>
  </si>
  <si>
    <t>フフ…見つかっちゃいましたね</t>
    <rPh sb="3" eb="4">
      <t>ミツカッチャイマシタ</t>
    </rPh>
    <phoneticPr fontId="6"/>
  </si>
  <si>
    <t>せっかくここまで来たんです</t>
    <rPh sb="8" eb="9">
      <t>キタ</t>
    </rPh>
    <phoneticPr fontId="6"/>
  </si>
  <si>
    <t>ドッキドキの夏だよー！</t>
    <rPh sb="6" eb="7">
      <t>ナツ</t>
    </rPh>
    <phoneticPr fontId="6"/>
  </si>
  <si>
    <t>暑い時こそ熱くならなきゃ！</t>
    <rPh sb="0" eb="1">
      <t>アツイ</t>
    </rPh>
    <rPh sb="2" eb="3">
      <t>トキコソ</t>
    </rPh>
    <rPh sb="5" eb="6">
      <t>アツクナラナキャ</t>
    </rPh>
    <phoneticPr fontId="6"/>
  </si>
  <si>
    <t>ジェリーボールラッシュ</t>
    <phoneticPr fontId="6"/>
  </si>
  <si>
    <t>6回連続攻撃</t>
    <rPh sb="1" eb="2">
      <t>カイ</t>
    </rPh>
    <rPh sb="2" eb="4">
      <t>レンゾク</t>
    </rPh>
    <rPh sb="4" eb="6">
      <t>コウゲキ</t>
    </rPh>
    <phoneticPr fontId="6"/>
  </si>
  <si>
    <t>ja</t>
    <phoneticPr fontId="6"/>
  </si>
  <si>
    <t>ヴェイパーヒート</t>
    <phoneticPr fontId="6"/>
  </si>
  <si>
    <t>全体攻撃+1ターン暗闇</t>
    <rPh sb="0" eb="2">
      <t>ゼンタイ</t>
    </rPh>
    <rPh sb="2" eb="4">
      <t>コウゲキ</t>
    </rPh>
    <rPh sb="9" eb="11">
      <t>クラヤミ</t>
    </rPh>
    <phoneticPr fontId="6"/>
  </si>
  <si>
    <t>私のほうが熱いもんねー！</t>
    <rPh sb="0" eb="1">
      <t>ワタシノ</t>
    </rPh>
    <rPh sb="5" eb="6">
      <t>アツイ</t>
    </rPh>
    <phoneticPr fontId="6"/>
  </si>
  <si>
    <t>ja</t>
    <phoneticPr fontId="6"/>
  </si>
  <si>
    <t>僕は敵か味方か…どっちだろうね？</t>
    <rPh sb="0" eb="1">
      <t>ボクハ</t>
    </rPh>
    <rPh sb="2" eb="3">
      <t>テキ</t>
    </rPh>
    <rPh sb="4" eb="6">
      <t>ミカタカ</t>
    </rPh>
    <phoneticPr fontId="6"/>
  </si>
  <si>
    <t>ぼつ</t>
    <phoneticPr fontId="6"/>
  </si>
  <si>
    <t>ごめんごめん…からかうつもりはなかったんだ</t>
    <phoneticPr fontId="6"/>
  </si>
  <si>
    <t>フフ…よくこんなところまで来たね</t>
    <rPh sb="13" eb="14">
      <t>キタネ</t>
    </rPh>
    <phoneticPr fontId="6"/>
  </si>
  <si>
    <t>刺胞守護の契約</t>
    <rPh sb="0" eb="2">
      <t>シホウ</t>
    </rPh>
    <rPh sb="2" eb="4">
      <t>シュゴ</t>
    </rPh>
    <rPh sb="5" eb="7">
      <t>ケイヤク</t>
    </rPh>
    <phoneticPr fontId="6"/>
  </si>
  <si>
    <t>ペンギンスマッシュ</t>
    <phoneticPr fontId="6"/>
  </si>
  <si>
    <t>クリティカル！</t>
    <phoneticPr fontId="6"/>
  </si>
  <si>
    <t>スパークリング・ジャッジ</t>
    <phoneticPr fontId="6"/>
  </si>
  <si>
    <t>全体攻撃</t>
    <rPh sb="0" eb="2">
      <t>ゼンタイ</t>
    </rPh>
    <rPh sb="2" eb="4">
      <t>コウゲキ</t>
    </rPh>
    <phoneticPr fontId="6"/>
  </si>
  <si>
    <t>水の中は動きにくいね…</t>
    <rPh sb="0" eb="1">
      <t>ミズノナカ</t>
    </rPh>
    <rPh sb="4" eb="5">
      <t>ウゴキニクイ</t>
    </rPh>
    <phoneticPr fontId="6"/>
  </si>
  <si>
    <t>おっ！お姉さんに会いに来たのかな？</t>
    <rPh sb="8" eb="9">
      <t>アイニキタ</t>
    </rPh>
    <phoneticPr fontId="6"/>
  </si>
  <si>
    <t>名残惜しいけど行かなくちゃ！</t>
    <rPh sb="0" eb="3">
      <t>ナゴリオシイ</t>
    </rPh>
    <rPh sb="7" eb="8">
      <t>イカナクチャ</t>
    </rPh>
    <phoneticPr fontId="6"/>
  </si>
  <si>
    <t>おぬし…妾の余暇を邪魔するつもりか！</t>
    <rPh sb="4" eb="5">
      <t>ワラワノ</t>
    </rPh>
    <rPh sb="6" eb="8">
      <t>ヨカ</t>
    </rPh>
    <rPh sb="9" eb="11">
      <t>ジャマ</t>
    </rPh>
    <phoneticPr fontId="6"/>
  </si>
  <si>
    <t>なみのりじゃ！</t>
    <phoneticPr fontId="6"/>
  </si>
  <si>
    <t>ja</t>
    <phoneticPr fontId="6"/>
  </si>
  <si>
    <t>ビリビリするぞ！</t>
    <phoneticPr fontId="6"/>
  </si>
  <si>
    <t>これが妾の雷神たる所以よ！</t>
    <rPh sb="3" eb="4">
      <t>ワラワ</t>
    </rPh>
    <rPh sb="5" eb="7">
      <t>ライジン</t>
    </rPh>
    <rPh sb="9" eb="11">
      <t>ユエン</t>
    </rPh>
    <phoneticPr fontId="6"/>
  </si>
  <si>
    <t>残りHPの60%ダメージ！</t>
    <phoneticPr fontId="6"/>
  </si>
  <si>
    <t>ほぉ…そこまで妾をものにしたいか？</t>
    <rPh sb="7" eb="8">
      <t>ワラワ</t>
    </rPh>
    <phoneticPr fontId="6"/>
  </si>
  <si>
    <t>滾るのう…これだからやめられぬ！</t>
    <rPh sb="0" eb="1">
      <t>タギル</t>
    </rPh>
    <phoneticPr fontId="6"/>
  </si>
  <si>
    <t>この熱気についてこれるか！？</t>
    <rPh sb="2" eb="4">
      <t>ネッキ</t>
    </rPh>
    <phoneticPr fontId="6"/>
  </si>
  <si>
    <t>埒があかぬな…力を貸りるぞ！</t>
    <rPh sb="0" eb="1">
      <t>ラチガアカヌナ</t>
    </rPh>
    <rPh sb="7" eb="8">
      <t>チカラヲ</t>
    </rPh>
    <rPh sb="9" eb="10">
      <t>カス</t>
    </rPh>
    <phoneticPr fontId="6"/>
  </si>
  <si>
    <t>しつこい輩は嫌われるぞ？</t>
    <rPh sb="4" eb="5">
      <t>ヤカラハ</t>
    </rPh>
    <rPh sb="6" eb="7">
      <t>キラワレル</t>
    </rPh>
    <phoneticPr fontId="6"/>
  </si>
  <si>
    <t>■■■■■</t>
    <phoneticPr fontId="6"/>
  </si>
  <si>
    <t>ja</t>
    <phoneticPr fontId="6"/>
  </si>
  <si>
    <t>■■■■■</t>
    <phoneticPr fontId="6"/>
  </si>
  <si>
    <t>ええい！ならば妾の全てを受け止めてみせよ！</t>
    <rPh sb="7" eb="8">
      <t>ワラワ</t>
    </rPh>
    <rPh sb="9" eb="10">
      <t>スベテヲ</t>
    </rPh>
    <rPh sb="12" eb="13">
      <t>ウケトメテ</t>
    </rPh>
    <phoneticPr fontId="6"/>
  </si>
  <si>
    <t>もっとじゃ！もっと夏を満喫するのじゃ！</t>
    <rPh sb="9" eb="10">
      <t>ナツヲ</t>
    </rPh>
    <rPh sb="11" eb="13">
      <t>マンキツ</t>
    </rPh>
    <phoneticPr fontId="6"/>
  </si>
  <si>
    <t>ここからは妾の独壇場じゃ！</t>
    <rPh sb="5" eb="6">
      <t>ワラワ</t>
    </rPh>
    <rPh sb="7" eb="10">
      <t>ドクダンジョウ</t>
    </rPh>
    <phoneticPr fontId="6"/>
  </si>
  <si>
    <t>どうした？もう動けぬか？</t>
    <rPh sb="7" eb="8">
      <t>ウゴケヌカ</t>
    </rPh>
    <phoneticPr fontId="6"/>
  </si>
  <si>
    <t>赤パネルを吸収して全体攻撃+1ターンスキルバインド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</si>
  <si>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くっ…ここまで追いつめられるとは！</t>
    <rPh sb="7" eb="8">
      <t>オイツメラレル</t>
    </rPh>
    <phoneticPr fontId="6"/>
  </si>
  <si>
    <t>玄武の力で3ターン全属性ダメージ50%軽減！</t>
    <rPh sb="0" eb="2">
      <t>ゲンブ</t>
    </rPh>
    <rPh sb="3" eb="4">
      <t>チカラデ</t>
    </rPh>
    <rPh sb="9" eb="12">
      <t>ゼンゾクセイ</t>
    </rPh>
    <rPh sb="19" eb="21">
      <t>ケイゲン</t>
    </rPh>
    <phoneticPr fontId="6"/>
  </si>
  <si>
    <t>残念じゃったな！妾は誰のものにもならぬ！</t>
    <rPh sb="0" eb="2">
      <t>ザンネン</t>
    </rPh>
    <rPh sb="8" eb="9">
      <t>ワラワ</t>
    </rPh>
    <rPh sb="10" eb="11">
      <t>ダレノ</t>
    </rPh>
    <phoneticPr fontId="6"/>
  </si>
  <si>
    <t>超強力な熱波が全てを飲み込む！</t>
    <rPh sb="0" eb="3">
      <t>チョウキョウリョクナ</t>
    </rPh>
    <rPh sb="4" eb="6">
      <t>ネッパ</t>
    </rPh>
    <rPh sb="7" eb="8">
      <t>スベテヲ</t>
    </rPh>
    <rPh sb="10" eb="11">
      <t>ノミコム</t>
    </rPh>
    <phoneticPr fontId="6"/>
  </si>
  <si>
    <t>まいった…降参じゃ！</t>
    <rPh sb="5" eb="7">
      <t>コウサン</t>
    </rPh>
    <phoneticPr fontId="6"/>
  </si>
  <si>
    <t>おぬしの熱意…まるで照りつける太陽のようじゃな…</t>
    <rPh sb="4" eb="6">
      <t>ネツイニハ</t>
    </rPh>
    <rPh sb="10" eb="11">
      <t>テリツケル</t>
    </rPh>
    <rPh sb="15" eb="17">
      <t>タイヨウ</t>
    </rPh>
    <phoneticPr fontId="6"/>
  </si>
  <si>
    <t>わたしもさーふぃんしたーい！</t>
  </si>
  <si>
    <t>ja</t>
    <phoneticPr fontId="6"/>
  </si>
  <si>
    <t>びーちぼーるでなにするのー？</t>
    <phoneticPr fontId="6"/>
  </si>
  <si>
    <t>ばななぼーとたのしそうだねー！</t>
  </si>
  <si>
    <t>うわー！めびうすとってもきれいだね！</t>
    <phoneticPr fontId="6"/>
  </si>
  <si>
    <t>ネコって泳げるのかしら…？</t>
    <phoneticPr fontId="6"/>
  </si>
  <si>
    <t>ファラデー、あなた随分派手な水着着てるわね…</t>
    <phoneticPr fontId="6"/>
  </si>
  <si>
    <t>ふふん…やっぱりメビウスより
私の方がスタイルは上ね！</t>
    <phoneticPr fontId="6"/>
  </si>
  <si>
    <t>あなた…サーフィン上手ね</t>
    <phoneticPr fontId="6"/>
  </si>
  <si>
    <t>私もこの子たちとビーチボールで遊びたいわ…</t>
    <phoneticPr fontId="6"/>
  </si>
  <si>
    <t>バナナボート…それも乗り心地良さそうね</t>
    <phoneticPr fontId="6"/>
  </si>
  <si>
    <t>綺麗ね…涼しそうだし…</t>
    <phoneticPr fontId="6"/>
  </si>
  <si>
    <t>オイラーさん…羨ましいスタイルですけど、
時代は清純派ですよ</t>
    <phoneticPr fontId="6"/>
  </si>
  <si>
    <t>ふふ、シュレディンガーさんの
ネコちゃんかわいい…</t>
    <phoneticPr fontId="6"/>
  </si>
  <si>
    <t>私もファラデーさんみたいに…
ううん、何でもないです</t>
    <phoneticPr fontId="6"/>
  </si>
  <si>
    <t>熱いヒトは嫌いじゃないよ！</t>
    <phoneticPr fontId="6"/>
  </si>
  <si>
    <t>ケモノ同士仲良くしようよ！</t>
    <phoneticPr fontId="6"/>
  </si>
  <si>
    <t>バナナも美味しそうでいいな…</t>
    <phoneticPr fontId="6"/>
  </si>
  <si>
    <t>ひんやりするのもいいけど…
たまには熱くなりましょ！</t>
    <phoneticPr fontId="6"/>
  </si>
  <si>
    <t>オイラー、君は随分アクティブなんだね</t>
    <phoneticPr fontId="6"/>
  </si>
  <si>
    <t>ファラデー…なんだいその奇妙な乗り物は</t>
    <phoneticPr fontId="6"/>
  </si>
  <si>
    <t>メビウス、今日は一段と輝いているね</t>
    <phoneticPr fontId="6"/>
  </si>
  <si>
    <t>健康的というか…なんというかその…</t>
    <phoneticPr fontId="6"/>
  </si>
  <si>
    <t>ペンギンたちも君の猫たちと遊びたいって</t>
    <phoneticPr fontId="6"/>
  </si>
  <si>
    <t>…ちょっと目のやり場に困るなぁ……</t>
    <phoneticPr fontId="6"/>
  </si>
  <si>
    <t>宝石みたいにキラキラしてる…いいね…</t>
    <phoneticPr fontId="6"/>
  </si>
  <si>
    <t>おっ！オイラーもノッてるね！
よーし、負けないよ！</t>
    <phoneticPr fontId="6"/>
  </si>
  <si>
    <t>シュレはかわいいねー！
…えっなんで怒ってるの！？</t>
    <phoneticPr fontId="6"/>
  </si>
  <si>
    <t>すごーい！メビウスなんだか人魚みたいね！</t>
    <phoneticPr fontId="6"/>
  </si>
  <si>
    <t>妾の四神よりかわいいじゃと！？
うぅ、シュレディンガーめ…！</t>
    <phoneticPr fontId="6"/>
  </si>
  <si>
    <t>ja</t>
    <phoneticPr fontId="6"/>
  </si>
  <si>
    <t>ja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</si>
  <si>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</si>
  <si>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</si>
  <si>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</si>
  <si>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</si>
  <si>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item</t>
  </si>
  <si>
    <t>unit</t>
    <phoneticPr fontId="6"/>
  </si>
  <si>
    <t>unit</t>
  </si>
  <si>
    <t>ja</t>
    <phoneticPr fontId="6"/>
  </si>
  <si>
    <t>ケツァクアトルはHPが減ってくると
ティンクの力を借りて巨大化します
攻守共に強くなるので注意しましょう</t>
    <rPh sb="11" eb="12">
      <t>ヘッテクルト</t>
    </rPh>
    <rPh sb="23" eb="24">
      <t>チカラ</t>
    </rPh>
    <rPh sb="25" eb="26">
      <t>カリテ</t>
    </rPh>
    <rPh sb="28" eb="31">
      <t>キョダイカ</t>
    </rPh>
    <rPh sb="36" eb="38">
      <t>コウシュ</t>
    </rPh>
    <rPh sb="38" eb="39">
      <t>トモニ</t>
    </rPh>
    <rPh sb="40" eb="41">
      <t>ツヨクナル</t>
    </rPh>
    <rPh sb="46" eb="48">
      <t>チュウイ</t>
    </rPh>
    <phoneticPr fontId="6"/>
  </si>
  <si>
    <t>NULL</t>
    <phoneticPr fontId="6"/>
  </si>
  <si>
    <t>ja</t>
    <phoneticPr fontId="6"/>
  </si>
  <si>
    <t>ルキフグスは最初は大人しいですが
数ターン経過すると激しい攻撃を開始します
フィーバーなどで早めに切り抜けましょう</t>
    <rPh sb="6" eb="8">
      <t>サイショノ</t>
    </rPh>
    <rPh sb="9" eb="11">
      <t>オトナシイ</t>
    </rPh>
    <rPh sb="17" eb="18">
      <t>スウターン</t>
    </rPh>
    <rPh sb="21" eb="23">
      <t>ケイカ</t>
    </rPh>
    <rPh sb="26" eb="27">
      <t>ハゲシイ</t>
    </rPh>
    <rPh sb="29" eb="31">
      <t>コウゲキ</t>
    </rPh>
    <rPh sb="32" eb="34">
      <t>カイシ</t>
    </rPh>
    <rPh sb="47" eb="48">
      <t>ハヤメニ</t>
    </rPh>
    <rPh sb="50" eb="51">
      <t>キリヌケ</t>
    </rPh>
    <phoneticPr fontId="6"/>
  </si>
  <si>
    <t>NULL</t>
    <phoneticPr fontId="6"/>
  </si>
  <si>
    <t>ja</t>
    <phoneticPr fontId="6"/>
  </si>
  <si>
    <t>フェンリルの繰り出す暗闇攻撃は厄介です
回復行動を妨害されないよう
予めハートパネルをまとめておきましょう</t>
    <rPh sb="6" eb="7">
      <t>クリダス</t>
    </rPh>
    <rPh sb="10" eb="12">
      <t>クラヤミ</t>
    </rPh>
    <rPh sb="12" eb="14">
      <t>コウゲキ</t>
    </rPh>
    <rPh sb="15" eb="17">
      <t>ヤッカイ</t>
    </rPh>
    <rPh sb="21" eb="23">
      <t>カイフク</t>
    </rPh>
    <rPh sb="23" eb="25">
      <t>コウドウ</t>
    </rPh>
    <rPh sb="26" eb="28">
      <t>ボウガイ</t>
    </rPh>
    <rPh sb="35" eb="36">
      <t>アラカジメ</t>
    </rPh>
    <phoneticPr fontId="6"/>
  </si>
  <si>
    <t>NULL</t>
    <phoneticPr fontId="6"/>
  </si>
  <si>
    <t>バルドルが全属性カウンターを発動したら
反撃でやられないよう注意が必要です
なるべくHPを高く保って戦いましょう</t>
    <rPh sb="5" eb="8">
      <t>ゼンゾクセイ</t>
    </rPh>
    <rPh sb="14" eb="16">
      <t>ハツドウ</t>
    </rPh>
    <rPh sb="20" eb="22">
      <t>ハンゲキ</t>
    </rPh>
    <rPh sb="30" eb="32">
      <t>チュウイ</t>
    </rPh>
    <rPh sb="33" eb="35">
      <t>ヒツヨウ</t>
    </rPh>
    <rPh sb="46" eb="47">
      <t>タカク</t>
    </rPh>
    <rPh sb="48" eb="49">
      <t>タモツ</t>
    </rPh>
    <rPh sb="51" eb="52">
      <t>タタカイ</t>
    </rPh>
    <phoneticPr fontId="6"/>
  </si>
  <si>
    <t>NULL</t>
    <phoneticPr fontId="6"/>
  </si>
  <si>
    <t>麒麟は特定のタイミングで
強烈な割合ダメージを与えてきます
すぐに回復できるよう準備が必要です</t>
    <rPh sb="0" eb="2">
      <t>ミズギキリn</t>
    </rPh>
    <rPh sb="3" eb="5">
      <t>トクテイノ</t>
    </rPh>
    <rPh sb="13" eb="15">
      <t>キョウレツナ</t>
    </rPh>
    <rPh sb="16" eb="18">
      <t>ワリアイ</t>
    </rPh>
    <rPh sb="23" eb="24">
      <t>アタエテ</t>
    </rPh>
    <rPh sb="34" eb="36">
      <t>カイフク</t>
    </rPh>
    <rPh sb="41" eb="43">
      <t>ジュンビ</t>
    </rPh>
    <rPh sb="44" eb="46">
      <t>ヒツヨウ</t>
    </rPh>
    <phoneticPr fontId="6"/>
  </si>
  <si>
    <t>麒麟は特定のタイミングで
全体にスキルバインドを仕掛けてきます
フィーバーなどを利用して乗り切りましょう</t>
    <rPh sb="0" eb="2">
      <t>ミズギキリン</t>
    </rPh>
    <rPh sb="3" eb="5">
      <t>トクテイノ</t>
    </rPh>
    <rPh sb="13" eb="15">
      <t>ゼンタイ</t>
    </rPh>
    <rPh sb="24" eb="26">
      <t>シカケテ</t>
    </rPh>
    <rPh sb="41" eb="43">
      <t>リヨウ</t>
    </rPh>
    <rPh sb="45" eb="46">
      <t>ノリキリ</t>
    </rPh>
    <phoneticPr fontId="6"/>
  </si>
  <si>
    <t>NULL</t>
    <phoneticPr fontId="6"/>
  </si>
  <si>
    <t>ja</t>
    <phoneticPr fontId="6"/>
  </si>
  <si>
    <t>麒麟は特定のパネルを吸収して攻撃します
なるべく数を減らしながら戦いましょう</t>
    <rPh sb="0" eb="2">
      <t>ミズギキリン</t>
    </rPh>
    <rPh sb="3" eb="5">
      <t>トクテイノ</t>
    </rPh>
    <rPh sb="10" eb="12">
      <t>キュウシュウ</t>
    </rPh>
    <rPh sb="14" eb="16">
      <t>コウゲキ</t>
    </rPh>
    <rPh sb="24" eb="25">
      <t>カズヲ</t>
    </rPh>
    <rPh sb="26" eb="27">
      <t>ヘラシナガラ</t>
    </rPh>
    <rPh sb="32" eb="33">
      <t>タタカイマショウ</t>
    </rPh>
    <phoneticPr fontId="6"/>
  </si>
  <si>
    <t>NULL</t>
    <phoneticPr fontId="6"/>
  </si>
  <si>
    <t>夏といえば海！</t>
    <phoneticPr fontId="6"/>
  </si>
  <si>
    <t>スターライト・オーシャンはALICE内で
本物の海を体感できるアトラクション
毎年多くのアバターで賑わっています</t>
    <phoneticPr fontId="6"/>
  </si>
  <si>
    <t>ja</t>
    <phoneticPr fontId="6"/>
  </si>
  <si>
    <t>女神の正体</t>
    <rPh sb="0" eb="2">
      <t>メガミサマ</t>
    </rPh>
    <rPh sb="3" eb="5">
      <t>ショウタイ</t>
    </rPh>
    <phoneticPr fontId="6"/>
  </si>
  <si>
    <t>尾ひれが付いて広まってしまった言い伝え
女神の正体はバカンス中の麒麟でした
たまには管理AIも息抜きしたいようです</t>
    <rPh sb="0" eb="1">
      <t>オヒレ</t>
    </rPh>
    <rPh sb="4" eb="5">
      <t>ツイテ</t>
    </rPh>
    <rPh sb="7" eb="8">
      <t>ヒロマッタ</t>
    </rPh>
    <rPh sb="15" eb="16">
      <t>イイツタエ</t>
    </rPh>
    <rPh sb="20" eb="22">
      <t>メガミサマ</t>
    </rPh>
    <rPh sb="23" eb="25">
      <t>ショウタイ</t>
    </rPh>
    <rPh sb="30" eb="31">
      <t>チュウ</t>
    </rPh>
    <rPh sb="32" eb="34">
      <t>キリン</t>
    </rPh>
    <rPh sb="43" eb="45">
      <t>カンリ</t>
    </rPh>
    <rPh sb="48" eb="50">
      <t>イキヌキ</t>
    </rPh>
    <phoneticPr fontId="6"/>
  </si>
  <si>
    <t>NULL</t>
    <phoneticPr fontId="6"/>
  </si>
  <si>
    <t>ja</t>
    <phoneticPr fontId="6"/>
  </si>
  <si>
    <t>四神の苦難</t>
    <rPh sb="0" eb="1">
      <t>ヨン</t>
    </rPh>
    <rPh sb="1" eb="2">
      <t>カミ</t>
    </rPh>
    <rPh sb="3" eb="5">
      <t>クナン</t>
    </rPh>
    <phoneticPr fontId="6"/>
  </si>
  <si>
    <t>「妾もバカンスに行きたいのじゃー！」
と言って聞かない麒麟に付き添う四神…
彼らにしか理解できない苦難がありそうです</t>
    <rPh sb="1" eb="2">
      <t>ワラワモ</t>
    </rPh>
    <rPh sb="8" eb="9">
      <t>イキタイノ</t>
    </rPh>
    <rPh sb="20" eb="21">
      <t>イッテ</t>
    </rPh>
    <rPh sb="23" eb="24">
      <t>キカナイ</t>
    </rPh>
    <rPh sb="27" eb="29">
      <t>キリン</t>
    </rPh>
    <rPh sb="30" eb="31">
      <t>ツキソウ</t>
    </rPh>
    <rPh sb="34" eb="35">
      <t>ヨn</t>
    </rPh>
    <rPh sb="35" eb="36">
      <t>カミ</t>
    </rPh>
    <rPh sb="38" eb="39">
      <t>カレラニ</t>
    </rPh>
    <rPh sb="43" eb="45">
      <t>リカイ</t>
    </rPh>
    <rPh sb="49" eb="51">
      <t>クナン</t>
    </rPh>
    <phoneticPr fontId="6"/>
  </si>
  <si>
    <t>NULL</t>
    <phoneticPr fontId="6"/>
  </si>
  <si>
    <t>ja</t>
    <phoneticPr fontId="6"/>
  </si>
  <si>
    <t>すなあそびだいすき！</t>
    <phoneticPr fontId="6"/>
  </si>
  <si>
    <t>ケツァクアトルもビーチには興味津々
泳ぐよりも砂遊びがお気に入りみたいです</t>
    <phoneticPr fontId="6"/>
  </si>
  <si>
    <t>NULL</t>
    <phoneticPr fontId="6"/>
  </si>
  <si>
    <t>ja</t>
    <phoneticPr fontId="6"/>
  </si>
  <si>
    <t>暑いのは苦手…</t>
    <rPh sb="0" eb="1">
      <t>アツイノハ</t>
    </rPh>
    <rPh sb="4" eb="6">
      <t>ニガテ</t>
    </rPh>
    <phoneticPr fontId="6"/>
  </si>
  <si>
    <t>クールビューティーなルキフグスですが
夏の暑さには少々弱いようです</t>
    <phoneticPr fontId="6"/>
  </si>
  <si>
    <t>NULL</t>
    <phoneticPr fontId="6"/>
  </si>
  <si>
    <t>暑いときこそ熱く！</t>
    <rPh sb="0" eb="1">
      <t>アツイ</t>
    </rPh>
    <rPh sb="6" eb="7">
      <t>アツク</t>
    </rPh>
    <phoneticPr fontId="6"/>
  </si>
  <si>
    <t>いつも元気なフェンリル
夏は彼女のハートも熱くなる季節のようです</t>
    <phoneticPr fontId="6"/>
  </si>
  <si>
    <t>海は綺麗だね…</t>
    <rPh sb="0" eb="1">
      <t>ウミハ</t>
    </rPh>
    <rPh sb="2" eb="4">
      <t>キレイ</t>
    </rPh>
    <phoneticPr fontId="6"/>
  </si>
  <si>
    <t>インドア派のバルドルも海は好きなようです
静かな海の中で何を思うのでしょうか</t>
    <phoneticPr fontId="6"/>
  </si>
  <si>
    <t>NULL</t>
    <phoneticPr fontId="6"/>
  </si>
  <si>
    <t>ja</t>
    <phoneticPr fontId="6"/>
  </si>
  <si>
    <t>猫とビーチボール</t>
    <phoneticPr fontId="6"/>
  </si>
  <si>
    <t>いつも冷静沈着なシュレディンガーですが
猫達と戯れる時は表情を覗かせます
どちらが本当の彼なのでしょう</t>
    <phoneticPr fontId="6"/>
  </si>
  <si>
    <t>NULL</t>
    <phoneticPr fontId="6"/>
  </si>
  <si>
    <t>サーフィンよっ！</t>
    <phoneticPr fontId="6"/>
  </si>
  <si>
    <t>夏といえば海のアクティビティ
オイラーもサーフィンでノリノリですね</t>
    <phoneticPr fontId="6"/>
  </si>
  <si>
    <t>熱帯魚と一緒に</t>
    <phoneticPr fontId="6"/>
  </si>
  <si>
    <t>色鮮やかな熱帯魚と戯れるメビウス
美しさに目を奪われるアバターも
多いみたいです</t>
    <phoneticPr fontId="6"/>
  </si>
  <si>
    <t>元気MAX！</t>
    <phoneticPr fontId="6"/>
  </si>
  <si>
    <t>南国のビーチを満喫するファラデー
色鮮やかなハイビスカスも空の虹も
彼女の輝きには勝てないみたいです</t>
    <phoneticPr fontId="6"/>
  </si>
  <si>
    <t>ja</t>
    <phoneticPr fontId="6"/>
  </si>
  <si>
    <t>夏といえば海！</t>
    <phoneticPr fontId="6"/>
  </si>
  <si>
    <t>スターライト・オーシャンはALICE内で
本物の海を体感できるアトラクション
毎年多くのアバターで賑わっています</t>
    <phoneticPr fontId="6"/>
  </si>
  <si>
    <t>NULL</t>
    <phoneticPr fontId="6"/>
  </si>
  <si>
    <t>ja</t>
    <phoneticPr fontId="6"/>
  </si>
  <si>
    <t>NULL</t>
    <phoneticPr fontId="6"/>
  </si>
  <si>
    <t>すなあそびだいすき！</t>
    <phoneticPr fontId="6"/>
  </si>
  <si>
    <t>ケツァクアトルもビーチには興味津々
泳ぐよりも砂遊びがお気に入りみたいです</t>
    <phoneticPr fontId="6"/>
  </si>
  <si>
    <t>ja</t>
    <phoneticPr fontId="6"/>
  </si>
  <si>
    <t>クールビューティーなルキフグスですが
夏の暑さには少々弱いようです</t>
    <phoneticPr fontId="6"/>
  </si>
  <si>
    <t>NULL</t>
    <phoneticPr fontId="6"/>
  </si>
  <si>
    <t>ja</t>
    <phoneticPr fontId="6"/>
  </si>
  <si>
    <t>いつも元気なフェンリル
夏は彼女のハートも熱くなる季節のようです</t>
    <phoneticPr fontId="6"/>
  </si>
  <si>
    <t>NULL</t>
    <phoneticPr fontId="6"/>
  </si>
  <si>
    <t>ja</t>
    <phoneticPr fontId="6"/>
  </si>
  <si>
    <t>インドア派のバルドルも海は好きなようです
静かな海の中で何を思うのでしょうか</t>
    <phoneticPr fontId="6"/>
  </si>
  <si>
    <t>NULL</t>
    <phoneticPr fontId="6"/>
  </si>
  <si>
    <t>猫とビーチボール</t>
    <phoneticPr fontId="6"/>
  </si>
  <si>
    <t>いつも冷静沈着なシュレディンガーですが
猫達と戯れる時は表情を覗かせます
どちらが本当の彼なのでしょう</t>
    <phoneticPr fontId="6"/>
  </si>
  <si>
    <t>サーフィンよっ！</t>
    <phoneticPr fontId="6"/>
  </si>
  <si>
    <t>夏といえば海のアクティビティ
オイラーもサーフィンでノリノリですね</t>
    <phoneticPr fontId="6"/>
  </si>
  <si>
    <t>熱帯魚と一緒に</t>
    <phoneticPr fontId="6"/>
  </si>
  <si>
    <t>色鮮やかな熱帯魚と戯れるメビウス
美しさに目を奪われるアバターも
多いみたいです</t>
    <phoneticPr fontId="6"/>
  </si>
  <si>
    <t>ja</t>
    <phoneticPr fontId="6"/>
  </si>
  <si>
    <t>元気MAX！</t>
    <phoneticPr fontId="6"/>
  </si>
  <si>
    <t>南国のビーチを満喫するファラデー
色鮮やかなハイビスカスも空の虹も
彼女の輝きには勝てないみたいです</t>
    <phoneticPr fontId="6"/>
  </si>
  <si>
    <t>NULL</t>
    <phoneticPr fontId="6"/>
  </si>
  <si>
    <t>everyone</t>
    <phoneticPr fontId="6"/>
  </si>
  <si>
    <t>clear</t>
    <phoneticPr fontId="6"/>
  </si>
  <si>
    <t>item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</si>
  <si>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</si>
  <si>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</si>
  <si>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</si>
  <si>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</si>
  <si>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</si>
  <si>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</si>
  <si>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</si>
  <si>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</si>
  <si>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</si>
  <si>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</si>
  <si>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</si>
  <si>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</si>
  <si>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</si>
  <si>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</si>
  <si>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</si>
  <si>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</si>
  <si>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</si>
  <si>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</si>
  <si>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</si>
  <si>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</si>
  <si>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</si>
  <si>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</si>
  <si>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</si>
  <si>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</si>
  <si>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</si>
  <si>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</si>
  <si>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</si>
  <si>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</si>
  <si>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</si>
  <si>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</si>
  <si>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</si>
  <si>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</si>
  <si>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everyone</t>
    <phoneticPr fontId="6"/>
  </si>
  <si>
    <t>clear</t>
    <phoneticPr fontId="6"/>
  </si>
  <si>
    <t>item</t>
    <phoneticPr fontId="6"/>
  </si>
  <si>
    <t>2016-5-27 0:00:00</t>
    <phoneticPr fontId="6"/>
  </si>
  <si>
    <t>2970-01-01 09:00:00</t>
    <phoneticPr fontId="6"/>
  </si>
  <si>
    <t>everyone</t>
    <phoneticPr fontId="6"/>
  </si>
  <si>
    <t>no_continue</t>
    <phoneticPr fontId="6"/>
  </si>
  <si>
    <t>item</t>
    <phoneticPr fontId="6"/>
  </si>
  <si>
    <t>everyone</t>
    <phoneticPr fontId="6"/>
  </si>
  <si>
    <t>no_continue</t>
    <phoneticPr fontId="6"/>
  </si>
  <si>
    <t>item</t>
    <phoneticPr fontId="6"/>
  </si>
  <si>
    <t>2016-5-27 0:00:00</t>
    <phoneticPr fontId="6"/>
  </si>
  <si>
    <t>2970-01-01 09:00:00</t>
    <phoneticPr fontId="6"/>
  </si>
  <si>
    <t>old</t>
  </si>
  <si>
    <t>わわ！ふろいと、とってもせくしー…！</t>
  </si>
  <si>
    <t>あんた…なんて露出度の高い…！ぐぬぬ…</t>
  </si>
  <si>
    <t>あら、バカンスかしら…羨ましいわ…</t>
  </si>
  <si>
    <t>わ、私と同じような体型なのに…勝負ですね</t>
  </si>
  <si>
    <t>その格好ならモテること間違いなしね！</t>
  </si>
  <si>
    <t>横のもこもこした子達は君の従者かな？可愛らしいね</t>
    <phoneticPr fontId="6"/>
  </si>
  <si>
    <t>うっ、メビウス…妾よりすたいるが…！？
いや、なんでもない…</t>
    <phoneticPr fontId="6"/>
  </si>
  <si>
    <t>[effect:enemy_message, val1:1.3, val2:1.2],[effect:rush, count:2, val:0.5]</t>
  </si>
  <si>
    <t>[effect:enemy_message, val1:1.2, val2:1.2],[effect:critical, val:1.2]</t>
  </si>
  <si>
    <t>[effect:enemy_message, val1:1.2, val2:1.4],[effect:damage_anti_color, target:unit_all, color:red, val1:0.7, val2:0.35]</t>
  </si>
  <si>
    <t>[effect:enemy_message, val1:1.2, val2:1.2],[effect:rush, count:6, val:0.2]</t>
  </si>
  <si>
    <t>[effect:enemy_message, val1:1.2, val2:1.2],[effect:spread, val:0.35],[effect:dark, target:unit_all, turn:1, animation:enemy_dark]</t>
  </si>
  <si>
    <t>[effect:enemy_message, val1:1.2, val2:1.2],[effect:suicide, val:1, dead_type:escape, target:myself]</t>
  </si>
  <si>
    <t>[effect:enemy_message, val1:1.2, val2:1.2],[effect:critical, val:1.5]</t>
  </si>
  <si>
    <t>[effect:enemy_message, val1:1.2, val2:1.2],[effect:spread, val:0.35]</t>
  </si>
  <si>
    <t>[effect:enemy_message, val1:1.2, val2:1.8],[effect:break_attack, val:0.08, lowest_val:5000, count:20, block:block_blue, target:unit_one]</t>
  </si>
  <si>
    <t>[effect:enemy_message, val1:1.6, val2:1.8],[effect:break_attack, val:0.06, lowest_val:5000, count:20, block:block_red, target:unit_one]</t>
  </si>
  <si>
    <t>[effect:enemy_message, val1:1.2, val2:2.5],[effect:break_attack, val:0.02, lowest_val:1500, count:-1, block:block_red, target:unit_all],[effect:hungup, target:unit_all, turn:1, rate:1, animation:hungup01]</t>
  </si>
  <si>
    <t>[effect:enemy_message, val1:1.7, val2:2.2],[effect:reduction, target:myself, turn:3, color:all, val:0.5, animation:reduction_one01]</t>
  </si>
  <si>
    <t>[effect:enemy_message, val1:1.2, val2:3.8],[effect:break_attack, val:0.02, lowest_val:1500, count:-1, block:block_red, target:unit_all],[effect:hungup, target:unit_blue/not, turn:1, rate:1, animation:hungup01]</t>
  </si>
  <si>
    <t>[effect:enemy_message, val1:1.6, val2:1.8],[effect:fix_speed, target:myself, turn:1],[effect:enhance_unit, target:unit_blue, turn:-1, status:action, val:1]</t>
  </si>
  <si>
    <t>[effect:enemy_message, val1:1.2, val2:1.2]</t>
  </si>
  <si>
    <t>[effect:enemy_message, val1:1.4, val2:1.4]</t>
  </si>
  <si>
    <t>[effect:enemy_message, val1:1.6, val2:0]</t>
  </si>
  <si>
    <t>[effect:enemy_message, val1:1.2, val2:0],[effect:fix_speed, target:myself, turn:1]</t>
  </si>
  <si>
    <t>[effect:enemy_message, val1:1.4, val2:0],[effect:fix_speed, target:myself, turn:1]</t>
  </si>
  <si>
    <t>[effect:enemy_message, val1:1.8, val2:0],[effect:fix_speed, target:myself, turn:1]</t>
  </si>
  <si>
    <t>[effect:enemy_message, val1:1.5, val2:0]</t>
  </si>
  <si>
    <t>[effect:enemy_message, val1:1.3, val2:0],[effect:fix_speed, target:myself, turn:1]</t>
  </si>
  <si>
    <t>[effect:enemy_message, val1:2.2, val2:0],[effect:fix_speed, target:myself, turn:1]</t>
  </si>
  <si>
    <t>[effect:enemy_message, val1:2.1, val2:0],[effect:fix_speed, target:myself, turn:1]</t>
  </si>
  <si>
    <t>[effect:enemy_message, val1:1.9, val2:0],[effect:fix_speed, target:myself, turn:1]</t>
  </si>
  <si>
    <t>[effect:enemy_message, val1:3.1, val2:0],[effect:fix_speed, target:myself, turn:1]</t>
  </si>
  <si>
    <t>[effect:enemy_message, val1:2.6, val2:0],[effect:fix_speed, target:myself, turn:1]</t>
  </si>
  <si>
    <t>[effect:enemy_message, val1:2.7, val2:0],[effect:fix_speed, target:myself, turn:1]</t>
  </si>
  <si>
    <t>[effect:enemy_message, val1:1.7, val2:0]</t>
  </si>
  <si>
    <t>[effect:enemy_message, val1:1.9, val2:0]</t>
  </si>
  <si>
    <t>[effect:enemy_message, val1:1.8, val2:0]</t>
  </si>
  <si>
    <t>[effect:enemy_message, val1:2.0, val2:0],[effect:fix_speed, target:myself, turn:1]</t>
  </si>
  <si>
    <t>[effect:enemy_message, val1:2.0, val2:0]</t>
  </si>
  <si>
    <t>[effect:enemy_message, val1:2.4, val2:0]</t>
  </si>
  <si>
    <t>[effect:enemy_message, val1:2.2, val2:0]</t>
  </si>
  <si>
    <t>自己回復+クリティカル！</t>
    <rPh sb="0" eb="2">
      <t>ジコ</t>
    </rPh>
    <rPh sb="2" eb="4">
      <t>カイフク</t>
    </rPh>
    <phoneticPr fontId="6"/>
  </si>
  <si>
    <t>少しお手伝いしますね…頑張って下さい
【回復効果付与】</t>
    <phoneticPr fontId="6"/>
  </si>
  <si>
    <t>次のターン強力な全体攻撃</t>
    <rPh sb="0" eb="1">
      <t>ツギ</t>
    </rPh>
    <rPh sb="5" eb="7">
      <t>キョウリョクナ</t>
    </rPh>
    <rPh sb="8" eb="10">
      <t>ゼンタイ</t>
    </rPh>
    <rPh sb="10" eb="12">
      <t>コウゲキ</t>
    </rPh>
    <phoneticPr fontId="6"/>
  </si>
  <si>
    <t>赤属性に変化+3ターン攻撃力UP</t>
    <rPh sb="0" eb="1">
      <t>アカ</t>
    </rPh>
    <rPh sb="1" eb="3">
      <t>ゾクセイ</t>
    </rPh>
    <rPh sb="4" eb="6">
      <t>ヘンカ</t>
    </rPh>
    <rPh sb="11" eb="14">
      <t>コウゲキリョク</t>
    </rPh>
    <phoneticPr fontId="6"/>
  </si>
  <si>
    <t>防御力UP+解除するまでカウンター</t>
    <rPh sb="0" eb="3">
      <t>ボウギョリョク</t>
    </rPh>
    <rPh sb="6" eb="8">
      <t>カイジョスルマデ</t>
    </rPh>
    <phoneticPr fontId="6"/>
  </si>
  <si>
    <t>青龍の力で3ターン攻撃力UP！</t>
    <rPh sb="0" eb="2">
      <t>セイリュウ</t>
    </rPh>
    <rPh sb="3" eb="4">
      <t>チカラデ</t>
    </rPh>
    <rPh sb="9" eb="12">
      <t>コウゲキリョク</t>
    </rPh>
    <phoneticPr fontId="6"/>
  </si>
  <si>
    <t>青属性ユニットの攻撃力UP！</t>
    <rPh sb="0" eb="1">
      <t>アオzクセイ</t>
    </rPh>
    <rPh sb="1" eb="3">
      <t>ゾクセイ</t>
    </rPh>
    <rPh sb="8" eb="11">
      <t>コウゲキリョク</t>
    </rPh>
    <phoneticPr fontId="6"/>
  </si>
  <si>
    <t>青属性ユニットの回復力UP！</t>
    <rPh sb="8" eb="10">
      <t>カイフク</t>
    </rPh>
    <rPh sb="10" eb="11">
      <t>コウゲキリョク</t>
    </rPh>
    <phoneticPr fontId="6"/>
  </si>
  <si>
    <t>青属性ユニットの防御力UP！</t>
    <rPh sb="8" eb="10">
      <t>ボウギョ</t>
    </rPh>
    <rPh sb="10" eb="11">
      <t>コウゲキリョク</t>
    </rPh>
    <phoneticPr fontId="6"/>
  </si>
  <si>
    <t>青属性ユニットの攻撃力UP！</t>
    <rPh sb="0" eb="1">
      <t>アオ</t>
    </rPh>
    <rPh sb="1" eb="3">
      <t>ゾクセイ</t>
    </rPh>
    <rPh sb="8" eb="11">
      <t>コウゲキリョク</t>
    </rPh>
    <phoneticPr fontId="6"/>
  </si>
  <si>
    <t>赤パネルを吸収して全体攻撃+
青属性以外のユニットに1ターンスキルバインド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</si>
  <si>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赤パネルを吸収して全体攻撃+
青属性以外のユニットに2ターンスキルバインド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</si>
  <si>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赤パネルを吸収して全体攻撃+
青属性以外のユニットに3ターンスキルバインド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rPh sb="15" eb="16">
      <t>アオ</t>
    </rPh>
    <rPh sb="16" eb="18">
      <t>ゾクセイ</t>
    </rPh>
    <rPh sb="18" eb="20">
      <t>イガイノ</t>
    </rPh>
    <phoneticPr fontId="6"/>
  </si>
  <si>
    <t>スキルバインド耐性+スリープ耐性</t>
    <phoneticPr fontId="6"/>
  </si>
  <si>
    <t>スキルバインド耐性+スリープ耐性+
残りHPの80%ダメージ！</t>
    <phoneticPr fontId="6"/>
  </si>
  <si>
    <t>スキルバインド耐性+スリープ耐性+
残りHPの80%ダメージ！+スキルゲージがMAXになった！</t>
    <phoneticPr fontId="6"/>
  </si>
  <si>
    <t>攻撃力UP+防御力UP</t>
    <phoneticPr fontId="6"/>
  </si>
  <si>
    <t>麒麟はショックでダメージを受けている！
【青属性ユニットのスキルMAX！】</t>
    <rPh sb="0" eb="2">
      <t>キリンハ</t>
    </rPh>
    <rPh sb="13" eb="14">
      <t>ウケテイル</t>
    </rPh>
    <phoneticPr fontId="6"/>
  </si>
  <si>
    <t>緑属性に変化+1ターン行動頻度UP</t>
    <rPh sb="1" eb="3">
      <t>ゾクセイ</t>
    </rPh>
    <rPh sb="11" eb="13">
      <t>コウドウ</t>
    </rPh>
    <rPh sb="13" eb="15">
      <t>ヒンド</t>
    </rPh>
    <phoneticPr fontId="6"/>
  </si>
  <si>
    <t>[effect:enemy_message, val1:1.2, val2:1.2],[effect:enhance_enemy, target:myself, turn:-1, status:attack, val:0.5, calc:mul, animation:enemy_enhance_attack],[effect:enhance_enemy, target:myself, turn:-1, status:defense, val:2500, calc:add, animation:enemy_enhance_defense]</t>
  </si>
  <si>
    <t xml:space="preserve">[effect:enemy_message, val1:1.2, val2:1.7],[effect:change_attribute, target:enemy_all, color:green, turn:-1, animation:change_attribute_green],[effect:freq_turn, target:myself, turn:1, val:1, animation:enemy_freq_turn]    </t>
  </si>
  <si>
    <t>[effect:enemy_message, val1:2.1, val2:3.8],[effect:crash_condition, target:unit_all, val:-2, turn:-1, animation:crash_panel_reduce04],[effect:suicide, val:1, dead_type:escape, target:myself]</t>
  </si>
  <si>
    <t>[effect:enemy_message, val1:1.7, val2:3.1],[effect:tolerance, target:myself, turn:-1, tolerance_effect:hungup, count:-1],[effect:tolerance, target:myself, turn:-1, tolerance_effect:sleep, count:-1, animation:enemy_tolerance],[effect:freq_turn, target:myself, turn:-1, val:1, animation:enemy_freq_turn]</t>
  </si>
  <si>
    <t>[effect:enemy_message, val1:1.4, val2:1.5],[effect:enhance_enemy, target:myself, turn:3, status:attack, val:0.3, calc:mul, animation:enemy_enhance_attack]</t>
  </si>
  <si>
    <t>[effect:enemy_message, val1:1.4, val2:1.4],[effect:enhance_unit, target:unit_blue, turn:-1, status:attack, val:0.7, calc:mul]</t>
  </si>
  <si>
    <t>[effect:enemy_message, val1:1.2, val2:1.4],[effect:enhance_unit, target:unit_blue, turn:-1, status:heal, val:0.4, calc:mul],[effect:fix_speed, target:myself, turn:1]</t>
  </si>
  <si>
    <t>[effect:enemy_message, val1:1.7, val2:1.4],[effect:enhance_unit, target:unit_blue, turn:-1, status:defense, val:1080, calc:add]</t>
  </si>
  <si>
    <t>[effect:enemy_message, val1:3.1, val2:3.8],[effect:suicide, val:0.5, dead_type:suicide, target:myself],[effect:sp_boost, target:unit_blue, val:99, animation:sp_boost_one03]</t>
  </si>
  <si>
    <t>[effect:enemy_message, val1:2.8, val2:3.8],[effect:suicide, val:0.5, dead_type:suicide, target:myself],[effect:sp_boost, target:unit_blue, val:99, animation:sp_boost_one03]</t>
  </si>
  <si>
    <t>[effect:enemy_message, val1:1.2, val2:1.4],[effect:fix_speed, target:myself, turn:1],[effect:enhance_unit, target:unit_blue, turn:-1, status:attack, val:0.7, calc:mul]</t>
  </si>
  <si>
    <t>[effect:enemy_message, val1:1.4, val2:1.4],[effect:fix_speed, target:myself, turn:1],[effect:enhance_unit, target:unit_blue, turn:-1, status:heal, val:0.4, calc:mul]</t>
  </si>
  <si>
    <t>[effect:enemy_message, val1:1.7, val2:1.4],[effect:fix_speed, target:myself, turn:1],[effect:enhance_unit, target:unit_blue, turn:-1, status:defense, val:1080, calc:add]</t>
  </si>
  <si>
    <t>[effect:enemy_message, val1:2.1, val2:4.8],[effect:tolerance,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animation:fevergauge_down],[effect:sp_boost, target:unit_all, val:99, animation:sp_boost_one03]</t>
  </si>
  <si>
    <t>[effect:enemy_message, val1:1.8, val2:1.4],[effect:enhance_unit, target:unit_blue, turn:-1, status:attack, val:0.7, calc:mul]</t>
  </si>
  <si>
    <t>[effect:enemy_message, val1:1.2, val2:2.4]</t>
  </si>
  <si>
    <t>[effect:enemy_message, val1:1.4, val2:0]</t>
  </si>
  <si>
    <t>[effect:enemy_message, val1:3.0, val2:3.8],[effect:suicide, val:0.5, dead_type:suicide, target:myself],[effect:sp_boost, target:unit_blue, val:99, animation:sp_boost_one03]</t>
  </si>
  <si>
    <t>[effect:enemy_message, val1:1.8, val2:0],[effect:fix_speed, target:myself, turn:1]</t>
    <phoneticPr fontId="6"/>
  </si>
  <si>
    <t>[effect:enemy_message, val1:1.7, val2:1.2],[effect:heal, target:myself, val:0.1, animation:enemy_heal],[effect:critical, val:1.5]</t>
    <phoneticPr fontId="6"/>
  </si>
  <si>
    <t>[effect:enemy_message, val1:1.6, val2:0],[effect:fix_speed, target:myself, turn:1]</t>
    <phoneticPr fontId="6"/>
  </si>
  <si>
    <t>[effect:enemy_message, val1:1.5, val2:2.8],[effect:regenerate, turn:-1, target:unit_all, val:0.05, type:hp_ratio, animation:heal01_unit01],[effect:suicide, val:1, dead_type:escape, target:myself]</t>
    <phoneticPr fontId="6"/>
  </si>
  <si>
    <t>[effect:enemy_message, val1:1.5, val2:1.6],[effect:change_attribute, target:enemy_all, color:red, turn:-1, animation:change_attribute_red],[effect:enhance_enemy, target:myself, turn:3, status:attack, val:0.1, calc:mul, animation:enemy_enhance_attack]</t>
    <phoneticPr fontId="6"/>
  </si>
  <si>
    <t>[effect:enemy_message, val1:1.4, val2:1.8],[effect:break_attack, val:0.1, lowest_val:3000, count:10, block:block_red, target:unit_one]</t>
    <phoneticPr fontId="6"/>
  </si>
  <si>
    <t>[effect:enemy_message, val1:1.6, val2:0],[effect:fix_speed, target:myself, turn:1]</t>
    <phoneticPr fontId="6"/>
  </si>
  <si>
    <t>[effect:enemy_message, val1:1.6, val2:1.7],[effect:enhance_enemy, target:myself, turn:-1, status:defense, val:2500, calc:add, animation:enemy_enhance_defense],[effect:enemy_counter, target:myself, invoke_condition:unit_all, counter_target:attacker, turn:-1, val:0.2, animation:enemy_counter]</t>
    <phoneticPr fontId="6"/>
  </si>
  <si>
    <t>[effect:enemy_message, val1:1.7, val2:0],[effect:fix_speed, target:myself, turn:1]</t>
    <phoneticPr fontId="6"/>
  </si>
  <si>
    <t>[effect:enemy_message, val1:1.5, val2:3.5],[effect:drop_block, block_type:crash, color:block_all, val:8, rate:0.06, turn:-1, animation:crash_influence04],[effect:suicide, val:1, dead_type:escape, target:myself]</t>
    <phoneticPr fontId="6"/>
  </si>
  <si>
    <t>[effect:enemy_message, val1:1.8, val2:1.6],[effect:tolerance, target:myself, turn:-1, tolerance_effect:hungup, count:-1],[effect:tolerance, target:myself, turn:-1, tolerance_effect:sleep, count:-1, animation:enemy_tolerance]</t>
    <phoneticPr fontId="6"/>
  </si>
  <si>
    <t>[effect:enemy_message, val1:1.6, val2:1.3],[effect:damage_gravity, val:0.6, animation:fevergauge_down]</t>
    <phoneticPr fontId="6"/>
  </si>
  <si>
    <t>[effect:enemy_message, val1:1.5, val2:3.8],[effect:break_attack, val:0.01, lowest_val:2000, count:-1, block:block_red, target:unit_all],[effect:hungup, target:unit_blue/not, turn:3, rate:1, animation:hungup01]</t>
    <phoneticPr fontId="6"/>
  </si>
  <si>
    <t>[effect:enemy_message, val1:1.5, val2:3.8],[effect:break_attack, val:0.01, lowest_val:1000, count:-1, block:block_red, target:unit_all],[effect:hungup, target:unit_blue/not, turn:2, rate:1, animation:hungup01]</t>
    <phoneticPr fontId="6"/>
  </si>
  <si>
    <t>[effect:enemy_message, val1:2.1, val2:3.2],[effect:tolerance,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t>
    <phoneticPr fontId="6"/>
  </si>
  <si>
    <t>[effect:enemy_message, val1:2.8, val2:0],[effect:fix_speed, target:myself, turn:1]</t>
    <phoneticPr fontId="6"/>
  </si>
  <si>
    <t>[effect:enemy_message, val1:1.5, val2:0],[effect:fix_speed, target:myself, turn:1]</t>
    <phoneticPr fontId="6"/>
  </si>
  <si>
    <t>[effect:enemy_message, val1:1.5, val2:1.8],[effect:enhance_unit, target:unit_blue, turn:-1, status:action, val:1],[effect:fix_speed, target:myself, turn:1]</t>
    <phoneticPr fontId="6"/>
  </si>
  <si>
    <t>[effect:enemy_message, val1:1.8, val2:0],[effect:fix_speed, target:myself, turn:1]</t>
    <phoneticPr fontId="6"/>
  </si>
  <si>
    <t>[effect:enemy_message, val1:1.8, val2:0]</t>
    <phoneticPr fontId="6"/>
  </si>
  <si>
    <t>オ、オイラー…これが
ぼんきゅっぼんというものなのか…！？</t>
    <phoneticPr fontId="6"/>
  </si>
  <si>
    <t>ぬうぅ、ファラデー…
なんて大胆な水着を…！負けぬぞ！</t>
    <phoneticPr fontId="6"/>
  </si>
  <si>
    <t>[effect:enemy_message, val1:2.0, val2:1.4],[effect:fix_speed, target:myself, turn:1],[effect:enhance_unit, target:unit_blue, turn:-1, status:attack, val:0.7, calc:mul]</t>
    <phoneticPr fontId="6"/>
  </si>
  <si>
    <t>[effect:enemy_message, val1:2.6, val2:0]</t>
    <phoneticPr fontId="6"/>
  </si>
  <si>
    <t>null</t>
  </si>
  <si>
    <t>full_member</t>
    <phoneticPr fontId="6"/>
  </si>
  <si>
    <t>きわどい水着を選びおって…そこまでしてモテたいか！</t>
    <rPh sb="4" eb="6">
      <t>ミズギヲ</t>
    </rPh>
    <rPh sb="7" eb="8">
      <t>エラビ</t>
    </rPh>
    <phoneticPr fontId="6"/>
  </si>
  <si>
    <t>青属性ユニットのタップ回数を1UP！</t>
    <rPh sb="11" eb="13">
      <t>カイスウ</t>
    </rPh>
    <phoneticPr fontId="6"/>
  </si>
  <si>
    <t>大層なものじゃないけど　これは餞別よ！
【確率でCパネルをドロップ】</t>
    <rPh sb="0" eb="2">
      <t>タイソウナ</t>
    </rPh>
    <rPh sb="15" eb="17">
      <t>センベツ</t>
    </rPh>
    <rPh sb="21" eb="23">
      <t>テイカクリツ</t>
    </rPh>
    <phoneticPr fontId="6"/>
  </si>
  <si>
    <t>全体攻撃+ランダムで赤パネルに変換(最大10個)</t>
    <rPh sb="0" eb="2">
      <t>ゼンタイ</t>
    </rPh>
    <rPh sb="2" eb="4">
      <t>コウゲキ</t>
    </rPh>
    <rPh sb="10" eb="11">
      <t>アカ</t>
    </rPh>
    <rPh sb="15" eb="17">
      <t>ヘンカｎ</t>
    </rPh>
    <rPh sb="18" eb="20">
      <t>サイダイ</t>
    </rPh>
    <rPh sb="22" eb="23">
      <t>コ</t>
    </rPh>
    <phoneticPr fontId="6"/>
  </si>
  <si>
    <t>全体攻撃+ランダムで赤パネルに変換(最大10個)</t>
    <rPh sb="0" eb="2">
      <t>ゼンタイ</t>
    </rPh>
    <rPh sb="2" eb="4">
      <t>コウゲキ</t>
    </rPh>
    <phoneticPr fontId="6"/>
  </si>
  <si>
    <t>朱雀の力で5ターン赤パネルドロップ率UP！
8ターン後に超強力な攻撃！！</t>
    <rPh sb="0" eb="2">
      <t>スザク</t>
    </rPh>
    <rPh sb="3" eb="4">
      <t>チカラデ</t>
    </rPh>
    <rPh sb="9" eb="10">
      <t>アカ</t>
    </rPh>
    <rPh sb="17" eb="18">
      <t>リツ</t>
    </rPh>
    <rPh sb="26" eb="27">
      <t>ゴ</t>
    </rPh>
    <rPh sb="28" eb="31">
      <t>チョウキョウリョクナ</t>
    </rPh>
    <rPh sb="32" eb="34">
      <t>コウゲキ</t>
    </rPh>
    <phoneticPr fontId="6"/>
  </si>
  <si>
    <t>[effect:enemy_message, val1:2.0, val2:3.8],[effect:change_panel_ratio, turn:5, block_type:red, val:0.5, animation:block_incidence04]</t>
    <phoneticPr fontId="6"/>
  </si>
  <si>
    <t>[effect:enemy_message, val1:2.2, val2:1.5],[effect:damage_fix_absolute, target:unit_all, val:10000]</t>
    <phoneticPr fontId="6"/>
  </si>
  <si>
    <t>(表示なし)</t>
    <rPh sb="1" eb="3">
      <t>ヒョウジナシ</t>
    </rPh>
    <phoneticPr fontId="6"/>
  </si>
  <si>
    <t>赤パネルを吸収して攻撃(最大10個)</t>
    <rPh sb="0" eb="1">
      <t>アカ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</si>
  <si>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お詫びと言っちゃなんだけど…まぁ頑張ってよ
【Cパネル生成短縮(効果大)】</t>
    <rPh sb="4" eb="5">
      <t>イッチャ</t>
    </rPh>
    <rPh sb="16" eb="18">
      <t>ガンバッテヨ</t>
    </rPh>
    <rPh sb="27" eb="29">
      <t>セイセイ</t>
    </rPh>
    <rPh sb="29" eb="31">
      <t>タンシュク</t>
    </rPh>
    <rPh sb="32" eb="34">
      <t>コウカ</t>
    </rPh>
    <rPh sb="34" eb="35">
      <t>トクダイ</t>
    </rPh>
    <phoneticPr fontId="6"/>
  </si>
  <si>
    <t>青パネルをお邪魔パネルに変換(最大10個)</t>
    <rPh sb="0" eb="1">
      <t>アオ</t>
    </rPh>
    <rPh sb="12" eb="14">
      <t>ヘンカン</t>
    </rPh>
    <rPh sb="15" eb="17">
      <t>サイダイ</t>
    </rPh>
    <rPh sb="19" eb="20">
      <t>コ</t>
    </rPh>
    <phoneticPr fontId="6"/>
  </si>
  <si>
    <t>青パネルを吸収して攻撃(最大20個)</t>
    <rPh sb="0" eb="1">
      <t>アオ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</si>
  <si>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赤パネルを吸収して攻撃(最大20個)</t>
    <rPh sb="0" eb="1">
      <t>アカ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</si>
  <si>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スキルバインド耐性+スリープ耐性+
白虎の力で攻撃頻度UP！</t>
    <rPh sb="17" eb="18">
      <t>+</t>
    </rPh>
    <rPh sb="18" eb="19">
      <t>ビャッコノ</t>
    </rPh>
    <rPh sb="19" eb="20">
      <t>トラ</t>
    </rPh>
    <rPh sb="21" eb="22">
      <t>チカラデ</t>
    </rPh>
    <rPh sb="23" eb="27">
      <t>コウゲキヒンド</t>
    </rPh>
    <phoneticPr fontId="6"/>
  </si>
  <si>
    <t>HPを10％消費して強力な全体攻撃</t>
    <rPh sb="6" eb="8">
      <t>ショウヒ</t>
    </rPh>
    <rPh sb="10" eb="12">
      <t>キョウリョクナ</t>
    </rPh>
    <rPh sb="13" eb="15">
      <t>ゼンタイ</t>
    </rPh>
    <rPh sb="15" eb="17">
      <t>コウゲキ</t>
    </rPh>
    <phoneticPr fontId="6"/>
  </si>
  <si>
    <t>[effect:enemy_message, val1:1.2, val2:1.8],[effect:spread, val:0.5],[effect:suicide, val:0.1, dead_type:suicide, target:myself, animation:enemy_suicide]</t>
    <phoneticPr fontId="6"/>
  </si>
  <si>
    <t>[effect:enemy_message, val1:1.2, val2:1.3]</t>
    <phoneticPr fontId="6"/>
  </si>
  <si>
    <t>[effect:enemy_message, val1:1.4, val2:2.4],[effect:spread, val:0.3],[effect:force_change_block, new_block:block_red, target:block_all, ignore01:crash, ignore02:crack_bomb, ignore03:color_break, ignore04:magnet, count:10, val:0, animation:change_block]</t>
  </si>
  <si>
    <t>[effect:enemy_message, val1:1.5, val2:2.4],[effect:spread, val:0.3],[effect:force_change_block, new_block:block_red, target:block_all, ignore01:crash, ignore02:crack_bomb, ignore03:color_break, ignore04:magnet, count:10, val:0, animation:change_block]</t>
  </si>
  <si>
    <t>[effect:enemy_message, val1:1.2, val2:2.1],[effect:force_change_block, new_block:jammer, target:block_blue, ignore01:crash, ignore02:crack_bomb, ignore03:color_break, ignore04:magnet, count:10, val:0, animation:change_block]</t>
    <phoneticPr fontId="6"/>
  </si>
  <si>
    <t>…最近露出度の高い水着が流行ってるのかなぁ…</t>
    <phoneticPr fontId="6"/>
  </si>
  <si>
    <t>わぁ、スゴい水着！ビーチの視線独り占めだね！</t>
    <rPh sb="13" eb="15">
      <t>シセン</t>
    </rPh>
    <phoneticPr fontId="6"/>
  </si>
  <si>
    <t>[effect:enemy_message, val1:2.5, val2:3.8],[effect:suicide, val:0.5, dead_type:suicide, target:myself],[effect:sp_boost, target:unit_blue, val:99, animation:sp_boost_one03]</t>
    <phoneticPr fontId="6"/>
  </si>
  <si>
    <t>ちょっとだけ手伝ってあげる。存分に活かすのよ！
【確率で青のボムパネルをドロップ+
　スキルゲージを3ターン減少】</t>
    <rPh sb="6" eb="8">
      <t>テツダッテ</t>
    </rPh>
    <rPh sb="14" eb="16">
      <t>ゾンブn</t>
    </rPh>
    <rPh sb="17" eb="18">
      <t>イカス</t>
    </rPh>
    <rPh sb="25" eb="27">
      <t>テイカクリツ</t>
    </rPh>
    <rPh sb="28" eb="29">
      <t>アオ</t>
    </rPh>
    <rPh sb="54" eb="56">
      <t>ゲンショウ</t>
    </rPh>
    <phoneticPr fontId="6"/>
  </si>
  <si>
    <t>[effect:enemy_message, val1:1.7, val2:5.4],[effect:drop_block,block_type:crack_bomb,color:block_blue,val:8,rate:0.3,turn:-1],[effect:sp_boost, target:unit_all, val:3, animation:sp_boost_one03],[effect:suicide, val:1, dead_type:escape, target:myself]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</si>
</sst>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rgb="FF0432FF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0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90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7" fillId="0" borderId="3" xfId="0" applyFont="1" applyFill="1" applyBorder="1" applyAlignment="1">
      <alignment vertical="center"/>
    </xf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0" fontId="17" fillId="6" borderId="7" xfId="11" applyFont="1" applyFill="1" applyBorder="1" applyAlignment="1">
      <alignment horizontal="left"/>
    </xf>
    <xf numFmtId="0" fontId="27" fillId="0" borderId="0" xfId="0" applyFont="1"/>
    <xf numFmtId="0" fontId="14" fillId="7" borderId="0" xfId="0" applyFont="1" applyFill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7" xfId="0" applyFont="1" applyFill="1" applyBorder="1"/>
    <xf numFmtId="22" fontId="31" fillId="0" borderId="7" xfId="0" quotePrefix="1" applyNumberFormat="1" applyFont="1" applyFill="1" applyBorder="1"/>
    <xf numFmtId="0" fontId="31" fillId="0" borderId="7" xfId="0" quotePrefix="1" applyFont="1" applyFill="1" applyBorder="1"/>
    <xf numFmtId="0" fontId="3" fillId="0" borderId="7" xfId="615" applyBorder="1"/>
    <xf numFmtId="0" fontId="3" fillId="6" borderId="7" xfId="615" applyFill="1" applyBorder="1"/>
    <xf numFmtId="0" fontId="5" fillId="31" borderId="7" xfId="0" applyFont="1" applyFill="1" applyBorder="1" applyAlignment="1">
      <alignment horizontal="left" vertical="center"/>
    </xf>
    <xf numFmtId="1" fontId="33" fillId="31" borderId="7" xfId="0" applyNumberFormat="1" applyFont="1" applyFill="1" applyBorder="1" applyAlignment="1">
      <alignment vertical="center"/>
    </xf>
    <xf numFmtId="0" fontId="5" fillId="31" borderId="0" xfId="0" applyFont="1" applyFill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vertical="center"/>
    </xf>
    <xf numFmtId="0" fontId="7" fillId="5" borderId="23" xfId="0" applyFont="1" applyFill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vertical="center"/>
    </xf>
    <xf numFmtId="0" fontId="5" fillId="3" borderId="23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vertical="center"/>
    </xf>
    <xf numFmtId="0" fontId="5" fillId="0" borderId="24" xfId="0" applyFont="1" applyFill="1" applyBorder="1" applyAlignment="1">
      <alignment vertical="center"/>
    </xf>
    <xf numFmtId="0" fontId="7" fillId="5" borderId="24" xfId="0" applyFont="1" applyFill="1" applyBorder="1" applyAlignment="1">
      <alignment vertical="center"/>
    </xf>
    <xf numFmtId="0" fontId="5" fillId="0" borderId="24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vertical="center"/>
    </xf>
    <xf numFmtId="0" fontId="5" fillId="3" borderId="24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176" fontId="5" fillId="0" borderId="25" xfId="0" applyNumberFormat="1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176" fontId="5" fillId="0" borderId="26" xfId="0" applyNumberFormat="1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77" fontId="9" fillId="0" borderId="27" xfId="0" applyNumberFormat="1" applyFont="1" applyBorder="1" applyAlignment="1">
      <alignment vertical="center"/>
    </xf>
    <xf numFmtId="0" fontId="9" fillId="0" borderId="28" xfId="0" applyFont="1" applyBorder="1" applyAlignment="1">
      <alignment vertical="center"/>
    </xf>
    <xf numFmtId="177" fontId="9" fillId="0" borderId="28" xfId="0" applyNumberFormat="1" applyFont="1" applyBorder="1" applyAlignment="1">
      <alignment vertical="center"/>
    </xf>
    <xf numFmtId="0" fontId="7" fillId="32" borderId="9" xfId="0" applyFont="1" applyFill="1" applyBorder="1" applyAlignment="1">
      <alignment vertical="center"/>
    </xf>
    <xf numFmtId="0" fontId="53" fillId="0" borderId="3" xfId="0" applyFont="1" applyFill="1" applyBorder="1" applyAlignment="1">
      <alignment vertical="center"/>
    </xf>
    <xf numFmtId="0" fontId="7" fillId="0" borderId="25" xfId="0" applyFont="1" applyFill="1" applyBorder="1" applyAlignment="1">
      <alignment vertical="center"/>
    </xf>
    <xf numFmtId="0" fontId="5" fillId="0" borderId="29" xfId="0" applyFont="1" applyBorder="1" applyAlignment="1">
      <alignment vertical="center"/>
    </xf>
    <xf numFmtId="0" fontId="7" fillId="32" borderId="30" xfId="0" applyFont="1" applyFill="1" applyBorder="1" applyAlignment="1">
      <alignment vertical="center"/>
    </xf>
    <xf numFmtId="0" fontId="7" fillId="0" borderId="26" xfId="0" applyFont="1" applyFill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7" fillId="32" borderId="31" xfId="0" applyFont="1" applyFill="1" applyBorder="1" applyAlignment="1">
      <alignment vertical="center"/>
    </xf>
    <xf numFmtId="0" fontId="5" fillId="13" borderId="32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3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13" borderId="6" xfId="0" applyFont="1" applyFill="1" applyBorder="1" applyAlignment="1">
      <alignment vertical="center"/>
    </xf>
    <xf numFmtId="0" fontId="7" fillId="32" borderId="11" xfId="0" applyFont="1" applyFill="1" applyBorder="1" applyAlignment="1">
      <alignment vertical="center"/>
    </xf>
    <xf numFmtId="1" fontId="33" fillId="31" borderId="23" xfId="0" applyNumberFormat="1" applyFont="1" applyFill="1" applyBorder="1" applyAlignment="1">
      <alignment vertical="center"/>
    </xf>
    <xf numFmtId="0" fontId="7" fillId="32" borderId="34" xfId="0" applyFont="1" applyFill="1" applyBorder="1" applyAlignment="1">
      <alignment vertical="center"/>
    </xf>
    <xf numFmtId="1" fontId="33" fillId="31" borderId="24" xfId="0" applyNumberFormat="1" applyFont="1" applyFill="1" applyBorder="1" applyAlignment="1">
      <alignment vertical="center"/>
    </xf>
    <xf numFmtId="0" fontId="7" fillId="32" borderId="35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5" fillId="0" borderId="7" xfId="0" applyFont="1" applyFill="1" applyBorder="1" applyAlignment="1">
      <alignment vertical="center"/>
    </xf>
    <xf numFmtId="0" fontId="56" fillId="0" borderId="7" xfId="0" applyFont="1" applyFill="1" applyBorder="1" applyAlignment="1">
      <alignment vertical="center"/>
    </xf>
    <xf numFmtId="0" fontId="17" fillId="33" borderId="7" xfId="0" applyFont="1" applyFill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38" fontId="12" fillId="0" borderId="7" xfId="698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7" fillId="34" borderId="7" xfId="0" applyFont="1" applyFill="1" applyBorder="1" applyAlignment="1">
      <alignment vertical="center"/>
    </xf>
    <xf numFmtId="0" fontId="17" fillId="34" borderId="7" xfId="0" applyFont="1" applyFill="1" applyBorder="1" applyAlignment="1">
      <alignment horizontal="left" vertical="center"/>
    </xf>
    <xf numFmtId="0" fontId="17" fillId="34" borderId="7" xfId="0" applyFont="1" applyFill="1" applyBorder="1" applyAlignment="1">
      <alignment horizontal="left" vertical="center" wrapText="1"/>
    </xf>
    <xf numFmtId="0" fontId="56" fillId="0" borderId="7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/>
    </xf>
    <xf numFmtId="0" fontId="54" fillId="0" borderId="7" xfId="0" applyFont="1" applyFill="1" applyBorder="1" applyAlignment="1">
      <alignment horizontal="left" vertical="center" wrapText="1"/>
    </xf>
    <xf numFmtId="0" fontId="17" fillId="0" borderId="23" xfId="0" applyFont="1" applyFill="1" applyBorder="1" applyAlignment="1">
      <alignment vertical="center"/>
    </xf>
    <xf numFmtId="0" fontId="17" fillId="0" borderId="23" xfId="0" applyFont="1" applyFill="1" applyBorder="1" applyAlignment="1">
      <alignment horizontal="left" vertical="center"/>
    </xf>
    <xf numFmtId="0" fontId="17" fillId="0" borderId="23" xfId="0" applyFont="1" applyFill="1" applyBorder="1" applyAlignment="1">
      <alignment horizontal="left" vertical="center" wrapText="1"/>
    </xf>
    <xf numFmtId="0" fontId="17" fillId="0" borderId="24" xfId="0" applyFont="1" applyFill="1" applyBorder="1" applyAlignment="1">
      <alignment vertical="center"/>
    </xf>
    <xf numFmtId="0" fontId="17" fillId="0" borderId="24" xfId="0" applyFont="1" applyFill="1" applyBorder="1" applyAlignment="1">
      <alignment horizontal="left" vertical="center"/>
    </xf>
    <xf numFmtId="0" fontId="54" fillId="0" borderId="24" xfId="0" applyFont="1" applyFill="1" applyBorder="1" applyAlignment="1">
      <alignment horizontal="left" vertical="center" wrapText="1"/>
    </xf>
    <xf numFmtId="0" fontId="0" fillId="0" borderId="12" xfId="0" applyBorder="1"/>
    <xf numFmtId="0" fontId="0" fillId="3" borderId="12" xfId="0" applyFill="1" applyBorder="1"/>
    <xf numFmtId="0" fontId="7" fillId="5" borderId="12" xfId="0" applyFont="1" applyFill="1" applyBorder="1" applyAlignment="1">
      <alignment vertical="center"/>
    </xf>
    <xf numFmtId="0" fontId="28" fillId="0" borderId="12" xfId="0" applyFont="1" applyFill="1" applyBorder="1"/>
    <xf numFmtId="0" fontId="0" fillId="0" borderId="36" xfId="0" applyBorder="1"/>
    <xf numFmtId="0" fontId="0" fillId="0" borderId="37" xfId="0" applyBorder="1"/>
    <xf numFmtId="0" fontId="0" fillId="0" borderId="7" xfId="0" applyFill="1" applyBorder="1"/>
    <xf numFmtId="0" fontId="0" fillId="0" borderId="23" xfId="0" applyBorder="1"/>
    <xf numFmtId="0" fontId="0" fillId="0" borderId="2" xfId="0" applyBorder="1"/>
    <xf numFmtId="0" fontId="0" fillId="3" borderId="2" xfId="0" applyFill="1" applyBorder="1"/>
    <xf numFmtId="0" fontId="7" fillId="5" borderId="2" xfId="0" applyFont="1" applyFill="1" applyBorder="1" applyAlignment="1">
      <alignment vertical="center"/>
    </xf>
    <xf numFmtId="0" fontId="28" fillId="0" borderId="2" xfId="0" applyFont="1" applyFill="1" applyBorder="1"/>
    <xf numFmtId="0" fontId="0" fillId="0" borderId="38" xfId="0" applyBorder="1"/>
    <xf numFmtId="0" fontId="0" fillId="0" borderId="24" xfId="0" applyBorder="1"/>
    <xf numFmtId="0" fontId="0" fillId="3" borderId="24" xfId="0" applyFill="1" applyBorder="1"/>
    <xf numFmtId="0" fontId="28" fillId="0" borderId="24" xfId="0" applyFont="1" applyFill="1" applyBorder="1"/>
    <xf numFmtId="0" fontId="0" fillId="0" borderId="39" xfId="0" applyBorder="1"/>
    <xf numFmtId="0" fontId="0" fillId="3" borderId="23" xfId="0" applyFill="1" applyBorder="1"/>
    <xf numFmtId="0" fontId="28" fillId="0" borderId="23" xfId="0" applyFont="1" applyFill="1" applyBorder="1"/>
    <xf numFmtId="0" fontId="0" fillId="0" borderId="40" xfId="0" applyBorder="1"/>
    <xf numFmtId="38" fontId="17" fillId="0" borderId="7" xfId="628" applyFont="1" applyFill="1" applyBorder="1" applyAlignment="1">
      <alignment wrapText="1"/>
    </xf>
    <xf numFmtId="0" fontId="55" fillId="35" borderId="7" xfId="0" applyFont="1" applyFill="1" applyBorder="1" applyAlignment="1">
      <alignment vertical="center"/>
    </xf>
    <xf numFmtId="0" fontId="17" fillId="35" borderId="7" xfId="0" applyFont="1" applyFill="1" applyBorder="1" applyAlignment="1">
      <alignment vertical="center"/>
    </xf>
    <xf numFmtId="0" fontId="54" fillId="35" borderId="7" xfId="0" applyFont="1" applyFill="1" applyBorder="1" applyAlignment="1">
      <alignment vertical="center"/>
    </xf>
  </cellXfs>
  <cellStyles count="70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桁区切り 2" xfId="429"/>
    <cellStyle name="桁区切り 2 2" xfId="628"/>
    <cellStyle name="桁区切り [0]" xfId="698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48502</v>
          </cell>
        </row>
        <row r="245">
          <cell r="A245">
            <v>41001</v>
          </cell>
        </row>
        <row r="246">
          <cell r="A246">
            <v>41002</v>
          </cell>
        </row>
        <row r="247">
          <cell r="A247">
            <v>41003</v>
          </cell>
        </row>
        <row r="248">
          <cell r="A248">
            <v>41004</v>
          </cell>
        </row>
        <row r="249">
          <cell r="A249">
            <v>41005</v>
          </cell>
        </row>
        <row r="250">
          <cell r="A250">
            <v>41006</v>
          </cell>
        </row>
        <row r="251">
          <cell r="A251">
            <v>41007</v>
          </cell>
        </row>
        <row r="252">
          <cell r="A252">
            <v>41008</v>
          </cell>
        </row>
        <row r="253">
          <cell r="A253">
            <v>41009</v>
          </cell>
        </row>
        <row r="254">
          <cell r="A254">
            <v>41010</v>
          </cell>
        </row>
        <row r="255">
          <cell r="A255">
            <v>41011</v>
          </cell>
        </row>
        <row r="256">
          <cell r="A256">
            <v>41012</v>
          </cell>
        </row>
        <row r="257">
          <cell r="A257">
            <v>41013</v>
          </cell>
        </row>
        <row r="258">
          <cell r="A258">
            <v>41014</v>
          </cell>
        </row>
        <row r="259">
          <cell r="A259">
            <v>41015</v>
          </cell>
        </row>
        <row r="260">
          <cell r="A260">
            <v>47001</v>
          </cell>
        </row>
        <row r="261">
          <cell r="A261">
            <v>47002</v>
          </cell>
        </row>
        <row r="262">
          <cell r="A262">
            <v>47003</v>
          </cell>
        </row>
        <row r="263">
          <cell r="A263">
            <v>47004</v>
          </cell>
        </row>
        <row r="264">
          <cell r="A264">
            <v>47005</v>
          </cell>
        </row>
        <row r="265">
          <cell r="A265">
            <v>47006</v>
          </cell>
        </row>
        <row r="266">
          <cell r="A266">
            <v>47007</v>
          </cell>
        </row>
        <row r="267">
          <cell r="A267">
            <v>47008</v>
          </cell>
        </row>
        <row r="268">
          <cell r="A268">
            <v>47009</v>
          </cell>
        </row>
        <row r="269">
          <cell r="A269">
            <v>47010</v>
          </cell>
        </row>
        <row r="270">
          <cell r="A270">
            <v>49001</v>
          </cell>
        </row>
        <row r="271">
          <cell r="A271">
            <v>49002</v>
          </cell>
        </row>
        <row r="272">
          <cell r="A272">
            <v>49003</v>
          </cell>
        </row>
        <row r="273">
          <cell r="A273">
            <v>49004</v>
          </cell>
        </row>
        <row r="274">
          <cell r="A274">
            <v>49005</v>
          </cell>
        </row>
        <row r="275">
          <cell r="A275">
            <v>49006</v>
          </cell>
        </row>
        <row r="276">
          <cell r="A276">
            <v>49007</v>
          </cell>
        </row>
        <row r="277">
          <cell r="A277">
            <v>49008</v>
          </cell>
        </row>
        <row r="278">
          <cell r="A278">
            <v>49009</v>
          </cell>
        </row>
        <row r="279">
          <cell r="A279">
            <v>49010</v>
          </cell>
        </row>
        <row r="280">
          <cell r="A280">
            <v>49011</v>
          </cell>
        </row>
        <row r="281">
          <cell r="A281">
            <v>49012</v>
          </cell>
        </row>
        <row r="282">
          <cell r="A282">
            <v>49013</v>
          </cell>
        </row>
        <row r="283">
          <cell r="A283">
            <v>49014</v>
          </cell>
        </row>
        <row r="284">
          <cell r="A284">
            <v>50001</v>
          </cell>
        </row>
        <row r="285">
          <cell r="A285">
            <v>50002</v>
          </cell>
        </row>
        <row r="286">
          <cell r="A286">
            <v>50003</v>
          </cell>
        </row>
        <row r="287">
          <cell r="A287">
            <v>50004</v>
          </cell>
        </row>
        <row r="288">
          <cell r="A288">
            <v>50005</v>
          </cell>
        </row>
        <row r="289">
          <cell r="A289">
            <v>50006</v>
          </cell>
        </row>
        <row r="290">
          <cell r="A290">
            <v>50007</v>
          </cell>
        </row>
        <row r="291">
          <cell r="A291">
            <v>50008</v>
          </cell>
        </row>
        <row r="292">
          <cell r="A292">
            <v>50009</v>
          </cell>
        </row>
        <row r="293">
          <cell r="A293">
            <v>50010</v>
          </cell>
        </row>
        <row r="294">
          <cell r="A294">
            <v>50011</v>
          </cell>
        </row>
        <row r="295">
          <cell r="A295">
            <v>50012</v>
          </cell>
        </row>
        <row r="296">
          <cell r="A296">
            <v>50013</v>
          </cell>
        </row>
        <row r="297">
          <cell r="A297">
            <v>50014</v>
          </cell>
        </row>
        <row r="298">
          <cell r="A298">
            <v>51001</v>
          </cell>
        </row>
        <row r="299">
          <cell r="A299">
            <v>51002</v>
          </cell>
        </row>
        <row r="300">
          <cell r="A300">
            <v>58001</v>
          </cell>
        </row>
        <row r="301">
          <cell r="A301">
            <v>59001</v>
          </cell>
        </row>
        <row r="302">
          <cell r="A302">
            <v>59002</v>
          </cell>
        </row>
        <row r="303">
          <cell r="A303">
            <v>60001</v>
          </cell>
        </row>
        <row r="304">
          <cell r="A304">
            <v>60002</v>
          </cell>
        </row>
        <row r="305">
          <cell r="A305">
            <v>60003</v>
          </cell>
        </row>
        <row r="306">
          <cell r="A306">
            <v>60004</v>
          </cell>
        </row>
        <row r="307">
          <cell r="A307">
            <v>60005</v>
          </cell>
        </row>
        <row r="308">
          <cell r="A308">
            <v>60006</v>
          </cell>
        </row>
        <row r="309">
          <cell r="A309">
            <v>60007</v>
          </cell>
        </row>
        <row r="310">
          <cell r="A310">
            <v>60010</v>
          </cell>
        </row>
        <row r="311">
          <cell r="A311">
            <v>60011</v>
          </cell>
        </row>
        <row r="312">
          <cell r="A312">
            <v>61011</v>
          </cell>
        </row>
        <row r="313">
          <cell r="A313">
            <v>60012</v>
          </cell>
        </row>
        <row r="314">
          <cell r="A314">
            <v>60013</v>
          </cell>
        </row>
        <row r="315">
          <cell r="A315">
            <v>60014</v>
          </cell>
        </row>
        <row r="316">
          <cell r="A316">
            <v>60015</v>
          </cell>
        </row>
        <row r="317">
          <cell r="A317">
            <v>60016</v>
          </cell>
        </row>
        <row r="318">
          <cell r="A318">
            <v>60017</v>
          </cell>
        </row>
        <row r="319">
          <cell r="A319">
            <v>60018</v>
          </cell>
        </row>
        <row r="320">
          <cell r="A320">
            <v>60019</v>
          </cell>
        </row>
        <row r="321">
          <cell r="A321">
            <v>60020</v>
          </cell>
        </row>
        <row r="322">
          <cell r="A322">
            <v>60025</v>
          </cell>
        </row>
        <row r="323">
          <cell r="A323">
            <v>60026</v>
          </cell>
        </row>
        <row r="324">
          <cell r="A324">
            <v>60027</v>
          </cell>
        </row>
        <row r="325">
          <cell r="A325">
            <v>65525</v>
          </cell>
        </row>
        <row r="326">
          <cell r="A326">
            <v>65526</v>
          </cell>
        </row>
        <row r="327">
          <cell r="A327">
            <v>65527</v>
          </cell>
        </row>
        <row r="328">
          <cell r="A328">
            <v>65528</v>
          </cell>
        </row>
        <row r="329">
          <cell r="A329">
            <v>65529</v>
          </cell>
        </row>
        <row r="330">
          <cell r="A330">
            <v>65530</v>
          </cell>
        </row>
        <row r="331">
          <cell r="A331">
            <v>65531</v>
          </cell>
        </row>
        <row r="332">
          <cell r="A332">
            <v>65532</v>
          </cell>
        </row>
        <row r="333">
          <cell r="A333">
            <v>65533</v>
          </cell>
        </row>
        <row r="334">
          <cell r="A334">
            <v>65534</v>
          </cell>
        </row>
        <row r="335">
          <cell r="A335">
            <v>65535</v>
          </cell>
        </row>
        <row r="336">
          <cell r="A336">
            <v>60021</v>
          </cell>
        </row>
        <row r="337">
          <cell r="A337">
            <v>60022</v>
          </cell>
        </row>
        <row r="338">
          <cell r="A338">
            <v>60023</v>
          </cell>
        </row>
        <row r="339">
          <cell r="A33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12001_1</v>
          </cell>
        </row>
        <row r="299">
          <cell r="A299" t="str">
            <v>12001_2</v>
          </cell>
        </row>
        <row r="300">
          <cell r="A300" t="str">
            <v>12001_3</v>
          </cell>
        </row>
        <row r="301">
          <cell r="A301" t="str">
            <v>12002_1</v>
          </cell>
        </row>
        <row r="302">
          <cell r="A302" t="str">
            <v>12002_2</v>
          </cell>
        </row>
        <row r="303">
          <cell r="A303" t="str">
            <v>12003_1</v>
          </cell>
        </row>
        <row r="304">
          <cell r="A304" t="str">
            <v>12003_2</v>
          </cell>
        </row>
        <row r="305">
          <cell r="A305" t="str">
            <v>12003_3</v>
          </cell>
        </row>
        <row r="306">
          <cell r="A306" t="str">
            <v>12003_4</v>
          </cell>
        </row>
        <row r="307">
          <cell r="A307" t="str">
            <v>12004_1</v>
          </cell>
        </row>
        <row r="308">
          <cell r="A308" t="str">
            <v>13001_1</v>
          </cell>
        </row>
        <row r="309">
          <cell r="A309" t="str">
            <v>13001_2</v>
          </cell>
        </row>
        <row r="310">
          <cell r="A310" t="str">
            <v>13001_3</v>
          </cell>
        </row>
        <row r="311">
          <cell r="A311" t="str">
            <v>13001_4</v>
          </cell>
        </row>
        <row r="312">
          <cell r="A312" t="str">
            <v>13001_5</v>
          </cell>
        </row>
        <row r="313">
          <cell r="A313" t="str">
            <v>13001_6</v>
          </cell>
        </row>
        <row r="314">
          <cell r="A314" t="str">
            <v>13001_7</v>
          </cell>
        </row>
        <row r="315">
          <cell r="A315" t="str">
            <v>13001_8</v>
          </cell>
        </row>
        <row r="316">
          <cell r="A316" t="str">
            <v>13001_9</v>
          </cell>
        </row>
        <row r="317">
          <cell r="A317" t="str">
            <v>13001_10</v>
          </cell>
        </row>
        <row r="318">
          <cell r="A318" t="str">
            <v>13001_11</v>
          </cell>
        </row>
        <row r="319">
          <cell r="A319" t="str">
            <v>13001_12</v>
          </cell>
        </row>
        <row r="320">
          <cell r="A320" t="str">
            <v>13001_13</v>
          </cell>
        </row>
        <row r="321">
          <cell r="A321" t="str">
            <v>13001_14</v>
          </cell>
        </row>
        <row r="322">
          <cell r="A322" t="str">
            <v>13001_15</v>
          </cell>
        </row>
        <row r="323">
          <cell r="A323" t="str">
            <v>13001_16</v>
          </cell>
        </row>
        <row r="324">
          <cell r="A324" t="str">
            <v>13001_17</v>
          </cell>
        </row>
        <row r="325">
          <cell r="A325" t="str">
            <v>13001_18</v>
          </cell>
        </row>
        <row r="326">
          <cell r="A326" t="str">
            <v>13001_19</v>
          </cell>
        </row>
        <row r="327">
          <cell r="A327" t="str">
            <v>13001_20</v>
          </cell>
        </row>
        <row r="328">
          <cell r="A328" t="str">
            <v>13001_21</v>
          </cell>
        </row>
        <row r="329">
          <cell r="A329" t="str">
            <v>13001_22</v>
          </cell>
        </row>
        <row r="330">
          <cell r="A330" t="str">
            <v>13001_23</v>
          </cell>
        </row>
        <row r="331">
          <cell r="A331" t="str">
            <v>13001_24</v>
          </cell>
        </row>
        <row r="332">
          <cell r="A332" t="str">
            <v>13001_25</v>
          </cell>
        </row>
        <row r="333">
          <cell r="A333" t="str">
            <v>13101_1</v>
          </cell>
        </row>
        <row r="334">
          <cell r="A334" t="str">
            <v>13101_2</v>
          </cell>
        </row>
        <row r="335">
          <cell r="A335" t="str">
            <v>13101_3</v>
          </cell>
        </row>
        <row r="336">
          <cell r="A336" t="str">
            <v>13101_4</v>
          </cell>
        </row>
        <row r="337">
          <cell r="A337" t="str">
            <v>13101_5</v>
          </cell>
        </row>
        <row r="338">
          <cell r="A338" t="str">
            <v>13101_6</v>
          </cell>
        </row>
        <row r="339">
          <cell r="A339" t="str">
            <v>13101_7</v>
          </cell>
        </row>
        <row r="340">
          <cell r="A340" t="str">
            <v>13101_8</v>
          </cell>
        </row>
        <row r="341">
          <cell r="A341" t="str">
            <v>13101_9</v>
          </cell>
        </row>
        <row r="342">
          <cell r="A342" t="str">
            <v>13101_10</v>
          </cell>
        </row>
        <row r="343">
          <cell r="A343" t="str">
            <v>13101_11</v>
          </cell>
        </row>
        <row r="344">
          <cell r="A344" t="str">
            <v>13101_12</v>
          </cell>
        </row>
        <row r="345">
          <cell r="A345" t="str">
            <v>13101_13</v>
          </cell>
        </row>
        <row r="346">
          <cell r="A346" t="str">
            <v>13101_14</v>
          </cell>
        </row>
        <row r="347">
          <cell r="A347" t="str">
            <v>13101_15</v>
          </cell>
        </row>
        <row r="348">
          <cell r="A348" t="str">
            <v>13101_16</v>
          </cell>
        </row>
        <row r="349">
          <cell r="A349" t="str">
            <v>13101_17</v>
          </cell>
        </row>
        <row r="350">
          <cell r="A350" t="str">
            <v>13101_18</v>
          </cell>
        </row>
        <row r="351">
          <cell r="A351" t="str">
            <v>13101_19</v>
          </cell>
        </row>
        <row r="352">
          <cell r="A352" t="str">
            <v>13101_20</v>
          </cell>
        </row>
        <row r="353">
          <cell r="A353" t="str">
            <v>13101_21</v>
          </cell>
        </row>
        <row r="354">
          <cell r="A354" t="str">
            <v>13101_22</v>
          </cell>
        </row>
        <row r="355">
          <cell r="A355" t="str">
            <v>13101_23</v>
          </cell>
        </row>
        <row r="356">
          <cell r="A356" t="str">
            <v>13101_24</v>
          </cell>
        </row>
        <row r="357">
          <cell r="A357" t="str">
            <v>13101_25</v>
          </cell>
        </row>
        <row r="358">
          <cell r="A358" t="str">
            <v>13300_1</v>
          </cell>
        </row>
        <row r="359">
          <cell r="A359" t="str">
            <v>13300_2</v>
          </cell>
        </row>
        <row r="360">
          <cell r="A360" t="str">
            <v>13300_3</v>
          </cell>
        </row>
        <row r="361">
          <cell r="A361" t="str">
            <v>13300_4</v>
          </cell>
        </row>
        <row r="362">
          <cell r="A362" t="str">
            <v>13300_5</v>
          </cell>
        </row>
        <row r="363">
          <cell r="A363" t="str">
            <v>13300_6</v>
          </cell>
        </row>
        <row r="364">
          <cell r="A364" t="str">
            <v>13300_7</v>
          </cell>
        </row>
        <row r="365">
          <cell r="A365" t="str">
            <v>13300_8</v>
          </cell>
        </row>
        <row r="366">
          <cell r="A366" t="str">
            <v>13300_9</v>
          </cell>
        </row>
        <row r="367">
          <cell r="A367" t="str">
            <v>13300_10</v>
          </cell>
        </row>
        <row r="368">
          <cell r="A368" t="str">
            <v>13300_11</v>
          </cell>
        </row>
        <row r="369">
          <cell r="A369" t="str">
            <v>13300_12</v>
          </cell>
        </row>
        <row r="370">
          <cell r="A370" t="str">
            <v>13300_13</v>
          </cell>
        </row>
        <row r="371">
          <cell r="A371" t="str">
            <v>13300_14</v>
          </cell>
        </row>
        <row r="372">
          <cell r="A372" t="str">
            <v>13300_15</v>
          </cell>
        </row>
        <row r="373">
          <cell r="A373" t="str">
            <v>13301_1</v>
          </cell>
        </row>
        <row r="374">
          <cell r="A374" t="str">
            <v>13301_2</v>
          </cell>
        </row>
        <row r="375">
          <cell r="A375" t="str">
            <v>13301_3</v>
          </cell>
        </row>
        <row r="376">
          <cell r="A376" t="str">
            <v>13301_4</v>
          </cell>
        </row>
        <row r="377">
          <cell r="A377" t="str">
            <v>13301_5</v>
          </cell>
        </row>
        <row r="378">
          <cell r="A378" t="str">
            <v>13301_6</v>
          </cell>
        </row>
        <row r="379">
          <cell r="A379" t="str">
            <v>13301_7</v>
          </cell>
        </row>
        <row r="380">
          <cell r="A380" t="str">
            <v>13301_8</v>
          </cell>
        </row>
        <row r="381">
          <cell r="A381" t="str">
            <v>13301_9</v>
          </cell>
        </row>
        <row r="382">
          <cell r="A382" t="str">
            <v>13301_10</v>
          </cell>
        </row>
        <row r="383">
          <cell r="A383" t="str">
            <v>13301_11</v>
          </cell>
        </row>
        <row r="384">
          <cell r="A384" t="str">
            <v>13301_12</v>
          </cell>
        </row>
        <row r="385">
          <cell r="A385" t="str">
            <v>13301_13</v>
          </cell>
        </row>
        <row r="386">
          <cell r="A386" t="str">
            <v>13301_14</v>
          </cell>
        </row>
        <row r="387">
          <cell r="A387" t="str">
            <v>13301_15</v>
          </cell>
        </row>
        <row r="388">
          <cell r="A388" t="str">
            <v>13302_1</v>
          </cell>
        </row>
        <row r="389">
          <cell r="A389" t="str">
            <v>13302_2</v>
          </cell>
        </row>
        <row r="390">
          <cell r="A390" t="str">
            <v>13302_3</v>
          </cell>
        </row>
        <row r="391">
          <cell r="A391" t="str">
            <v>13302_4</v>
          </cell>
        </row>
        <row r="392">
          <cell r="A392" t="str">
            <v>13302_5</v>
          </cell>
        </row>
        <row r="393">
          <cell r="A393" t="str">
            <v>13302_6</v>
          </cell>
        </row>
        <row r="394">
          <cell r="A394" t="str">
            <v>13302_7</v>
          </cell>
        </row>
        <row r="395">
          <cell r="A395" t="str">
            <v>13302_8</v>
          </cell>
        </row>
        <row r="396">
          <cell r="A396" t="str">
            <v>13302_9</v>
          </cell>
        </row>
        <row r="397">
          <cell r="A397" t="str">
            <v>13302_10</v>
          </cell>
        </row>
        <row r="398">
          <cell r="A398" t="str">
            <v>13302_11</v>
          </cell>
        </row>
        <row r="399">
          <cell r="A399" t="str">
            <v>13302_12</v>
          </cell>
        </row>
        <row r="400">
          <cell r="A400" t="str">
            <v>13302_13</v>
          </cell>
        </row>
        <row r="401">
          <cell r="A401" t="str">
            <v>13302_14</v>
          </cell>
        </row>
        <row r="402">
          <cell r="A402" t="str">
            <v>13302_15</v>
          </cell>
        </row>
        <row r="403">
          <cell r="A403" t="str">
            <v>13400_1</v>
          </cell>
        </row>
        <row r="404">
          <cell r="A404" t="str">
            <v>13400_2</v>
          </cell>
        </row>
        <row r="405">
          <cell r="A405" t="str">
            <v>13400_3</v>
          </cell>
        </row>
        <row r="406">
          <cell r="A406" t="str">
            <v>13400_4</v>
          </cell>
        </row>
        <row r="407">
          <cell r="A407" t="str">
            <v>13400_5</v>
          </cell>
        </row>
        <row r="408">
          <cell r="A408" t="str">
            <v>13400_6</v>
          </cell>
        </row>
        <row r="409">
          <cell r="A409" t="str">
            <v>13400_7</v>
          </cell>
        </row>
        <row r="410">
          <cell r="A410" t="str">
            <v>13400_8</v>
          </cell>
        </row>
        <row r="411">
          <cell r="A411" t="str">
            <v>13400_9</v>
          </cell>
        </row>
        <row r="412">
          <cell r="A412" t="str">
            <v>13400_10</v>
          </cell>
        </row>
        <row r="413">
          <cell r="A413" t="str">
            <v>13400_11</v>
          </cell>
        </row>
        <row r="414">
          <cell r="A414" t="str">
            <v>13400_12</v>
          </cell>
        </row>
        <row r="415">
          <cell r="A415" t="str">
            <v>13400_13</v>
          </cell>
        </row>
        <row r="416">
          <cell r="A416" t="str">
            <v>13400_14</v>
          </cell>
        </row>
        <row r="417">
          <cell r="A417" t="str">
            <v>13400_15</v>
          </cell>
        </row>
        <row r="418">
          <cell r="A418" t="str">
            <v>14001_1</v>
          </cell>
        </row>
        <row r="419">
          <cell r="A419" t="str">
            <v>14001_2</v>
          </cell>
        </row>
        <row r="420">
          <cell r="A420" t="str">
            <v>14001_3</v>
          </cell>
        </row>
        <row r="421">
          <cell r="A421" t="str">
            <v>14001_4</v>
          </cell>
        </row>
        <row r="422">
          <cell r="A422" t="str">
            <v>14001_5</v>
          </cell>
        </row>
        <row r="423">
          <cell r="A423" t="str">
            <v>14001_6</v>
          </cell>
        </row>
        <row r="424">
          <cell r="A424" t="str">
            <v>14001_7</v>
          </cell>
        </row>
        <row r="425">
          <cell r="A425" t="str">
            <v>14001_8</v>
          </cell>
        </row>
        <row r="426">
          <cell r="A426" t="str">
            <v>14002_1</v>
          </cell>
        </row>
        <row r="427">
          <cell r="A427" t="str">
            <v>14002_2</v>
          </cell>
        </row>
        <row r="428">
          <cell r="A428" t="str">
            <v>14003_1</v>
          </cell>
        </row>
        <row r="429">
          <cell r="A429" t="str">
            <v>14003_2</v>
          </cell>
        </row>
        <row r="430">
          <cell r="A430" t="str">
            <v>14003_3</v>
          </cell>
        </row>
        <row r="431">
          <cell r="A431" t="str">
            <v>14003_4</v>
          </cell>
        </row>
        <row r="432">
          <cell r="A432" t="str">
            <v>14004_1</v>
          </cell>
        </row>
        <row r="433">
          <cell r="A433" t="str">
            <v>14004_2</v>
          </cell>
        </row>
        <row r="434">
          <cell r="A434" t="str">
            <v>14004_3</v>
          </cell>
        </row>
        <row r="435">
          <cell r="A435" t="str">
            <v>14004_4</v>
          </cell>
        </row>
        <row r="436">
          <cell r="A436" t="str">
            <v>14005_1</v>
          </cell>
        </row>
        <row r="437">
          <cell r="A437" t="str">
            <v>14006_1</v>
          </cell>
        </row>
        <row r="438">
          <cell r="A438" t="str">
            <v>15027_1</v>
          </cell>
        </row>
        <row r="439">
          <cell r="A439" t="str">
            <v>15027_2</v>
          </cell>
        </row>
        <row r="440">
          <cell r="A440" t="str">
            <v>15027_3</v>
          </cell>
        </row>
        <row r="441">
          <cell r="A441" t="str">
            <v>15027_4</v>
          </cell>
        </row>
        <row r="442">
          <cell r="A442" t="str">
            <v>15028_1</v>
          </cell>
        </row>
        <row r="443">
          <cell r="A443" t="str">
            <v>15028_2</v>
          </cell>
        </row>
        <row r="444">
          <cell r="A444" t="str">
            <v>15028_3</v>
          </cell>
        </row>
        <row r="445">
          <cell r="A445" t="str">
            <v>15028_4</v>
          </cell>
        </row>
        <row r="446">
          <cell r="A446" t="str">
            <v>15029_1</v>
          </cell>
        </row>
        <row r="447">
          <cell r="A447" t="str">
            <v>15029_2</v>
          </cell>
        </row>
        <row r="448">
          <cell r="A448" t="str">
            <v>15029_3</v>
          </cell>
        </row>
        <row r="449">
          <cell r="A449" t="str">
            <v>15029_4</v>
          </cell>
        </row>
        <row r="450">
          <cell r="A450" t="str">
            <v>15030_1</v>
          </cell>
        </row>
        <row r="451">
          <cell r="A451" t="str">
            <v>15030_2</v>
          </cell>
        </row>
        <row r="452">
          <cell r="A452" t="str">
            <v>15030_3</v>
          </cell>
        </row>
        <row r="453">
          <cell r="A453" t="str">
            <v>15030_4</v>
          </cell>
        </row>
        <row r="454">
          <cell r="A454" t="str">
            <v>15031_1</v>
          </cell>
        </row>
        <row r="455">
          <cell r="A455" t="str">
            <v>15031_2</v>
          </cell>
        </row>
        <row r="456">
          <cell r="A456" t="str">
            <v>15031_3</v>
          </cell>
        </row>
        <row r="457">
          <cell r="A457" t="str">
            <v>15031_4</v>
          </cell>
        </row>
        <row r="458">
          <cell r="A458" t="str">
            <v>20001_1</v>
          </cell>
        </row>
        <row r="459">
          <cell r="A459" t="str">
            <v>20001_2</v>
          </cell>
        </row>
        <row r="460">
          <cell r="A460" t="str">
            <v>20001_3</v>
          </cell>
        </row>
        <row r="461">
          <cell r="A461" t="str">
            <v>20002_1</v>
          </cell>
        </row>
        <row r="462">
          <cell r="A462" t="str">
            <v>20002_2</v>
          </cell>
        </row>
        <row r="463">
          <cell r="A463" t="str">
            <v>20002_3</v>
          </cell>
        </row>
        <row r="464">
          <cell r="A464" t="str">
            <v>20003_1</v>
          </cell>
        </row>
        <row r="465">
          <cell r="A465" t="str">
            <v>20003_2</v>
          </cell>
        </row>
        <row r="466">
          <cell r="A466" t="str">
            <v>20003_3</v>
          </cell>
        </row>
        <row r="467">
          <cell r="A467" t="str">
            <v>20004_1</v>
          </cell>
        </row>
        <row r="468">
          <cell r="A468" t="str">
            <v>20004_2</v>
          </cell>
        </row>
        <row r="469">
          <cell r="A469" t="str">
            <v>20004_3</v>
          </cell>
        </row>
        <row r="470">
          <cell r="A470" t="str">
            <v>20005_1</v>
          </cell>
        </row>
        <row r="471">
          <cell r="A471" t="str">
            <v>20005_2</v>
          </cell>
        </row>
        <row r="472">
          <cell r="A472" t="str">
            <v>20005_3</v>
          </cell>
        </row>
        <row r="473">
          <cell r="A473" t="str">
            <v>20006_1</v>
          </cell>
        </row>
        <row r="474">
          <cell r="A474" t="str">
            <v>20006_2</v>
          </cell>
        </row>
        <row r="475">
          <cell r="A475" t="str">
            <v>20006_3</v>
          </cell>
        </row>
        <row r="476">
          <cell r="A476" t="str">
            <v>20007_1</v>
          </cell>
        </row>
        <row r="477">
          <cell r="A477" t="str">
            <v>20007_2</v>
          </cell>
        </row>
        <row r="478">
          <cell r="A478" t="str">
            <v>20007_3</v>
          </cell>
        </row>
        <row r="479">
          <cell r="A479" t="str">
            <v>20008_1</v>
          </cell>
        </row>
        <row r="480">
          <cell r="A480" t="str">
            <v>20008_2</v>
          </cell>
        </row>
        <row r="481">
          <cell r="A481" t="str">
            <v>20008_3</v>
          </cell>
        </row>
        <row r="482">
          <cell r="A482" t="str">
            <v>20009_1</v>
          </cell>
        </row>
        <row r="483">
          <cell r="A483" t="str">
            <v>20009_2</v>
          </cell>
        </row>
        <row r="484">
          <cell r="A484" t="str">
            <v>20009_3</v>
          </cell>
        </row>
        <row r="485">
          <cell r="A485" t="str">
            <v>20010_1</v>
          </cell>
        </row>
        <row r="486">
          <cell r="A486" t="str">
            <v>20010_2</v>
          </cell>
        </row>
        <row r="487">
          <cell r="A487" t="str">
            <v>20010_3</v>
          </cell>
        </row>
        <row r="488">
          <cell r="A488" t="str">
            <v>20011_1</v>
          </cell>
        </row>
        <row r="489">
          <cell r="A489" t="str">
            <v>20011_2</v>
          </cell>
        </row>
        <row r="490">
          <cell r="A490" t="str">
            <v>20011_3</v>
          </cell>
        </row>
        <row r="491">
          <cell r="A491" t="str">
            <v>20012_1</v>
          </cell>
        </row>
        <row r="492">
          <cell r="A492" t="str">
            <v>20012_2</v>
          </cell>
        </row>
        <row r="493">
          <cell r="A493" t="str">
            <v>20012_3</v>
          </cell>
        </row>
        <row r="494">
          <cell r="A494" t="str">
            <v>20013_1</v>
          </cell>
        </row>
        <row r="495">
          <cell r="A495" t="str">
            <v>20013_2</v>
          </cell>
        </row>
        <row r="496">
          <cell r="A496" t="str">
            <v>20013_3</v>
          </cell>
        </row>
        <row r="497">
          <cell r="A497" t="str">
            <v>20014_1</v>
          </cell>
        </row>
        <row r="498">
          <cell r="A498" t="str">
            <v>20014_2</v>
          </cell>
        </row>
        <row r="499">
          <cell r="A499" t="str">
            <v>20014_3</v>
          </cell>
        </row>
        <row r="500">
          <cell r="A500" t="str">
            <v>20015_1</v>
          </cell>
        </row>
        <row r="501">
          <cell r="A501" t="str">
            <v>20015_2</v>
          </cell>
        </row>
        <row r="502">
          <cell r="A502" t="str">
            <v>20015_3</v>
          </cell>
        </row>
        <row r="503">
          <cell r="A503" t="str">
            <v>20016_1</v>
          </cell>
        </row>
        <row r="504">
          <cell r="A504" t="str">
            <v>20016_2</v>
          </cell>
        </row>
        <row r="505">
          <cell r="A505" t="str">
            <v>20016_3</v>
          </cell>
        </row>
        <row r="506">
          <cell r="A506" t="str">
            <v>20017_1</v>
          </cell>
        </row>
        <row r="507">
          <cell r="A507" t="str">
            <v>20017_2</v>
          </cell>
        </row>
        <row r="508">
          <cell r="A508" t="str">
            <v>20017_3</v>
          </cell>
        </row>
        <row r="509">
          <cell r="A509" t="str">
            <v>20018_1</v>
          </cell>
        </row>
        <row r="510">
          <cell r="A510" t="str">
            <v>20018_2</v>
          </cell>
        </row>
        <row r="511">
          <cell r="A511" t="str">
            <v>20018_3</v>
          </cell>
        </row>
        <row r="512">
          <cell r="A512" t="str">
            <v>20019_1</v>
          </cell>
        </row>
        <row r="513">
          <cell r="A513" t="str">
            <v>20019_2</v>
          </cell>
        </row>
        <row r="514">
          <cell r="A514" t="str">
            <v>20019_3</v>
          </cell>
        </row>
        <row r="515">
          <cell r="A515" t="str">
            <v>20020_1</v>
          </cell>
        </row>
        <row r="516">
          <cell r="A516" t="str">
            <v>20020_2</v>
          </cell>
        </row>
        <row r="517">
          <cell r="A517" t="str">
            <v>20020_3</v>
          </cell>
        </row>
        <row r="518">
          <cell r="A518" t="str">
            <v>20021_1</v>
          </cell>
        </row>
        <row r="519">
          <cell r="A519" t="str">
            <v>20021_2</v>
          </cell>
        </row>
        <row r="520">
          <cell r="A520" t="str">
            <v>20021_3</v>
          </cell>
        </row>
        <row r="521">
          <cell r="A521" t="str">
            <v>20022_1</v>
          </cell>
        </row>
        <row r="522">
          <cell r="A522" t="str">
            <v>30001_1</v>
          </cell>
        </row>
        <row r="523">
          <cell r="A523" t="str">
            <v>30001_2</v>
          </cell>
        </row>
        <row r="524">
          <cell r="A524" t="str">
            <v>30001_3</v>
          </cell>
        </row>
        <row r="525">
          <cell r="A525" t="str">
            <v>30002_1</v>
          </cell>
        </row>
        <row r="526">
          <cell r="A526" t="str">
            <v>30002_2</v>
          </cell>
        </row>
        <row r="527">
          <cell r="A527" t="str">
            <v>30002_3</v>
          </cell>
        </row>
        <row r="528">
          <cell r="A528" t="str">
            <v>30003_1</v>
          </cell>
        </row>
        <row r="529">
          <cell r="A529" t="str">
            <v>30003_2</v>
          </cell>
        </row>
        <row r="530">
          <cell r="A530" t="str">
            <v>30003_3</v>
          </cell>
        </row>
        <row r="531">
          <cell r="A531" t="str">
            <v>30004_1</v>
          </cell>
        </row>
        <row r="532">
          <cell r="A532" t="str">
            <v>30004_2</v>
          </cell>
        </row>
        <row r="533">
          <cell r="A533" t="str">
            <v>30004_3</v>
          </cell>
        </row>
        <row r="534">
          <cell r="A534" t="str">
            <v>30005_1</v>
          </cell>
        </row>
        <row r="535">
          <cell r="A535" t="str">
            <v>30005_2</v>
          </cell>
        </row>
        <row r="536">
          <cell r="A536" t="str">
            <v>30005_3</v>
          </cell>
        </row>
        <row r="537">
          <cell r="A537" t="str">
            <v>30006_1</v>
          </cell>
        </row>
        <row r="538">
          <cell r="A538" t="str">
            <v>30006_2</v>
          </cell>
        </row>
        <row r="539">
          <cell r="A539" t="str">
            <v>30006_3</v>
          </cell>
        </row>
        <row r="540">
          <cell r="A540" t="str">
            <v>30007_1</v>
          </cell>
        </row>
        <row r="541">
          <cell r="A541" t="str">
            <v>30007_2</v>
          </cell>
        </row>
        <row r="542">
          <cell r="A542" t="str">
            <v>30007_3</v>
          </cell>
        </row>
        <row r="543">
          <cell r="A543" t="str">
            <v>30008_1</v>
          </cell>
        </row>
        <row r="544">
          <cell r="A544" t="str">
            <v>30008_2</v>
          </cell>
        </row>
        <row r="545">
          <cell r="A545" t="str">
            <v>30008_3</v>
          </cell>
        </row>
        <row r="546">
          <cell r="A546" t="str">
            <v>30009_3</v>
          </cell>
        </row>
        <row r="547">
          <cell r="A547" t="str">
            <v>30009_1</v>
          </cell>
        </row>
        <row r="548">
          <cell r="A548" t="str">
            <v>30009_2</v>
          </cell>
        </row>
        <row r="549">
          <cell r="A549" t="str">
            <v>30010_1</v>
          </cell>
        </row>
        <row r="550">
          <cell r="A550" t="str">
            <v>30010_2</v>
          </cell>
        </row>
        <row r="551">
          <cell r="A551" t="str">
            <v>30010_3</v>
          </cell>
        </row>
        <row r="552">
          <cell r="A552" t="str">
            <v>30011_1</v>
          </cell>
        </row>
        <row r="553">
          <cell r="A553" t="str">
            <v>30011_2</v>
          </cell>
        </row>
        <row r="554">
          <cell r="A554" t="str">
            <v>30011_3</v>
          </cell>
        </row>
        <row r="555">
          <cell r="A555" t="str">
            <v>30012_1</v>
          </cell>
        </row>
        <row r="556">
          <cell r="A556" t="str">
            <v>30012_2</v>
          </cell>
        </row>
        <row r="557">
          <cell r="A557" t="str">
            <v>30012_3</v>
          </cell>
        </row>
        <row r="558">
          <cell r="A558" t="str">
            <v>30013_1</v>
          </cell>
        </row>
        <row r="559">
          <cell r="A559" t="str">
            <v>30013_2</v>
          </cell>
        </row>
        <row r="560">
          <cell r="A560" t="str">
            <v>30014_1</v>
          </cell>
        </row>
        <row r="561">
          <cell r="A561" t="str">
            <v>30014_2</v>
          </cell>
        </row>
        <row r="562">
          <cell r="A562" t="str">
            <v>30015_1</v>
          </cell>
        </row>
        <row r="563">
          <cell r="A563" t="str">
            <v>30015_2</v>
          </cell>
        </row>
        <row r="564">
          <cell r="A564" t="str">
            <v>30016_1</v>
          </cell>
        </row>
        <row r="565">
          <cell r="A565" t="str">
            <v>30016_2</v>
          </cell>
        </row>
        <row r="566">
          <cell r="A566" t="str">
            <v>30017_1</v>
          </cell>
        </row>
        <row r="567">
          <cell r="A567" t="str">
            <v>30017_2</v>
          </cell>
        </row>
        <row r="568">
          <cell r="A568" t="str">
            <v>30018_1</v>
          </cell>
        </row>
        <row r="569">
          <cell r="A569" t="str">
            <v>30018_2</v>
          </cell>
        </row>
        <row r="570">
          <cell r="A570" t="str">
            <v>30019_1</v>
          </cell>
        </row>
        <row r="571">
          <cell r="A571" t="str">
            <v>30019_2</v>
          </cell>
        </row>
        <row r="572">
          <cell r="A572" t="str">
            <v>30020_1</v>
          </cell>
        </row>
        <row r="573">
          <cell r="A573" t="str">
            <v>30020_2</v>
          </cell>
        </row>
        <row r="574">
          <cell r="A574" t="str">
            <v>30021_1</v>
          </cell>
        </row>
        <row r="575">
          <cell r="A575" t="str">
            <v>30021_2</v>
          </cell>
        </row>
        <row r="576">
          <cell r="A576" t="str">
            <v>30021_3</v>
          </cell>
        </row>
        <row r="577">
          <cell r="A577" t="str">
            <v>30022_1</v>
          </cell>
        </row>
        <row r="578">
          <cell r="A578" t="str">
            <v>30022_2</v>
          </cell>
        </row>
        <row r="579">
          <cell r="A579" t="str">
            <v>30023_1</v>
          </cell>
        </row>
        <row r="580">
          <cell r="A580" t="str">
            <v>30023_2</v>
          </cell>
        </row>
        <row r="581">
          <cell r="A581" t="str">
            <v>30023_3</v>
          </cell>
        </row>
        <row r="582">
          <cell r="A582" t="str">
            <v>30024_1</v>
          </cell>
        </row>
        <row r="583">
          <cell r="A583" t="str">
            <v>30024_2</v>
          </cell>
        </row>
        <row r="584">
          <cell r="A584" t="str">
            <v>30024_3</v>
          </cell>
        </row>
        <row r="585">
          <cell r="A585" t="str">
            <v>30025_1</v>
          </cell>
        </row>
        <row r="586">
          <cell r="A586" t="str">
            <v>30025_2</v>
          </cell>
        </row>
        <row r="587">
          <cell r="A587" t="str">
            <v>30025_3</v>
          </cell>
        </row>
        <row r="588">
          <cell r="A588" t="str">
            <v>30026_1</v>
          </cell>
        </row>
        <row r="589">
          <cell r="A589" t="str">
            <v>30026_2</v>
          </cell>
        </row>
        <row r="590">
          <cell r="A590" t="str">
            <v>30026_3</v>
          </cell>
        </row>
        <row r="591">
          <cell r="A591" t="str">
            <v>30027_1</v>
          </cell>
        </row>
        <row r="592">
          <cell r="A592" t="str">
            <v>30027_2</v>
          </cell>
        </row>
        <row r="593">
          <cell r="A593" t="str">
            <v>30027_3</v>
          </cell>
        </row>
        <row r="594">
          <cell r="A594" t="str">
            <v>30028_1</v>
          </cell>
        </row>
        <row r="595">
          <cell r="A595" t="str">
            <v>30028_2</v>
          </cell>
        </row>
        <row r="596">
          <cell r="A596" t="str">
            <v>30028_3</v>
          </cell>
        </row>
        <row r="597">
          <cell r="A597" t="str">
            <v>30029_1</v>
          </cell>
        </row>
        <row r="598">
          <cell r="A598" t="str">
            <v>30029_2</v>
          </cell>
        </row>
        <row r="599">
          <cell r="A599" t="str">
            <v>30029_3</v>
          </cell>
        </row>
        <row r="600">
          <cell r="A600" t="str">
            <v>30030_1</v>
          </cell>
        </row>
        <row r="601">
          <cell r="A601" t="str">
            <v>30030_2</v>
          </cell>
        </row>
        <row r="602">
          <cell r="A602" t="str">
            <v>30030_3</v>
          </cell>
        </row>
        <row r="603">
          <cell r="A603" t="str">
            <v>30031_1</v>
          </cell>
        </row>
        <row r="604">
          <cell r="A604" t="str">
            <v>30031_2</v>
          </cell>
        </row>
        <row r="605">
          <cell r="A605" t="str">
            <v>30031_3</v>
          </cell>
        </row>
        <row r="606">
          <cell r="A606" t="str">
            <v>30032_1</v>
          </cell>
        </row>
        <row r="607">
          <cell r="A607" t="str">
            <v>30032_2</v>
          </cell>
        </row>
        <row r="608">
          <cell r="A608" t="str">
            <v>30032_3</v>
          </cell>
        </row>
        <row r="609">
          <cell r="A609" t="str">
            <v>30033_1</v>
          </cell>
        </row>
        <row r="610">
          <cell r="A610" t="str">
            <v>30033_2</v>
          </cell>
        </row>
        <row r="611">
          <cell r="A611" t="str">
            <v>30033_3</v>
          </cell>
        </row>
        <row r="612">
          <cell r="A612" t="str">
            <v>30034_1</v>
          </cell>
        </row>
        <row r="613">
          <cell r="A613" t="str">
            <v>30034_2</v>
          </cell>
        </row>
        <row r="614">
          <cell r="A614" t="str">
            <v>30034_3</v>
          </cell>
        </row>
        <row r="615">
          <cell r="A615" t="str">
            <v>30035_1</v>
          </cell>
        </row>
        <row r="616">
          <cell r="A616" t="str">
            <v>30035_2</v>
          </cell>
        </row>
        <row r="617">
          <cell r="A617" t="str">
            <v>30035_3</v>
          </cell>
        </row>
        <row r="618">
          <cell r="A618" t="str">
            <v>30036_1</v>
          </cell>
        </row>
        <row r="619">
          <cell r="A619" t="str">
            <v>30036_2</v>
          </cell>
        </row>
        <row r="620">
          <cell r="A620" t="str">
            <v>30036_3</v>
          </cell>
        </row>
        <row r="621">
          <cell r="A621" t="str">
            <v>30037_1</v>
          </cell>
        </row>
        <row r="622">
          <cell r="A622" t="str">
            <v>30037_2</v>
          </cell>
        </row>
        <row r="623">
          <cell r="A623" t="str">
            <v>30037_3</v>
          </cell>
        </row>
        <row r="624">
          <cell r="A624" t="str">
            <v>30038_1</v>
          </cell>
        </row>
        <row r="625">
          <cell r="A625" t="str">
            <v>30038_2</v>
          </cell>
        </row>
        <row r="626">
          <cell r="A626" t="str">
            <v>30038_3</v>
          </cell>
        </row>
        <row r="627">
          <cell r="A627" t="str">
            <v>30039_1</v>
          </cell>
        </row>
        <row r="628">
          <cell r="A628" t="str">
            <v>30039_2</v>
          </cell>
        </row>
        <row r="629">
          <cell r="A629" t="str">
            <v>30039_3</v>
          </cell>
        </row>
        <row r="630">
          <cell r="A630" t="str">
            <v>30040_1</v>
          </cell>
        </row>
        <row r="631">
          <cell r="A631" t="str">
            <v>30040_2</v>
          </cell>
        </row>
        <row r="632">
          <cell r="A632" t="str">
            <v>30040_3</v>
          </cell>
        </row>
        <row r="633">
          <cell r="A633" t="str">
            <v>30041_1</v>
          </cell>
        </row>
        <row r="634">
          <cell r="A634" t="str">
            <v>30041_2</v>
          </cell>
        </row>
        <row r="635">
          <cell r="A635" t="str">
            <v>30041_3</v>
          </cell>
        </row>
        <row r="636">
          <cell r="A636" t="str">
            <v>30042_1</v>
          </cell>
        </row>
        <row r="637">
          <cell r="A637" t="str">
            <v>30042_2</v>
          </cell>
        </row>
        <row r="638">
          <cell r="A638" t="str">
            <v>30042_3</v>
          </cell>
        </row>
        <row r="639">
          <cell r="A639" t="str">
            <v>30043_1</v>
          </cell>
        </row>
        <row r="640">
          <cell r="A640" t="str">
            <v>30043_2</v>
          </cell>
        </row>
        <row r="641">
          <cell r="A641" t="str">
            <v>30043_3</v>
          </cell>
        </row>
        <row r="642">
          <cell r="A642" t="str">
            <v>30044_1</v>
          </cell>
        </row>
        <row r="643">
          <cell r="A643" t="str">
            <v>30044_2</v>
          </cell>
        </row>
        <row r="644">
          <cell r="A644" t="str">
            <v>30044_3</v>
          </cell>
        </row>
        <row r="645">
          <cell r="A645" t="str">
            <v>30045_1</v>
          </cell>
        </row>
        <row r="646">
          <cell r="A646" t="str">
            <v>30045_2</v>
          </cell>
        </row>
        <row r="647">
          <cell r="A647" t="str">
            <v>30045_3</v>
          </cell>
        </row>
        <row r="648">
          <cell r="A648" t="str">
            <v>30046_1</v>
          </cell>
        </row>
        <row r="649">
          <cell r="A649" t="str">
            <v>30046_2</v>
          </cell>
        </row>
        <row r="650">
          <cell r="A650" t="str">
            <v>30046_3</v>
          </cell>
        </row>
        <row r="651">
          <cell r="A651" t="str">
            <v>30047_1</v>
          </cell>
        </row>
        <row r="652">
          <cell r="A652" t="str">
            <v>30047_2</v>
          </cell>
        </row>
        <row r="653">
          <cell r="A653" t="str">
            <v>30047_3</v>
          </cell>
        </row>
        <row r="654">
          <cell r="A654" t="str">
            <v>30048_1</v>
          </cell>
        </row>
        <row r="655">
          <cell r="A655" t="str">
            <v>30048_2</v>
          </cell>
        </row>
        <row r="656">
          <cell r="A656" t="str">
            <v>30048_3</v>
          </cell>
        </row>
        <row r="657">
          <cell r="A657" t="str">
            <v>39001_1</v>
          </cell>
        </row>
        <row r="658">
          <cell r="A658" t="str">
            <v>39001_2</v>
          </cell>
        </row>
        <row r="659">
          <cell r="A659" t="str">
            <v>39001_3</v>
          </cell>
        </row>
        <row r="660">
          <cell r="A660" t="str">
            <v>39001_4</v>
          </cell>
        </row>
        <row r="661">
          <cell r="A661" t="str">
            <v>39001_5</v>
          </cell>
        </row>
        <row r="662">
          <cell r="A662" t="str">
            <v>39002_1</v>
          </cell>
        </row>
        <row r="663">
          <cell r="A663" t="str">
            <v>39002_2</v>
          </cell>
        </row>
        <row r="664">
          <cell r="A664" t="str">
            <v>39002_3</v>
          </cell>
        </row>
        <row r="665">
          <cell r="A665" t="str">
            <v>39002_4</v>
          </cell>
        </row>
        <row r="666">
          <cell r="A666" t="str">
            <v>39003_1</v>
          </cell>
        </row>
        <row r="667">
          <cell r="A667" t="str">
            <v>39003_2</v>
          </cell>
        </row>
        <row r="668">
          <cell r="A668" t="str">
            <v>39003_3</v>
          </cell>
        </row>
        <row r="669">
          <cell r="A669" t="str">
            <v>39003_4</v>
          </cell>
        </row>
        <row r="670">
          <cell r="A670" t="str">
            <v>39004_1</v>
          </cell>
        </row>
        <row r="671">
          <cell r="A671" t="str">
            <v>39004_2</v>
          </cell>
        </row>
        <row r="672">
          <cell r="A672" t="str">
            <v>39004_3</v>
          </cell>
        </row>
        <row r="673">
          <cell r="A673" t="str">
            <v>39004_4</v>
          </cell>
        </row>
        <row r="674">
          <cell r="A674" t="str">
            <v>39005_1</v>
          </cell>
        </row>
        <row r="675">
          <cell r="A675" t="str">
            <v>39005_2</v>
          </cell>
        </row>
        <row r="676">
          <cell r="A676" t="str">
            <v>39005_3</v>
          </cell>
        </row>
        <row r="677">
          <cell r="A677" t="str">
            <v>39005_4</v>
          </cell>
        </row>
        <row r="678">
          <cell r="A678" t="str">
            <v>39005_5</v>
          </cell>
        </row>
        <row r="679">
          <cell r="A679" t="str">
            <v>39006_1</v>
          </cell>
        </row>
        <row r="680">
          <cell r="A680" t="str">
            <v>39006_2</v>
          </cell>
        </row>
        <row r="681">
          <cell r="A681" t="str">
            <v>39006_3</v>
          </cell>
        </row>
        <row r="682">
          <cell r="A682" t="str">
            <v>39006_4</v>
          </cell>
        </row>
        <row r="683">
          <cell r="A683" t="str">
            <v>39007_1</v>
          </cell>
        </row>
        <row r="684">
          <cell r="A684" t="str">
            <v>39007_2</v>
          </cell>
        </row>
        <row r="685">
          <cell r="A685" t="str">
            <v>39007_3</v>
          </cell>
        </row>
        <row r="686">
          <cell r="A686" t="str">
            <v>39007_4</v>
          </cell>
        </row>
        <row r="687">
          <cell r="A687" t="str">
            <v>39008_1</v>
          </cell>
        </row>
        <row r="688">
          <cell r="A688" t="str">
            <v>39008_2</v>
          </cell>
        </row>
        <row r="689">
          <cell r="A689" t="str">
            <v>39008_3</v>
          </cell>
        </row>
        <row r="690">
          <cell r="A690" t="str">
            <v>39008_4</v>
          </cell>
        </row>
        <row r="691">
          <cell r="A691" t="str">
            <v>39008_5</v>
          </cell>
        </row>
        <row r="692">
          <cell r="A692" t="str">
            <v>39009_1</v>
          </cell>
        </row>
        <row r="693">
          <cell r="A693" t="str">
            <v>39009_2</v>
          </cell>
        </row>
        <row r="694">
          <cell r="A694" t="str">
            <v>39009_3</v>
          </cell>
        </row>
        <row r="695">
          <cell r="A695" t="str">
            <v>39009_4</v>
          </cell>
        </row>
        <row r="696">
          <cell r="A696" t="str">
            <v>39009_5</v>
          </cell>
        </row>
        <row r="697">
          <cell r="A697" t="str">
            <v>39010_1</v>
          </cell>
        </row>
        <row r="698">
          <cell r="A698" t="str">
            <v>39010_2</v>
          </cell>
        </row>
        <row r="699">
          <cell r="A699" t="str">
            <v>39010_3</v>
          </cell>
        </row>
        <row r="700">
          <cell r="A700" t="str">
            <v>39010_4</v>
          </cell>
        </row>
        <row r="701">
          <cell r="A701" t="str">
            <v>39011_1</v>
          </cell>
        </row>
        <row r="702">
          <cell r="A702" t="str">
            <v>39011_2</v>
          </cell>
        </row>
        <row r="703">
          <cell r="A703" t="str">
            <v>39011_3</v>
          </cell>
        </row>
        <row r="704">
          <cell r="A704" t="str">
            <v>39011_4</v>
          </cell>
        </row>
        <row r="705">
          <cell r="A705" t="str">
            <v>39012_1</v>
          </cell>
        </row>
        <row r="706">
          <cell r="A706" t="str">
            <v>39012_2</v>
          </cell>
        </row>
        <row r="707">
          <cell r="A707" t="str">
            <v>39012_3</v>
          </cell>
        </row>
        <row r="708">
          <cell r="A708" t="str">
            <v>39012_4</v>
          </cell>
        </row>
        <row r="709">
          <cell r="A709" t="str">
            <v>39012_5</v>
          </cell>
        </row>
        <row r="710">
          <cell r="A710" t="str">
            <v>40001_1</v>
          </cell>
        </row>
        <row r="711">
          <cell r="A711" t="str">
            <v>40002_1</v>
          </cell>
        </row>
        <row r="712">
          <cell r="A712" t="str">
            <v>40002_2</v>
          </cell>
        </row>
        <row r="713">
          <cell r="A713" t="str">
            <v>40002_3</v>
          </cell>
        </row>
        <row r="714">
          <cell r="A714" t="str">
            <v>40003_1</v>
          </cell>
        </row>
        <row r="715">
          <cell r="A715" t="str">
            <v>40004_1</v>
          </cell>
        </row>
        <row r="716">
          <cell r="A716" t="str">
            <v>40005_1</v>
          </cell>
        </row>
        <row r="717">
          <cell r="A717" t="str">
            <v>40006_1</v>
          </cell>
        </row>
        <row r="718">
          <cell r="A718" t="str">
            <v>40007_1</v>
          </cell>
        </row>
        <row r="719">
          <cell r="A719" t="str">
            <v>40008_1</v>
          </cell>
        </row>
        <row r="720">
          <cell r="A720" t="str">
            <v>40009_1</v>
          </cell>
        </row>
        <row r="721">
          <cell r="A721" t="str">
            <v>40010_1</v>
          </cell>
        </row>
        <row r="722">
          <cell r="A722" t="str">
            <v>40011_1</v>
          </cell>
        </row>
        <row r="723">
          <cell r="A723" t="str">
            <v>40012_1</v>
          </cell>
        </row>
        <row r="724">
          <cell r="A724" t="str">
            <v>40013_1</v>
          </cell>
        </row>
        <row r="725">
          <cell r="A725" t="str">
            <v>40014_1</v>
          </cell>
        </row>
        <row r="726">
          <cell r="A726" t="str">
            <v>40015_1</v>
          </cell>
        </row>
        <row r="727">
          <cell r="A727" t="str">
            <v>40016_1</v>
          </cell>
        </row>
        <row r="728">
          <cell r="A728" t="str">
            <v>40016_2</v>
          </cell>
        </row>
        <row r="729">
          <cell r="A729" t="str">
            <v>40017_1</v>
          </cell>
        </row>
        <row r="730">
          <cell r="A730" t="str">
            <v>40017_2</v>
          </cell>
        </row>
        <row r="731">
          <cell r="A731" t="str">
            <v>40017_3</v>
          </cell>
        </row>
        <row r="732">
          <cell r="A732" t="str">
            <v>40018_1</v>
          </cell>
        </row>
        <row r="733">
          <cell r="A733" t="str">
            <v>40018_2</v>
          </cell>
        </row>
        <row r="734">
          <cell r="A734" t="str">
            <v>40018_3</v>
          </cell>
        </row>
        <row r="735">
          <cell r="A735" t="str">
            <v>40019_1</v>
          </cell>
        </row>
        <row r="736">
          <cell r="A736" t="str">
            <v>40019_2</v>
          </cell>
        </row>
        <row r="737">
          <cell r="A737" t="str">
            <v>40019_3</v>
          </cell>
        </row>
        <row r="738">
          <cell r="A738" t="str">
            <v>40021_1</v>
          </cell>
        </row>
        <row r="739">
          <cell r="A739" t="str">
            <v>40021_2</v>
          </cell>
        </row>
        <row r="740">
          <cell r="A740" t="str">
            <v>40022_1</v>
          </cell>
        </row>
        <row r="741">
          <cell r="A741" t="str">
            <v>40022_2</v>
          </cell>
        </row>
        <row r="742">
          <cell r="A742" t="str">
            <v>40023_1</v>
          </cell>
        </row>
        <row r="743">
          <cell r="A743" t="str">
            <v>40023_2</v>
          </cell>
        </row>
        <row r="744">
          <cell r="A744" t="str">
            <v>40024_1</v>
          </cell>
        </row>
        <row r="745">
          <cell r="A745" t="str">
            <v>40024_2</v>
          </cell>
        </row>
        <row r="746">
          <cell r="A746" t="str">
            <v>40025_1</v>
          </cell>
        </row>
        <row r="747">
          <cell r="A747" t="str">
            <v>40025_2</v>
          </cell>
        </row>
        <row r="748">
          <cell r="A748" t="str">
            <v>40026_1</v>
          </cell>
        </row>
        <row r="749">
          <cell r="A749" t="str">
            <v>40026_2</v>
          </cell>
        </row>
        <row r="750">
          <cell r="A750" t="str">
            <v>40027_1</v>
          </cell>
        </row>
        <row r="751">
          <cell r="A751" t="str">
            <v>40027_2</v>
          </cell>
        </row>
        <row r="752">
          <cell r="A752" t="str">
            <v>40028_1</v>
          </cell>
        </row>
        <row r="753">
          <cell r="A753" t="str">
            <v>40028_2</v>
          </cell>
        </row>
        <row r="754">
          <cell r="A754" t="str">
            <v>40029_1</v>
          </cell>
        </row>
        <row r="755">
          <cell r="A755" t="str">
            <v>40029_2</v>
          </cell>
        </row>
        <row r="756">
          <cell r="A756" t="str">
            <v>40030_1</v>
          </cell>
        </row>
        <row r="757">
          <cell r="A757" t="str">
            <v>40030_2</v>
          </cell>
        </row>
        <row r="758">
          <cell r="A758" t="str">
            <v>40031_1</v>
          </cell>
        </row>
        <row r="759">
          <cell r="A759" t="str">
            <v>40031_2</v>
          </cell>
        </row>
        <row r="760">
          <cell r="A760" t="str">
            <v>40032_1</v>
          </cell>
        </row>
        <row r="761">
          <cell r="A761" t="str">
            <v>40032_2</v>
          </cell>
        </row>
        <row r="762">
          <cell r="A762" t="str">
            <v>40033_1</v>
          </cell>
        </row>
        <row r="763">
          <cell r="A763" t="str">
            <v>40033_2</v>
          </cell>
        </row>
        <row r="764">
          <cell r="A764" t="str">
            <v>40034_1</v>
          </cell>
        </row>
        <row r="765">
          <cell r="A765" t="str">
            <v>40034_2</v>
          </cell>
        </row>
        <row r="766">
          <cell r="A766" t="str">
            <v>40035_1</v>
          </cell>
        </row>
        <row r="767">
          <cell r="A767" t="str">
            <v>40035_2</v>
          </cell>
        </row>
        <row r="768">
          <cell r="A768" t="str">
            <v>40036_1</v>
          </cell>
        </row>
        <row r="769">
          <cell r="A769" t="str">
            <v>40036_2</v>
          </cell>
        </row>
        <row r="770">
          <cell r="A770" t="str">
            <v>40037_1</v>
          </cell>
        </row>
        <row r="771">
          <cell r="A771" t="str">
            <v>40037_2</v>
          </cell>
        </row>
        <row r="772">
          <cell r="A772" t="str">
            <v>40038_1</v>
          </cell>
        </row>
        <row r="773">
          <cell r="A773" t="str">
            <v>40038_2</v>
          </cell>
        </row>
        <row r="774">
          <cell r="A774" t="str">
            <v>40039_1</v>
          </cell>
        </row>
        <row r="775">
          <cell r="A775" t="str">
            <v>40039_2</v>
          </cell>
        </row>
        <row r="776">
          <cell r="A776" t="str">
            <v>40040_1</v>
          </cell>
        </row>
        <row r="777">
          <cell r="A777" t="str">
            <v>40040_2</v>
          </cell>
        </row>
        <row r="778">
          <cell r="A778" t="str">
            <v>40041_1</v>
          </cell>
        </row>
        <row r="779">
          <cell r="A779" t="str">
            <v>40041_2</v>
          </cell>
        </row>
        <row r="780">
          <cell r="A780" t="str">
            <v>40042_1</v>
          </cell>
        </row>
        <row r="781">
          <cell r="A781" t="str">
            <v>40042_2</v>
          </cell>
        </row>
        <row r="782">
          <cell r="A782" t="str">
            <v>40043_1</v>
          </cell>
        </row>
        <row r="783">
          <cell r="A783" t="str">
            <v>40043_2</v>
          </cell>
        </row>
        <row r="784">
          <cell r="A784" t="str">
            <v>41001_1</v>
          </cell>
        </row>
        <row r="785">
          <cell r="A785" t="str">
            <v>41001_2</v>
          </cell>
        </row>
        <row r="786">
          <cell r="A786" t="str">
            <v>41001_3</v>
          </cell>
        </row>
        <row r="787">
          <cell r="A787" t="str">
            <v>41002_1</v>
          </cell>
        </row>
        <row r="788">
          <cell r="A788" t="str">
            <v>41002_2</v>
          </cell>
        </row>
        <row r="789">
          <cell r="A789" t="str">
            <v>41002_3</v>
          </cell>
        </row>
        <row r="790">
          <cell r="A790" t="str">
            <v>41003_1</v>
          </cell>
        </row>
        <row r="791">
          <cell r="A791" t="str">
            <v>41003_2</v>
          </cell>
        </row>
        <row r="792">
          <cell r="A792" t="str">
            <v>41003_3</v>
          </cell>
        </row>
        <row r="793">
          <cell r="A793" t="str">
            <v>41004_1</v>
          </cell>
        </row>
        <row r="794">
          <cell r="A794" t="str">
            <v>41004_2</v>
          </cell>
        </row>
        <row r="795">
          <cell r="A795" t="str">
            <v>41004_3</v>
          </cell>
        </row>
        <row r="796">
          <cell r="A796" t="str">
            <v>41005_1</v>
          </cell>
        </row>
        <row r="797">
          <cell r="A797" t="str">
            <v>41005_2</v>
          </cell>
        </row>
        <row r="798">
          <cell r="A798" t="str">
            <v>41005_3</v>
          </cell>
        </row>
        <row r="799">
          <cell r="A799" t="str">
            <v>41006_1</v>
          </cell>
        </row>
        <row r="800">
          <cell r="A800" t="str">
            <v>41006_2</v>
          </cell>
        </row>
        <row r="801">
          <cell r="A801" t="str">
            <v>41006_3</v>
          </cell>
        </row>
        <row r="802">
          <cell r="A802" t="str">
            <v>41007_1</v>
          </cell>
        </row>
        <row r="803">
          <cell r="A803" t="str">
            <v>41007_2</v>
          </cell>
        </row>
        <row r="804">
          <cell r="A804" t="str">
            <v>41007_3</v>
          </cell>
        </row>
        <row r="805">
          <cell r="A805" t="str">
            <v>41008_1</v>
          </cell>
        </row>
        <row r="806">
          <cell r="A806" t="str">
            <v>41008_2</v>
          </cell>
        </row>
        <row r="807">
          <cell r="A807" t="str">
            <v>41008_3</v>
          </cell>
        </row>
        <row r="808">
          <cell r="A808" t="str">
            <v>41009_1</v>
          </cell>
        </row>
        <row r="809">
          <cell r="A809" t="str">
            <v>41009_2</v>
          </cell>
        </row>
        <row r="810">
          <cell r="A810" t="str">
            <v>41009_3</v>
          </cell>
        </row>
        <row r="811">
          <cell r="A811" t="str">
            <v>41010_1</v>
          </cell>
        </row>
        <row r="812">
          <cell r="A812" t="str">
            <v>41010_2</v>
          </cell>
        </row>
        <row r="813">
          <cell r="A813" t="str">
            <v>41010_3</v>
          </cell>
        </row>
        <row r="814">
          <cell r="A814" t="str">
            <v>41011_1</v>
          </cell>
        </row>
        <row r="815">
          <cell r="A815" t="str">
            <v>41011_2</v>
          </cell>
        </row>
        <row r="816">
          <cell r="A816" t="str">
            <v>41012_1</v>
          </cell>
        </row>
        <row r="817">
          <cell r="A817" t="str">
            <v>41012_2</v>
          </cell>
        </row>
        <row r="818">
          <cell r="A818" t="str">
            <v>41013_1</v>
          </cell>
        </row>
        <row r="819">
          <cell r="A819" t="str">
            <v>41013_2</v>
          </cell>
        </row>
        <row r="820">
          <cell r="A820" t="str">
            <v>41014_1</v>
          </cell>
        </row>
        <row r="821">
          <cell r="A821" t="str">
            <v>41014_2</v>
          </cell>
        </row>
        <row r="822">
          <cell r="A822" t="str">
            <v>41015_1</v>
          </cell>
        </row>
        <row r="823">
          <cell r="A823" t="str">
            <v>41015_2</v>
          </cell>
        </row>
        <row r="824">
          <cell r="A824" t="str">
            <v>47001_1</v>
          </cell>
        </row>
        <row r="825">
          <cell r="A825" t="str">
            <v>47001_2</v>
          </cell>
        </row>
        <row r="826">
          <cell r="A826" t="str">
            <v>47002_1</v>
          </cell>
        </row>
        <row r="827">
          <cell r="A827" t="str">
            <v>47002_2</v>
          </cell>
        </row>
        <row r="828">
          <cell r="A828" t="str">
            <v>47003_1</v>
          </cell>
        </row>
        <row r="829">
          <cell r="A829" t="str">
            <v>47003_2</v>
          </cell>
        </row>
        <row r="830">
          <cell r="A830" t="str">
            <v>47003_3</v>
          </cell>
        </row>
        <row r="831">
          <cell r="A831" t="str">
            <v>47003_4</v>
          </cell>
        </row>
        <row r="832">
          <cell r="A832" t="str">
            <v>47004_1</v>
          </cell>
        </row>
        <row r="833">
          <cell r="A833" t="str">
            <v>47004_2</v>
          </cell>
        </row>
        <row r="834">
          <cell r="A834" t="str">
            <v>47004_3</v>
          </cell>
        </row>
        <row r="835">
          <cell r="A835" t="str">
            <v>47004_4</v>
          </cell>
        </row>
        <row r="836">
          <cell r="A836" t="str">
            <v>47005_1</v>
          </cell>
        </row>
        <row r="837">
          <cell r="A837" t="str">
            <v>47006_1</v>
          </cell>
        </row>
        <row r="838">
          <cell r="A838" t="str">
            <v>47006_2</v>
          </cell>
        </row>
        <row r="839">
          <cell r="A839" t="str">
            <v>47007_1</v>
          </cell>
        </row>
        <row r="840">
          <cell r="A840" t="str">
            <v>47007_2</v>
          </cell>
        </row>
        <row r="841">
          <cell r="A841" t="str">
            <v>47008_1</v>
          </cell>
        </row>
        <row r="842">
          <cell r="A842" t="str">
            <v>47008_2</v>
          </cell>
        </row>
        <row r="843">
          <cell r="A843" t="str">
            <v>47009_1</v>
          </cell>
        </row>
        <row r="844">
          <cell r="A844" t="str">
            <v>47009_2</v>
          </cell>
        </row>
        <row r="845">
          <cell r="A845" t="str">
            <v>47010_1</v>
          </cell>
        </row>
        <row r="846">
          <cell r="A846" t="str">
            <v>47010_2</v>
          </cell>
        </row>
        <row r="847">
          <cell r="A847" t="str">
            <v>48001_1</v>
          </cell>
        </row>
        <row r="848">
          <cell r="A848" t="str">
            <v>48002_1</v>
          </cell>
        </row>
        <row r="849">
          <cell r="A849" t="str">
            <v>48002_2</v>
          </cell>
        </row>
        <row r="850">
          <cell r="A850" t="str">
            <v>48002_3</v>
          </cell>
        </row>
        <row r="851">
          <cell r="A851" t="str">
            <v>48003_1</v>
          </cell>
        </row>
        <row r="852">
          <cell r="A852" t="str">
            <v>48003_2</v>
          </cell>
        </row>
        <row r="853">
          <cell r="A853" t="str">
            <v>48004_1</v>
          </cell>
        </row>
        <row r="854">
          <cell r="A854" t="str">
            <v>48004_2</v>
          </cell>
        </row>
        <row r="855">
          <cell r="A855" t="str">
            <v>48005_1</v>
          </cell>
        </row>
        <row r="856">
          <cell r="A856" t="str">
            <v>48005_2</v>
          </cell>
        </row>
        <row r="857">
          <cell r="A857" t="str">
            <v>48006_1</v>
          </cell>
        </row>
        <row r="858">
          <cell r="A858" t="str">
            <v>48006_2</v>
          </cell>
        </row>
        <row r="859">
          <cell r="A859" t="str">
            <v>48007_1</v>
          </cell>
        </row>
        <row r="860">
          <cell r="A860" t="str">
            <v>48007_2</v>
          </cell>
        </row>
        <row r="861">
          <cell r="A861" t="str">
            <v>48008_1</v>
          </cell>
        </row>
        <row r="862">
          <cell r="A862" t="str">
            <v>48008_2</v>
          </cell>
        </row>
        <row r="863">
          <cell r="A863" t="str">
            <v>48009_1</v>
          </cell>
        </row>
        <row r="864">
          <cell r="A864" t="str">
            <v>48009_2</v>
          </cell>
        </row>
        <row r="865">
          <cell r="A865" t="str">
            <v>48010_1</v>
          </cell>
        </row>
        <row r="866">
          <cell r="A866" t="str">
            <v>48011_1</v>
          </cell>
        </row>
        <row r="867">
          <cell r="A867" t="str">
            <v>48011_2</v>
          </cell>
        </row>
        <row r="868">
          <cell r="A868" t="str">
            <v>48501_1</v>
          </cell>
        </row>
        <row r="869">
          <cell r="A869" t="str">
            <v>48501_2</v>
          </cell>
        </row>
        <row r="870">
          <cell r="A870" t="str">
            <v>48502_1</v>
          </cell>
        </row>
        <row r="871">
          <cell r="A871" t="str">
            <v>48502_2</v>
          </cell>
        </row>
        <row r="872">
          <cell r="A872" t="str">
            <v>49001_1</v>
          </cell>
        </row>
        <row r="873">
          <cell r="A873" t="str">
            <v>49002_1</v>
          </cell>
        </row>
        <row r="874">
          <cell r="A874" t="str">
            <v>49002_2</v>
          </cell>
        </row>
        <row r="875">
          <cell r="A875" t="str">
            <v>49003_1</v>
          </cell>
        </row>
        <row r="876">
          <cell r="A876" t="str">
            <v>49003_2</v>
          </cell>
        </row>
        <row r="877">
          <cell r="A877" t="str">
            <v>49004_1</v>
          </cell>
        </row>
        <row r="878">
          <cell r="A878" t="str">
            <v>49004_2</v>
          </cell>
        </row>
        <row r="879">
          <cell r="A879" t="str">
            <v>49004_3</v>
          </cell>
        </row>
        <row r="880">
          <cell r="A880" t="str">
            <v>49005_1</v>
          </cell>
        </row>
        <row r="881">
          <cell r="A881" t="str">
            <v>49006_1</v>
          </cell>
        </row>
        <row r="882">
          <cell r="A882" t="str">
            <v>49006_2</v>
          </cell>
        </row>
        <row r="883">
          <cell r="A883" t="str">
            <v>49007_1</v>
          </cell>
        </row>
        <row r="884">
          <cell r="A884" t="str">
            <v>49007_2</v>
          </cell>
        </row>
        <row r="885">
          <cell r="A885" t="str">
            <v>49007_3</v>
          </cell>
        </row>
        <row r="886">
          <cell r="A886" t="str">
            <v>49008_1</v>
          </cell>
        </row>
        <row r="887">
          <cell r="A887" t="str">
            <v>49009_1</v>
          </cell>
        </row>
        <row r="888">
          <cell r="A888" t="str">
            <v>49010_1</v>
          </cell>
        </row>
        <row r="889">
          <cell r="A889" t="str">
            <v>49011_1</v>
          </cell>
        </row>
        <row r="890">
          <cell r="A890" t="str">
            <v>49012_1</v>
          </cell>
        </row>
        <row r="891">
          <cell r="A891" t="str">
            <v>49013_1</v>
          </cell>
        </row>
        <row r="892">
          <cell r="A892" t="str">
            <v>49014_1</v>
          </cell>
        </row>
        <row r="893">
          <cell r="A893" t="str">
            <v>49014_2</v>
          </cell>
        </row>
        <row r="894">
          <cell r="A894" t="str">
            <v>50001_1</v>
          </cell>
        </row>
        <row r="895">
          <cell r="A895" t="str">
            <v>50002_1</v>
          </cell>
        </row>
        <row r="896">
          <cell r="A896" t="str">
            <v>50003_1</v>
          </cell>
        </row>
        <row r="897">
          <cell r="A897" t="str">
            <v>50004_1</v>
          </cell>
        </row>
        <row r="898">
          <cell r="A898" t="str">
            <v>50005_1</v>
          </cell>
        </row>
        <row r="899">
          <cell r="A899" t="str">
            <v>50006_1</v>
          </cell>
        </row>
        <row r="900">
          <cell r="A900" t="str">
            <v>50007_1</v>
          </cell>
        </row>
        <row r="901">
          <cell r="A901" t="str">
            <v>50008_1</v>
          </cell>
        </row>
        <row r="902">
          <cell r="A902" t="str">
            <v>50009_1</v>
          </cell>
        </row>
        <row r="903">
          <cell r="A903" t="str">
            <v>50010_1</v>
          </cell>
        </row>
        <row r="904">
          <cell r="A904" t="str">
            <v>50011_1</v>
          </cell>
        </row>
        <row r="905">
          <cell r="A905" t="str">
            <v>50012_1</v>
          </cell>
        </row>
        <row r="906">
          <cell r="A906" t="str">
            <v>50013_1</v>
          </cell>
        </row>
        <row r="907">
          <cell r="A907" t="str">
            <v>50014_1</v>
          </cell>
        </row>
        <row r="908">
          <cell r="A908" t="str">
            <v>51001_1</v>
          </cell>
        </row>
        <row r="909">
          <cell r="A909" t="str">
            <v>51002_1</v>
          </cell>
        </row>
        <row r="910">
          <cell r="A910" t="str">
            <v>58001_1</v>
          </cell>
        </row>
        <row r="911">
          <cell r="A911" t="str">
            <v>59001_1</v>
          </cell>
        </row>
        <row r="912">
          <cell r="A912" t="str">
            <v>59002_1</v>
          </cell>
        </row>
        <row r="913">
          <cell r="A913" t="str">
            <v>60001_1</v>
          </cell>
        </row>
        <row r="914">
          <cell r="A914" t="str">
            <v>60002_1</v>
          </cell>
        </row>
        <row r="915">
          <cell r="A915" t="str">
            <v>60002_2</v>
          </cell>
        </row>
        <row r="916">
          <cell r="A916" t="str">
            <v>60003_1</v>
          </cell>
        </row>
        <row r="917">
          <cell r="A917" t="str">
            <v>60003_2</v>
          </cell>
        </row>
        <row r="918">
          <cell r="A918" t="str">
            <v>60003_3</v>
          </cell>
        </row>
        <row r="919">
          <cell r="A919" t="str">
            <v>60004_1</v>
          </cell>
        </row>
        <row r="920">
          <cell r="A920" t="str">
            <v>60005_1</v>
          </cell>
        </row>
        <row r="921">
          <cell r="A921" t="str">
            <v>60006_1</v>
          </cell>
        </row>
        <row r="922">
          <cell r="A922" t="str">
            <v>60006_2</v>
          </cell>
        </row>
        <row r="923">
          <cell r="A923" t="str">
            <v>60006_3</v>
          </cell>
        </row>
        <row r="924">
          <cell r="A924" t="str">
            <v>60007_1</v>
          </cell>
        </row>
        <row r="925">
          <cell r="A925" t="str">
            <v>60007_2</v>
          </cell>
        </row>
        <row r="926">
          <cell r="A926" t="str">
            <v>60007_3</v>
          </cell>
        </row>
        <row r="927">
          <cell r="A927" t="str">
            <v>60010_1</v>
          </cell>
        </row>
        <row r="928">
          <cell r="A928" t="str">
            <v>60011_1</v>
          </cell>
        </row>
        <row r="929">
          <cell r="A929" t="str">
            <v>60011_2</v>
          </cell>
        </row>
        <row r="930">
          <cell r="A930" t="str">
            <v>60012_1</v>
          </cell>
        </row>
        <row r="931">
          <cell r="A931" t="str">
            <v>60013_1</v>
          </cell>
        </row>
        <row r="932">
          <cell r="A932" t="str">
            <v>60013_2</v>
          </cell>
        </row>
        <row r="933">
          <cell r="A933" t="str">
            <v>60013_3</v>
          </cell>
        </row>
        <row r="934">
          <cell r="A934" t="str">
            <v>60014_1</v>
          </cell>
        </row>
        <row r="935">
          <cell r="A935" t="str">
            <v>60015_1</v>
          </cell>
        </row>
        <row r="936">
          <cell r="A936" t="str">
            <v>60016_1</v>
          </cell>
        </row>
        <row r="937">
          <cell r="A937" t="str">
            <v>60017_1</v>
          </cell>
        </row>
        <row r="938">
          <cell r="A938" t="str">
            <v>60018_1</v>
          </cell>
        </row>
        <row r="939">
          <cell r="A939" t="str">
            <v>60019_1</v>
          </cell>
        </row>
        <row r="940">
          <cell r="A940" t="str">
            <v>60020_1</v>
          </cell>
        </row>
        <row r="941">
          <cell r="A941" t="str">
            <v>60021_3</v>
          </cell>
        </row>
        <row r="942">
          <cell r="A942" t="str">
            <v>60022_3</v>
          </cell>
        </row>
        <row r="943">
          <cell r="A943" t="str">
            <v>60023_3</v>
          </cell>
        </row>
        <row r="944">
          <cell r="A944" t="str">
            <v>60024_3</v>
          </cell>
        </row>
        <row r="945">
          <cell r="A945" t="str">
            <v>60025_1</v>
          </cell>
        </row>
        <row r="946">
          <cell r="A946" t="str">
            <v>60026_1</v>
          </cell>
        </row>
        <row r="947">
          <cell r="A947" t="str">
            <v>61011_1</v>
          </cell>
        </row>
        <row r="948">
          <cell r="A948" t="str">
            <v>60027_1</v>
          </cell>
        </row>
        <row r="949">
          <cell r="A949" t="str">
            <v>65525_1</v>
          </cell>
        </row>
        <row r="950">
          <cell r="A950" t="str">
            <v>65526_1</v>
          </cell>
        </row>
        <row r="951">
          <cell r="A951" t="str">
            <v>65526_2</v>
          </cell>
        </row>
        <row r="952">
          <cell r="A952" t="str">
            <v>65527_1</v>
          </cell>
        </row>
        <row r="953">
          <cell r="A953" t="str">
            <v>65528_1</v>
          </cell>
        </row>
        <row r="954">
          <cell r="A954" t="str">
            <v>65529_1</v>
          </cell>
        </row>
        <row r="955">
          <cell r="A955" t="str">
            <v>65530_1</v>
          </cell>
        </row>
        <row r="956">
          <cell r="A956" t="str">
            <v>65531_1</v>
          </cell>
        </row>
        <row r="957">
          <cell r="A957" t="str">
            <v>65531_2</v>
          </cell>
        </row>
        <row r="958">
          <cell r="A958" t="str">
            <v>65532_1</v>
          </cell>
        </row>
        <row r="959">
          <cell r="A959" t="str">
            <v>65532_2</v>
          </cell>
        </row>
        <row r="960">
          <cell r="A960" t="str">
            <v>65533_1</v>
          </cell>
        </row>
        <row r="961">
          <cell r="A961" t="str">
            <v>65533_2</v>
          </cell>
        </row>
        <row r="962">
          <cell r="A962" t="str">
            <v>65534_1</v>
          </cell>
        </row>
        <row r="963">
          <cell r="A963" t="str">
            <v>65535_1</v>
          </cell>
        </row>
        <row r="964">
          <cell r="A964" t="str">
            <v>65535_2</v>
          </cell>
        </row>
        <row r="965">
          <cell r="A965" t="str">
            <v>65535_3</v>
          </cell>
        </row>
        <row r="966">
          <cell r="A966" t="str">
            <v>65535_4</v>
          </cell>
        </row>
        <row r="967">
          <cell r="A967" t="str">
            <v>65535_5</v>
          </cell>
        </row>
        <row r="968">
          <cell r="A968" t="str">
            <v>65535_6</v>
          </cell>
        </row>
        <row r="969">
          <cell r="A969" t="str">
            <v>65535_7</v>
          </cell>
        </row>
        <row r="970">
          <cell r="A970" t="str">
            <v>65535_8</v>
          </cell>
        </row>
        <row r="971">
          <cell r="A971" t="str">
            <v>65535_9</v>
          </cell>
        </row>
        <row r="972">
          <cell r="A97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1414</v>
          </cell>
        </row>
        <row r="1383">
          <cell r="A1383">
            <v>1415</v>
          </cell>
        </row>
        <row r="1384">
          <cell r="A1384">
            <v>1416</v>
          </cell>
        </row>
        <row r="1385">
          <cell r="A1385">
            <v>1417</v>
          </cell>
        </row>
        <row r="1386">
          <cell r="A1386">
            <v>1424</v>
          </cell>
        </row>
        <row r="1387">
          <cell r="A1387">
            <v>1504</v>
          </cell>
        </row>
        <row r="1388">
          <cell r="A1388">
            <v>1505</v>
          </cell>
        </row>
        <row r="1389">
          <cell r="A1389">
            <v>1506</v>
          </cell>
        </row>
        <row r="1390">
          <cell r="A1390">
            <v>1507</v>
          </cell>
        </row>
        <row r="1391">
          <cell r="A1391">
            <v>1508</v>
          </cell>
        </row>
        <row r="1392">
          <cell r="A1392">
            <v>1509</v>
          </cell>
        </row>
        <row r="1393">
          <cell r="A1393">
            <v>1510</v>
          </cell>
        </row>
        <row r="1394">
          <cell r="A1394">
            <v>1511</v>
          </cell>
        </row>
        <row r="1395">
          <cell r="A1395">
            <v>1512</v>
          </cell>
        </row>
        <row r="1396">
          <cell r="A1396">
            <v>1513</v>
          </cell>
        </row>
        <row r="1397">
          <cell r="A1397">
            <v>1514</v>
          </cell>
        </row>
        <row r="1398">
          <cell r="A1398">
            <v>1515</v>
          </cell>
        </row>
        <row r="1399">
          <cell r="A1399">
            <v>1516</v>
          </cell>
        </row>
        <row r="1400">
          <cell r="A1400">
            <v>1517</v>
          </cell>
        </row>
        <row r="1401">
          <cell r="A1401">
            <v>1518</v>
          </cell>
        </row>
        <row r="1402">
          <cell r="A1402">
            <v>1519</v>
          </cell>
        </row>
        <row r="1403">
          <cell r="A1403">
            <v>1520</v>
          </cell>
        </row>
        <row r="1404">
          <cell r="A1404">
            <v>1521</v>
          </cell>
        </row>
        <row r="1405">
          <cell r="A1405">
            <v>1522</v>
          </cell>
        </row>
        <row r="1406">
          <cell r="A1406">
            <v>1523</v>
          </cell>
        </row>
        <row r="1407">
          <cell r="A1407">
            <v>1524</v>
          </cell>
        </row>
        <row r="1408">
          <cell r="A1408">
            <v>1525</v>
          </cell>
        </row>
        <row r="1409">
          <cell r="A1409">
            <v>1526</v>
          </cell>
        </row>
        <row r="1410">
          <cell r="A1410">
            <v>1527</v>
          </cell>
        </row>
        <row r="1411">
          <cell r="A1411">
            <v>1528</v>
          </cell>
        </row>
        <row r="1412">
          <cell r="A1412">
            <v>1529</v>
          </cell>
        </row>
        <row r="1413">
          <cell r="A1413">
            <v>1530</v>
          </cell>
        </row>
        <row r="1414">
          <cell r="A1414">
            <v>1531</v>
          </cell>
        </row>
        <row r="1415">
          <cell r="A1415">
            <v>1532</v>
          </cell>
        </row>
        <row r="1416">
          <cell r="A1416">
            <v>1533</v>
          </cell>
        </row>
        <row r="1417">
          <cell r="A1417">
            <v>1534</v>
          </cell>
        </row>
        <row r="1418">
          <cell r="A1418">
            <v>1535</v>
          </cell>
        </row>
        <row r="1419">
          <cell r="A1419">
            <v>1536</v>
          </cell>
        </row>
        <row r="1420">
          <cell r="A1420">
            <v>1537</v>
          </cell>
        </row>
        <row r="1421">
          <cell r="A1421">
            <v>1538</v>
          </cell>
        </row>
        <row r="1422">
          <cell r="A1422">
            <v>1539</v>
          </cell>
        </row>
        <row r="1423">
          <cell r="A1423">
            <v>1540</v>
          </cell>
        </row>
        <row r="1424">
          <cell r="A1424">
            <v>1541</v>
          </cell>
        </row>
        <row r="1425">
          <cell r="A1425">
            <v>1542</v>
          </cell>
        </row>
        <row r="1426">
          <cell r="A1426">
            <v>1543</v>
          </cell>
        </row>
        <row r="1427">
          <cell r="A1427">
            <v>1544</v>
          </cell>
        </row>
        <row r="1428">
          <cell r="A1428">
            <v>1545</v>
          </cell>
        </row>
        <row r="1429">
          <cell r="A1429">
            <v>1546</v>
          </cell>
        </row>
        <row r="1430">
          <cell r="A1430">
            <v>1547</v>
          </cell>
        </row>
        <row r="1431">
          <cell r="A1431">
            <v>1548</v>
          </cell>
        </row>
        <row r="1432">
          <cell r="A1432">
            <v>1549</v>
          </cell>
        </row>
        <row r="1433">
          <cell r="A1433">
            <v>1550</v>
          </cell>
        </row>
        <row r="1434">
          <cell r="A1434">
            <v>5001</v>
          </cell>
        </row>
        <row r="1435">
          <cell r="A1435">
            <v>5002</v>
          </cell>
        </row>
        <row r="1436">
          <cell r="A1436">
            <v>5003</v>
          </cell>
        </row>
        <row r="1437">
          <cell r="A1437">
            <v>5004</v>
          </cell>
        </row>
        <row r="1438">
          <cell r="A1438">
            <v>5005</v>
          </cell>
        </row>
        <row r="1439">
          <cell r="A1439">
            <v>5006</v>
          </cell>
        </row>
        <row r="1440">
          <cell r="A1440">
            <v>5007</v>
          </cell>
        </row>
        <row r="1441">
          <cell r="A1441">
            <v>5008</v>
          </cell>
        </row>
        <row r="1442">
          <cell r="A1442">
            <v>6001</v>
          </cell>
        </row>
        <row r="1443">
          <cell r="A1443">
            <v>6002</v>
          </cell>
        </row>
        <row r="1444">
          <cell r="A1444">
            <v>6003</v>
          </cell>
        </row>
        <row r="1445">
          <cell r="A1445">
            <v>6004</v>
          </cell>
        </row>
        <row r="1446">
          <cell r="A1446">
            <v>6005</v>
          </cell>
        </row>
        <row r="1447">
          <cell r="A1447">
            <v>6006</v>
          </cell>
        </row>
        <row r="1448">
          <cell r="A1448">
            <v>6007</v>
          </cell>
        </row>
        <row r="1449">
          <cell r="A1449">
            <v>6008</v>
          </cell>
        </row>
        <row r="1450">
          <cell r="A1450">
            <v>6009</v>
          </cell>
        </row>
        <row r="1451">
          <cell r="A1451">
            <v>6010</v>
          </cell>
        </row>
        <row r="1452">
          <cell r="A1452">
            <v>6011</v>
          </cell>
        </row>
        <row r="1453">
          <cell r="A1453">
            <v>6012</v>
          </cell>
        </row>
        <row r="1454">
          <cell r="A1454">
            <v>6013</v>
          </cell>
        </row>
        <row r="1455">
          <cell r="A1455">
            <v>6014</v>
          </cell>
        </row>
        <row r="1456">
          <cell r="A1456">
            <v>6015</v>
          </cell>
        </row>
        <row r="1457">
          <cell r="A1457">
            <v>6016</v>
          </cell>
        </row>
        <row r="1458">
          <cell r="A1458">
            <v>6017</v>
          </cell>
        </row>
        <row r="1459">
          <cell r="A1459">
            <v>6018</v>
          </cell>
        </row>
        <row r="1460">
          <cell r="A1460">
            <v>6019</v>
          </cell>
        </row>
        <row r="1461">
          <cell r="A1461">
            <v>6020</v>
          </cell>
        </row>
        <row r="1462">
          <cell r="A1462">
            <v>8001</v>
          </cell>
        </row>
        <row r="1463">
          <cell r="A1463">
            <v>8002</v>
          </cell>
        </row>
        <row r="1464">
          <cell r="A1464">
            <v>8003</v>
          </cell>
        </row>
        <row r="1465">
          <cell r="A1465">
            <v>8004</v>
          </cell>
        </row>
        <row r="1466">
          <cell r="A1466">
            <v>8005</v>
          </cell>
        </row>
        <row r="1467">
          <cell r="A1467">
            <v>8006</v>
          </cell>
        </row>
        <row r="1468">
          <cell r="A1468">
            <v>8007</v>
          </cell>
        </row>
        <row r="1469">
          <cell r="A1469">
            <v>8008</v>
          </cell>
        </row>
        <row r="1470">
          <cell r="A1470">
            <v>8009</v>
          </cell>
        </row>
        <row r="1471">
          <cell r="A1471">
            <v>8010</v>
          </cell>
        </row>
        <row r="1472">
          <cell r="A1472">
            <v>8011</v>
          </cell>
        </row>
        <row r="1473">
          <cell r="A1473">
            <v>8012</v>
          </cell>
        </row>
        <row r="1474">
          <cell r="A1474">
            <v>8013</v>
          </cell>
        </row>
        <row r="1475">
          <cell r="A1475">
            <v>8014</v>
          </cell>
        </row>
        <row r="1476">
          <cell r="A1476">
            <v>8015</v>
          </cell>
        </row>
        <row r="1477">
          <cell r="A1477">
            <v>8016</v>
          </cell>
        </row>
        <row r="1478">
          <cell r="A1478">
            <v>8017</v>
          </cell>
        </row>
        <row r="1479">
          <cell r="A1479">
            <v>8018</v>
          </cell>
        </row>
        <row r="1480">
          <cell r="A1480">
            <v>8019</v>
          </cell>
        </row>
        <row r="1481">
          <cell r="A1481">
            <v>8020</v>
          </cell>
        </row>
        <row r="1482">
          <cell r="A1482">
            <v>8021</v>
          </cell>
        </row>
        <row r="1483">
          <cell r="A1483">
            <v>8022</v>
          </cell>
        </row>
        <row r="1484">
          <cell r="A1484">
            <v>8023</v>
          </cell>
        </row>
        <row r="1485">
          <cell r="A1485">
            <v>8024</v>
          </cell>
        </row>
        <row r="1486">
          <cell r="A1486">
            <v>8025</v>
          </cell>
        </row>
        <row r="1487">
          <cell r="A1487">
            <v>8026</v>
          </cell>
        </row>
        <row r="1488">
          <cell r="A1488">
            <v>8027</v>
          </cell>
        </row>
        <row r="1489">
          <cell r="A1489">
            <v>8028</v>
          </cell>
        </row>
        <row r="1490">
          <cell r="A1490">
            <v>8029</v>
          </cell>
        </row>
        <row r="1491">
          <cell r="A1491">
            <v>8030</v>
          </cell>
        </row>
        <row r="1492">
          <cell r="A1492">
            <v>8031</v>
          </cell>
        </row>
        <row r="1493">
          <cell r="A1493">
            <v>8032</v>
          </cell>
        </row>
        <row r="1494">
          <cell r="A1494">
            <v>8033</v>
          </cell>
        </row>
        <row r="1495">
          <cell r="A1495">
            <v>8034</v>
          </cell>
        </row>
        <row r="1496">
          <cell r="A1496">
            <v>8035</v>
          </cell>
        </row>
        <row r="1497">
          <cell r="A1497">
            <v>8036</v>
          </cell>
        </row>
        <row r="1498">
          <cell r="A1498">
            <v>8037</v>
          </cell>
        </row>
        <row r="1499">
          <cell r="A1499">
            <v>8038</v>
          </cell>
        </row>
        <row r="1500">
          <cell r="A1500">
            <v>8039</v>
          </cell>
        </row>
        <row r="1501">
          <cell r="A1501">
            <v>8040</v>
          </cell>
        </row>
        <row r="1502">
          <cell r="A1502">
            <v>8041</v>
          </cell>
        </row>
        <row r="1503">
          <cell r="A1503">
            <v>8042</v>
          </cell>
        </row>
        <row r="1504">
          <cell r="A1504">
            <v>8043</v>
          </cell>
        </row>
        <row r="1505">
          <cell r="A1505">
            <v>8044</v>
          </cell>
        </row>
        <row r="1506">
          <cell r="A1506">
            <v>8045</v>
          </cell>
        </row>
        <row r="1507">
          <cell r="A1507">
            <v>8046</v>
          </cell>
        </row>
        <row r="1508">
          <cell r="A1508">
            <v>8047</v>
          </cell>
        </row>
        <row r="1509">
          <cell r="A1509">
            <v>8048</v>
          </cell>
        </row>
        <row r="1510">
          <cell r="A1510">
            <v>8049</v>
          </cell>
        </row>
        <row r="1511">
          <cell r="A1511">
            <v>8050</v>
          </cell>
        </row>
        <row r="1512">
          <cell r="A1512">
            <v>8051</v>
          </cell>
        </row>
        <row r="1513">
          <cell r="A1513">
            <v>8052</v>
          </cell>
        </row>
        <row r="1514">
          <cell r="A1514">
            <v>8053</v>
          </cell>
        </row>
        <row r="1515">
          <cell r="A1515">
            <v>8054</v>
          </cell>
        </row>
        <row r="1516">
          <cell r="A1516">
            <v>8055</v>
          </cell>
        </row>
        <row r="1517">
          <cell r="A1517">
            <v>8056</v>
          </cell>
        </row>
        <row r="1518">
          <cell r="A1518">
            <v>8057</v>
          </cell>
        </row>
        <row r="1519">
          <cell r="A1519">
            <v>8058</v>
          </cell>
        </row>
        <row r="1520">
          <cell r="A1520">
            <v>8059</v>
          </cell>
        </row>
        <row r="1521">
          <cell r="A1521">
            <v>8060</v>
          </cell>
        </row>
        <row r="1522">
          <cell r="A1522">
            <v>8061</v>
          </cell>
        </row>
        <row r="1523">
          <cell r="A1523">
            <v>8062</v>
          </cell>
        </row>
        <row r="1524">
          <cell r="A1524">
            <v>8063</v>
          </cell>
        </row>
        <row r="1525">
          <cell r="A1525">
            <v>8064</v>
          </cell>
        </row>
        <row r="1526">
          <cell r="A1526">
            <v>8065</v>
          </cell>
        </row>
        <row r="1527">
          <cell r="A1527">
            <v>8066</v>
          </cell>
        </row>
        <row r="1528">
          <cell r="A1528">
            <v>8067</v>
          </cell>
        </row>
        <row r="1529">
          <cell r="A1529">
            <v>8068</v>
          </cell>
        </row>
        <row r="1530">
          <cell r="A1530">
            <v>8069</v>
          </cell>
        </row>
        <row r="1531">
          <cell r="A1531">
            <v>8070</v>
          </cell>
        </row>
        <row r="1532">
          <cell r="A1532">
            <v>8071</v>
          </cell>
        </row>
        <row r="1533">
          <cell r="A1533">
            <v>8072</v>
          </cell>
        </row>
        <row r="1534">
          <cell r="A1534">
            <v>8073</v>
          </cell>
        </row>
        <row r="1535">
          <cell r="A1535">
            <v>8074</v>
          </cell>
        </row>
        <row r="1536">
          <cell r="A1536">
            <v>8075</v>
          </cell>
        </row>
        <row r="1537">
          <cell r="A1537">
            <v>8076</v>
          </cell>
        </row>
        <row r="1538">
          <cell r="A1538">
            <v>8077</v>
          </cell>
        </row>
        <row r="1539">
          <cell r="A1539">
            <v>8078</v>
          </cell>
        </row>
        <row r="1540">
          <cell r="A1540">
            <v>8079</v>
          </cell>
        </row>
        <row r="1541">
          <cell r="A1541">
            <v>8080</v>
          </cell>
        </row>
        <row r="1542">
          <cell r="A1542">
            <v>8081</v>
          </cell>
        </row>
        <row r="1543">
          <cell r="A1543">
            <v>8082</v>
          </cell>
        </row>
        <row r="1544">
          <cell r="A1544">
            <v>8083</v>
          </cell>
        </row>
        <row r="1545">
          <cell r="A1545">
            <v>8084</v>
          </cell>
        </row>
        <row r="1546">
          <cell r="A1546">
            <v>8087</v>
          </cell>
        </row>
        <row r="1547">
          <cell r="A1547">
            <v>8088</v>
          </cell>
        </row>
        <row r="1548">
          <cell r="A1548">
            <v>8089</v>
          </cell>
        </row>
        <row r="1549">
          <cell r="A1549">
            <v>8090</v>
          </cell>
        </row>
        <row r="1550">
          <cell r="A1550">
            <v>8095</v>
          </cell>
        </row>
        <row r="1551">
          <cell r="A1551">
            <v>8096</v>
          </cell>
        </row>
        <row r="1552">
          <cell r="A1552">
            <v>8097</v>
          </cell>
        </row>
        <row r="1553">
          <cell r="A1553">
            <v>8098</v>
          </cell>
        </row>
        <row r="1554">
          <cell r="A1554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24" sqref="B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127</v>
      </c>
      <c r="B1" s="51" t="s">
        <v>98</v>
      </c>
      <c r="C1" s="51" t="s">
        <v>99</v>
      </c>
      <c r="D1" s="51" t="s">
        <v>100</v>
      </c>
      <c r="E1" s="51" t="s">
        <v>101</v>
      </c>
      <c r="F1" s="51" t="s">
        <v>102</v>
      </c>
      <c r="G1" s="51" t="s">
        <v>103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489</v>
      </c>
      <c r="B2" s="53" t="s">
        <v>104</v>
      </c>
      <c r="C2" s="59">
        <v>47009</v>
      </c>
      <c r="D2" s="53" t="s">
        <v>105</v>
      </c>
      <c r="E2" s="52" t="str">
        <f>B2&amp;C2&amp;D2</f>
        <v>floors_47009.tmp</v>
      </c>
      <c r="F2" s="53" t="s">
        <v>106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489</v>
      </c>
      <c r="B3" s="53" t="s">
        <v>107</v>
      </c>
      <c r="C3" s="59">
        <f>C$2</f>
        <v>47009</v>
      </c>
      <c r="D3" s="53" t="s">
        <v>105</v>
      </c>
      <c r="E3" s="52" t="str">
        <f>B3&amp;C3&amp;D3</f>
        <v>enemy_habitats_47009.tmp</v>
      </c>
      <c r="F3" s="53" t="s">
        <v>108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53</v>
      </c>
      <c r="AD3" s="54" t="s">
        <v>174</v>
      </c>
    </row>
    <row r="4" spans="1:30" x14ac:dyDescent="0.15">
      <c r="A4" s="57" t="s">
        <v>489</v>
      </c>
      <c r="B4" s="53" t="s">
        <v>109</v>
      </c>
      <c r="C4" s="59">
        <f t="shared" ref="C4:C13" si="0">C$2</f>
        <v>47009</v>
      </c>
      <c r="D4" s="53" t="s">
        <v>105</v>
      </c>
      <c r="E4" s="52" t="str">
        <f>B4&amp;C4&amp;D4</f>
        <v>enemy_habitat_S_47009.tmp</v>
      </c>
      <c r="F4" s="53" t="s">
        <v>110</v>
      </c>
      <c r="G4" s="54" t="s">
        <v>0</v>
      </c>
      <c r="H4" s="54" t="s">
        <v>1</v>
      </c>
      <c r="I4" s="54" t="s">
        <v>13</v>
      </c>
      <c r="J4" s="54" t="s">
        <v>53</v>
      </c>
      <c r="K4" s="54" t="s">
        <v>54</v>
      </c>
      <c r="L4" s="54" t="s">
        <v>55</v>
      </c>
      <c r="M4" s="54" t="s">
        <v>56</v>
      </c>
      <c r="N4" s="54" t="s">
        <v>57</v>
      </c>
      <c r="O4" s="54" t="s">
        <v>58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489</v>
      </c>
      <c r="B5" s="53" t="s">
        <v>111</v>
      </c>
      <c r="C5" s="59">
        <f t="shared" si="0"/>
        <v>47009</v>
      </c>
      <c r="D5" s="53" t="s">
        <v>105</v>
      </c>
      <c r="E5" s="52" t="str">
        <f>B5&amp;C5&amp;D5</f>
        <v>enemy_skill_sets_47009.tmp</v>
      </c>
      <c r="F5" s="53" t="s">
        <v>112</v>
      </c>
      <c r="G5" s="55" t="s">
        <v>22</v>
      </c>
      <c r="H5" s="55" t="s">
        <v>97</v>
      </c>
      <c r="I5" s="55" t="s">
        <v>92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489</v>
      </c>
      <c r="B6" s="53" t="s">
        <v>113</v>
      </c>
      <c r="C6" s="59">
        <f t="shared" si="0"/>
        <v>47009</v>
      </c>
      <c r="D6" s="53" t="s">
        <v>114</v>
      </c>
      <c r="E6" s="52" t="str">
        <f t="shared" ref="E6:E10" si="1">B6&amp;C6&amp;D6</f>
        <v>enemy_skills_tmp_47009.tmp</v>
      </c>
      <c r="F6" s="53" t="s">
        <v>88</v>
      </c>
      <c r="G6" s="54" t="s">
        <v>78</v>
      </c>
      <c r="H6" s="54" t="s">
        <v>79</v>
      </c>
      <c r="I6" s="54" t="s">
        <v>80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489</v>
      </c>
      <c r="B7" s="53" t="s">
        <v>115</v>
      </c>
      <c r="C7" s="59">
        <f t="shared" si="0"/>
        <v>47009</v>
      </c>
      <c r="D7" s="53" t="s">
        <v>105</v>
      </c>
      <c r="E7" s="52" t="str">
        <f>B7&amp;C7&amp;D7</f>
        <v>enemy_skills_i18n_47009.tmp</v>
      </c>
      <c r="F7" s="53" t="s">
        <v>116</v>
      </c>
      <c r="G7" s="54" t="s">
        <v>78</v>
      </c>
      <c r="H7" s="54" t="s">
        <v>89</v>
      </c>
      <c r="I7" s="54" t="s">
        <v>90</v>
      </c>
      <c r="J7" s="54" t="s">
        <v>91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489</v>
      </c>
      <c r="B8" s="53" t="s">
        <v>117</v>
      </c>
      <c r="C8" s="59">
        <f t="shared" si="0"/>
        <v>47009</v>
      </c>
      <c r="D8" s="53" t="s">
        <v>118</v>
      </c>
      <c r="E8" s="52" t="str">
        <f t="shared" si="1"/>
        <v>enemy_skill_triggers_47009.tmp</v>
      </c>
      <c r="F8" s="53" t="s">
        <v>119</v>
      </c>
      <c r="G8" s="54" t="s">
        <v>92</v>
      </c>
      <c r="H8" s="54" t="s">
        <v>93</v>
      </c>
      <c r="I8" s="54" t="s">
        <v>94</v>
      </c>
      <c r="J8" s="54" t="s">
        <v>95</v>
      </c>
      <c r="K8" s="54" t="s">
        <v>120</v>
      </c>
      <c r="L8" s="54" t="s">
        <v>96</v>
      </c>
      <c r="M8" s="54" t="s">
        <v>121</v>
      </c>
      <c r="N8" s="54" t="s">
        <v>122</v>
      </c>
      <c r="O8" s="54" t="s">
        <v>123</v>
      </c>
      <c r="P8" s="54" t="s">
        <v>66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489</v>
      </c>
      <c r="B9" s="64" t="s">
        <v>173</v>
      </c>
      <c r="C9" s="59">
        <f t="shared" si="0"/>
        <v>47009</v>
      </c>
      <c r="D9" s="64" t="s">
        <v>167</v>
      </c>
      <c r="E9" s="65" t="str">
        <f t="shared" si="1"/>
        <v>stage_bug_bonuses_47009.tmp</v>
      </c>
      <c r="F9" s="64" t="s">
        <v>168</v>
      </c>
      <c r="G9" s="61" t="s">
        <v>147</v>
      </c>
      <c r="H9" s="61" t="s">
        <v>169</v>
      </c>
      <c r="I9" s="61" t="s">
        <v>170</v>
      </c>
      <c r="J9" s="63" t="s">
        <v>171</v>
      </c>
      <c r="K9" s="61" t="s">
        <v>172</v>
      </c>
      <c r="L9" s="61" t="s">
        <v>153</v>
      </c>
      <c r="M9" s="61" t="s">
        <v>154</v>
      </c>
      <c r="N9" s="61" t="s">
        <v>155</v>
      </c>
      <c r="O9" s="61" t="s">
        <v>156</v>
      </c>
      <c r="P9" s="61" t="s">
        <v>157</v>
      </c>
      <c r="Q9" s="61" t="s">
        <v>158</v>
      </c>
      <c r="R9" s="61" t="s">
        <v>159</v>
      </c>
      <c r="S9" s="61" t="s">
        <v>160</v>
      </c>
      <c r="T9" s="61" t="s">
        <v>161</v>
      </c>
      <c r="U9" s="61" t="s">
        <v>162</v>
      </c>
      <c r="V9" s="61" t="s">
        <v>163</v>
      </c>
      <c r="W9" s="61" t="s">
        <v>164</v>
      </c>
      <c r="X9" s="53"/>
      <c r="Y9" s="53"/>
      <c r="Z9" s="53"/>
      <c r="AA9" s="53"/>
      <c r="AB9" s="53"/>
      <c r="AC9" s="53"/>
      <c r="AD9" s="53"/>
    </row>
    <row r="10" spans="1:30" s="71" customFormat="1" x14ac:dyDescent="0.15">
      <c r="A10" s="57" t="s">
        <v>183</v>
      </c>
      <c r="B10" s="64" t="s">
        <v>195</v>
      </c>
      <c r="C10" s="59">
        <f>C$2</f>
        <v>47009</v>
      </c>
      <c r="D10" s="64" t="s">
        <v>176</v>
      </c>
      <c r="E10" s="65" t="str">
        <f t="shared" si="1"/>
        <v>stage_hints_data_c_47009.tmp</v>
      </c>
      <c r="F10" s="64" t="s">
        <v>203</v>
      </c>
      <c r="G10" s="69" t="s">
        <v>177</v>
      </c>
      <c r="H10" s="69" t="s">
        <v>169</v>
      </c>
      <c r="I10" s="70" t="s">
        <v>178</v>
      </c>
      <c r="J10" s="63" t="s">
        <v>179</v>
      </c>
      <c r="K10" s="63" t="s">
        <v>180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1" customFormat="1" x14ac:dyDescent="0.15">
      <c r="A11" s="57" t="s">
        <v>489</v>
      </c>
      <c r="B11" s="64" t="s">
        <v>196</v>
      </c>
      <c r="C11" s="59">
        <f t="shared" si="0"/>
        <v>47009</v>
      </c>
      <c r="D11" s="64" t="s">
        <v>167</v>
      </c>
      <c r="E11" s="65" t="str">
        <f t="shared" ref="E11:E13" si="2">B11&amp;C11&amp;D11</f>
        <v>stage_hints_data_f_47009.tmp</v>
      </c>
      <c r="F11" s="64" t="s">
        <v>204</v>
      </c>
      <c r="G11" s="69" t="s">
        <v>177</v>
      </c>
      <c r="H11" s="69" t="s">
        <v>169</v>
      </c>
      <c r="I11" s="70" t="s">
        <v>178</v>
      </c>
      <c r="J11" s="63" t="s">
        <v>179</v>
      </c>
      <c r="K11" s="63" t="s">
        <v>180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1" customFormat="1" x14ac:dyDescent="0.15">
      <c r="A12" s="57" t="s">
        <v>489</v>
      </c>
      <c r="B12" s="64" t="s">
        <v>197</v>
      </c>
      <c r="C12" s="59">
        <f t="shared" si="0"/>
        <v>47009</v>
      </c>
      <c r="D12" s="64" t="s">
        <v>167</v>
      </c>
      <c r="E12" s="65" t="str">
        <f t="shared" si="2"/>
        <v>stage_hints_i18n_47009.tmp</v>
      </c>
      <c r="F12" s="64" t="s">
        <v>205</v>
      </c>
      <c r="G12" s="70" t="s">
        <v>198</v>
      </c>
      <c r="H12" s="91" t="s">
        <v>199</v>
      </c>
      <c r="I12" s="69" t="s">
        <v>200</v>
      </c>
      <c r="J12" s="100" t="s">
        <v>201</v>
      </c>
      <c r="K12" s="63" t="s">
        <v>202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1" customFormat="1" x14ac:dyDescent="0.15">
      <c r="A13" s="57" t="s">
        <v>489</v>
      </c>
      <c r="B13" s="64" t="s">
        <v>240</v>
      </c>
      <c r="C13" s="59">
        <f t="shared" si="0"/>
        <v>47009</v>
      </c>
      <c r="D13" s="64" t="s">
        <v>221</v>
      </c>
      <c r="E13" s="65" t="str">
        <f t="shared" si="2"/>
        <v>stage_bonuses_47009.tmp</v>
      </c>
      <c r="F13" s="64" t="s">
        <v>220</v>
      </c>
      <c r="G13" s="69" t="s">
        <v>222</v>
      </c>
      <c r="H13" s="69" t="s">
        <v>223</v>
      </c>
      <c r="I13" s="69" t="s">
        <v>224</v>
      </c>
      <c r="J13" s="69" t="s">
        <v>225</v>
      </c>
      <c r="K13" s="69" t="s">
        <v>226</v>
      </c>
      <c r="L13" s="69" t="s">
        <v>227</v>
      </c>
      <c r="M13" s="69" t="s">
        <v>228</v>
      </c>
      <c r="N13" s="69" t="s">
        <v>229</v>
      </c>
      <c r="O13" s="69" t="s">
        <v>230</v>
      </c>
      <c r="P13" s="69" t="s">
        <v>231</v>
      </c>
      <c r="Q13" s="69" t="s">
        <v>232</v>
      </c>
      <c r="R13" s="69" t="s">
        <v>233</v>
      </c>
      <c r="S13" s="69" t="s">
        <v>234</v>
      </c>
      <c r="T13" s="69" t="s">
        <v>235</v>
      </c>
      <c r="U13" s="69" t="s">
        <v>236</v>
      </c>
      <c r="V13" s="69" t="s">
        <v>237</v>
      </c>
      <c r="W13" s="69" t="s">
        <v>238</v>
      </c>
      <c r="X13" s="69" t="s">
        <v>239</v>
      </c>
      <c r="Y13" s="99"/>
      <c r="Z13" s="99"/>
      <c r="AA13" s="99"/>
      <c r="AB13" s="99"/>
      <c r="AC13" s="99"/>
      <c r="AD13" s="99"/>
    </row>
  </sheetData>
  <phoneticPr fontId="6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2"/>
  <sheetViews>
    <sheetView showGridLines="0" workbookViewId="0">
      <pane ySplit="1" topLeftCell="A2" activePane="bottomLeft" state="frozen"/>
      <selection activeCell="V2" sqref="V2:X34"/>
      <selection pane="bottomLeft" activeCell="D21" sqref="D21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47009_1-1</v>
      </c>
      <c r="B2" s="14" t="str">
        <f>IF(COUNTIF(enemy_habitats!$H:$H,A2),"OK","NG")</f>
        <v>OK</v>
      </c>
      <c r="C2" s="104">
        <v>47009</v>
      </c>
      <c r="D2" s="16" t="str">
        <f ca="1">VLOOKUP($C2,OFFSET([2]quests!$A$1,0,0,COUNTA([2]quests!$A:$A),MATCH(D$1,[2]quests!$1:$1,0)-MATCH($C$1,[2]quests!$1:$1,0)+1),MATCH(D$1,[2]quests!$1:$1,0)-MATCH($C$1,[2]quests!$1:$1,0)+1,FALSE)</f>
        <v>夏☆襲来！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（復刻）季節イベント</v>
      </c>
      <c r="F2" s="105">
        <v>1</v>
      </c>
      <c r="G2" s="19" t="str">
        <f t="shared" ref="G2:G11" si="0">C2&amp;"_"&amp;F2</f>
        <v>47009_1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【超絶級】夏☆襲来</v>
      </c>
      <c r="I2" s="105">
        <v>1</v>
      </c>
      <c r="J2" s="34">
        <v>60</v>
      </c>
      <c r="K2" s="34">
        <v>60</v>
      </c>
    </row>
    <row r="3" spans="1:11" ht="21" customHeight="1" x14ac:dyDescent="0.15">
      <c r="A3" s="14" t="str">
        <f t="shared" ref="A3:A11" si="1">G3&amp;"-"&amp;I3</f>
        <v>47009_1-2</v>
      </c>
      <c r="B3" s="14" t="str">
        <f>IF(COUNTIF(enemy_habitats!$H:$H,A3),"OK","NG")</f>
        <v>OK</v>
      </c>
      <c r="C3" s="104">
        <v>47009</v>
      </c>
      <c r="D3" s="16" t="str">
        <f ca="1">VLOOKUP($C3,OFFSET([2]quests!$A$1,0,0,COUNTA([2]quests!$A:$A),MATCH(D$1,[2]quests!$1:$1,0)-MATCH($C$1,[2]quests!$1:$1,0)+1),MATCH(D$1,[2]quests!$1:$1,0)-MATCH($C$1,[2]quests!$1:$1,0)+1,FALSE)</f>
        <v>夏☆襲来！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（復刻）季節イベント</v>
      </c>
      <c r="F3" s="105">
        <v>1</v>
      </c>
      <c r="G3" s="19" t="str">
        <f t="shared" si="0"/>
        <v>47009_1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【超絶級】夏☆襲来</v>
      </c>
      <c r="I3" s="105">
        <v>2</v>
      </c>
      <c r="J3" s="34">
        <v>60</v>
      </c>
      <c r="K3" s="34">
        <v>60</v>
      </c>
    </row>
    <row r="4" spans="1:11" ht="21" customHeight="1" x14ac:dyDescent="0.15">
      <c r="A4" s="14" t="str">
        <f t="shared" si="1"/>
        <v>47009_1-3</v>
      </c>
      <c r="B4" s="14" t="str">
        <f>IF(COUNTIF(enemy_habitats!$H:$H,A4),"OK","NG")</f>
        <v>OK</v>
      </c>
      <c r="C4" s="104">
        <v>47009</v>
      </c>
      <c r="D4" s="16" t="str">
        <f ca="1">VLOOKUP($C4,OFFSET([2]quests!$A$1,0,0,COUNTA([2]quests!$A:$A),MATCH(D$1,[2]quests!$1:$1,0)-MATCH($C$1,[2]quests!$1:$1,0)+1),MATCH(D$1,[2]quests!$1:$1,0)-MATCH($C$1,[2]quests!$1:$1,0)+1,FALSE)</f>
        <v>夏☆襲来！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（復刻）季節イベント</v>
      </c>
      <c r="F4" s="105">
        <v>1</v>
      </c>
      <c r="G4" s="19" t="str">
        <f t="shared" si="0"/>
        <v>47009_1</v>
      </c>
      <c r="H4" s="13" t="str">
        <f ca="1">VLOOKUP($G4,OFFSET([2]stages!$A$1,0,0,COUNTA([2]stages!$A:$A),MATCH(H$1,[2]stages!$2:$2,0)-MATCH($G$1,[2]stages!$2:$2,0)+1),MATCH(H$1,[2]stages!$2:$2,0)-MATCH($G$1,[2]stages!$2:$2,0)+1,FALSE)</f>
        <v>【超絶級】夏☆襲来</v>
      </c>
      <c r="I4" s="105">
        <v>3</v>
      </c>
      <c r="J4" s="34">
        <v>60</v>
      </c>
      <c r="K4" s="34">
        <v>60</v>
      </c>
    </row>
    <row r="5" spans="1:11" ht="21" customHeight="1" x14ac:dyDescent="0.15">
      <c r="A5" s="14" t="str">
        <f t="shared" si="1"/>
        <v>47009_1-4</v>
      </c>
      <c r="B5" s="14" t="str">
        <f>IF(COUNTIF(enemy_habitats!$H:$H,A5),"OK","NG")</f>
        <v>OK</v>
      </c>
      <c r="C5" s="104">
        <v>47009</v>
      </c>
      <c r="D5" s="16" t="str">
        <f ca="1">VLOOKUP($C5,OFFSET([2]quests!$A$1,0,0,COUNTA([2]quests!$A:$A),MATCH(D$1,[2]quests!$1:$1,0)-MATCH($C$1,[2]quests!$1:$1,0)+1),MATCH(D$1,[2]quests!$1:$1,0)-MATCH($C$1,[2]quests!$1:$1,0)+1,FALSE)</f>
        <v>夏☆襲来！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（復刻）季節イベント</v>
      </c>
      <c r="F5" s="105">
        <v>1</v>
      </c>
      <c r="G5" s="19" t="str">
        <f t="shared" si="0"/>
        <v>47009_1</v>
      </c>
      <c r="H5" s="13" t="str">
        <f ca="1">VLOOKUP($G5,OFFSET([2]stages!$A$1,0,0,COUNTA([2]stages!$A:$A),MATCH(H$1,[2]stages!$2:$2,0)-MATCH($G$1,[2]stages!$2:$2,0)+1),MATCH(H$1,[2]stages!$2:$2,0)-MATCH($G$1,[2]stages!$2:$2,0)+1,FALSE)</f>
        <v>【超絶級】夏☆襲来</v>
      </c>
      <c r="I5" s="105">
        <v>4</v>
      </c>
      <c r="J5" s="34">
        <v>60</v>
      </c>
      <c r="K5" s="34">
        <v>60</v>
      </c>
    </row>
    <row r="6" spans="1:11" ht="21" customHeight="1" thickBot="1" x14ac:dyDescent="0.2">
      <c r="A6" s="14" t="str">
        <f t="shared" si="1"/>
        <v>47009_1-5</v>
      </c>
      <c r="B6" s="14" t="str">
        <f>IF(COUNTIF(enemy_habitats!$H:$H,A6),"OK","NG")</f>
        <v>OK</v>
      </c>
      <c r="C6" s="106">
        <v>47009</v>
      </c>
      <c r="D6" s="107" t="str">
        <f ca="1">VLOOKUP($C6,OFFSET([2]quests!$A$1,0,0,COUNTA([2]quests!$A:$A),MATCH(D$1,[2]quests!$1:$1,0)-MATCH($C$1,[2]quests!$1:$1,0)+1),MATCH(D$1,[2]quests!$1:$1,0)-MATCH($C$1,[2]quests!$1:$1,0)+1,FALSE)</f>
        <v>夏☆襲来！</v>
      </c>
      <c r="E6" s="107" t="str">
        <f ca="1">VLOOKUP($C6,OFFSET([2]quests!$A$1,0,0,COUNTA([2]quests!$A:$A),MATCH(E$1,[2]quests!$1:$1,0)-MATCH($C$1,[2]quests!$1:$1,0)+1),MATCH(E$1,[2]quests!$1:$1,0)-MATCH($C$1,[2]quests!$1:$1,0)+1,FALSE)</f>
        <v>（復刻）季節イベント</v>
      </c>
      <c r="F6" s="108">
        <v>1</v>
      </c>
      <c r="G6" s="109" t="str">
        <f t="shared" si="0"/>
        <v>47009_1</v>
      </c>
      <c r="H6" s="110" t="str">
        <f ca="1">VLOOKUP($G6,OFFSET([2]stages!$A$1,0,0,COUNTA([2]stages!$A:$A),MATCH(H$1,[2]stages!$2:$2,0)-MATCH($G$1,[2]stages!$2:$2,0)+1),MATCH(H$1,[2]stages!$2:$2,0)-MATCH($G$1,[2]stages!$2:$2,0)+1,FALSE)</f>
        <v>【超絶級】夏☆襲来</v>
      </c>
      <c r="I6" s="108">
        <v>5</v>
      </c>
      <c r="J6" s="111">
        <v>60</v>
      </c>
      <c r="K6" s="111">
        <v>60</v>
      </c>
    </row>
    <row r="7" spans="1:11" ht="21" customHeight="1" x14ac:dyDescent="0.15">
      <c r="A7" s="14" t="str">
        <f t="shared" si="1"/>
        <v>47009_2-1</v>
      </c>
      <c r="B7" s="14" t="str">
        <f>IF(COUNTIF(enemy_habitats!$H:$H,A7),"OK","NG")</f>
        <v>OK</v>
      </c>
      <c r="C7" s="112">
        <v>47009</v>
      </c>
      <c r="D7" s="113" t="str">
        <f ca="1">VLOOKUP($C7,OFFSET([2]quests!$A$1,0,0,COUNTA([2]quests!$A:$A),MATCH(D$1,[2]quests!$1:$1,0)-MATCH($C$1,[2]quests!$1:$1,0)+1),MATCH(D$1,[2]quests!$1:$1,0)-MATCH($C$1,[2]quests!$1:$1,0)+1,FALSE)</f>
        <v>夏☆襲来！</v>
      </c>
      <c r="E7" s="113" t="str">
        <f ca="1">VLOOKUP($C7,OFFSET([2]quests!$A$1,0,0,COUNTA([2]quests!$A:$A),MATCH(E$1,[2]quests!$1:$1,0)-MATCH($C$1,[2]quests!$1:$1,0)+1),MATCH(E$1,[2]quests!$1:$1,0)-MATCH($C$1,[2]quests!$1:$1,0)+1,FALSE)</f>
        <v>（復刻）季節イベント</v>
      </c>
      <c r="F7" s="114">
        <v>2</v>
      </c>
      <c r="G7" s="115" t="str">
        <f t="shared" si="0"/>
        <v>47009_2</v>
      </c>
      <c r="H7" s="116" t="str">
        <f ca="1">VLOOKUP($G7,OFFSET([2]stages!$A$1,0,0,COUNTA([2]stages!$A:$A),MATCH(H$1,[2]stages!$2:$2,0)-MATCH($G$1,[2]stages!$2:$2,0)+1),MATCH(H$1,[2]stages!$2:$2,0)-MATCH($G$1,[2]stages!$2:$2,0)+1,FALSE)</f>
        <v>【ウィザード級】夏☆襲来</v>
      </c>
      <c r="I7" s="114">
        <v>1</v>
      </c>
      <c r="J7" s="117">
        <v>60</v>
      </c>
      <c r="K7" s="117">
        <v>60</v>
      </c>
    </row>
    <row r="8" spans="1:11" ht="21" customHeight="1" x14ac:dyDescent="0.15">
      <c r="A8" s="14" t="str">
        <f t="shared" si="1"/>
        <v>47009_2-2</v>
      </c>
      <c r="B8" s="14" t="str">
        <f>IF(COUNTIF(enemy_habitats!$H:$H,A8),"OK","NG")</f>
        <v>OK</v>
      </c>
      <c r="C8" s="104">
        <v>47009</v>
      </c>
      <c r="D8" s="16" t="str">
        <f ca="1">VLOOKUP($C8,OFFSET([2]quests!$A$1,0,0,COUNTA([2]quests!$A:$A),MATCH(D$1,[2]quests!$1:$1,0)-MATCH($C$1,[2]quests!$1:$1,0)+1),MATCH(D$1,[2]quests!$1:$1,0)-MATCH($C$1,[2]quests!$1:$1,0)+1,FALSE)</f>
        <v>夏☆襲来！</v>
      </c>
      <c r="E8" s="16" t="str">
        <f ca="1">VLOOKUP($C8,OFFSET([2]quests!$A$1,0,0,COUNTA([2]quests!$A:$A),MATCH(E$1,[2]quests!$1:$1,0)-MATCH($C$1,[2]quests!$1:$1,0)+1),MATCH(E$1,[2]quests!$1:$1,0)-MATCH($C$1,[2]quests!$1:$1,0)+1,FALSE)</f>
        <v>（復刻）季節イベント</v>
      </c>
      <c r="F8" s="105">
        <v>2</v>
      </c>
      <c r="G8" s="19" t="str">
        <f t="shared" si="0"/>
        <v>47009_2</v>
      </c>
      <c r="H8" s="13" t="str">
        <f ca="1">VLOOKUP($G8,OFFSET([2]stages!$A$1,0,0,COUNTA([2]stages!$A:$A),MATCH(H$1,[2]stages!$2:$2,0)-MATCH($G$1,[2]stages!$2:$2,0)+1),MATCH(H$1,[2]stages!$2:$2,0)-MATCH($G$1,[2]stages!$2:$2,0)+1,FALSE)</f>
        <v>【ウィザード級】夏☆襲来</v>
      </c>
      <c r="I8" s="105">
        <v>2</v>
      </c>
      <c r="J8" s="34">
        <v>60</v>
      </c>
      <c r="K8" s="34">
        <v>60</v>
      </c>
    </row>
    <row r="9" spans="1:11" ht="21" customHeight="1" x14ac:dyDescent="0.15">
      <c r="A9" s="14" t="str">
        <f t="shared" si="1"/>
        <v>47009_2-3</v>
      </c>
      <c r="B9" s="14" t="str">
        <f>IF(COUNTIF(enemy_habitats!$H:$H,A9),"OK","NG")</f>
        <v>OK</v>
      </c>
      <c r="C9" s="104">
        <v>47009</v>
      </c>
      <c r="D9" s="16" t="str">
        <f ca="1">VLOOKUP($C9,OFFSET([2]quests!$A$1,0,0,COUNTA([2]quests!$A:$A),MATCH(D$1,[2]quests!$1:$1,0)-MATCH($C$1,[2]quests!$1:$1,0)+1),MATCH(D$1,[2]quests!$1:$1,0)-MATCH($C$1,[2]quests!$1:$1,0)+1,FALSE)</f>
        <v>夏☆襲来！</v>
      </c>
      <c r="E9" s="16" t="str">
        <f ca="1">VLOOKUP($C9,OFFSET([2]quests!$A$1,0,0,COUNTA([2]quests!$A:$A),MATCH(E$1,[2]quests!$1:$1,0)-MATCH($C$1,[2]quests!$1:$1,0)+1),MATCH(E$1,[2]quests!$1:$1,0)-MATCH($C$1,[2]quests!$1:$1,0)+1,FALSE)</f>
        <v>（復刻）季節イベント</v>
      </c>
      <c r="F9" s="105">
        <v>2</v>
      </c>
      <c r="G9" s="19" t="str">
        <f t="shared" si="0"/>
        <v>47009_2</v>
      </c>
      <c r="H9" s="13" t="str">
        <f ca="1">VLOOKUP($G9,OFFSET([2]stages!$A$1,0,0,COUNTA([2]stages!$A:$A),MATCH(H$1,[2]stages!$2:$2,0)-MATCH($G$1,[2]stages!$2:$2,0)+1),MATCH(H$1,[2]stages!$2:$2,0)-MATCH($G$1,[2]stages!$2:$2,0)+1,FALSE)</f>
        <v>【ウィザード級】夏☆襲来</v>
      </c>
      <c r="I9" s="105">
        <v>3</v>
      </c>
      <c r="J9" s="34">
        <v>60</v>
      </c>
      <c r="K9" s="34">
        <v>60</v>
      </c>
    </row>
    <row r="10" spans="1:11" ht="21" customHeight="1" x14ac:dyDescent="0.15">
      <c r="A10" s="14" t="str">
        <f t="shared" si="1"/>
        <v>47009_2-4</v>
      </c>
      <c r="B10" s="14" t="str">
        <f>IF(COUNTIF(enemy_habitats!$H:$H,A10),"OK","NG")</f>
        <v>OK</v>
      </c>
      <c r="C10" s="104">
        <v>47009</v>
      </c>
      <c r="D10" s="16" t="str">
        <f ca="1">VLOOKUP($C10,OFFSET([2]quests!$A$1,0,0,COUNTA([2]quests!$A:$A),MATCH(D$1,[2]quests!$1:$1,0)-MATCH($C$1,[2]quests!$1:$1,0)+1),MATCH(D$1,[2]quests!$1:$1,0)-MATCH($C$1,[2]quests!$1:$1,0)+1,FALSE)</f>
        <v>夏☆襲来！</v>
      </c>
      <c r="E10" s="16" t="str">
        <f ca="1">VLOOKUP($C10,OFFSET([2]quests!$A$1,0,0,COUNTA([2]quests!$A:$A),MATCH(E$1,[2]quests!$1:$1,0)-MATCH($C$1,[2]quests!$1:$1,0)+1),MATCH(E$1,[2]quests!$1:$1,0)-MATCH($C$1,[2]quests!$1:$1,0)+1,FALSE)</f>
        <v>（復刻）季節イベント</v>
      </c>
      <c r="F10" s="105">
        <v>2</v>
      </c>
      <c r="G10" s="19" t="str">
        <f t="shared" si="0"/>
        <v>47009_2</v>
      </c>
      <c r="H10" s="13" t="str">
        <f ca="1">VLOOKUP($G10,OFFSET([2]stages!$A$1,0,0,COUNTA([2]stages!$A:$A),MATCH(H$1,[2]stages!$2:$2,0)-MATCH($G$1,[2]stages!$2:$2,0)+1),MATCH(H$1,[2]stages!$2:$2,0)-MATCH($G$1,[2]stages!$2:$2,0)+1,FALSE)</f>
        <v>【ウィザード級】夏☆襲来</v>
      </c>
      <c r="I10" s="105">
        <v>4</v>
      </c>
      <c r="J10" s="34">
        <v>60</v>
      </c>
      <c r="K10" s="34">
        <v>60</v>
      </c>
    </row>
    <row r="11" spans="1:11" ht="21" customHeight="1" x14ac:dyDescent="0.15">
      <c r="A11" s="14" t="str">
        <f t="shared" si="1"/>
        <v>47009_2-5</v>
      </c>
      <c r="B11" s="14" t="str">
        <f>IF(COUNTIF(enemy_habitats!$H:$H,A11),"OK","NG")</f>
        <v>OK</v>
      </c>
      <c r="C11" s="104">
        <v>47009</v>
      </c>
      <c r="D11" s="16" t="str">
        <f ca="1">VLOOKUP($C11,OFFSET([2]quests!$A$1,0,0,COUNTA([2]quests!$A:$A),MATCH(D$1,[2]quests!$1:$1,0)-MATCH($C$1,[2]quests!$1:$1,0)+1),MATCH(D$1,[2]quests!$1:$1,0)-MATCH($C$1,[2]quests!$1:$1,0)+1,FALSE)</f>
        <v>夏☆襲来！</v>
      </c>
      <c r="E11" s="16" t="str">
        <f ca="1">VLOOKUP($C11,OFFSET([2]quests!$A$1,0,0,COUNTA([2]quests!$A:$A),MATCH(E$1,[2]quests!$1:$1,0)-MATCH($C$1,[2]quests!$1:$1,0)+1),MATCH(E$1,[2]quests!$1:$1,0)-MATCH($C$1,[2]quests!$1:$1,0)+1,FALSE)</f>
        <v>（復刻）季節イベント</v>
      </c>
      <c r="F11" s="105">
        <v>2</v>
      </c>
      <c r="G11" s="19" t="str">
        <f t="shared" si="0"/>
        <v>47009_2</v>
      </c>
      <c r="H11" s="13" t="str">
        <f ca="1">VLOOKUP($G11,OFFSET([2]stages!$A$1,0,0,COUNTA([2]stages!$A:$A),MATCH(H$1,[2]stages!$2:$2,0)-MATCH($G$1,[2]stages!$2:$2,0)+1),MATCH(H$1,[2]stages!$2:$2,0)-MATCH($G$1,[2]stages!$2:$2,0)+1,FALSE)</f>
        <v>【ウィザード級】夏☆襲来</v>
      </c>
      <c r="I11" s="105">
        <v>5</v>
      </c>
      <c r="J11" s="34">
        <v>60</v>
      </c>
      <c r="K11" s="34">
        <v>60</v>
      </c>
    </row>
    <row r="12" spans="1:11" ht="21" customHeight="1" x14ac:dyDescent="0.15">
      <c r="B12" s="3"/>
      <c r="F12" s="17"/>
      <c r="G12" s="3"/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tabSelected="1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Z21" sqref="Z21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53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101" t="s">
        <v>241</v>
      </c>
      <c r="U1" s="22" t="s">
        <v>50</v>
      </c>
      <c r="V1" s="101" t="s">
        <v>242</v>
      </c>
      <c r="W1" s="22" t="s">
        <v>52</v>
      </c>
      <c r="X1" s="25" t="s">
        <v>31</v>
      </c>
      <c r="Y1" s="24" t="s">
        <v>4</v>
      </c>
      <c r="Z1" s="24" t="s">
        <v>5</v>
      </c>
      <c r="AA1" s="24" t="s">
        <v>6</v>
      </c>
      <c r="AB1" s="24" t="s">
        <v>7</v>
      </c>
      <c r="AC1" s="24" t="s">
        <v>8</v>
      </c>
      <c r="AD1" s="29" t="s">
        <v>9</v>
      </c>
      <c r="AE1" s="30" t="s">
        <v>16</v>
      </c>
      <c r="AF1" s="30" t="s">
        <v>17</v>
      </c>
      <c r="AG1" s="30" t="s">
        <v>27</v>
      </c>
      <c r="AH1" s="29" t="s">
        <v>10</v>
      </c>
      <c r="AI1" s="24" t="s">
        <v>11</v>
      </c>
      <c r="AJ1" s="24" t="s">
        <v>12</v>
      </c>
      <c r="AK1" s="24" t="s">
        <v>38</v>
      </c>
      <c r="AL1" s="24" t="s">
        <v>40</v>
      </c>
      <c r="AM1" s="24" t="s">
        <v>42</v>
      </c>
      <c r="AN1" s="24" t="s">
        <v>44</v>
      </c>
      <c r="AO1" s="24" t="s">
        <v>46</v>
      </c>
      <c r="AP1" s="32" t="s">
        <v>175</v>
      </c>
    </row>
    <row r="2" spans="1:42" ht="21" customHeight="1" x14ac:dyDescent="0.15">
      <c r="A2" s="14" t="str">
        <f>B2&amp;"_"&amp;C2&amp;"-"&amp;G2&amp;"/"&amp;L2&amp;"&lt;lv"&amp;R2&amp;"&gt;s"&amp;AC2</f>
        <v>47009_1-1/1048&lt;lv60&gt;s2</v>
      </c>
      <c r="B2" s="18">
        <v>47009</v>
      </c>
      <c r="C2" s="105">
        <v>1</v>
      </c>
      <c r="D2" s="13" t="str">
        <f t="shared" ref="D2:D19" si="0">B2&amp;"_"&amp;C2</f>
        <v>47009_1</v>
      </c>
      <c r="E2" s="4" t="str">
        <f ca="1">VLOOKUP($B2,OFFSET([2]quests!$A$1,0,0,COUNTA([2]quests!$A:$A),MATCH(E$1,[2]quests!$1:$1,0)-MATCH($B$1,[2]quests!$1:$1,0)+1),MATCH(E$1,[2]quests!$1:$1,0)-MATCH($B$1,[2]quests!$1:$1,0)+1,FALSE)</f>
        <v>夏☆襲来！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【超絶級】夏☆襲来</v>
      </c>
      <c r="G2" s="105">
        <v>1</v>
      </c>
      <c r="H2" s="13" t="str">
        <f t="shared" ref="H2:H19" si="1">B2&amp;"_"&amp;C2&amp;"-"&amp;G2</f>
        <v>47009_1-1</v>
      </c>
      <c r="I2" s="4" t="e">
        <v>#N/A</v>
      </c>
      <c r="J2" s="4" t="e">
        <v>#N/A</v>
      </c>
      <c r="K2" s="34" t="s">
        <v>244</v>
      </c>
      <c r="L2" s="118">
        <v>1048</v>
      </c>
      <c r="M2" s="15" t="str">
        <f ca="1">VLOOKUP($L2,OFFSET([3]enemies!$A$1,0,0,COUNTA([3]enemies!$A:$A),MATCH(M$1,[3]enemies!$1:$1,0)-MATCH($L$1,[3]enemies!$1:$1,0)+1),MATCH(M$1,[3]enemies!$1:$1,0)-MATCH($L$1,[3]enemies!$1:$1,0)+1,FALSE)</f>
        <v>砂上の城主竜 ケツァクアトル</v>
      </c>
      <c r="N2" s="1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5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5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60</v>
      </c>
      <c r="S2" s="21">
        <v>0.8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142259.20000000001</v>
      </c>
      <c r="U2" s="21">
        <v>0.8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4923.2000000000007</v>
      </c>
      <c r="W2" s="5">
        <v>0</v>
      </c>
      <c r="X2" s="4" t="e">
        <v>#N/A</v>
      </c>
      <c r="Y2" s="58">
        <v>47009001</v>
      </c>
      <c r="Z2" s="6">
        <v>0</v>
      </c>
      <c r="AA2" s="6">
        <v>100</v>
      </c>
      <c r="AB2" s="6">
        <v>0</v>
      </c>
      <c r="AC2" s="129">
        <v>2</v>
      </c>
      <c r="AD2" s="20">
        <f>L2</f>
        <v>1048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砂上の城主竜 ケツァクアトル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0">
        <f ca="1">AF2</f>
        <v>5</v>
      </c>
      <c r="AJ2" s="8">
        <v>0</v>
      </c>
      <c r="AK2" s="104">
        <v>0</v>
      </c>
      <c r="AL2" s="104">
        <v>0</v>
      </c>
      <c r="AM2" s="104">
        <v>0</v>
      </c>
      <c r="AN2" s="104">
        <v>0</v>
      </c>
      <c r="AO2" s="104">
        <v>1</v>
      </c>
      <c r="AP2" s="66">
        <v>1</v>
      </c>
    </row>
    <row r="3" spans="1:42" ht="21" customHeight="1" x14ac:dyDescent="0.15">
      <c r="A3" s="14" t="str">
        <f t="shared" ref="A3:A19" si="2">B3&amp;"_"&amp;C3&amp;"-"&amp;G3&amp;"/"&amp;L3&amp;"&lt;lv"&amp;R3&amp;"&gt;s"&amp;AC3</f>
        <v>47009_1-1/1047&lt;lv60&gt;s1</v>
      </c>
      <c r="B3" s="18">
        <v>47009</v>
      </c>
      <c r="C3" s="105">
        <v>1</v>
      </c>
      <c r="D3" s="13" t="str">
        <f t="shared" si="0"/>
        <v>47009_1</v>
      </c>
      <c r="E3" s="4" t="str">
        <f ca="1">VLOOKUP($B3,OFFSET([2]quests!$A$1,0,0,COUNTA([2]quests!$A:$A),MATCH(E$1,[2]quests!$1:$1,0)-MATCH($B$1,[2]quests!$1:$1,0)+1),MATCH(E$1,[2]quests!$1:$1,0)-MATCH($B$1,[2]quests!$1:$1,0)+1,FALSE)</f>
        <v>夏☆襲来！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【超絶級】夏☆襲来</v>
      </c>
      <c r="G3" s="105">
        <v>1</v>
      </c>
      <c r="H3" s="13" t="str">
        <f t="shared" si="1"/>
        <v>47009_1-1</v>
      </c>
      <c r="I3" s="4" t="e">
        <v>#N/A</v>
      </c>
      <c r="J3" s="4" t="e">
        <v>#N/A</v>
      </c>
      <c r="K3" s="34" t="s">
        <v>245</v>
      </c>
      <c r="L3" s="118">
        <v>1047</v>
      </c>
      <c r="M3" s="15" t="str">
        <f ca="1">VLOOKUP($L3,OFFSET([3]enemies!$A$1,0,0,COUNTA([3]enemies!$A:$A),MATCH(M$1,[3]enemies!$1:$1,0)-MATCH($L$1,[3]enemies!$1:$1,0)+1),MATCH(M$1,[3]enemies!$1:$1,0)-MATCH($L$1,[3]enemies!$1:$1,0)+1,FALSE)</f>
        <v>波浪の夏閃 オイラー</v>
      </c>
      <c r="N3" s="15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PremiumSSS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academia</v>
      </c>
      <c r="Q3" s="15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60</v>
      </c>
      <c r="S3" s="21">
        <v>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533205</v>
      </c>
      <c r="U3" s="21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6581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3" s="58">
        <v>47009002</v>
      </c>
      <c r="Z3" s="6">
        <v>0</v>
      </c>
      <c r="AA3" s="6">
        <v>7</v>
      </c>
      <c r="AB3" s="6">
        <v>1</v>
      </c>
      <c r="AC3" s="129">
        <v>1</v>
      </c>
      <c r="AD3" s="20">
        <f>L3</f>
        <v>1047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波浪の夏閃 オイラー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3" s="7">
        <v>1</v>
      </c>
      <c r="AI3" s="20">
        <f ca="1">AF3</f>
        <v>6</v>
      </c>
      <c r="AJ3" s="8">
        <v>0</v>
      </c>
      <c r="AK3" s="104">
        <v>0</v>
      </c>
      <c r="AL3" s="104">
        <v>0</v>
      </c>
      <c r="AM3" s="104">
        <v>0</v>
      </c>
      <c r="AN3" s="104">
        <v>0</v>
      </c>
      <c r="AO3" s="104">
        <v>1</v>
      </c>
      <c r="AP3" s="66">
        <v>1</v>
      </c>
    </row>
    <row r="4" spans="1:42" ht="21" customHeight="1" x14ac:dyDescent="0.15">
      <c r="A4" s="14" t="str">
        <f t="shared" si="2"/>
        <v>47009_1-2/1050&lt;lv60&gt;s1</v>
      </c>
      <c r="B4" s="18">
        <v>47009</v>
      </c>
      <c r="C4" s="105">
        <v>1</v>
      </c>
      <c r="D4" s="13" t="str">
        <f t="shared" si="0"/>
        <v>47009_1</v>
      </c>
      <c r="E4" s="4" t="str">
        <f ca="1">VLOOKUP($B4,OFFSET([2]quests!$A$1,0,0,COUNTA([2]quests!$A:$A),MATCH(E$1,[2]quests!$1:$1,0)-MATCH($B$1,[2]quests!$1:$1,0)+1),MATCH(E$1,[2]quests!$1:$1,0)-MATCH($B$1,[2]quests!$1:$1,0)+1,FALSE)</f>
        <v>夏☆襲来！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【超絶級】夏☆襲来</v>
      </c>
      <c r="G4" s="105">
        <v>2</v>
      </c>
      <c r="H4" s="13" t="str">
        <f t="shared" si="1"/>
        <v>47009_1-2</v>
      </c>
      <c r="I4" s="4" t="e">
        <v>#N/A</v>
      </c>
      <c r="J4" s="4" t="e">
        <v>#N/A</v>
      </c>
      <c r="K4" s="34" t="s">
        <v>246</v>
      </c>
      <c r="L4" s="118">
        <v>1050</v>
      </c>
      <c r="M4" s="15" t="str">
        <f ca="1">VLOOKUP($L4,OFFSET([3]enemies!$A$1,0,0,COUNTA([3]enemies!$A:$A),MATCH(M$1,[3]enemies!$1:$1,0)-MATCH($L$1,[3]enemies!$1:$1,0)+1),MATCH(M$1,[3]enemies!$1:$1,0)-MATCH($L$1,[3]enemies!$1:$1,0)+1,FALSE)</f>
        <v>廻遊の水獣宰相 ルキフグス</v>
      </c>
      <c r="N4" s="15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5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5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1">
        <v>1.4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140515.19999999998</v>
      </c>
      <c r="U4" s="21">
        <v>0.7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4699.0999999999995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4" s="58">
        <v>47009003</v>
      </c>
      <c r="Z4" s="6">
        <v>0</v>
      </c>
      <c r="AA4" s="6">
        <v>100</v>
      </c>
      <c r="AB4" s="6">
        <v>0</v>
      </c>
      <c r="AC4" s="129">
        <v>1</v>
      </c>
      <c r="AD4" s="20">
        <f t="shared" ref="AD4:AD19" si="3">L4</f>
        <v>1050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廻遊の水獣宰相 ルキフグス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0">
        <f t="shared" ref="AI4:AI19" ca="1" si="4">AF4</f>
        <v>5</v>
      </c>
      <c r="AJ4" s="8">
        <v>0</v>
      </c>
      <c r="AK4" s="104">
        <v>0</v>
      </c>
      <c r="AL4" s="104">
        <v>0</v>
      </c>
      <c r="AM4" s="104">
        <v>0</v>
      </c>
      <c r="AN4" s="104">
        <v>0</v>
      </c>
      <c r="AO4" s="104">
        <v>1</v>
      </c>
      <c r="AP4" s="66">
        <v>1</v>
      </c>
    </row>
    <row r="5" spans="1:42" ht="21" customHeight="1" x14ac:dyDescent="0.15">
      <c r="A5" s="14" t="str">
        <f t="shared" si="2"/>
        <v>47009_1-2/1049&lt;lv60&gt;s1</v>
      </c>
      <c r="B5" s="18">
        <v>47009</v>
      </c>
      <c r="C5" s="105">
        <v>1</v>
      </c>
      <c r="D5" s="13" t="str">
        <f t="shared" si="0"/>
        <v>47009_1</v>
      </c>
      <c r="E5" s="4" t="str">
        <f ca="1">VLOOKUP($B5,OFFSET([2]quests!$A$1,0,0,COUNTA([2]quests!$A:$A),MATCH(E$1,[2]quests!$1:$1,0)-MATCH($B$1,[2]quests!$1:$1,0)+1),MATCH(E$1,[2]quests!$1:$1,0)-MATCH($B$1,[2]quests!$1:$1,0)+1,FALSE)</f>
        <v>夏☆襲来！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【超絶級】夏☆襲来</v>
      </c>
      <c r="G5" s="105">
        <v>2</v>
      </c>
      <c r="H5" s="13" t="str">
        <f t="shared" si="1"/>
        <v>47009_1-2</v>
      </c>
      <c r="I5" s="4" t="e">
        <v>#N/A</v>
      </c>
      <c r="J5" s="4" t="e">
        <v>#N/A</v>
      </c>
      <c r="K5" s="34" t="s">
        <v>247</v>
      </c>
      <c r="L5" s="118">
        <v>1049</v>
      </c>
      <c r="M5" s="15" t="str">
        <f ca="1">VLOOKUP($L5,OFFSET([3]enemies!$A$1,0,0,COUNTA([3]enemies!$A:$A),MATCH(M$1,[3]enemies!$1:$1,0)-MATCH($L$1,[3]enemies!$1:$1,0)+1),MATCH(M$1,[3]enemies!$1:$1,0)-MATCH($L$1,[3]enemies!$1:$1,0)+1,FALSE)</f>
        <v>深秘の水宙 メビウス</v>
      </c>
      <c r="N5" s="15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academia</v>
      </c>
      <c r="Q5" s="15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60</v>
      </c>
      <c r="S5" s="21">
        <v>5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522750</v>
      </c>
      <c r="U5" s="21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6581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5" s="58">
        <v>47009004</v>
      </c>
      <c r="Z5" s="6">
        <v>0</v>
      </c>
      <c r="AA5" s="6">
        <v>7</v>
      </c>
      <c r="AB5" s="6">
        <v>1</v>
      </c>
      <c r="AC5" s="129">
        <v>1</v>
      </c>
      <c r="AD5" s="20">
        <f t="shared" si="3"/>
        <v>1049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深秘の水宙 メビウス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5" s="7">
        <v>1</v>
      </c>
      <c r="AI5" s="20">
        <f t="shared" ca="1" si="4"/>
        <v>6</v>
      </c>
      <c r="AJ5" s="8">
        <v>0</v>
      </c>
      <c r="AK5" s="104">
        <v>0</v>
      </c>
      <c r="AL5" s="104">
        <v>0</v>
      </c>
      <c r="AM5" s="104">
        <v>0</v>
      </c>
      <c r="AN5" s="104">
        <v>0</v>
      </c>
      <c r="AO5" s="104">
        <v>1</v>
      </c>
      <c r="AP5" s="66">
        <v>1</v>
      </c>
    </row>
    <row r="6" spans="1:42" ht="21" customHeight="1" x14ac:dyDescent="0.15">
      <c r="A6" s="14" t="str">
        <f t="shared" si="2"/>
        <v>47009_1-3/1046&lt;lv60&gt;s1</v>
      </c>
      <c r="B6" s="18">
        <v>47009</v>
      </c>
      <c r="C6" s="105">
        <v>1</v>
      </c>
      <c r="D6" s="13" t="str">
        <f t="shared" si="0"/>
        <v>47009_1</v>
      </c>
      <c r="E6" s="4" t="str">
        <f ca="1">VLOOKUP($B6,OFFSET([2]quests!$A$1,0,0,COUNTA([2]quests!$A:$A),MATCH(E$1,[2]quests!$1:$1,0)-MATCH($B$1,[2]quests!$1:$1,0)+1),MATCH(E$1,[2]quests!$1:$1,0)-MATCH($B$1,[2]quests!$1:$1,0)+1,FALSE)</f>
        <v>夏☆襲来！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【超絶級】夏☆襲来</v>
      </c>
      <c r="G6" s="105">
        <v>3</v>
      </c>
      <c r="H6" s="13" t="str">
        <f t="shared" si="1"/>
        <v>47009_1-3</v>
      </c>
      <c r="I6" s="4" t="e">
        <v>#N/A</v>
      </c>
      <c r="J6" s="4" t="e">
        <v>#N/A</v>
      </c>
      <c r="K6" s="34" t="s">
        <v>248</v>
      </c>
      <c r="L6" s="118">
        <v>1046</v>
      </c>
      <c r="M6" s="15" t="str">
        <f ca="1">VLOOKUP($L6,OFFSET([3]enemies!$A$1,0,0,COUNTA([3]enemies!$A:$A),MATCH(M$1,[3]enemies!$1:$1,0)-MATCH($L$1,[3]enemies!$1:$1,0)+1),MATCH(M$1,[3]enemies!$1:$1,0)-MATCH($L$1,[3]enemies!$1:$1,0)+1,FALSE)</f>
        <v>涼求の炎狼 フェンリル</v>
      </c>
      <c r="N6" s="15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60</v>
      </c>
      <c r="S6" s="21">
        <v>2.1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219555</v>
      </c>
      <c r="U6" s="21">
        <v>0.9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9019.8000000000011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6" s="130">
        <v>47009013</v>
      </c>
      <c r="Z6" s="6">
        <v>0</v>
      </c>
      <c r="AA6" s="6">
        <v>100</v>
      </c>
      <c r="AB6" s="6">
        <v>0</v>
      </c>
      <c r="AC6" s="129">
        <v>1</v>
      </c>
      <c r="AD6" s="20">
        <f t="shared" si="3"/>
        <v>1046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涼求の炎狼 フェンリル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0">
        <f t="shared" ca="1" si="4"/>
        <v>5</v>
      </c>
      <c r="AJ6" s="8">
        <v>0</v>
      </c>
      <c r="AK6" s="104">
        <v>0</v>
      </c>
      <c r="AL6" s="104">
        <v>0</v>
      </c>
      <c r="AM6" s="104">
        <v>0</v>
      </c>
      <c r="AN6" s="104">
        <v>0</v>
      </c>
      <c r="AO6" s="104">
        <v>1</v>
      </c>
      <c r="AP6" s="66">
        <v>1</v>
      </c>
    </row>
    <row r="7" spans="1:42" ht="21" customHeight="1" x14ac:dyDescent="0.15">
      <c r="A7" s="14" t="str">
        <f t="shared" si="2"/>
        <v>47009_1-3/1045&lt;lv60&gt;s1</v>
      </c>
      <c r="B7" s="18">
        <v>47009</v>
      </c>
      <c r="C7" s="105">
        <v>1</v>
      </c>
      <c r="D7" s="13" t="str">
        <f t="shared" si="0"/>
        <v>47009_1</v>
      </c>
      <c r="E7" s="4" t="str">
        <f ca="1">VLOOKUP($B7,OFFSET([2]quests!$A$1,0,0,COUNTA([2]quests!$A:$A),MATCH(E$1,[2]quests!$1:$1,0)-MATCH($B$1,[2]quests!$1:$1,0)+1),MATCH(E$1,[2]quests!$1:$1,0)-MATCH($B$1,[2]quests!$1:$1,0)+1,FALSE)</f>
        <v>夏☆襲来！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【超絶級】夏☆襲来</v>
      </c>
      <c r="G7" s="105">
        <v>3</v>
      </c>
      <c r="H7" s="13" t="str">
        <f t="shared" si="1"/>
        <v>47009_1-3</v>
      </c>
      <c r="I7" s="4" t="e">
        <v>#N/A</v>
      </c>
      <c r="J7" s="4" t="e">
        <v>#N/A</v>
      </c>
      <c r="K7" s="34" t="s">
        <v>249</v>
      </c>
      <c r="L7" s="118">
        <v>1045</v>
      </c>
      <c r="M7" s="15" t="str">
        <f ca="1">VLOOKUP($L7,OFFSET([3]enemies!$A$1,0,0,COUNTA([3]enemies!$A:$A),MATCH(M$1,[3]enemies!$1:$1,0)-MATCH($L$1,[3]enemies!$1:$1,0)+1),MATCH(M$1,[3]enemies!$1:$1,0)-MATCH($L$1,[3]enemies!$1:$1,0)+1,FALSE)</f>
        <v>漂解の海原 シュレディンガー</v>
      </c>
      <c r="N7" s="15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PremiumSSS</v>
      </c>
      <c r="P7" s="15" t="str">
        <f ca="1">VLOOKUP($L7,OFFSET([3]enemies!$A$1,0,0,COUNTA([3]enemies!$A:$A),MATCH(P$1,[3]enemies!$1:$1,0)-MATCH($L$1,[3]enemies!$1:$1,0)+1),MATCH(P$1,[3]enemies!$1:$1,0)-MATCH($L$1,[3]enemies!$1:$1,0)+1,FALSE)</f>
        <v>academia</v>
      </c>
      <c r="Q7" s="15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1">
        <v>5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522750</v>
      </c>
      <c r="U7" s="21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6850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7" s="58">
        <v>47009006</v>
      </c>
      <c r="Z7" s="6">
        <v>0</v>
      </c>
      <c r="AA7" s="6">
        <v>7</v>
      </c>
      <c r="AB7" s="6">
        <v>1</v>
      </c>
      <c r="AC7" s="129">
        <v>1</v>
      </c>
      <c r="AD7" s="20">
        <f t="shared" si="3"/>
        <v>1045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漂解の海原 シュレディンガー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7" s="7">
        <v>1</v>
      </c>
      <c r="AI7" s="20">
        <f t="shared" ca="1" si="4"/>
        <v>6</v>
      </c>
      <c r="AJ7" s="8">
        <v>0</v>
      </c>
      <c r="AK7" s="104">
        <v>0</v>
      </c>
      <c r="AL7" s="104">
        <v>0</v>
      </c>
      <c r="AM7" s="104">
        <v>0</v>
      </c>
      <c r="AN7" s="104">
        <v>0</v>
      </c>
      <c r="AO7" s="104">
        <v>1</v>
      </c>
      <c r="AP7" s="66">
        <v>1</v>
      </c>
    </row>
    <row r="8" spans="1:42" ht="21" customHeight="1" x14ac:dyDescent="0.15">
      <c r="A8" s="14" t="str">
        <f t="shared" si="2"/>
        <v>47009_1-4/1052&lt;lv60&gt;s2</v>
      </c>
      <c r="B8" s="18">
        <v>47009</v>
      </c>
      <c r="C8" s="105">
        <v>1</v>
      </c>
      <c r="D8" s="13" t="str">
        <f t="shared" si="0"/>
        <v>47009_1</v>
      </c>
      <c r="E8" s="4" t="str">
        <f ca="1">VLOOKUP($B8,OFFSET([2]quests!$A$1,0,0,COUNTA([2]quests!$A:$A),MATCH(E$1,[2]quests!$1:$1,0)-MATCH($B$1,[2]quests!$1:$1,0)+1),MATCH(E$1,[2]quests!$1:$1,0)-MATCH($B$1,[2]quests!$1:$1,0)+1,FALSE)</f>
        <v>夏☆襲来！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【超絶級】夏☆襲来</v>
      </c>
      <c r="G8" s="105">
        <v>4</v>
      </c>
      <c r="H8" s="13" t="str">
        <f t="shared" si="1"/>
        <v>47009_1-4</v>
      </c>
      <c r="I8" s="4" t="e">
        <v>#N/A</v>
      </c>
      <c r="J8" s="4" t="e">
        <v>#N/A</v>
      </c>
      <c r="K8" s="34" t="s">
        <v>250</v>
      </c>
      <c r="L8" s="118">
        <v>1052</v>
      </c>
      <c r="M8" s="15" t="str">
        <f ca="1">VLOOKUP($L8,OFFSET([3]enemies!$A$1,0,0,COUNTA([3]enemies!$A:$A),MATCH(M$1,[3]enemies!$1:$1,0)-MATCH($L$1,[3]enemies!$1:$1,0)+1),MATCH(M$1,[3]enemies!$1:$1,0)-MATCH($L$1,[3]enemies!$1:$1,0)+1,FALSE)</f>
        <v>戯魚群の潜光 バルドル</v>
      </c>
      <c r="N8" s="15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5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5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21">
        <v>2.4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188853.6</v>
      </c>
      <c r="U8" s="21">
        <v>1.1000000000000001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5936.7000000000007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8" s="130">
        <v>47009014</v>
      </c>
      <c r="Z8" s="6">
        <v>0</v>
      </c>
      <c r="AA8" s="6">
        <v>100</v>
      </c>
      <c r="AB8" s="6">
        <v>0</v>
      </c>
      <c r="AC8" s="129">
        <v>2</v>
      </c>
      <c r="AD8" s="20">
        <f t="shared" si="3"/>
        <v>1052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戯魚群の潜光 バルドル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0">
        <f t="shared" ca="1" si="4"/>
        <v>5</v>
      </c>
      <c r="AJ8" s="8">
        <v>0</v>
      </c>
      <c r="AK8" s="104">
        <v>0</v>
      </c>
      <c r="AL8" s="104">
        <v>0</v>
      </c>
      <c r="AM8" s="104">
        <v>0</v>
      </c>
      <c r="AN8" s="104">
        <v>0</v>
      </c>
      <c r="AO8" s="104">
        <v>1</v>
      </c>
      <c r="AP8" s="66">
        <v>1</v>
      </c>
    </row>
    <row r="9" spans="1:42" ht="21" customHeight="1" x14ac:dyDescent="0.15">
      <c r="A9" s="14" t="str">
        <f t="shared" si="2"/>
        <v>47009_1-4/1051&lt;lv60&gt;s1</v>
      </c>
      <c r="B9" s="18">
        <v>47009</v>
      </c>
      <c r="C9" s="105">
        <v>1</v>
      </c>
      <c r="D9" s="13" t="str">
        <f t="shared" si="0"/>
        <v>47009_1</v>
      </c>
      <c r="E9" s="4" t="str">
        <f ca="1">VLOOKUP($B9,OFFSET([2]quests!$A$1,0,0,COUNTA([2]quests!$A:$A),MATCH(E$1,[2]quests!$1:$1,0)-MATCH($B$1,[2]quests!$1:$1,0)+1),MATCH(E$1,[2]quests!$1:$1,0)-MATCH($B$1,[2]quests!$1:$1,0)+1,FALSE)</f>
        <v>夏☆襲来！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【超絶級】夏☆襲来</v>
      </c>
      <c r="G9" s="105">
        <v>4</v>
      </c>
      <c r="H9" s="13" t="str">
        <f t="shared" si="1"/>
        <v>47009_1-4</v>
      </c>
      <c r="I9" s="4" t="e">
        <v>#N/A</v>
      </c>
      <c r="J9" s="4" t="e">
        <v>#N/A</v>
      </c>
      <c r="K9" s="34" t="s">
        <v>251</v>
      </c>
      <c r="L9" s="118">
        <v>1051</v>
      </c>
      <c r="M9" s="15" t="str">
        <f ca="1">VLOOKUP($L9,OFFSET([3]enemies!$A$1,0,0,COUNTA([3]enemies!$A:$A),MATCH(M$1,[3]enemies!$1:$1,0)-MATCH($L$1,[3]enemies!$1:$1,0)+1),MATCH(M$1,[3]enemies!$1:$1,0)-MATCH($L$1,[3]enemies!$1:$1,0)+1,FALSE)</f>
        <v>嬌電の飛沫 ファラデー</v>
      </c>
      <c r="N9" s="15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5" t="str">
        <f ca="1">VLOOKUP($L9,OFFSET([3]enemies!$A$1,0,0,COUNTA([3]enemies!$A:$A),MATCH(P$1,[3]enemies!$1:$1,0)-MATCH($L$1,[3]enemies!$1:$1,0)+1),MATCH(P$1,[3]enemies!$1:$1,0)-MATCH($L$1,[3]enemies!$1:$1,0)+1,FALSE)</f>
        <v>academia</v>
      </c>
      <c r="Q9" s="15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1">
        <v>5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512295</v>
      </c>
      <c r="U9" s="21">
        <v>1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6783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9" s="58">
        <v>47009008</v>
      </c>
      <c r="Z9" s="6">
        <v>0</v>
      </c>
      <c r="AA9" s="6">
        <v>7</v>
      </c>
      <c r="AB9" s="6">
        <v>1</v>
      </c>
      <c r="AC9" s="129">
        <v>1</v>
      </c>
      <c r="AD9" s="20">
        <f t="shared" si="3"/>
        <v>1051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嬌電の飛沫 ファラデー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9" s="7">
        <v>1</v>
      </c>
      <c r="AI9" s="20">
        <f t="shared" ca="1" si="4"/>
        <v>6</v>
      </c>
      <c r="AJ9" s="8">
        <v>0</v>
      </c>
      <c r="AK9" s="104">
        <v>0</v>
      </c>
      <c r="AL9" s="104">
        <v>0</v>
      </c>
      <c r="AM9" s="104">
        <v>0</v>
      </c>
      <c r="AN9" s="104">
        <v>0</v>
      </c>
      <c r="AO9" s="104">
        <v>1</v>
      </c>
      <c r="AP9" s="66">
        <v>1</v>
      </c>
    </row>
    <row r="10" spans="1:42" ht="21" customHeight="1" thickBot="1" x14ac:dyDescent="0.2">
      <c r="A10" s="14" t="str">
        <f t="shared" si="2"/>
        <v>47009_1-5/1053&lt;lv60&gt;s2</v>
      </c>
      <c r="B10" s="119">
        <v>47009</v>
      </c>
      <c r="C10" s="108">
        <v>1</v>
      </c>
      <c r="D10" s="110" t="str">
        <f t="shared" si="0"/>
        <v>47009_1</v>
      </c>
      <c r="E10" s="120" t="str">
        <f ca="1">VLOOKUP($B10,OFFSET([2]quests!$A$1,0,0,COUNTA([2]quests!$A:$A),MATCH(E$1,[2]quests!$1:$1,0)-MATCH($B$1,[2]quests!$1:$1,0)+1),MATCH(E$1,[2]quests!$1:$1,0)-MATCH($B$1,[2]quests!$1:$1,0)+1,FALSE)</f>
        <v>夏☆襲来！</v>
      </c>
      <c r="F10" s="120" t="str">
        <f ca="1">VLOOKUP($D10,OFFSET([2]stages!$A$1,0,0,COUNTA([2]stages!$A:$A),MATCH(F$1,[2]stages!$2:$2,0)-MATCH($D$1,[2]stages!$2:$2,0)+1),MATCH(F$1,[2]stages!$2:$2,0)-MATCH($D$1,[2]stages!$2:$2,0)+1,FALSE)</f>
        <v>【超絶級】夏☆襲来</v>
      </c>
      <c r="G10" s="108">
        <v>5</v>
      </c>
      <c r="H10" s="110" t="str">
        <f t="shared" si="1"/>
        <v>47009_1-5</v>
      </c>
      <c r="I10" s="120" t="e">
        <v>#N/A</v>
      </c>
      <c r="J10" s="120" t="e">
        <v>#N/A</v>
      </c>
      <c r="K10" s="111">
        <v>1</v>
      </c>
      <c r="L10" s="121">
        <v>1053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常夏の眩獣 麒麟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5">
        <f ca="1">VLOOKUP($L10,OFFSET([3]enemies!$A$1,0,0,COUNTA([3]enemies!$A:$A),MATCH(Q$1,[3]enemies!$1:$1,0)-MATCH($L$1,[3]enemies!$1:$1,0)+1),MATCH(Q$1,[3]enemies!$1:$1,0)-MATCH($L$1,[3]enemies!$1:$1,0)+1,FALSE)</f>
        <v>60</v>
      </c>
      <c r="R10" s="125">
        <v>60</v>
      </c>
      <c r="S10" s="126">
        <v>3.7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363935.7</v>
      </c>
      <c r="U10" s="126">
        <v>1.5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10378.5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スキルバインド耐性+スリープ耐性</v>
      </c>
      <c r="Y10" s="131">
        <v>47009009</v>
      </c>
      <c r="Z10" s="132">
        <v>0</v>
      </c>
      <c r="AA10" s="132">
        <v>100</v>
      </c>
      <c r="AB10" s="132">
        <v>0</v>
      </c>
      <c r="AC10" s="133">
        <v>2</v>
      </c>
      <c r="AD10" s="20">
        <f t="shared" si="3"/>
        <v>1053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常夏の眩獣 麒麟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0">
        <f t="shared" ca="1" si="4"/>
        <v>5</v>
      </c>
      <c r="AJ10" s="137">
        <v>30</v>
      </c>
      <c r="AK10" s="106">
        <v>0</v>
      </c>
      <c r="AL10" s="106">
        <v>0</v>
      </c>
      <c r="AM10" s="106">
        <v>0</v>
      </c>
      <c r="AN10" s="106">
        <v>0</v>
      </c>
      <c r="AO10" s="106">
        <v>1</v>
      </c>
      <c r="AP10" s="138">
        <v>1</v>
      </c>
    </row>
    <row r="11" spans="1:42" ht="21" customHeight="1" x14ac:dyDescent="0.15">
      <c r="A11" s="14" t="str">
        <f t="shared" si="2"/>
        <v>47009_2-1/1048&lt;lv60&gt;s2</v>
      </c>
      <c r="B11" s="122">
        <v>47009</v>
      </c>
      <c r="C11" s="114">
        <v>2</v>
      </c>
      <c r="D11" s="116" t="str">
        <f t="shared" si="0"/>
        <v>47009_2</v>
      </c>
      <c r="E11" s="123" t="str">
        <f ca="1">VLOOKUP($B11,OFFSET([2]quests!$A$1,0,0,COUNTA([2]quests!$A:$A),MATCH(E$1,[2]quests!$1:$1,0)-MATCH($B$1,[2]quests!$1:$1,0)+1),MATCH(E$1,[2]quests!$1:$1,0)-MATCH($B$1,[2]quests!$1:$1,0)+1,FALSE)</f>
        <v>夏☆襲来！</v>
      </c>
      <c r="F11" s="123" t="str">
        <f ca="1">VLOOKUP($D11,OFFSET([2]stages!$A$1,0,0,COUNTA([2]stages!$A:$A),MATCH(F$1,[2]stages!$2:$2,0)-MATCH($D$1,[2]stages!$2:$2,0)+1),MATCH(F$1,[2]stages!$2:$2,0)-MATCH($D$1,[2]stages!$2:$2,0)+1,FALSE)</f>
        <v>【ウィザード級】夏☆襲来</v>
      </c>
      <c r="G11" s="114">
        <v>1</v>
      </c>
      <c r="H11" s="116" t="str">
        <f t="shared" si="1"/>
        <v>47009_2-1</v>
      </c>
      <c r="I11" s="123" t="e">
        <v>#N/A</v>
      </c>
      <c r="J11" s="123" t="e">
        <v>#N/A</v>
      </c>
      <c r="K11" s="117" t="s">
        <v>250</v>
      </c>
      <c r="L11" s="124">
        <v>1048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砂上の城主竜 ケツァクアトル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5">
        <f ca="1">VLOOKUP($L11,OFFSET([3]enemies!$A$1,0,0,COUNTA([3]enemies!$A:$A),MATCH(Q$1,[3]enemies!$1:$1,0)-MATCH($L$1,[3]enemies!$1:$1,0)+1),MATCH(Q$1,[3]enemies!$1:$1,0)-MATCH($L$1,[3]enemies!$1:$1,0)+1,FALSE)</f>
        <v>60</v>
      </c>
      <c r="R11" s="127">
        <v>60</v>
      </c>
      <c r="S11" s="128">
        <v>1.3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231171.20000000001</v>
      </c>
      <c r="U11" s="128">
        <v>1.3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8000.2000000000007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1" s="134">
        <v>47009001</v>
      </c>
      <c r="Z11" s="135">
        <v>0</v>
      </c>
      <c r="AA11" s="6">
        <v>100</v>
      </c>
      <c r="AB11" s="135">
        <v>0</v>
      </c>
      <c r="AC11" s="136">
        <v>2</v>
      </c>
      <c r="AD11" s="20">
        <f t="shared" si="3"/>
        <v>1048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砂上の城主竜 ケツァクアトル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0">
        <f t="shared" ca="1" si="4"/>
        <v>5</v>
      </c>
      <c r="AJ11" s="139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1</v>
      </c>
      <c r="AP11" s="140">
        <v>1</v>
      </c>
    </row>
    <row r="12" spans="1:42" ht="21" customHeight="1" x14ac:dyDescent="0.15">
      <c r="A12" s="14" t="str">
        <f t="shared" si="2"/>
        <v>47009_2-1/1047&lt;lv60&gt;s1</v>
      </c>
      <c r="B12" s="18">
        <v>47009</v>
      </c>
      <c r="C12" s="105">
        <v>2</v>
      </c>
      <c r="D12" s="13" t="str">
        <f t="shared" si="0"/>
        <v>47009_2</v>
      </c>
      <c r="E12" s="4" t="str">
        <f ca="1">VLOOKUP($B12,OFFSET([2]quests!$A$1,0,0,COUNTA([2]quests!$A:$A),MATCH(E$1,[2]quests!$1:$1,0)-MATCH($B$1,[2]quests!$1:$1,0)+1),MATCH(E$1,[2]quests!$1:$1,0)-MATCH($B$1,[2]quests!$1:$1,0)+1,FALSE)</f>
        <v>夏☆襲来！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【ウィザード級】夏☆襲来</v>
      </c>
      <c r="G12" s="105">
        <v>1</v>
      </c>
      <c r="H12" s="13" t="str">
        <f t="shared" si="1"/>
        <v>47009_2-1</v>
      </c>
      <c r="I12" s="4" t="e">
        <v>#N/A</v>
      </c>
      <c r="J12" s="4" t="e">
        <v>#N/A</v>
      </c>
      <c r="K12" s="34" t="s">
        <v>252</v>
      </c>
      <c r="L12" s="118">
        <v>1047</v>
      </c>
      <c r="M12" s="15" t="str">
        <f ca="1">VLOOKUP($L12,OFFSET([3]enemies!$A$1,0,0,COUNTA([3]enemies!$A:$A),MATCH(M$1,[3]enemies!$1:$1,0)-MATCH($L$1,[3]enemies!$1:$1,0)+1),MATCH(M$1,[3]enemies!$1:$1,0)-MATCH($L$1,[3]enemies!$1:$1,0)+1,FALSE)</f>
        <v>波浪の夏閃 オイラー</v>
      </c>
      <c r="N12" s="15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5" t="str">
        <f ca="1">VLOOKUP($L12,OFFSET([4]characters!$A$1,0,0,COUNTA([4]characters!$A:$A),MATCH(O$1,[4]characters!$1:$1,0)-MATCH($L$1,[4]characters!$1:$1,0)+1),MATCH(O$1,[4]characters!$1:$1,0)-MATCH($L$1,[4]characters!$1:$1,0)+1,FALSE)</f>
        <v>PremiumSSS</v>
      </c>
      <c r="P12" s="15" t="str">
        <f ca="1">VLOOKUP($L12,OFFSET([3]enemies!$A$1,0,0,COUNTA([3]enemies!$A:$A),MATCH(P$1,[3]enemies!$1:$1,0)-MATCH($L$1,[3]enemies!$1:$1,0)+1),MATCH(P$1,[3]enemies!$1:$1,0)-MATCH($L$1,[3]enemies!$1:$1,0)+1,FALSE)</f>
        <v>academia</v>
      </c>
      <c r="Q12" s="15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21">
        <v>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533205</v>
      </c>
      <c r="U12" s="21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6581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2" s="58">
        <v>47009002</v>
      </c>
      <c r="Z12" s="6">
        <v>0</v>
      </c>
      <c r="AA12" s="6">
        <v>7</v>
      </c>
      <c r="AB12" s="6">
        <v>1</v>
      </c>
      <c r="AC12" s="129">
        <v>1</v>
      </c>
      <c r="AD12" s="20">
        <f t="shared" si="3"/>
        <v>1047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波浪の夏閃 オイラー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2" s="7">
        <v>1</v>
      </c>
      <c r="AI12" s="20">
        <f t="shared" ca="1" si="4"/>
        <v>6</v>
      </c>
      <c r="AJ12" s="8">
        <v>0</v>
      </c>
      <c r="AK12" s="104">
        <v>0</v>
      </c>
      <c r="AL12" s="104">
        <v>0</v>
      </c>
      <c r="AM12" s="104">
        <v>0</v>
      </c>
      <c r="AN12" s="104">
        <v>0</v>
      </c>
      <c r="AO12" s="104">
        <v>1</v>
      </c>
      <c r="AP12" s="66">
        <v>1</v>
      </c>
    </row>
    <row r="13" spans="1:42" ht="21" customHeight="1" x14ac:dyDescent="0.15">
      <c r="A13" s="14" t="str">
        <f t="shared" si="2"/>
        <v>47009_2-2/1050&lt;lv60&gt;s1</v>
      </c>
      <c r="B13" s="18">
        <v>47009</v>
      </c>
      <c r="C13" s="105">
        <v>2</v>
      </c>
      <c r="D13" s="13" t="str">
        <f t="shared" si="0"/>
        <v>47009_2</v>
      </c>
      <c r="E13" s="4" t="str">
        <f ca="1">VLOOKUP($B13,OFFSET([2]quests!$A$1,0,0,COUNTA([2]quests!$A:$A),MATCH(E$1,[2]quests!$1:$1,0)-MATCH($B$1,[2]quests!$1:$1,0)+1),MATCH(E$1,[2]quests!$1:$1,0)-MATCH($B$1,[2]quests!$1:$1,0)+1,FALSE)</f>
        <v>夏☆襲来！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【ウィザード級】夏☆襲来</v>
      </c>
      <c r="G13" s="105">
        <v>2</v>
      </c>
      <c r="H13" s="13" t="str">
        <f t="shared" si="1"/>
        <v>47009_2-2</v>
      </c>
      <c r="I13" s="4" t="e">
        <v>#N/A</v>
      </c>
      <c r="J13" s="4" t="e">
        <v>#N/A</v>
      </c>
      <c r="K13" s="34" t="s">
        <v>248</v>
      </c>
      <c r="L13" s="118">
        <v>1050</v>
      </c>
      <c r="M13" s="15" t="str">
        <f ca="1">VLOOKUP($L13,OFFSET([3]enemies!$A$1,0,0,COUNTA([3]enemies!$A:$A),MATCH(M$1,[3]enemies!$1:$1,0)-MATCH($L$1,[3]enemies!$1:$1,0)+1),MATCH(M$1,[3]enemies!$1:$1,0)-MATCH($L$1,[3]enemies!$1:$1,0)+1,FALSE)</f>
        <v>廻遊の水獣宰相 ルキフグス</v>
      </c>
      <c r="N13" s="15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5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5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5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1">
        <v>2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200736</v>
      </c>
      <c r="U13" s="21">
        <v>0.8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5370.4000000000005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3" s="58">
        <v>47009003</v>
      </c>
      <c r="Z13" s="6">
        <v>0</v>
      </c>
      <c r="AA13" s="6">
        <v>100</v>
      </c>
      <c r="AB13" s="6">
        <v>0</v>
      </c>
      <c r="AC13" s="129">
        <v>1</v>
      </c>
      <c r="AD13" s="20">
        <f t="shared" si="3"/>
        <v>1050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廻遊の水獣宰相 ルキフグス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0">
        <f t="shared" ca="1" si="4"/>
        <v>5</v>
      </c>
      <c r="AJ13" s="8">
        <v>0</v>
      </c>
      <c r="AK13" s="104">
        <v>0</v>
      </c>
      <c r="AL13" s="104">
        <v>0</v>
      </c>
      <c r="AM13" s="104">
        <v>0</v>
      </c>
      <c r="AN13" s="104">
        <v>0</v>
      </c>
      <c r="AO13" s="104">
        <v>1</v>
      </c>
      <c r="AP13" s="66">
        <v>1</v>
      </c>
    </row>
    <row r="14" spans="1:42" ht="21" customHeight="1" x14ac:dyDescent="0.15">
      <c r="A14" s="14" t="str">
        <f t="shared" si="2"/>
        <v>47009_2-2/1049&lt;lv60&gt;s1</v>
      </c>
      <c r="B14" s="18">
        <v>47009</v>
      </c>
      <c r="C14" s="105">
        <v>2</v>
      </c>
      <c r="D14" s="13" t="str">
        <f t="shared" si="0"/>
        <v>47009_2</v>
      </c>
      <c r="E14" s="4" t="str">
        <f ca="1">VLOOKUP($B14,OFFSET([2]quests!$A$1,0,0,COUNTA([2]quests!$A:$A),MATCH(E$1,[2]quests!$1:$1,0)-MATCH($B$1,[2]quests!$1:$1,0)+1),MATCH(E$1,[2]quests!$1:$1,0)-MATCH($B$1,[2]quests!$1:$1,0)+1,FALSE)</f>
        <v>夏☆襲来！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【ウィザード級】夏☆襲来</v>
      </c>
      <c r="G14" s="105">
        <v>2</v>
      </c>
      <c r="H14" s="13" t="str">
        <f t="shared" si="1"/>
        <v>47009_2-2</v>
      </c>
      <c r="I14" s="4" t="e">
        <v>#N/A</v>
      </c>
      <c r="J14" s="4" t="e">
        <v>#N/A</v>
      </c>
      <c r="K14" s="34" t="s">
        <v>253</v>
      </c>
      <c r="L14" s="118">
        <v>1049</v>
      </c>
      <c r="M14" s="15" t="str">
        <f ca="1">VLOOKUP($L14,OFFSET([3]enemies!$A$1,0,0,COUNTA([3]enemies!$A:$A),MATCH(M$1,[3]enemies!$1:$1,0)-MATCH($L$1,[3]enemies!$1:$1,0)+1),MATCH(M$1,[3]enemies!$1:$1,0)-MATCH($L$1,[3]enemies!$1:$1,0)+1,FALSE)</f>
        <v>深秘の水宙 メビウス</v>
      </c>
      <c r="N14" s="15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5" t="str">
        <f ca="1">VLOOKUP($L14,OFFSET([4]characters!$A$1,0,0,COUNTA([4]characters!$A:$A),MATCH(O$1,[4]characters!$1:$1,0)-MATCH($L$1,[4]characters!$1:$1,0)+1),MATCH(O$1,[4]characters!$1:$1,0)-MATCH($L$1,[4]characters!$1:$1,0)+1,FALSE)</f>
        <v>PremiumSSS</v>
      </c>
      <c r="P14" s="15" t="str">
        <f ca="1">VLOOKUP($L14,OFFSET([3]enemies!$A$1,0,0,COUNTA([3]enemies!$A:$A),MATCH(P$1,[3]enemies!$1:$1,0)-MATCH($L$1,[3]enemies!$1:$1,0)+1),MATCH(P$1,[3]enemies!$1:$1,0)-MATCH($L$1,[3]enemies!$1:$1,0)+1,FALSE)</f>
        <v>academia</v>
      </c>
      <c r="Q14" s="15">
        <f ca="1">VLOOKUP($L14,OFFSET([3]enemies!$A$1,0,0,COUNTA([3]enemies!$A:$A),MATCH(Q$1,[3]enemies!$1:$1,0)-MATCH($L$1,[3]enemies!$1:$1,0)+1),MATCH(Q$1,[3]enemies!$1:$1,0)-MATCH($L$1,[3]enemies!$1:$1,0)+1,FALSE)</f>
        <v>60</v>
      </c>
      <c r="R14" s="5">
        <v>60</v>
      </c>
      <c r="S14" s="21">
        <v>5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522750</v>
      </c>
      <c r="U14" s="21">
        <v>1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6581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4" s="58">
        <v>47009004</v>
      </c>
      <c r="Z14" s="6">
        <v>0</v>
      </c>
      <c r="AA14" s="6">
        <v>7</v>
      </c>
      <c r="AB14" s="6">
        <v>1</v>
      </c>
      <c r="AC14" s="129">
        <v>1</v>
      </c>
      <c r="AD14" s="20">
        <f t="shared" si="3"/>
        <v>1049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深秘の水宙 メビウス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6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4" s="7">
        <v>1</v>
      </c>
      <c r="AI14" s="20">
        <f t="shared" ca="1" si="4"/>
        <v>6</v>
      </c>
      <c r="AJ14" s="8">
        <v>0</v>
      </c>
      <c r="AK14" s="104">
        <v>0</v>
      </c>
      <c r="AL14" s="104">
        <v>0</v>
      </c>
      <c r="AM14" s="104">
        <v>0</v>
      </c>
      <c r="AN14" s="104">
        <v>0</v>
      </c>
      <c r="AO14" s="104">
        <v>1</v>
      </c>
      <c r="AP14" s="66">
        <v>1</v>
      </c>
    </row>
    <row r="15" spans="1:42" ht="21" customHeight="1" x14ac:dyDescent="0.15">
      <c r="A15" s="14" t="str">
        <f t="shared" si="2"/>
        <v>47009_2-3/1046&lt;lv60&gt;s1</v>
      </c>
      <c r="B15" s="18">
        <v>47009</v>
      </c>
      <c r="C15" s="105">
        <v>2</v>
      </c>
      <c r="D15" s="13" t="str">
        <f t="shared" si="0"/>
        <v>47009_2</v>
      </c>
      <c r="E15" s="4" t="str">
        <f ca="1">VLOOKUP($B15,OFFSET([2]quests!$A$1,0,0,COUNTA([2]quests!$A:$A),MATCH(E$1,[2]quests!$1:$1,0)-MATCH($B$1,[2]quests!$1:$1,0)+1),MATCH(E$1,[2]quests!$1:$1,0)-MATCH($B$1,[2]quests!$1:$1,0)+1,FALSE)</f>
        <v>夏☆襲来！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【ウィザード級】夏☆襲来</v>
      </c>
      <c r="G15" s="105">
        <v>3</v>
      </c>
      <c r="H15" s="13" t="str">
        <f t="shared" si="1"/>
        <v>47009_2-3</v>
      </c>
      <c r="I15" s="4" t="e">
        <v>#N/A</v>
      </c>
      <c r="J15" s="4" t="e">
        <v>#N/A</v>
      </c>
      <c r="K15" s="34" t="s">
        <v>250</v>
      </c>
      <c r="L15" s="118">
        <v>1046</v>
      </c>
      <c r="M15" s="15" t="str">
        <f ca="1">VLOOKUP($L15,OFFSET([3]enemies!$A$1,0,0,COUNTA([3]enemies!$A:$A),MATCH(M$1,[3]enemies!$1:$1,0)-MATCH($L$1,[3]enemies!$1:$1,0)+1),MATCH(M$1,[3]enemies!$1:$1,0)-MATCH($L$1,[3]enemies!$1:$1,0)+1,FALSE)</f>
        <v>涼求の炎狼 フェンリル</v>
      </c>
      <c r="N15" s="15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5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5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5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60</v>
      </c>
      <c r="S15" s="21">
        <v>3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313650</v>
      </c>
      <c r="U15" s="21">
        <v>1.2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12026.4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5" s="58">
        <v>47009005</v>
      </c>
      <c r="Z15" s="6">
        <v>0</v>
      </c>
      <c r="AA15" s="6">
        <v>100</v>
      </c>
      <c r="AB15" s="6">
        <v>0</v>
      </c>
      <c r="AC15" s="129">
        <v>1</v>
      </c>
      <c r="AD15" s="20">
        <f t="shared" si="3"/>
        <v>1046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涼求の炎狼 フェンリル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0">
        <f t="shared" ca="1" si="4"/>
        <v>5</v>
      </c>
      <c r="AJ15" s="8">
        <v>0</v>
      </c>
      <c r="AK15" s="104">
        <v>0</v>
      </c>
      <c r="AL15" s="104">
        <v>0</v>
      </c>
      <c r="AM15" s="104">
        <v>0</v>
      </c>
      <c r="AN15" s="104">
        <v>0</v>
      </c>
      <c r="AO15" s="104">
        <v>1</v>
      </c>
      <c r="AP15" s="66">
        <v>1</v>
      </c>
    </row>
    <row r="16" spans="1:42" ht="21" customHeight="1" x14ac:dyDescent="0.15">
      <c r="A16" s="14" t="str">
        <f t="shared" si="2"/>
        <v>47009_2-3/1045&lt;lv60&gt;s1</v>
      </c>
      <c r="B16" s="18">
        <v>47009</v>
      </c>
      <c r="C16" s="105">
        <v>2</v>
      </c>
      <c r="D16" s="13" t="str">
        <f t="shared" si="0"/>
        <v>47009_2</v>
      </c>
      <c r="E16" s="4" t="str">
        <f ca="1">VLOOKUP($B16,OFFSET([2]quests!$A$1,0,0,COUNTA([2]quests!$A:$A),MATCH(E$1,[2]quests!$1:$1,0)-MATCH($B$1,[2]quests!$1:$1,0)+1),MATCH(E$1,[2]quests!$1:$1,0)-MATCH($B$1,[2]quests!$1:$1,0)+1,FALSE)</f>
        <v>夏☆襲来！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【ウィザード級】夏☆襲来</v>
      </c>
      <c r="G16" s="105">
        <v>3</v>
      </c>
      <c r="H16" s="13" t="str">
        <f t="shared" si="1"/>
        <v>47009_2-3</v>
      </c>
      <c r="I16" s="4" t="e">
        <v>#N/A</v>
      </c>
      <c r="J16" s="4" t="e">
        <v>#N/A</v>
      </c>
      <c r="K16" s="34" t="s">
        <v>245</v>
      </c>
      <c r="L16" s="118">
        <v>1045</v>
      </c>
      <c r="M16" s="15" t="str">
        <f ca="1">VLOOKUP($L16,OFFSET([3]enemies!$A$1,0,0,COUNTA([3]enemies!$A:$A),MATCH(M$1,[3]enemies!$1:$1,0)-MATCH($L$1,[3]enemies!$1:$1,0)+1),MATCH(M$1,[3]enemies!$1:$1,0)-MATCH($L$1,[3]enemies!$1:$1,0)+1,FALSE)</f>
        <v>漂解の海原 シュレディンガー</v>
      </c>
      <c r="N16" s="15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5" t="str">
        <f ca="1">VLOOKUP($L16,OFFSET([4]characters!$A$1,0,0,COUNTA([4]characters!$A:$A),MATCH(O$1,[4]characters!$1:$1,0)-MATCH($L$1,[4]characters!$1:$1,0)+1),MATCH(O$1,[4]characters!$1:$1,0)-MATCH($L$1,[4]characters!$1:$1,0)+1,FALSE)</f>
        <v>PremiumSSS</v>
      </c>
      <c r="P16" s="15" t="str">
        <f ca="1">VLOOKUP($L16,OFFSET([3]enemies!$A$1,0,0,COUNTA([3]enemies!$A:$A),MATCH(P$1,[3]enemies!$1:$1,0)-MATCH($L$1,[3]enemies!$1:$1,0)+1),MATCH(P$1,[3]enemies!$1:$1,0)-MATCH($L$1,[3]enemies!$1:$1,0)+1,FALSE)</f>
        <v>academia</v>
      </c>
      <c r="Q16" s="15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60</v>
      </c>
      <c r="S16" s="21">
        <v>5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522750</v>
      </c>
      <c r="U16" s="21">
        <v>1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6850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6" s="58">
        <v>47009006</v>
      </c>
      <c r="Z16" s="6">
        <v>0</v>
      </c>
      <c r="AA16" s="6">
        <v>7</v>
      </c>
      <c r="AB16" s="6">
        <v>1</v>
      </c>
      <c r="AC16" s="129">
        <v>1</v>
      </c>
      <c r="AD16" s="20">
        <f t="shared" si="3"/>
        <v>1045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漂解の海原 シュレディンガー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6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6" s="7">
        <v>1</v>
      </c>
      <c r="AI16" s="20">
        <f t="shared" ca="1" si="4"/>
        <v>6</v>
      </c>
      <c r="AJ16" s="8">
        <v>0</v>
      </c>
      <c r="AK16" s="104">
        <v>0</v>
      </c>
      <c r="AL16" s="104">
        <v>0</v>
      </c>
      <c r="AM16" s="104">
        <v>0</v>
      </c>
      <c r="AN16" s="104">
        <v>0</v>
      </c>
      <c r="AO16" s="104">
        <v>1</v>
      </c>
      <c r="AP16" s="66">
        <v>1</v>
      </c>
    </row>
    <row r="17" spans="1:42" ht="21" customHeight="1" x14ac:dyDescent="0.15">
      <c r="A17" s="14" t="str">
        <f t="shared" si="2"/>
        <v>47009_2-4/1052&lt;lv60&gt;s2</v>
      </c>
      <c r="B17" s="18">
        <v>47009</v>
      </c>
      <c r="C17" s="105">
        <v>2</v>
      </c>
      <c r="D17" s="13" t="str">
        <f t="shared" si="0"/>
        <v>47009_2</v>
      </c>
      <c r="E17" s="4" t="str">
        <f ca="1">VLOOKUP($B17,OFFSET([2]quests!$A$1,0,0,COUNTA([2]quests!$A:$A),MATCH(E$1,[2]quests!$1:$1,0)-MATCH($B$1,[2]quests!$1:$1,0)+1),MATCH(E$1,[2]quests!$1:$1,0)-MATCH($B$1,[2]quests!$1:$1,0)+1,FALSE)</f>
        <v>夏☆襲来！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【ウィザード級】夏☆襲来</v>
      </c>
      <c r="G17" s="105">
        <v>4</v>
      </c>
      <c r="H17" s="13" t="str">
        <f t="shared" si="1"/>
        <v>47009_2-4</v>
      </c>
      <c r="I17" s="4" t="e">
        <v>#N/A</v>
      </c>
      <c r="J17" s="4" t="e">
        <v>#N/A</v>
      </c>
      <c r="K17" s="34" t="s">
        <v>254</v>
      </c>
      <c r="L17" s="118">
        <v>1052</v>
      </c>
      <c r="M17" s="15" t="str">
        <f ca="1">VLOOKUP($L17,OFFSET([3]enemies!$A$1,0,0,COUNTA([3]enemies!$A:$A),MATCH(M$1,[3]enemies!$1:$1,0)-MATCH($L$1,[3]enemies!$1:$1,0)+1),MATCH(M$1,[3]enemies!$1:$1,0)-MATCH($L$1,[3]enemies!$1:$1,0)+1,FALSE)</f>
        <v>戯魚群の潜光 バルドル</v>
      </c>
      <c r="N17" s="15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5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5" t="str">
        <f ca="1">VLOOKUP($L17,OFFSET([3]enemies!$A$1,0,0,COUNTA([3]enemies!$A:$A),MATCH(P$1,[3]enemies!$1:$1,0)-MATCH($L$1,[3]enemies!$1:$1,0)+1),MATCH(P$1,[3]enemies!$1:$1,0)-MATCH($L$1,[3]enemies!$1:$1,0)+1,FALSE)</f>
        <v>god</v>
      </c>
      <c r="Q17" s="15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60</v>
      </c>
      <c r="S17" s="21">
        <v>4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314756</v>
      </c>
      <c r="U17" s="21">
        <v>1.4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7555.7999999999993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7" s="58">
        <v>47009007</v>
      </c>
      <c r="Z17" s="6">
        <v>0</v>
      </c>
      <c r="AA17" s="6">
        <v>100</v>
      </c>
      <c r="AB17" s="6">
        <v>0</v>
      </c>
      <c r="AC17" s="129">
        <v>2</v>
      </c>
      <c r="AD17" s="20">
        <f t="shared" si="3"/>
        <v>1052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戯魚群の潜光 バルドル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7" s="7">
        <v>1</v>
      </c>
      <c r="AI17" s="20">
        <f t="shared" ca="1" si="4"/>
        <v>5</v>
      </c>
      <c r="AJ17" s="8">
        <v>0</v>
      </c>
      <c r="AK17" s="104">
        <v>0</v>
      </c>
      <c r="AL17" s="104">
        <v>0</v>
      </c>
      <c r="AM17" s="104">
        <v>0</v>
      </c>
      <c r="AN17" s="104">
        <v>0</v>
      </c>
      <c r="AO17" s="104">
        <v>1</v>
      </c>
      <c r="AP17" s="66">
        <v>1</v>
      </c>
    </row>
    <row r="18" spans="1:42" ht="21" customHeight="1" x14ac:dyDescent="0.15">
      <c r="A18" s="14" t="str">
        <f t="shared" si="2"/>
        <v>47009_2-4/1051&lt;lv60&gt;s1</v>
      </c>
      <c r="B18" s="18">
        <v>47009</v>
      </c>
      <c r="C18" s="105">
        <v>2</v>
      </c>
      <c r="D18" s="13" t="str">
        <f t="shared" si="0"/>
        <v>47009_2</v>
      </c>
      <c r="E18" s="4" t="str">
        <f ca="1">VLOOKUP($B18,OFFSET([2]quests!$A$1,0,0,COUNTA([2]quests!$A:$A),MATCH(E$1,[2]quests!$1:$1,0)-MATCH($B$1,[2]quests!$1:$1,0)+1),MATCH(E$1,[2]quests!$1:$1,0)-MATCH($B$1,[2]quests!$1:$1,0)+1,FALSE)</f>
        <v>夏☆襲来！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【ウィザード級】夏☆襲来</v>
      </c>
      <c r="G18" s="105">
        <v>4</v>
      </c>
      <c r="H18" s="13" t="str">
        <f t="shared" si="1"/>
        <v>47009_2-4</v>
      </c>
      <c r="I18" s="4" t="e">
        <v>#N/A</v>
      </c>
      <c r="J18" s="4" t="e">
        <v>#N/A</v>
      </c>
      <c r="K18" s="34" t="s">
        <v>255</v>
      </c>
      <c r="L18" s="118">
        <v>1051</v>
      </c>
      <c r="M18" s="15" t="str">
        <f ca="1">VLOOKUP($L18,OFFSET([3]enemies!$A$1,0,0,COUNTA([3]enemies!$A:$A),MATCH(M$1,[3]enemies!$1:$1,0)-MATCH($L$1,[3]enemies!$1:$1,0)+1),MATCH(M$1,[3]enemies!$1:$1,0)-MATCH($L$1,[3]enemies!$1:$1,0)+1,FALSE)</f>
        <v>嬌電の飛沫 ファラデー</v>
      </c>
      <c r="N18" s="15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5" t="str">
        <f ca="1">VLOOKUP($L18,OFFSET([4]characters!$A$1,0,0,COUNTA([4]characters!$A:$A),MATCH(O$1,[4]characters!$1:$1,0)-MATCH($L$1,[4]characters!$1:$1,0)+1),MATCH(O$1,[4]characters!$1:$1,0)-MATCH($L$1,[4]characters!$1:$1,0)+1,FALSE)</f>
        <v>PremiumSSS</v>
      </c>
      <c r="P18" s="15" t="str">
        <f ca="1">VLOOKUP($L18,OFFSET([3]enemies!$A$1,0,0,COUNTA([3]enemies!$A:$A),MATCH(P$1,[3]enemies!$1:$1,0)-MATCH($L$1,[3]enemies!$1:$1,0)+1),MATCH(P$1,[3]enemies!$1:$1,0)-MATCH($L$1,[3]enemies!$1:$1,0)+1,FALSE)</f>
        <v>academia</v>
      </c>
      <c r="Q18" s="15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21">
        <v>5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512295</v>
      </c>
      <c r="U18" s="21">
        <v>1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6783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(表示なし)</v>
      </c>
      <c r="Y18" s="58">
        <v>47009008</v>
      </c>
      <c r="Z18" s="6">
        <v>0</v>
      </c>
      <c r="AA18" s="6">
        <v>7</v>
      </c>
      <c r="AB18" s="6">
        <v>1</v>
      </c>
      <c r="AC18" s="129">
        <v>1</v>
      </c>
      <c r="AD18" s="20">
        <f t="shared" si="3"/>
        <v>1051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嬌電の飛沫 ファラデー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6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8" s="7">
        <v>1</v>
      </c>
      <c r="AI18" s="20">
        <f t="shared" ca="1" si="4"/>
        <v>6</v>
      </c>
      <c r="AJ18" s="8">
        <v>0</v>
      </c>
      <c r="AK18" s="104">
        <v>0</v>
      </c>
      <c r="AL18" s="104">
        <v>0</v>
      </c>
      <c r="AM18" s="104">
        <v>0</v>
      </c>
      <c r="AN18" s="104">
        <v>0</v>
      </c>
      <c r="AO18" s="104">
        <v>1</v>
      </c>
      <c r="AP18" s="66">
        <v>1</v>
      </c>
    </row>
    <row r="19" spans="1:42" ht="21" customHeight="1" x14ac:dyDescent="0.15">
      <c r="A19" s="14" t="str">
        <f t="shared" si="2"/>
        <v>47009_2-5/1053&lt;lv60&gt;s2</v>
      </c>
      <c r="B19" s="18">
        <v>47009</v>
      </c>
      <c r="C19" s="105">
        <v>2</v>
      </c>
      <c r="D19" s="13" t="str">
        <f t="shared" si="0"/>
        <v>47009_2</v>
      </c>
      <c r="E19" s="4" t="str">
        <f ca="1">VLOOKUP($B19,OFFSET([2]quests!$A$1,0,0,COUNTA([2]quests!$A:$A),MATCH(E$1,[2]quests!$1:$1,0)-MATCH($B$1,[2]quests!$1:$1,0)+1),MATCH(E$1,[2]quests!$1:$1,0)-MATCH($B$1,[2]quests!$1:$1,0)+1,FALSE)</f>
        <v>夏☆襲来！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【ウィザード級】夏☆襲来</v>
      </c>
      <c r="G19" s="105">
        <v>5</v>
      </c>
      <c r="H19" s="13" t="str">
        <f t="shared" si="1"/>
        <v>47009_2-5</v>
      </c>
      <c r="I19" s="4" t="e">
        <v>#N/A</v>
      </c>
      <c r="J19" s="4" t="e">
        <v>#N/A</v>
      </c>
      <c r="K19" s="34">
        <v>1</v>
      </c>
      <c r="L19" s="118">
        <v>1053</v>
      </c>
      <c r="M19" s="15" t="str">
        <f ca="1">VLOOKUP($L19,OFFSET([3]enemies!$A$1,0,0,COUNTA([3]enemies!$A:$A),MATCH(M$1,[3]enemies!$1:$1,0)-MATCH($L$1,[3]enemies!$1:$1,0)+1),MATCH(M$1,[3]enemies!$1:$1,0)-MATCH($L$1,[3]enemies!$1:$1,0)+1,FALSE)</f>
        <v>常夏の眩獣 麒麟</v>
      </c>
      <c r="N19" s="15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5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5" t="str">
        <f ca="1">VLOOKUP($L19,OFFSET([3]enemies!$A$1,0,0,COUNTA([3]enemies!$A:$A),MATCH(P$1,[3]enemies!$1:$1,0)-MATCH($L$1,[3]enemies!$1:$1,0)+1),MATCH(P$1,[3]enemies!$1:$1,0)-MATCH($L$1,[3]enemies!$1:$1,0)+1,FALSE)</f>
        <v>god</v>
      </c>
      <c r="Q19" s="15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1">
        <v>5.2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511477.2</v>
      </c>
      <c r="U19" s="21">
        <v>2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13838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スキルバインド耐性+スリープ耐性</v>
      </c>
      <c r="Y19" s="58">
        <v>47009009</v>
      </c>
      <c r="Z19" s="6">
        <v>0</v>
      </c>
      <c r="AA19" s="6">
        <v>100</v>
      </c>
      <c r="AB19" s="6">
        <v>0</v>
      </c>
      <c r="AC19" s="129">
        <v>2</v>
      </c>
      <c r="AD19" s="20">
        <f t="shared" si="3"/>
        <v>1053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常夏の眩獣 麒麟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0">
        <f t="shared" ca="1" si="4"/>
        <v>5</v>
      </c>
      <c r="AJ19" s="141">
        <v>100</v>
      </c>
      <c r="AK19" s="104">
        <v>0</v>
      </c>
      <c r="AL19" s="104">
        <v>0</v>
      </c>
      <c r="AM19" s="104">
        <v>0</v>
      </c>
      <c r="AN19" s="104">
        <v>0</v>
      </c>
      <c r="AO19" s="104">
        <v>1</v>
      </c>
      <c r="AP19" s="66">
        <v>1</v>
      </c>
    </row>
  </sheetData>
  <sheetProtection selectLockedCells="1" selectUnlockedCells="1"/>
  <autoFilter ref="B1:AJ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5" sqref="A5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53</v>
      </c>
      <c r="L1" s="32" t="s">
        <v>54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101" t="s">
        <v>241</v>
      </c>
      <c r="V1" s="22" t="s">
        <v>50</v>
      </c>
      <c r="W1" s="101" t="s">
        <v>242</v>
      </c>
      <c r="X1" s="22" t="s">
        <v>52</v>
      </c>
      <c r="Y1" s="24" t="s">
        <v>126</v>
      </c>
      <c r="Z1" s="25" t="s">
        <v>125</v>
      </c>
      <c r="AA1" s="24" t="s">
        <v>8</v>
      </c>
    </row>
    <row r="2" spans="1:27" ht="21" customHeight="1" x14ac:dyDescent="0.15">
      <c r="A2" s="14" t="str">
        <f>B2&amp;"_"&amp;C2&amp;"-"&amp;G2&amp;"/"&amp;M2&amp;"&lt;lv"&amp;S2&amp;"&gt;sq"&amp;K2&amp;"st"&amp;L2</f>
        <v>47009_1-5/1054&lt;lv60&gt;sq1st2</v>
      </c>
      <c r="B2" s="18">
        <v>47009</v>
      </c>
      <c r="C2" s="105">
        <v>1</v>
      </c>
      <c r="D2" s="13" t="str">
        <f t="shared" ref="D2:D5" si="0">B2&amp;"_"&amp;C2</f>
        <v>47009_1</v>
      </c>
      <c r="E2" s="4" t="str">
        <f ca="1">VLOOKUP($B2,OFFSET([2]quests!$A$1,0,0,COUNTA([2]quests!$A:$A),MATCH(E$1,[2]quests!$1:$1,0)-MATCH($B$1,[2]quests!$1:$1,0)+1),MATCH(E$1,[2]quests!$1:$1,0)-MATCH($B$1,[2]quests!$1:$1,0)+1,FALSE)</f>
        <v>夏☆襲来！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【超絶級】夏☆襲来</v>
      </c>
      <c r="G2" s="105">
        <v>5</v>
      </c>
      <c r="H2" s="13" t="str">
        <f t="shared" ref="H2:H5" si="1">B2&amp;"_"&amp;C2&amp;"-"&amp;G2</f>
        <v>47009_1-5</v>
      </c>
      <c r="I2" s="4" t="e">
        <v>#N/A</v>
      </c>
      <c r="J2" s="4" t="e">
        <v>#N/A</v>
      </c>
      <c r="K2" s="34">
        <v>1</v>
      </c>
      <c r="L2" s="34">
        <v>2</v>
      </c>
      <c r="M2" s="118">
        <v>1054</v>
      </c>
      <c r="N2" s="15" t="str">
        <f ca="1">VLOOKUP($M2,OFFSET([3]enemies!$A$1,0,0,COUNTA([3]enemies!$A:$A),MATCH(N$1,[3]enemies!$1:$1,0)-MATCH($M$1,[3]enemies!$1:$1,0)+1),MATCH(N$1,[3]enemies!$1:$1,0)-MATCH($M$1,[3]enemies!$1:$1,0)+1,FALSE)</f>
        <v>炎陽の臨海 麒麟</v>
      </c>
      <c r="O2" s="15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1">
        <v>3.8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373771.8</v>
      </c>
      <c r="V2" s="21">
        <v>1.2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8302.7999999999993</v>
      </c>
      <c r="X2" s="5">
        <v>0</v>
      </c>
      <c r="Y2" s="4" t="e">
        <v>#VALUE!</v>
      </c>
      <c r="Z2" s="130">
        <v>47009012</v>
      </c>
      <c r="AA2" s="142">
        <v>2</v>
      </c>
    </row>
    <row r="3" spans="1:27" ht="21" customHeight="1" thickBot="1" x14ac:dyDescent="0.2">
      <c r="A3" s="14" t="str">
        <f t="shared" ref="A3:A5" si="2">B3&amp;"_"&amp;C3&amp;"-"&amp;G3&amp;"/"&amp;M3&amp;"&lt;lv"&amp;S3&amp;"&gt;sq"&amp;K3&amp;"st"&amp;L3</f>
        <v>47009_1-5/1054&lt;lv60&gt;sq1st3</v>
      </c>
      <c r="B3" s="119">
        <v>47009</v>
      </c>
      <c r="C3" s="108">
        <v>1</v>
      </c>
      <c r="D3" s="110" t="str">
        <f t="shared" si="0"/>
        <v>47009_1</v>
      </c>
      <c r="E3" s="120" t="str">
        <f ca="1">VLOOKUP($B3,OFFSET([2]quests!$A$1,0,0,COUNTA([2]quests!$A:$A),MATCH(E$1,[2]quests!$1:$1,0)-MATCH($B$1,[2]quests!$1:$1,0)+1),MATCH(E$1,[2]quests!$1:$1,0)-MATCH($B$1,[2]quests!$1:$1,0)+1,FALSE)</f>
        <v>夏☆襲来！</v>
      </c>
      <c r="F3" s="120" t="str">
        <f ca="1">VLOOKUP($D3,OFFSET([2]stages!$A$1,0,0,COUNTA([2]stages!$A:$A),MATCH(F$1,[2]stages!$2:$2,0)-MATCH($D$1,[2]stages!$2:$2,0)+1),MATCH(F$1,[2]stages!$2:$2,0)-MATCH($D$1,[2]stages!$2:$2,0)+1,FALSE)</f>
        <v>【超絶級】夏☆襲来</v>
      </c>
      <c r="G3" s="108">
        <v>5</v>
      </c>
      <c r="H3" s="110" t="str">
        <f t="shared" si="1"/>
        <v>47009_1-5</v>
      </c>
      <c r="I3" s="120" t="e">
        <v>#N/A</v>
      </c>
      <c r="J3" s="120" t="e">
        <v>#N/A</v>
      </c>
      <c r="K3" s="111">
        <v>1</v>
      </c>
      <c r="L3" s="111">
        <v>3</v>
      </c>
      <c r="M3" s="121">
        <v>1054</v>
      </c>
      <c r="N3" s="15" t="str">
        <f ca="1">VLOOKUP($M3,OFFSET([3]enemies!$A$1,0,0,COUNTA([3]enemies!$A:$A),MATCH(N$1,[3]enemies!$1:$1,0)-MATCH($M$1,[3]enemies!$1:$1,0)+1),MATCH(N$1,[3]enemies!$1:$1,0)-MATCH($M$1,[3]enemies!$1:$1,0)+1,FALSE)</f>
        <v>炎陽の臨海 麒麟</v>
      </c>
      <c r="O3" s="15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125">
        <v>60</v>
      </c>
      <c r="T3" s="126">
        <v>3.8</v>
      </c>
      <c r="U3" s="14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373771.8</v>
      </c>
      <c r="V3" s="126">
        <v>1.1000000000000001</v>
      </c>
      <c r="W3" s="14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7610.9000000000005</v>
      </c>
      <c r="X3" s="125">
        <v>0</v>
      </c>
      <c r="Y3" s="120" t="e">
        <v>#VALUE!</v>
      </c>
      <c r="Z3" s="131">
        <v>47009011</v>
      </c>
      <c r="AA3" s="144">
        <v>1</v>
      </c>
    </row>
    <row r="4" spans="1:27" ht="21" customHeight="1" x14ac:dyDescent="0.15">
      <c r="A4" s="14" t="str">
        <f t="shared" si="2"/>
        <v>47009_2-5/1054&lt;lv60&gt;sq1st2</v>
      </c>
      <c r="B4" s="122">
        <v>47009</v>
      </c>
      <c r="C4" s="114">
        <v>2</v>
      </c>
      <c r="D4" s="116" t="str">
        <f t="shared" si="0"/>
        <v>47009_2</v>
      </c>
      <c r="E4" s="123" t="str">
        <f ca="1">VLOOKUP($B4,OFFSET([2]quests!$A$1,0,0,COUNTA([2]quests!$A:$A),MATCH(E$1,[2]quests!$1:$1,0)-MATCH($B$1,[2]quests!$1:$1,0)+1),MATCH(E$1,[2]quests!$1:$1,0)-MATCH($B$1,[2]quests!$1:$1,0)+1,FALSE)</f>
        <v>夏☆襲来！</v>
      </c>
      <c r="F4" s="123" t="str">
        <f ca="1">VLOOKUP($D4,OFFSET([2]stages!$A$1,0,0,COUNTA([2]stages!$A:$A),MATCH(F$1,[2]stages!$2:$2,0)-MATCH($D$1,[2]stages!$2:$2,0)+1),MATCH(F$1,[2]stages!$2:$2,0)-MATCH($D$1,[2]stages!$2:$2,0)+1,FALSE)</f>
        <v>【ウィザード級】夏☆襲来</v>
      </c>
      <c r="G4" s="114">
        <v>5</v>
      </c>
      <c r="H4" s="116" t="str">
        <f t="shared" si="1"/>
        <v>47009_2-5</v>
      </c>
      <c r="I4" s="123" t="e">
        <v>#N/A</v>
      </c>
      <c r="J4" s="123" t="e">
        <v>#N/A</v>
      </c>
      <c r="K4" s="117">
        <v>1</v>
      </c>
      <c r="L4" s="117">
        <v>2</v>
      </c>
      <c r="M4" s="124">
        <v>1054</v>
      </c>
      <c r="N4" s="15" t="str">
        <f ca="1">VLOOKUP($M4,OFFSET([3]enemies!$A$1,0,0,COUNTA([3]enemies!$A:$A),MATCH(N$1,[3]enemies!$1:$1,0)-MATCH($M$1,[3]enemies!$1:$1,0)+1),MATCH(N$1,[3]enemies!$1:$1,0)-MATCH($M$1,[3]enemies!$1:$1,0)+1,FALSE)</f>
        <v>炎陽の臨海 麒麟</v>
      </c>
      <c r="O4" s="15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5">
        <f ca="1">VLOOKUP($M4,OFFSET([3]enemies!$A$1,0,0,COUNTA([3]enemies!$A:$A),MATCH(R$1,[3]enemies!$1:$1,0)-MATCH($M$1,[3]enemies!$1:$1,0)+1),MATCH(R$1,[3]enemies!$1:$1,0)-MATCH($M$1,[3]enemies!$1:$1,0)+1,FALSE)</f>
        <v>60</v>
      </c>
      <c r="S4" s="127">
        <v>60</v>
      </c>
      <c r="T4" s="128">
        <v>5.6</v>
      </c>
      <c r="U4" s="14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550821.6</v>
      </c>
      <c r="V4" s="128">
        <v>1.9</v>
      </c>
      <c r="W4" s="14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13146.099999999999</v>
      </c>
      <c r="X4" s="127">
        <v>0</v>
      </c>
      <c r="Y4" s="123" t="e">
        <v>#VALUE!</v>
      </c>
      <c r="Z4" s="134">
        <v>47009010</v>
      </c>
      <c r="AA4" s="146">
        <v>2</v>
      </c>
    </row>
    <row r="5" spans="1:27" ht="21" customHeight="1" x14ac:dyDescent="0.15">
      <c r="A5" s="14" t="str">
        <f t="shared" si="2"/>
        <v>47009_2-5/1054&lt;lv60&gt;sq1st3</v>
      </c>
      <c r="B5" s="18">
        <v>47009</v>
      </c>
      <c r="C5" s="105">
        <v>2</v>
      </c>
      <c r="D5" s="13" t="str">
        <f t="shared" si="0"/>
        <v>47009_2</v>
      </c>
      <c r="E5" s="4" t="str">
        <f ca="1">VLOOKUP($B5,OFFSET([2]quests!$A$1,0,0,COUNTA([2]quests!$A:$A),MATCH(E$1,[2]quests!$1:$1,0)-MATCH($B$1,[2]quests!$1:$1,0)+1),MATCH(E$1,[2]quests!$1:$1,0)-MATCH($B$1,[2]quests!$1:$1,0)+1,FALSE)</f>
        <v>夏☆襲来！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【ウィザード級】夏☆襲来</v>
      </c>
      <c r="G5" s="105">
        <v>5</v>
      </c>
      <c r="H5" s="13" t="str">
        <f t="shared" si="1"/>
        <v>47009_2-5</v>
      </c>
      <c r="I5" s="4" t="e">
        <v>#N/A</v>
      </c>
      <c r="J5" s="4" t="e">
        <v>#N/A</v>
      </c>
      <c r="K5" s="34">
        <v>1</v>
      </c>
      <c r="L5" s="34">
        <v>3</v>
      </c>
      <c r="M5" s="118">
        <v>1054</v>
      </c>
      <c r="N5" s="15" t="str">
        <f ca="1">VLOOKUP($M5,OFFSET([3]enemies!$A$1,0,0,COUNTA([3]enemies!$A:$A),MATCH(N$1,[3]enemies!$1:$1,0)-MATCH($M$1,[3]enemies!$1:$1,0)+1),MATCH(N$1,[3]enemies!$1:$1,0)-MATCH($M$1,[3]enemies!$1:$1,0)+1,FALSE)</f>
        <v>炎陽の臨海 麒麟</v>
      </c>
      <c r="O5" s="15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5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5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5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1">
        <v>5.6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550821.6</v>
      </c>
      <c r="V5" s="21">
        <v>1.8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12454.2</v>
      </c>
      <c r="X5" s="5">
        <v>0</v>
      </c>
      <c r="Y5" s="4" t="e">
        <v>#VALUE!</v>
      </c>
      <c r="Z5" s="58">
        <v>47009011</v>
      </c>
      <c r="AA5" s="142">
        <v>1</v>
      </c>
    </row>
  </sheetData>
  <sheetProtection selectLockedCells="1" selectUnlockedCells="1"/>
  <autoFilter ref="B1:AA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5"/>
  <sheetViews>
    <sheetView showGridLines="0" workbookViewId="0">
      <pane xSplit="5" ySplit="1" topLeftCell="F64" activePane="bottomRight" state="frozen"/>
      <selection pane="topRight"/>
      <selection pane="bottomLeft"/>
      <selection pane="bottomRight" activeCell="H75" sqref="H75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38.83203125" style="45" customWidth="1" outlineLevel="1"/>
    <col min="5" max="5" width="44.1640625" style="45" customWidth="1" outlineLevel="1"/>
    <col min="6" max="6" width="10.83203125" style="45" bestFit="1" customWidth="1"/>
    <col min="7" max="7" width="8.33203125" style="45" customWidth="1" outlineLevel="1"/>
    <col min="8" max="9" width="12.83203125" style="45" customWidth="1" outlineLevel="1"/>
    <col min="10" max="10" width="17.6640625" style="45" customWidth="1" outlineLevel="1"/>
    <col min="11" max="15" width="12.83203125" style="45" customWidth="1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59</v>
      </c>
      <c r="B1" s="36" t="s">
        <v>60</v>
      </c>
      <c r="C1" s="36" t="s">
        <v>61</v>
      </c>
      <c r="D1" s="37" t="s">
        <v>62</v>
      </c>
      <c r="E1" s="37" t="s">
        <v>63</v>
      </c>
      <c r="F1" s="38" t="s">
        <v>64</v>
      </c>
      <c r="G1" s="39" t="s">
        <v>65</v>
      </c>
      <c r="H1" s="39" t="s">
        <v>67</v>
      </c>
      <c r="I1" s="39" t="s">
        <v>68</v>
      </c>
      <c r="J1" s="39" t="s">
        <v>69</v>
      </c>
      <c r="K1" s="40" t="s">
        <v>70</v>
      </c>
      <c r="L1" s="40" t="s">
        <v>71</v>
      </c>
      <c r="M1" s="39" t="s">
        <v>72</v>
      </c>
      <c r="N1" s="39" t="s">
        <v>73</v>
      </c>
      <c r="O1" s="39" t="s">
        <v>74</v>
      </c>
      <c r="P1" s="37" t="s">
        <v>75</v>
      </c>
      <c r="Q1" s="37" t="s">
        <v>76</v>
      </c>
      <c r="R1" s="37" t="s">
        <v>77</v>
      </c>
    </row>
    <row r="2" spans="1:18" ht="21" customHeight="1" x14ac:dyDescent="0.15">
      <c r="A2" s="35" t="str">
        <f t="shared" ref="A2:A3" si="0">B2&amp;"_"&amp;C2</f>
        <v>47009001_47009001</v>
      </c>
      <c r="B2" s="43">
        <v>47009001</v>
      </c>
      <c r="C2" s="43">
        <v>47009001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ねえ、つぎはなにしてあそぶー？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2" s="147">
        <v>47009001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/>
    </row>
    <row r="3" spans="1:18" ht="21" customHeight="1" x14ac:dyDescent="0.15">
      <c r="A3" s="35" t="str">
        <f t="shared" si="0"/>
        <v>47009001_47009115</v>
      </c>
      <c r="B3" s="188">
        <v>47009001</v>
      </c>
      <c r="C3" s="188">
        <v>47009115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わわ！ふろいと、とってもせくしー…！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青属性ユニットの攻撃力UP！</v>
      </c>
      <c r="F3" s="187">
        <v>47009115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43"/>
    </row>
    <row r="4" spans="1:18" ht="21" customHeight="1" x14ac:dyDescent="0.15">
      <c r="A4" s="35" t="str">
        <f t="shared" ref="A4:A74" si="1">B4&amp;"_"&amp;C4</f>
        <v>47009001_47009078</v>
      </c>
      <c r="B4" s="43">
        <v>47009001</v>
      </c>
      <c r="C4" s="43">
        <v>47009078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わたしもさーふぃんしたーい！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青属性ユニットの攻撃力UP！</v>
      </c>
      <c r="F4" s="148">
        <v>47009054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4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/>
      <c r="Q4" s="43"/>
      <c r="R4" s="43"/>
    </row>
    <row r="5" spans="1:18" ht="21" customHeight="1" x14ac:dyDescent="0.15">
      <c r="A5" s="35" t="str">
        <f t="shared" si="1"/>
        <v>47009001_47009079</v>
      </c>
      <c r="B5" s="43">
        <v>47009001</v>
      </c>
      <c r="C5" s="43">
        <v>47009079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びーちぼーるでなにするのー？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" s="147">
        <v>47009046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1" customHeight="1" x14ac:dyDescent="0.15">
      <c r="A6" s="35" t="str">
        <f t="shared" si="1"/>
        <v>47009001_47009080</v>
      </c>
      <c r="B6" s="43">
        <v>47009001</v>
      </c>
      <c r="C6" s="43">
        <v>47009080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ばななぼーとたのしそうだねー！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" s="147">
        <v>47009047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43"/>
    </row>
    <row r="7" spans="1:18" ht="21" customHeight="1" x14ac:dyDescent="0.15">
      <c r="A7" s="35" t="str">
        <f t="shared" si="1"/>
        <v>47009001_47009081</v>
      </c>
      <c r="B7" s="43">
        <v>47009001</v>
      </c>
      <c r="C7" s="43">
        <v>47009081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うわー！めびうすとってもきれいだね！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7" s="147">
        <v>47009048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/>
    </row>
    <row r="8" spans="1:18" ht="21" customHeight="1" x14ac:dyDescent="0.15">
      <c r="A8" s="35" t="str">
        <f t="shared" si="1"/>
        <v>47009001_47009002</v>
      </c>
      <c r="B8" s="43">
        <v>47009001</v>
      </c>
      <c r="C8" s="43">
        <v>47009002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こんびねーしょんあたっく！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8" s="43">
        <v>47009002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1" customHeight="1" x14ac:dyDescent="0.15">
      <c r="A9" s="35" t="str">
        <f t="shared" si="1"/>
        <v>47009001_47009003</v>
      </c>
      <c r="B9" s="43">
        <v>47009001</v>
      </c>
      <c r="C9" s="43">
        <v>47009003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どらごんだいぶ！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43">
        <v>47009003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" s="43"/>
      <c r="Q9" s="43"/>
      <c r="R9" s="43"/>
    </row>
    <row r="10" spans="1:18" ht="21" customHeight="1" x14ac:dyDescent="0.15">
      <c r="A10" s="35" t="str">
        <f t="shared" si="1"/>
        <v>47009001_47009004</v>
      </c>
      <c r="B10" s="43">
        <v>47009001</v>
      </c>
      <c r="C10" s="43">
        <v>47009004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おおきくなるよー！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攻撃力UP+防御力UP</v>
      </c>
      <c r="F10" s="43">
        <v>47009004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/>
      <c r="Q10" s="43"/>
      <c r="R10" s="43"/>
    </row>
    <row r="11" spans="1:18" ht="21" customHeight="1" x14ac:dyDescent="0.15">
      <c r="A11" s="35" t="str">
        <f t="shared" si="1"/>
        <v>47009001_47009005</v>
      </c>
      <c r="B11" s="43">
        <v>47009001</v>
      </c>
      <c r="C11" s="43">
        <v>47009005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どらごんぱわー！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緑属性に変化+1ターン行動頻度UP</v>
      </c>
      <c r="F11" s="148">
        <v>47009058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/>
      <c r="Q11" s="43"/>
      <c r="R11" s="43"/>
    </row>
    <row r="12" spans="1:18" ht="21" customHeight="1" x14ac:dyDescent="0.15">
      <c r="A12" s="35" t="str">
        <f t="shared" si="1"/>
        <v>47009002_47009008</v>
      </c>
      <c r="B12" s="43">
        <v>47009002</v>
      </c>
      <c r="C12" s="43">
        <v>47009008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あら、迷子かしら？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2" s="147">
        <v>47009005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43"/>
    </row>
    <row r="13" spans="1:18" ht="21" customHeight="1" x14ac:dyDescent="0.15">
      <c r="A13" s="35" t="str">
        <f t="shared" ref="A13" si="2">B13&amp;"_"&amp;C13</f>
        <v>47009002_47009116</v>
      </c>
      <c r="B13" s="188">
        <v>47009002</v>
      </c>
      <c r="C13" s="188">
        <v>47009116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あんた…なんて露出度の高い…！ぐぬぬ…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青属性ユニットの攻撃力UP！</v>
      </c>
      <c r="F13" s="187">
        <v>47009116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/>
      <c r="Q13" s="43"/>
      <c r="R13" s="43"/>
    </row>
    <row r="14" spans="1:18" ht="21" customHeight="1" x14ac:dyDescent="0.15">
      <c r="A14" s="35" t="str">
        <f t="shared" si="1"/>
        <v>47009002_47009110</v>
      </c>
      <c r="B14" s="43">
        <v>47009002</v>
      </c>
      <c r="C14" s="43">
        <v>47009110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あら、迷子かしら？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青属性ユニットの攻撃力UP！</v>
      </c>
      <c r="F14" s="148">
        <v>47009054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/>
      <c r="Q14" s="43"/>
      <c r="R14" s="43"/>
    </row>
    <row r="15" spans="1:18" ht="21" customHeight="1" x14ac:dyDescent="0.15">
      <c r="A15" s="35" t="str">
        <f t="shared" si="1"/>
        <v>47009002_47009082</v>
      </c>
      <c r="B15" s="43">
        <v>47009002</v>
      </c>
      <c r="C15" s="43">
        <v>47009082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ネコって泳げるのかしら…？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5" s="147">
        <v>47009046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1" customHeight="1" x14ac:dyDescent="0.15">
      <c r="A16" s="35" t="str">
        <f t="shared" si="1"/>
        <v>47009002_47009083</v>
      </c>
      <c r="B16" s="43">
        <v>47009002</v>
      </c>
      <c r="C16" s="43">
        <v>47009083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ファラデー、あなた随分派手な水着着てるわね…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6" s="147">
        <v>47009047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1" customHeight="1" x14ac:dyDescent="0.15">
      <c r="A17" s="35" t="str">
        <f t="shared" si="1"/>
        <v>47009002_47009084</v>
      </c>
      <c r="B17" s="43">
        <v>47009002</v>
      </c>
      <c r="C17" s="43">
        <v>47009084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ふふん…やっぱりメビウスより_x000D_私の方がスタイルは上ね！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7" s="147">
        <v>47009048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/>
    </row>
    <row r="18" spans="1:18" ht="21" customHeight="1" x14ac:dyDescent="0.15">
      <c r="A18" s="35" t="str">
        <f t="shared" si="1"/>
        <v>47009002_47009009</v>
      </c>
      <c r="B18" s="43">
        <v>47009002</v>
      </c>
      <c r="C18" s="43">
        <v>47009009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ふーん…女神の秘境を探してるの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ちょっとだけ手伝ってあげる。存分に活かすのよ！_x000D_【確率で青のボムパネルをドロップ+_x000D_　スキルゲージを3ターン減少】</v>
      </c>
      <c r="F18" s="43">
        <v>47009006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43"/>
    </row>
    <row r="19" spans="1:18" ht="21" customHeight="1" x14ac:dyDescent="0.15">
      <c r="A19" s="35" t="str">
        <f t="shared" si="1"/>
        <v>47009003_47009013</v>
      </c>
      <c r="B19" s="43">
        <v>47009003</v>
      </c>
      <c r="C19" s="43">
        <v>47009013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あなたも…この景色を眺めにきたの…？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9" s="147">
        <v>47009007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1" customHeight="1" x14ac:dyDescent="0.15">
      <c r="A20" s="35" t="str">
        <f t="shared" si="1"/>
        <v>47009003_47009085</v>
      </c>
      <c r="B20" s="43">
        <v>47009003</v>
      </c>
      <c r="C20" s="43">
        <v>47009085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あなた…サーフィン上手ね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20" s="147">
        <v>47009045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43"/>
    </row>
    <row r="21" spans="1:18" ht="21" customHeight="1" x14ac:dyDescent="0.15">
      <c r="A21" s="35" t="str">
        <f t="shared" si="1"/>
        <v>47009003_47009086</v>
      </c>
      <c r="B21" s="43">
        <v>47009003</v>
      </c>
      <c r="C21" s="43">
        <v>47009086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私もこの子たちとビーチボールで遊びたいわ…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21" s="147">
        <v>47009046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1" customHeight="1" x14ac:dyDescent="0.15">
      <c r="A22" s="35" t="str">
        <f t="shared" si="1"/>
        <v>47009003_47009087</v>
      </c>
      <c r="B22" s="43">
        <v>47009003</v>
      </c>
      <c r="C22" s="43">
        <v>47009087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バナナボート…それも乗り心地良さそうね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22" s="147">
        <v>47009047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35" t="str">
        <f t="shared" ref="A23" si="3">B23&amp;"_"&amp;C23</f>
        <v>47009003_47009117</v>
      </c>
      <c r="B23" s="188">
        <v>47009003</v>
      </c>
      <c r="C23" s="188">
        <v>47009117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あら、バカンスかしら…羨ましいわ…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23" s="187">
        <v>47009117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/>
    </row>
    <row r="24" spans="1:18" ht="21" customHeight="1" x14ac:dyDescent="0.15">
      <c r="A24" s="35" t="str">
        <f t="shared" si="1"/>
        <v>47009003_47009088</v>
      </c>
      <c r="B24" s="43">
        <v>47009003</v>
      </c>
      <c r="C24" s="43">
        <v>47009088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綺麗ね…涼しそうだし…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青属性ユニットの回復力UP！</v>
      </c>
      <c r="F24" s="148">
        <v>47009057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1" customHeight="1" x14ac:dyDescent="0.15">
      <c r="A25" s="35" t="str">
        <f t="shared" si="1"/>
        <v>47009003_47009014</v>
      </c>
      <c r="B25" s="43">
        <v>47009003</v>
      </c>
      <c r="C25" s="43">
        <v>47009014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それにしてもここは暑いわね…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私の悪魔が…暴れだしそうよ…</v>
      </c>
      <c r="F25" s="43">
        <v>47009008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/>
    </row>
    <row r="26" spans="1:18" ht="21" customHeight="1" x14ac:dyDescent="0.15">
      <c r="A26" s="35" t="str">
        <f t="shared" si="1"/>
        <v>47009003_47009015</v>
      </c>
      <c r="B26" s="43">
        <v>47009003</v>
      </c>
      <c r="C26" s="43">
        <v>47009015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だめ…もう限界…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次のターン強力な全体攻撃</v>
      </c>
      <c r="F26" s="43">
        <v>47009009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43"/>
    </row>
    <row r="27" spans="1:18" ht="21" customHeight="1" x14ac:dyDescent="0.15">
      <c r="A27" s="35" t="str">
        <f t="shared" si="1"/>
        <v>47009003_47009016</v>
      </c>
      <c r="B27" s="43">
        <v>47009003</v>
      </c>
      <c r="C27" s="43">
        <v>47009016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ドルフィンストライク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HPを10％消費して強力な全体攻撃</v>
      </c>
      <c r="F27" s="43">
        <v>47009010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35" t="str">
        <f t="shared" si="1"/>
        <v>47009003_47009017</v>
      </c>
      <c r="B28" s="43">
        <v>47009003</v>
      </c>
      <c r="C28" s="43">
        <v>47009017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暑苦しいのは嫌…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8" s="43">
        <v>47009011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8" s="43"/>
      <c r="Q28" s="43"/>
      <c r="R28" s="43"/>
    </row>
    <row r="29" spans="1:18" ht="21" customHeight="1" x14ac:dyDescent="0.15">
      <c r="A29" s="35" t="str">
        <f t="shared" si="1"/>
        <v>47009003_47009018</v>
      </c>
      <c r="B29" s="43">
        <v>47009003</v>
      </c>
      <c r="C29" s="43">
        <v>47009018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連鎖の氷影・グランドアイス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自己回復+クリティカル！</v>
      </c>
      <c r="F29" s="43">
        <v>47009012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9" s="4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9" s="43"/>
      <c r="Q29" s="43"/>
      <c r="R29" s="43"/>
    </row>
    <row r="30" spans="1:18" ht="21" customHeight="1" x14ac:dyDescent="0.15">
      <c r="A30" s="35" t="str">
        <f t="shared" si="1"/>
        <v>47009004_47009022</v>
      </c>
      <c r="B30" s="43">
        <v>47009004</v>
      </c>
      <c r="C30" s="43">
        <v>47009022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フフ…見つかっちゃいましたね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0" s="147">
        <v>47009013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/>
    </row>
    <row r="31" spans="1:18" ht="21" customHeight="1" x14ac:dyDescent="0.15">
      <c r="A31" s="35" t="str">
        <f t="shared" si="1"/>
        <v>47009004_47009111</v>
      </c>
      <c r="B31" s="43">
        <v>47009004</v>
      </c>
      <c r="C31" s="43">
        <v>47009111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フフ…見つかっちゃいましたね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青属性ユニットの回復力UP！</v>
      </c>
      <c r="F31" s="148">
        <v>47009057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4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43"/>
    </row>
    <row r="32" spans="1:18" ht="21" customHeight="1" x14ac:dyDescent="0.15">
      <c r="A32" s="35" t="str">
        <f t="shared" si="1"/>
        <v>47009004_47009089</v>
      </c>
      <c r="B32" s="43">
        <v>47009004</v>
      </c>
      <c r="C32" s="43">
        <v>47009089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オイラーさん…羨ましいスタイルですけど、_x000D_時代は清純派ですよ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2" s="147">
        <v>47009045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4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/>
      <c r="Q32" s="43"/>
      <c r="R32" s="43"/>
    </row>
    <row r="33" spans="1:18" ht="21" customHeight="1" x14ac:dyDescent="0.15">
      <c r="A33" s="35" t="str">
        <f t="shared" si="1"/>
        <v>47009004_47009090</v>
      </c>
      <c r="B33" s="43">
        <v>47009004</v>
      </c>
      <c r="C33" s="43">
        <v>47009090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ふふ、シュレディンガーさんの_x000D_ネコちゃんかわいい…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3" s="147">
        <v>47009046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3"/>
      <c r="Q33" s="43"/>
      <c r="R33" s="43"/>
    </row>
    <row r="34" spans="1:18" ht="21" customHeight="1" x14ac:dyDescent="0.15">
      <c r="A34" s="35" t="str">
        <f t="shared" si="1"/>
        <v>47009004_47009091</v>
      </c>
      <c r="B34" s="43">
        <v>47009004</v>
      </c>
      <c r="C34" s="43">
        <v>47009091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私もファラデーさんみたいに…_x000D_ううん、何でもないです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4" s="147">
        <v>47009047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/>
      <c r="Q34" s="43"/>
      <c r="R34" s="43"/>
    </row>
    <row r="35" spans="1:18" ht="21" customHeight="1" x14ac:dyDescent="0.15">
      <c r="A35" s="35" t="str">
        <f t="shared" ref="A35" si="4">B35&amp;"_"&amp;C35</f>
        <v>47009004_47009118</v>
      </c>
      <c r="B35" s="188">
        <v>47009004</v>
      </c>
      <c r="C35" s="188">
        <v>47009118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わ、私と同じような体型なのに…勝負ですね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5" s="187">
        <v>47009118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4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35" t="str">
        <f t="shared" si="1"/>
        <v>47009004_47009023</v>
      </c>
      <c r="B36" s="43">
        <v>47009004</v>
      </c>
      <c r="C36" s="43">
        <v>47009023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せっかくここまで来たんです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少しお手伝いしますね…頑張って下さい_x000D_【回復効果付与】</v>
      </c>
      <c r="F36" s="43">
        <v>47009014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/>
    </row>
    <row r="37" spans="1:18" ht="21" customHeight="1" x14ac:dyDescent="0.15">
      <c r="A37" s="35" t="str">
        <f t="shared" si="1"/>
        <v>47009005_47009027</v>
      </c>
      <c r="B37" s="43">
        <v>47009005</v>
      </c>
      <c r="C37" s="43">
        <v>47009027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ドッキドキの夏だよー！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7" s="147">
        <v>47009015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x14ac:dyDescent="0.15">
      <c r="A38" s="35" t="str">
        <f t="shared" si="1"/>
        <v>47009005_47009092</v>
      </c>
      <c r="B38" s="43">
        <v>47009005</v>
      </c>
      <c r="C38" s="43">
        <v>47009092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熱いヒトは嫌いじゃないよ！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38" s="147">
        <v>47009045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/>
      <c r="Q38" s="43"/>
      <c r="R38" s="43"/>
    </row>
    <row r="39" spans="1:18" ht="21" customHeight="1" x14ac:dyDescent="0.15">
      <c r="A39" s="35" t="str">
        <f t="shared" ref="A39" si="5">B39&amp;"_"&amp;C39</f>
        <v>47009005_47009093</v>
      </c>
      <c r="B39" s="43">
        <v>47009005</v>
      </c>
      <c r="C39" s="43">
        <v>47009093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ケモノ同士仲良くしようよ！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青属性ユニットのタップ回数を1UP！</v>
      </c>
      <c r="F39" s="148">
        <v>47009055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3"/>
      <c r="Q39" s="43"/>
      <c r="R39" s="43"/>
    </row>
    <row r="40" spans="1:18" ht="21" customHeight="1" x14ac:dyDescent="0.15">
      <c r="A40" s="35" t="str">
        <f>B40&amp;"_"&amp;C40</f>
        <v>47009005_47009119</v>
      </c>
      <c r="B40" s="188">
        <v>47009005</v>
      </c>
      <c r="C40" s="188">
        <v>47009119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その格好ならモテること間違いなしね！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40" s="187">
        <v>47009119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4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3"/>
      <c r="Q40" s="43"/>
      <c r="R40" s="43"/>
    </row>
    <row r="41" spans="1:18" ht="21" customHeight="1" x14ac:dyDescent="0.15">
      <c r="A41" s="35" t="str">
        <f>B41&amp;"_"&amp;C41</f>
        <v>47009005_47009095</v>
      </c>
      <c r="B41" s="43">
        <v>47009005</v>
      </c>
      <c r="C41" s="43">
        <v>47009095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ひんやりするのもいいけど…_x000D_たまには熱くなりましょ！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41" s="147">
        <v>47009048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3"/>
      <c r="Q41" s="43"/>
      <c r="R41" s="43"/>
    </row>
    <row r="42" spans="1:18" ht="21" customHeight="1" x14ac:dyDescent="0.15">
      <c r="A42" s="35" t="str">
        <f t="shared" si="1"/>
        <v>47009005_47009094</v>
      </c>
      <c r="B42" s="43">
        <v>47009005</v>
      </c>
      <c r="C42" s="43">
        <v>47009094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バナナも美味しそうでいいな…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42" s="147">
        <v>47009047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4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4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3"/>
      <c r="Q42" s="43"/>
      <c r="R42" s="43"/>
    </row>
    <row r="43" spans="1:18" ht="21" customHeight="1" x14ac:dyDescent="0.15">
      <c r="A43" s="35" t="str">
        <f t="shared" si="1"/>
        <v>47009005_47009028</v>
      </c>
      <c r="B43" s="43">
        <v>47009005</v>
      </c>
      <c r="C43" s="43">
        <v>47009028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暑い時こそ熱くならなきゃ！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赤属性に変化+3ターン攻撃力UP</v>
      </c>
      <c r="F43" s="43">
        <v>47009016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/>
      <c r="Q43" s="43"/>
      <c r="R43" s="43"/>
    </row>
    <row r="44" spans="1:18" ht="21" customHeight="1" x14ac:dyDescent="0.15">
      <c r="A44" s="35" t="str">
        <f t="shared" si="1"/>
        <v>47009005_47009029</v>
      </c>
      <c r="B44" s="43">
        <v>47009005</v>
      </c>
      <c r="C44" s="43">
        <v>47009029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ジェリーボールラッシュ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4" s="43">
        <v>47009017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4" s="43"/>
      <c r="Q44" s="43"/>
      <c r="R44" s="43"/>
    </row>
    <row r="45" spans="1:18" ht="21" customHeight="1" x14ac:dyDescent="0.15">
      <c r="A45" s="35" t="str">
        <f t="shared" si="1"/>
        <v>47009005_47009030</v>
      </c>
      <c r="B45" s="43">
        <v>47009005</v>
      </c>
      <c r="C45" s="43">
        <v>47009030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ヴェイパーヒート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45" s="43">
        <v>47009018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5" s="44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5" s="4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43"/>
    </row>
    <row r="46" spans="1:18" ht="21" customHeight="1" x14ac:dyDescent="0.15">
      <c r="A46" s="35" t="str">
        <f t="shared" si="1"/>
        <v>47009005_47009031</v>
      </c>
      <c r="B46" s="43">
        <v>47009005</v>
      </c>
      <c r="C46" s="43">
        <v>47009031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私のほうが熱いもんねー！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赤パネルを吸収して攻撃(最大10個)</v>
      </c>
      <c r="F46" s="43">
        <v>47009053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6" s="43"/>
      <c r="Q46" s="43"/>
      <c r="R46" s="43"/>
    </row>
    <row r="47" spans="1:18" ht="21" customHeight="1" x14ac:dyDescent="0.15">
      <c r="A47" s="35" t="str">
        <f t="shared" si="1"/>
        <v>47009006_47009034</v>
      </c>
      <c r="B47" s="43">
        <v>47009006</v>
      </c>
      <c r="C47" s="43">
        <v>47009034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僕は敵か味方か…どっちだろうね？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47" s="147">
        <v>47009019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43"/>
    </row>
    <row r="48" spans="1:18" ht="21" customHeight="1" x14ac:dyDescent="0.15">
      <c r="A48" s="35" t="str">
        <f t="shared" si="1"/>
        <v>47009006_47009112</v>
      </c>
      <c r="B48" s="43">
        <v>47009006</v>
      </c>
      <c r="C48" s="43">
        <v>47009112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僕は敵か味方か…どっちだろうね？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青属性ユニットのタップ回数を1UP！</v>
      </c>
      <c r="F48" s="148">
        <v>47009055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ht="21" customHeight="1" x14ac:dyDescent="0.15">
      <c r="A49" s="35" t="str">
        <f t="shared" ref="A49" si="6">B49&amp;"_"&amp;C49</f>
        <v>47009006_47009120</v>
      </c>
      <c r="B49" s="188">
        <v>47009006</v>
      </c>
      <c r="C49" s="188">
        <v>47009120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横のもこもこした子達は君の従者かな？可愛らしいね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49" s="187">
        <v>47009120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4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3"/>
      <c r="Q49" s="43"/>
      <c r="R49" s="43"/>
    </row>
    <row r="50" spans="1:18" ht="21" customHeight="1" x14ac:dyDescent="0.15">
      <c r="A50" s="35" t="str">
        <f t="shared" si="1"/>
        <v>47009006_47009096</v>
      </c>
      <c r="B50" s="43">
        <v>47009006</v>
      </c>
      <c r="C50" s="43">
        <v>47009096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オイラー、君は随分アクティブなんだね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0" s="147">
        <v>47009045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43"/>
    </row>
    <row r="51" spans="1:18" ht="21" customHeight="1" x14ac:dyDescent="0.15">
      <c r="A51" s="35" t="str">
        <f t="shared" si="1"/>
        <v>47009006_47009097</v>
      </c>
      <c r="B51" s="43">
        <v>47009006</v>
      </c>
      <c r="C51" s="43">
        <v>47009097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ファラデー…なんだいその奇妙な乗り物は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1" s="147">
        <v>47009047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ht="21" customHeight="1" x14ac:dyDescent="0.15">
      <c r="A52" s="35" t="str">
        <f t="shared" si="1"/>
        <v>47009006_47009098</v>
      </c>
      <c r="B52" s="43">
        <v>47009006</v>
      </c>
      <c r="C52" s="43">
        <v>47009098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メビウス、今日は一段と輝いているね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2" s="147">
        <v>47009048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43"/>
    </row>
    <row r="53" spans="1:18" ht="21" customHeight="1" x14ac:dyDescent="0.15">
      <c r="A53" s="35" t="str">
        <f t="shared" si="1"/>
        <v>47009006_47009036</v>
      </c>
      <c r="B53" s="43">
        <v>47009006</v>
      </c>
      <c r="C53" s="43">
        <v>47009036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ごめんごめん…からかうつもりはなかったんだ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お詫びと言っちゃなんだけど…まぁ頑張ってよ_x000D_【Cパネル生成短縮(効果大)】</v>
      </c>
      <c r="F53" s="43">
        <v>47009021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4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4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4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4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3"/>
      <c r="Q53" s="43"/>
      <c r="R53" s="43"/>
    </row>
    <row r="54" spans="1:18" ht="21" customHeight="1" x14ac:dyDescent="0.15">
      <c r="A54" s="35" t="str">
        <f t="shared" si="1"/>
        <v>47009007_47009040</v>
      </c>
      <c r="B54" s="43">
        <v>47009007</v>
      </c>
      <c r="C54" s="43">
        <v>47009040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フフ…よくこんなところまで来たね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4" s="147">
        <v>47009022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3"/>
      <c r="Q54" s="43"/>
      <c r="R54" s="43"/>
    </row>
    <row r="55" spans="1:18" ht="21" customHeight="1" x14ac:dyDescent="0.15">
      <c r="A55" s="35" t="str">
        <f t="shared" si="1"/>
        <v>47009007_47009099</v>
      </c>
      <c r="B55" s="43">
        <v>47009007</v>
      </c>
      <c r="C55" s="43">
        <v>47009099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健康的というか…なんというかその…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5" s="147">
        <v>47009045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43"/>
    </row>
    <row r="56" spans="1:18" ht="21" customHeight="1" x14ac:dyDescent="0.15">
      <c r="A56" s="35" t="str">
        <f t="shared" si="1"/>
        <v>47009007_47009100</v>
      </c>
      <c r="B56" s="43">
        <v>47009007</v>
      </c>
      <c r="C56" s="43">
        <v>47009100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ペンギンたちも君の猫たちと遊びたいって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6" s="147">
        <v>47009046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4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4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4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/>
      <c r="Q56" s="43"/>
      <c r="R56" s="43"/>
    </row>
    <row r="57" spans="1:18" ht="21" customHeight="1" x14ac:dyDescent="0.15">
      <c r="A57" s="35" t="str">
        <f t="shared" si="1"/>
        <v>47009007_47009121</v>
      </c>
      <c r="B57" s="188">
        <v>47009007</v>
      </c>
      <c r="C57" s="188">
        <v>47009121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…最近露出度の高い水着が流行ってるのかなぁ…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7" s="187">
        <v>47009121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4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4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3"/>
      <c r="Q57" s="43"/>
      <c r="R57" s="43"/>
    </row>
    <row r="58" spans="1:18" ht="21" customHeight="1" x14ac:dyDescent="0.15">
      <c r="A58" s="35" t="str">
        <f t="shared" ref="A58" si="7">B58&amp;"_"&amp;C58</f>
        <v>47009007_47009101</v>
      </c>
      <c r="B58" s="43">
        <v>47009007</v>
      </c>
      <c r="C58" s="43">
        <v>47009101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…ちょっと目のやり場に困るなぁ……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青属性ユニットの防御力UP！</v>
      </c>
      <c r="F58" s="148">
        <v>47009056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3"/>
      <c r="Q58" s="43"/>
      <c r="R58" s="43"/>
    </row>
    <row r="59" spans="1:18" ht="21" customHeight="1" x14ac:dyDescent="0.15">
      <c r="A59" s="35" t="str">
        <f t="shared" si="1"/>
        <v>47009007_47009102</v>
      </c>
      <c r="B59" s="43">
        <v>47009007</v>
      </c>
      <c r="C59" s="43">
        <v>47009102</v>
      </c>
      <c r="D59" s="4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宝石みたいにキラキラしてる…いいね…</v>
      </c>
      <c r="E59" s="4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59" s="147">
        <v>47009048</v>
      </c>
      <c r="G59" s="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4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9" s="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4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4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4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59" s="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3"/>
      <c r="Q59" s="43"/>
      <c r="R59" s="43"/>
    </row>
    <row r="60" spans="1:18" ht="21" customHeight="1" x14ac:dyDescent="0.15">
      <c r="A60" s="35" t="str">
        <f t="shared" si="1"/>
        <v>47009007_47009041</v>
      </c>
      <c r="B60" s="43">
        <v>47009007</v>
      </c>
      <c r="C60" s="43">
        <v>47009041</v>
      </c>
      <c r="D60" s="4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刺胞守護の契約</v>
      </c>
      <c r="E60" s="4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防御力UP+解除するまでカウンター</v>
      </c>
      <c r="F60" s="43">
        <v>47009023</v>
      </c>
      <c r="G60" s="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4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0" s="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4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4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4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3"/>
      <c r="Q60" s="43"/>
      <c r="R60" s="43"/>
    </row>
    <row r="61" spans="1:18" ht="21" customHeight="1" x14ac:dyDescent="0.15">
      <c r="A61" s="35" t="str">
        <f t="shared" si="1"/>
        <v>47009007_47009042</v>
      </c>
      <c r="B61" s="43">
        <v>47009007</v>
      </c>
      <c r="C61" s="43">
        <v>47009042</v>
      </c>
      <c r="D61" s="4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ペンギンスマッシュ</v>
      </c>
      <c r="E61" s="42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1" s="43">
        <v>47009024</v>
      </c>
      <c r="G61" s="4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4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1" s="4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61" s="44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4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4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4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61" s="43"/>
      <c r="Q61" s="43"/>
      <c r="R61" s="43"/>
    </row>
    <row r="62" spans="1:18" ht="21" customHeight="1" x14ac:dyDescent="0.15">
      <c r="A62" s="35" t="str">
        <f t="shared" si="1"/>
        <v>47009007_47009043</v>
      </c>
      <c r="B62" s="43">
        <v>47009007</v>
      </c>
      <c r="C62" s="43">
        <v>47009043</v>
      </c>
      <c r="D62" s="4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スパークリング・ジャッジ</v>
      </c>
      <c r="E62" s="42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2" s="43">
        <v>47009025</v>
      </c>
      <c r="G62" s="44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4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62" s="44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2" s="44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4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4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4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4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4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2" s="43"/>
      <c r="Q62" s="43"/>
      <c r="R62" s="43"/>
    </row>
    <row r="63" spans="1:18" ht="21" customHeight="1" x14ac:dyDescent="0.15">
      <c r="A63" s="35" t="str">
        <f t="shared" si="1"/>
        <v>47009007_47009044</v>
      </c>
      <c r="B63" s="43">
        <v>47009007</v>
      </c>
      <c r="C63" s="43">
        <v>47009044</v>
      </c>
      <c r="D63" s="4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水の中は動きにくいね…</v>
      </c>
      <c r="E63" s="4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青パネルをお邪魔パネルに変換(最大10個)</v>
      </c>
      <c r="F63" s="43">
        <v>47009026</v>
      </c>
      <c r="G63" s="44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4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63" s="44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4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4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4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4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3" s="44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4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3"/>
      <c r="Q63" s="43"/>
      <c r="R63" s="43"/>
    </row>
    <row r="64" spans="1:18" ht="21" customHeight="1" x14ac:dyDescent="0.15">
      <c r="A64" s="35" t="str">
        <f t="shared" si="1"/>
        <v>47009008_47009048</v>
      </c>
      <c r="B64" s="43">
        <v>47009008</v>
      </c>
      <c r="C64" s="43">
        <v>47009048</v>
      </c>
      <c r="D64" s="42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おっ！お姉さんに会いに来たのかな？</v>
      </c>
      <c r="E64" s="42" t="str">
        <f ca="1">VLOOKUP($C64,OFFSET(enemy_skills!$A$1,0,0,COUNTA(enemy_skills!$A:$A),MATCH(E$1,enemy_skills!$1:$1,0)-MATCH("enemy_skill_id",enemy_skills!$1:$1,0)+1),MATCH(E$1,enemy_skills!$1:$1,0)-MATCH("enemy_skill_id",enemy_skills!$1:$1,0)+1,FALSE)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4" s="147">
        <v>47009027</v>
      </c>
      <c r="G64" s="44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4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4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4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4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4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4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4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4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3"/>
      <c r="Q64" s="43"/>
      <c r="R64" s="43"/>
    </row>
    <row r="65" spans="1:18" ht="21" customHeight="1" x14ac:dyDescent="0.15">
      <c r="A65" s="35" t="str">
        <f t="shared" si="1"/>
        <v>47009008_47009113</v>
      </c>
      <c r="B65" s="43">
        <v>47009008</v>
      </c>
      <c r="C65" s="43">
        <v>47009113</v>
      </c>
      <c r="D65" s="42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おっ！お姉さんに会いに来たのかな？</v>
      </c>
      <c r="E65" s="42" t="str">
        <f ca="1">VLOOKUP($C65,OFFSET(enemy_skills!$A$1,0,0,COUNTA(enemy_skills!$A:$A),MATCH(E$1,enemy_skills!$1:$1,0)-MATCH("enemy_skill_id",enemy_skills!$1:$1,0)+1),MATCH(E$1,enemy_skills!$1:$1,0)-MATCH("enemy_skill_id",enemy_skills!$1:$1,0)+1,FALSE)</f>
        <v>青属性ユニットの防御力UP！</v>
      </c>
      <c r="F65" s="148">
        <v>47009056</v>
      </c>
      <c r="G65" s="44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4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5" s="44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4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4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4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4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4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65" s="44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3"/>
      <c r="Q65" s="43"/>
      <c r="R65" s="43"/>
    </row>
    <row r="66" spans="1:18" ht="21" customHeight="1" x14ac:dyDescent="0.15">
      <c r="A66" s="35" t="str">
        <f t="shared" ref="A66" si="8">B66&amp;"_"&amp;C66</f>
        <v>47009008_47009122</v>
      </c>
      <c r="B66" s="188">
        <v>47009008</v>
      </c>
      <c r="C66" s="188">
        <v>47009122</v>
      </c>
      <c r="D66" s="42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わぁ、スゴい水着！ビーチの視線独り占めだね！</v>
      </c>
      <c r="E66" s="42" t="str">
        <f ca="1">VLOOKUP($C66,OFFSET(enemy_skills!$A$1,0,0,COUNTA(enemy_skills!$A:$A),MATCH(E$1,enemy_skills!$1:$1,0)-MATCH("enemy_skill_id",enemy_skills!$1:$1,0)+1),MATCH(E$1,enemy_skills!$1:$1,0)-MATCH("enemy_skill_id",enemy_skills!$1:$1,0)+1,FALSE)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6" s="187">
        <v>47009122</v>
      </c>
      <c r="G66" s="44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4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66" s="44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4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4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4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4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4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66" s="44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3"/>
      <c r="Q66" s="43"/>
      <c r="R66" s="43"/>
    </row>
    <row r="67" spans="1:18" ht="21" customHeight="1" x14ac:dyDescent="0.15">
      <c r="A67" s="35" t="str">
        <f t="shared" si="1"/>
        <v>47009008_47009103</v>
      </c>
      <c r="B67" s="43">
        <v>47009008</v>
      </c>
      <c r="C67" s="43">
        <v>47009103</v>
      </c>
      <c r="D67" s="4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おっ！オイラーもノッてるね！_x000D_よーし、負けないよ！</v>
      </c>
      <c r="E67" s="4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7" s="147">
        <v>47009045</v>
      </c>
      <c r="G67" s="44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4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7" s="44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4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4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4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4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4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67" s="44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3"/>
      <c r="Q67" s="43"/>
      <c r="R67" s="43"/>
    </row>
    <row r="68" spans="1:18" ht="21" customHeight="1" x14ac:dyDescent="0.15">
      <c r="A68" s="35" t="str">
        <f t="shared" si="1"/>
        <v>47009008_47009104</v>
      </c>
      <c r="B68" s="43">
        <v>47009008</v>
      </c>
      <c r="C68" s="43">
        <v>47009104</v>
      </c>
      <c r="D68" s="42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シュレはかわいいねー！_x000D_…えっなんで怒ってるの！？</v>
      </c>
      <c r="E68" s="42" t="str">
        <f ca="1">VLOOKUP($C68,OFFSET(enemy_skills!$A$1,0,0,COUNTA(enemy_skills!$A:$A),MATCH(E$1,enemy_skills!$1:$1,0)-MATCH("enemy_skill_id",enemy_skills!$1:$1,0)+1),MATCH(E$1,enemy_skills!$1:$1,0)-MATCH("enemy_skill_id",enemy_skills!$1:$1,0)+1,FALSE)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8" s="147">
        <v>47009046</v>
      </c>
      <c r="G68" s="44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4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8" s="44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4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4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4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4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4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68" s="44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3"/>
      <c r="Q68" s="43"/>
      <c r="R68" s="43"/>
    </row>
    <row r="69" spans="1:18" ht="21" customHeight="1" x14ac:dyDescent="0.15">
      <c r="A69" s="35" t="str">
        <f t="shared" si="1"/>
        <v>47009008_47009105</v>
      </c>
      <c r="B69" s="43">
        <v>47009008</v>
      </c>
      <c r="C69" s="43">
        <v>47009105</v>
      </c>
      <c r="D69" s="42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すごーい！メビウスなんだか人魚みたいね！</v>
      </c>
      <c r="E69" s="42" t="str">
        <f ca="1">VLOOKUP($C69,OFFSET(enemy_skills!$A$1,0,0,COUNTA(enemy_skills!$A:$A),MATCH(E$1,enemy_skills!$1:$1,0)-MATCH("enemy_skill_id",enemy_skills!$1:$1,0)+1),MATCH(E$1,enemy_skills!$1:$1,0)-MATCH("enemy_skill_id",enemy_skills!$1:$1,0)+1,FALSE)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69" s="147">
        <v>47009048</v>
      </c>
      <c r="G69" s="44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4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9" s="44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4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4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4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4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4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69" s="44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3"/>
      <c r="Q69" s="43"/>
      <c r="R69" s="43"/>
    </row>
    <row r="70" spans="1:18" ht="21" customHeight="1" x14ac:dyDescent="0.15">
      <c r="A70" s="35" t="str">
        <f t="shared" si="1"/>
        <v>47009008_47009049</v>
      </c>
      <c r="B70" s="43">
        <v>47009008</v>
      </c>
      <c r="C70" s="43">
        <v>47009049</v>
      </c>
      <c r="D70" s="42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名残惜しいけど行かなくちゃ！</v>
      </c>
      <c r="E70" s="42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大層なものじゃないけど　これは餞別よ！_x000D_【確率でCパネルをドロップ】</v>
      </c>
      <c r="F70" s="43">
        <v>47009028</v>
      </c>
      <c r="G70" s="44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4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0" s="44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4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4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4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4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4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4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3"/>
      <c r="Q70" s="43"/>
      <c r="R70" s="43"/>
    </row>
    <row r="71" spans="1:18" ht="21" customHeight="1" x14ac:dyDescent="0.15">
      <c r="A71" s="35" t="str">
        <f t="shared" si="1"/>
        <v>47009009_47009053</v>
      </c>
      <c r="B71" s="43">
        <v>47009009</v>
      </c>
      <c r="C71" s="43">
        <v>47009053</v>
      </c>
      <c r="D71" s="42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おぬし…妾の余暇を邪魔するつもりか！</v>
      </c>
      <c r="E71" s="42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スキルバインド耐性+スリープ耐性</v>
      </c>
      <c r="F71" s="147">
        <v>47009029</v>
      </c>
      <c r="G71" s="44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4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44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4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4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4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4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4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4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3"/>
      <c r="Q71" s="43"/>
      <c r="R71" s="43"/>
    </row>
    <row r="72" spans="1:18" ht="21" customHeight="1" x14ac:dyDescent="0.15">
      <c r="A72" s="35" t="str">
        <f t="shared" si="1"/>
        <v>47009009_47009106</v>
      </c>
      <c r="B72" s="43">
        <v>47009009</v>
      </c>
      <c r="C72" s="43">
        <v>47009106</v>
      </c>
      <c r="D72" s="42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オ、オイラー…これが_x000D_ぼんきゅっぼんというものなのか…！？</v>
      </c>
      <c r="E72" s="42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麒麟はショックでダメージを受けている！_x000D_【青属性ユニットのスキルMAX！】</v>
      </c>
      <c r="F72" s="147">
        <v>47009045</v>
      </c>
      <c r="G72" s="44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4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2" s="44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4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4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4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4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4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72" s="44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3"/>
      <c r="Q72" s="43"/>
      <c r="R72" s="43"/>
    </row>
    <row r="73" spans="1:18" ht="21" customHeight="1" x14ac:dyDescent="0.15">
      <c r="A73" s="35" t="str">
        <f t="shared" si="1"/>
        <v>47009009_47009107</v>
      </c>
      <c r="B73" s="43">
        <v>47009009</v>
      </c>
      <c r="C73" s="43">
        <v>47009107</v>
      </c>
      <c r="D73" s="42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妾の四神よりかわいいじゃと！？_x000D_うぅ、シュレディンガーめ…！</v>
      </c>
      <c r="E73" s="42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麒麟はショックでダメージを受けている！_x000D_【青属性ユニットのスキルMAX！】</v>
      </c>
      <c r="F73" s="147">
        <v>47009046</v>
      </c>
      <c r="G73" s="44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4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3" s="44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4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4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4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4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4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73" s="44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3"/>
      <c r="Q73" s="43"/>
      <c r="R73" s="43"/>
    </row>
    <row r="74" spans="1:18" ht="21" customHeight="1" x14ac:dyDescent="0.15">
      <c r="A74" s="35" t="str">
        <f t="shared" si="1"/>
        <v>47009009_47009108</v>
      </c>
      <c r="B74" s="43">
        <v>47009009</v>
      </c>
      <c r="C74" s="43">
        <v>47009108</v>
      </c>
      <c r="D74" s="42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ぬうぅ、ファラデー…_x000D_なんて大胆な水着を…！負けぬぞ！</v>
      </c>
      <c r="E74" s="42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麒麟はショックでダメージを受けている！_x000D_【青属性ユニットのスキルMAX！】</v>
      </c>
      <c r="F74" s="147">
        <v>47009047</v>
      </c>
      <c r="G74" s="44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4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4" s="44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4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4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4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4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4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74" s="44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3"/>
      <c r="Q74" s="43"/>
      <c r="R74" s="43"/>
    </row>
    <row r="75" spans="1:18" ht="21" customHeight="1" x14ac:dyDescent="0.15">
      <c r="A75" s="35" t="str">
        <f t="shared" ref="A75:A115" si="9">B75&amp;"_"&amp;C75</f>
        <v>47009009_47009109</v>
      </c>
      <c r="B75" s="43">
        <v>47009009</v>
      </c>
      <c r="C75" s="43">
        <v>47009109</v>
      </c>
      <c r="D75" s="42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うっ、メビウス…妾よりすたいるが…！？_x000D_いや、なんでもない…</v>
      </c>
      <c r="E75" s="42" t="str">
        <f ca="1">VLOOKUP($C75,OFFSET(enemy_skills!$A$1,0,0,COUNTA(enemy_skills!$A:$A),MATCH(E$1,enemy_skills!$1:$1,0)-MATCH("enemy_skill_id",enemy_skills!$1:$1,0)+1),MATCH(E$1,enemy_skills!$1:$1,0)-MATCH("enemy_skill_id",enemy_skills!$1:$1,0)+1,FALSE)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麒麟はショックでダメージを受けている！_x000D_【青属性ユニットのスキルMAX！】</v>
      </c>
      <c r="F75" s="147">
        <v>47009048</v>
      </c>
      <c r="G75" s="44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4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5" s="44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4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4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4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4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4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75" s="44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3"/>
      <c r="Q75" s="43"/>
      <c r="R75" s="43"/>
    </row>
    <row r="76" spans="1:18" ht="21" customHeight="1" x14ac:dyDescent="0.15">
      <c r="A76" s="35" t="str">
        <f t="shared" ref="A76" si="10">B76&amp;"_"&amp;C76</f>
        <v>47009009_47009123</v>
      </c>
      <c r="B76" s="188">
        <v>47009009</v>
      </c>
      <c r="C76" s="188">
        <v>47009123</v>
      </c>
      <c r="D76" s="42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きわどい水着を選びおって…そこまでしてモテたいか！</v>
      </c>
      <c r="E76" s="42" t="str">
        <f ca="1">VLOOKUP($C76,OFFSET(enemy_skills!$A$1,0,0,COUNTA(enemy_skills!$A:$A),MATCH(E$1,enemy_skills!$1:$1,0)-MATCH("enemy_skill_id",enemy_skills!$1:$1,0)+1),MATCH(E$1,enemy_skills!$1:$1,0)-MATCH("enemy_skill_id",enemy_skills!$1:$1,0)+1,FALSE)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麒麟はショックでダメージを受けている！_x000D_【青属性ユニットのスキルMAX！】</v>
      </c>
      <c r="F76" s="187">
        <v>47009123</v>
      </c>
      <c r="G76" s="44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4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76" s="44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4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4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4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4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4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76" s="44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3"/>
      <c r="Q76" s="43"/>
      <c r="R76" s="43"/>
    </row>
    <row r="77" spans="1:18" ht="21" customHeight="1" x14ac:dyDescent="0.15">
      <c r="A77" s="35" t="str">
        <f t="shared" si="9"/>
        <v>47009009_47009054</v>
      </c>
      <c r="B77" s="43">
        <v>47009009</v>
      </c>
      <c r="C77" s="43">
        <v>47009054</v>
      </c>
      <c r="D77" s="42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なみのりじゃ！</v>
      </c>
      <c r="E77" s="42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青パネルを吸収して攻撃(最大20個)</v>
      </c>
      <c r="F77" s="43">
        <v>47009030</v>
      </c>
      <c r="G77" s="44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4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44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4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4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4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4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4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4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3"/>
      <c r="Q77" s="43"/>
      <c r="R77" s="43"/>
    </row>
    <row r="78" spans="1:18" ht="21" customHeight="1" x14ac:dyDescent="0.15">
      <c r="A78" s="35" t="str">
        <f t="shared" si="9"/>
        <v>47009009_47009055</v>
      </c>
      <c r="B78" s="43">
        <v>47009009</v>
      </c>
      <c r="C78" s="43">
        <v>47009055</v>
      </c>
      <c r="D78" s="42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ビリビリするぞ！</v>
      </c>
      <c r="E78" s="42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8" s="43">
        <v>47009031</v>
      </c>
      <c r="G78" s="44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4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78" s="44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8" s="44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4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4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4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4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4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8" s="43"/>
      <c r="Q78" s="43"/>
      <c r="R78" s="43"/>
    </row>
    <row r="79" spans="1:18" ht="21" customHeight="1" x14ac:dyDescent="0.15">
      <c r="A79" s="35" t="str">
        <f t="shared" si="9"/>
        <v>47009009_47009056</v>
      </c>
      <c r="B79" s="43">
        <v>47009009</v>
      </c>
      <c r="C79" s="43">
        <v>47009056</v>
      </c>
      <c r="D79" s="42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これが妾の雷神たる所以よ！</v>
      </c>
      <c r="E79" s="42" t="str">
        <f ca="1">VLOOKUP($C79,OFFSET(enemy_skills!$A$1,0,0,COUNTA(enemy_skills!$A:$A),MATCH(E$1,enemy_skills!$1:$1,0)-MATCH("enemy_skill_id",enemy_skills!$1:$1,0)+1),MATCH(E$1,enemy_skills!$1:$1,0)-MATCH("enemy_skill_id",enemy_skills!$1:$1,0)+1,FALSE)</f>
        <v>残りHPの60%ダメージ！</v>
      </c>
      <c r="F79" s="43">
        <v>47009032</v>
      </c>
      <c r="G79" s="44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4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9" s="44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4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4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4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4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4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4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3"/>
      <c r="Q79" s="43"/>
      <c r="R79" s="43"/>
    </row>
    <row r="80" spans="1:18" ht="21" customHeight="1" x14ac:dyDescent="0.15">
      <c r="A80" s="35" t="str">
        <f t="shared" si="9"/>
        <v>47009010_47009060</v>
      </c>
      <c r="B80" s="43">
        <v>47009010</v>
      </c>
      <c r="C80" s="43">
        <v>47009060</v>
      </c>
      <c r="D80" s="42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ほぉ…そこまで妾をものにしたいか？</v>
      </c>
      <c r="E80" s="42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スキルバインド耐性+スリープ耐性+_x000D_白虎の力で攻撃頻度UP！</v>
      </c>
      <c r="F80" s="149">
        <v>47009033</v>
      </c>
      <c r="G80" s="44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4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0" s="44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4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4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4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4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4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4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3"/>
      <c r="Q80" s="43"/>
      <c r="R80" s="43"/>
    </row>
    <row r="81" spans="1:18" ht="21" customHeight="1" x14ac:dyDescent="0.15">
      <c r="A81" s="35" t="str">
        <f t="shared" si="9"/>
        <v>47009010_47009061</v>
      </c>
      <c r="B81" s="43">
        <v>47009010</v>
      </c>
      <c r="C81" s="43">
        <v>47009061</v>
      </c>
      <c r="D81" s="42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滾るのう…これだからやめられぬ！</v>
      </c>
      <c r="E81" s="42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赤パネルを吸収して攻撃(最大20個)</v>
      </c>
      <c r="F81" s="149">
        <v>47009034</v>
      </c>
      <c r="G81" s="44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4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1" s="44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4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4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4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4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4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4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3"/>
      <c r="Q81" s="43"/>
      <c r="R81" s="43"/>
    </row>
    <row r="82" spans="1:18" ht="21" customHeight="1" x14ac:dyDescent="0.15">
      <c r="A82" s="35" t="str">
        <f t="shared" si="9"/>
        <v>47009010_47009062</v>
      </c>
      <c r="B82" s="43">
        <v>47009010</v>
      </c>
      <c r="C82" s="43">
        <v>47009062</v>
      </c>
      <c r="D82" s="42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この熱気についてこれるか！？</v>
      </c>
      <c r="E82" s="42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全体攻撃+ランダムで赤パネルに変換(最大10個)</v>
      </c>
      <c r="F82" s="149">
        <v>47009035</v>
      </c>
      <c r="G82" s="44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4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82" s="44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2" s="44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4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4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2" s="44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4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4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2" s="43"/>
      <c r="Q82" s="43"/>
      <c r="R82" s="43"/>
    </row>
    <row r="83" spans="1:18" ht="21" customHeight="1" x14ac:dyDescent="0.15">
      <c r="A83" s="35" t="str">
        <f t="shared" si="9"/>
        <v>47009010_47009063</v>
      </c>
      <c r="B83" s="43">
        <v>47009010</v>
      </c>
      <c r="C83" s="43">
        <v>47009063</v>
      </c>
      <c r="D83" s="42" t="str">
        <f ca="1">VLOOKUP($C83,OFFSET(enemy_skills!$A$1,0,0,COUNTA(enemy_skills!$A:$A),MATCH(D$1,enemy_skills!$1:$1,0)-MATCH("enemy_skill_id",enemy_skills!$1:$1,0)+1),MATCH(D$1,enemy_skills!$1:$1,0)-MATCH("enemy_skill_id",enemy_skills!$1:$1,0)+1,FALSE)</f>
        <v>埒があかぬな…力を貸りるぞ！</v>
      </c>
      <c r="E83" s="42" t="str">
        <f ca="1">VLOOKUP($C83,OFFSET(enemy_skills!$A$1,0,0,COUNTA(enemy_skills!$A:$A),MATCH(E$1,enemy_skills!$1:$1,0)-MATCH("enemy_skill_id",enemy_skills!$1:$1,0)+1),MATCH(E$1,enemy_skills!$1:$1,0)-MATCH("enemy_skill_id",enemy_skills!$1:$1,0)+1,FALSE)</f>
        <v>青龍の力で3ターン攻撃力UP！</v>
      </c>
      <c r="F83" s="149">
        <v>47009036</v>
      </c>
      <c r="G83" s="44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4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3" s="44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4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4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4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4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3" s="44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4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3"/>
      <c r="Q83" s="43"/>
      <c r="R83" s="43"/>
    </row>
    <row r="84" spans="1:18" ht="21" customHeight="1" x14ac:dyDescent="0.15">
      <c r="A84" s="35" t="str">
        <f t="shared" si="9"/>
        <v>47009010_47009064</v>
      </c>
      <c r="B84" s="43">
        <v>47009010</v>
      </c>
      <c r="C84" s="43">
        <v>47009064</v>
      </c>
      <c r="D84" s="42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しつこい輩は嫌われるぞ？</v>
      </c>
      <c r="E84" s="42" t="str">
        <f ca="1">VLOOKUP($C84,OFFSET(enemy_skills!$A$1,0,0,COUNTA(enemy_skills!$A:$A),MATCH(E$1,enemy_skills!$1:$1,0)-MATCH("enemy_skill_id",enemy_skills!$1:$1,0)+1),MATCH(E$1,enemy_skills!$1:$1,0)-MATCH("enemy_skill_id",enemy_skills!$1:$1,0)+1,FALSE)</f>
        <v>赤パネルを吸収して全体攻撃+_x000D_青属性以外のユニットに3ターンスキルバインド</v>
      </c>
      <c r="F84" s="149">
        <v>47009037</v>
      </c>
      <c r="G84" s="44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4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4" s="44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4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4" s="44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4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4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4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4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3"/>
      <c r="Q84" s="43"/>
      <c r="R84" s="43"/>
    </row>
    <row r="85" spans="1:18" ht="21" customHeight="1" x14ac:dyDescent="0.15">
      <c r="A85" s="35" t="str">
        <f t="shared" si="9"/>
        <v>47009011_47009068</v>
      </c>
      <c r="B85" s="43">
        <v>47009011</v>
      </c>
      <c r="C85" s="43">
        <v>47009068</v>
      </c>
      <c r="D85" s="42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ええい！ならば妾の全てを受け止めてみせよ！</v>
      </c>
      <c r="E85" s="42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スキルバインド耐性+スリープ耐性+_x000D_残りHPの80%ダメージ！</v>
      </c>
      <c r="F85" s="149">
        <v>47009038</v>
      </c>
      <c r="G85" s="44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4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5" s="44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4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4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4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4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4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4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3"/>
      <c r="Q85" s="43"/>
      <c r="R85" s="43"/>
    </row>
    <row r="86" spans="1:18" ht="21" customHeight="1" x14ac:dyDescent="0.15">
      <c r="A86" s="35" t="str">
        <f t="shared" si="9"/>
        <v>47009011_47009069</v>
      </c>
      <c r="B86" s="43">
        <v>47009011</v>
      </c>
      <c r="C86" s="43">
        <v>47009069</v>
      </c>
      <c r="D86" s="42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もっとじゃ！もっと夏を満喫するのじゃ！</v>
      </c>
      <c r="E86" s="42" t="str">
        <f ca="1">VLOOKUP($C86,OFFSET(enemy_skills!$A$1,0,0,COUNTA(enemy_skills!$A:$A),MATCH(E$1,enemy_skills!$1:$1,0)-MATCH("enemy_skill_id",enemy_skills!$1:$1,0)+1),MATCH(E$1,enemy_skills!$1:$1,0)-MATCH("enemy_skill_id",enemy_skills!$1:$1,0)+1,FALSE)</f>
        <v>朱雀の力で5ターン赤パネルドロップ率UP！_x000D_8ターン後に超強力な攻撃！！</v>
      </c>
      <c r="F86" s="43">
        <v>47009039</v>
      </c>
      <c r="G86" s="44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4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6" s="44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4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4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4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4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4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4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3"/>
      <c r="Q86" s="43"/>
      <c r="R86" s="43"/>
    </row>
    <row r="87" spans="1:18" ht="21" customHeight="1" x14ac:dyDescent="0.15">
      <c r="A87" s="35" t="str">
        <f t="shared" si="9"/>
        <v>47009011_47009070</v>
      </c>
      <c r="B87" s="43">
        <v>47009011</v>
      </c>
      <c r="C87" s="43">
        <v>47009070</v>
      </c>
      <c r="D87" s="42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ここからは妾の独壇場じゃ！</v>
      </c>
      <c r="E87" s="42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全体攻撃+ランダムで赤パネルに変換(最大10個)</v>
      </c>
      <c r="F87" s="43">
        <v>47009040</v>
      </c>
      <c r="G87" s="44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4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7" s="44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4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4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4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4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4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4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3"/>
      <c r="Q87" s="43"/>
      <c r="R87" s="43"/>
    </row>
    <row r="88" spans="1:18" ht="21" customHeight="1" x14ac:dyDescent="0.15">
      <c r="A88" s="35" t="str">
        <f t="shared" si="9"/>
        <v>47009011_47009075</v>
      </c>
      <c r="B88" s="43">
        <v>47009011</v>
      </c>
      <c r="C88" s="43">
        <v>47009075</v>
      </c>
      <c r="D88" s="42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どうした？もう動けぬか？</v>
      </c>
      <c r="E88" s="42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赤パネルを吸収して全体攻撃+_x000D_青属性以外のユニットに1ターンスキルバインド</v>
      </c>
      <c r="F88" s="43">
        <v>47009041</v>
      </c>
      <c r="G88" s="44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4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8" s="44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4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4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4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4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8" s="44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4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3"/>
      <c r="Q88" s="43"/>
      <c r="R88" s="43"/>
    </row>
    <row r="89" spans="1:18" ht="21" customHeight="1" x14ac:dyDescent="0.15">
      <c r="A89" s="35" t="str">
        <f t="shared" si="9"/>
        <v>47009011_47009072</v>
      </c>
      <c r="B89" s="43">
        <v>47009011</v>
      </c>
      <c r="C89" s="43">
        <v>47009072</v>
      </c>
      <c r="D89" s="42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くっ…ここまで追いつめられるとは！</v>
      </c>
      <c r="E89" s="42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玄武の力で3ターン全属性ダメージ50%軽減！</v>
      </c>
      <c r="F89" s="43">
        <v>47009042</v>
      </c>
      <c r="G89" s="44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4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9" s="44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4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4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4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4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4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4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3"/>
      <c r="Q89" s="43"/>
      <c r="R89" s="43"/>
    </row>
    <row r="90" spans="1:18" ht="21" customHeight="1" x14ac:dyDescent="0.15">
      <c r="A90" s="35" t="str">
        <f t="shared" si="9"/>
        <v>47009011_47009073</v>
      </c>
      <c r="B90" s="43">
        <v>47009011</v>
      </c>
      <c r="C90" s="43">
        <v>47009073</v>
      </c>
      <c r="D90" s="42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残念じゃったな！妾は誰のものにもならぬ！</v>
      </c>
      <c r="E90" s="42" t="str">
        <f ca="1">VLOOKUP($C90,OFFSET(enemy_skills!$A$1,0,0,COUNTA(enemy_skills!$A:$A),MATCH(E$1,enemy_skills!$1:$1,0)-MATCH("enemy_skill_id",enemy_skills!$1:$1,0)+1),MATCH(E$1,enemy_skills!$1:$1,0)-MATCH("enemy_skill_id",enemy_skills!$1:$1,0)+1,FALSE)</f>
        <v>超強力な熱波が全てを飲み込む！</v>
      </c>
      <c r="F90" s="43">
        <v>47009043</v>
      </c>
      <c r="G90" s="44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4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90" s="44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4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4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4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4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90" s="44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4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3"/>
      <c r="Q90" s="43"/>
      <c r="R90" s="43"/>
    </row>
    <row r="91" spans="1:18" ht="21" customHeight="1" x14ac:dyDescent="0.15">
      <c r="A91" s="35" t="str">
        <f t="shared" si="9"/>
        <v>47009011_47009074</v>
      </c>
      <c r="B91" s="43">
        <v>47009011</v>
      </c>
      <c r="C91" s="43">
        <v>47009074</v>
      </c>
      <c r="D91" s="42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まいった…降参じゃ！</v>
      </c>
      <c r="E91" s="42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おぬしの熱意…まるで照りつける太陽のようじゃな…</v>
      </c>
      <c r="F91" s="43">
        <v>47009044</v>
      </c>
      <c r="G91" s="44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4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1" s="44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4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4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4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4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4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1" s="44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3"/>
      <c r="Q91" s="43"/>
      <c r="R91" s="43"/>
    </row>
    <row r="92" spans="1:18" ht="21" customHeight="1" x14ac:dyDescent="0.15">
      <c r="A92" s="35" t="str">
        <f t="shared" si="9"/>
        <v>47009012_47009060</v>
      </c>
      <c r="B92" s="147">
        <v>47009012</v>
      </c>
      <c r="C92" s="43">
        <v>47009060</v>
      </c>
      <c r="D92" s="42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ほぉ…そこまで妾をものにしたいか？</v>
      </c>
      <c r="E92" s="42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スキルバインド耐性+スリープ耐性+_x000D_白虎の力で攻撃頻度UP！</v>
      </c>
      <c r="F92" s="149">
        <v>47009033</v>
      </c>
      <c r="G92" s="44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4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44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4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4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4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4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4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4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3"/>
      <c r="Q92" s="43"/>
      <c r="R92" s="43"/>
    </row>
    <row r="93" spans="1:18" ht="21" customHeight="1" x14ac:dyDescent="0.15">
      <c r="A93" s="35" t="str">
        <f t="shared" si="9"/>
        <v>47009012_47009061</v>
      </c>
      <c r="B93" s="147">
        <v>47009012</v>
      </c>
      <c r="C93" s="43">
        <v>47009061</v>
      </c>
      <c r="D93" s="42" t="str">
        <f ca="1">VLOOKUP($C93,OFFSET(enemy_skills!$A$1,0,0,COUNTA(enemy_skills!$A:$A),MATCH(D$1,enemy_skills!$1:$1,0)-MATCH("enemy_skill_id",enemy_skills!$1:$1,0)+1),MATCH(D$1,enemy_skills!$1:$1,0)-MATCH("enemy_skill_id",enemy_skills!$1:$1,0)+1,FALSE)</f>
        <v>滾るのう…これだからやめられぬ！</v>
      </c>
      <c r="E93" s="42" t="str">
        <f ca="1">VLOOKUP($C93,OFFSET(enemy_skills!$A$1,0,0,COUNTA(enemy_skills!$A:$A),MATCH(E$1,enemy_skills!$1:$1,0)-MATCH("enemy_skill_id",enemy_skills!$1:$1,0)+1),MATCH(E$1,enemy_skills!$1:$1,0)-MATCH("enemy_skill_id",enemy_skills!$1:$1,0)+1,FALSE)</f>
        <v>赤パネルを吸収して攻撃(最大20個)</v>
      </c>
      <c r="F93" s="149">
        <v>47009034</v>
      </c>
      <c r="G93" s="44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4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3" s="44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4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4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4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4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4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4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3"/>
      <c r="Q93" s="43"/>
      <c r="R93" s="43"/>
    </row>
    <row r="94" spans="1:18" ht="21" customHeight="1" x14ac:dyDescent="0.15">
      <c r="A94" s="35" t="str">
        <f t="shared" si="9"/>
        <v>47009012_47009062</v>
      </c>
      <c r="B94" s="147">
        <v>47009012</v>
      </c>
      <c r="C94" s="43">
        <v>47009062</v>
      </c>
      <c r="D94" s="42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この熱気についてこれるか！？</v>
      </c>
      <c r="E94" s="42" t="str">
        <f ca="1">VLOOKUP($C94,OFFSET(enemy_skills!$A$1,0,0,COUNTA(enemy_skills!$A:$A),MATCH(E$1,enemy_skills!$1:$1,0)-MATCH("enemy_skill_id",enemy_skills!$1:$1,0)+1),MATCH(E$1,enemy_skills!$1:$1,0)-MATCH("enemy_skill_id",enemy_skills!$1:$1,0)+1,FALSE)</f>
        <v>全体攻撃+ランダムで赤パネルに変換(最大10個)</v>
      </c>
      <c r="F94" s="149">
        <v>47009035</v>
      </c>
      <c r="G94" s="44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4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4" s="44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4" s="44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4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4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4" s="44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4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4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4" s="43"/>
      <c r="Q94" s="43"/>
      <c r="R94" s="43"/>
    </row>
    <row r="95" spans="1:18" ht="21" customHeight="1" x14ac:dyDescent="0.15">
      <c r="A95" s="35" t="str">
        <f t="shared" si="9"/>
        <v>47009012_47009063</v>
      </c>
      <c r="B95" s="147">
        <v>47009012</v>
      </c>
      <c r="C95" s="43">
        <v>47009063</v>
      </c>
      <c r="D95" s="42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埒があかぬな…力を貸りるぞ！</v>
      </c>
      <c r="E95" s="42" t="str">
        <f ca="1">VLOOKUP($C95,OFFSET(enemy_skills!$A$1,0,0,COUNTA(enemy_skills!$A:$A),MATCH(E$1,enemy_skills!$1:$1,0)-MATCH("enemy_skill_id",enemy_skills!$1:$1,0)+1),MATCH(E$1,enemy_skills!$1:$1,0)-MATCH("enemy_skill_id",enemy_skills!$1:$1,0)+1,FALSE)</f>
        <v>青龍の力で3ターン攻撃力UP！</v>
      </c>
      <c r="F95" s="149">
        <v>47009036</v>
      </c>
      <c r="G95" s="44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4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5" s="44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4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4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4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4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5" s="44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4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3"/>
      <c r="Q95" s="43"/>
      <c r="R95" s="43"/>
    </row>
    <row r="96" spans="1:18" ht="21" customHeight="1" x14ac:dyDescent="0.15">
      <c r="A96" s="35" t="str">
        <f t="shared" si="9"/>
        <v>47009012_47009065</v>
      </c>
      <c r="B96" s="147">
        <v>47009012</v>
      </c>
      <c r="C96" s="43">
        <v>47009065</v>
      </c>
      <c r="D96" s="42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しつこい輩は嫌われるぞ？</v>
      </c>
      <c r="E96" s="42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赤パネルを吸収して全体攻撃+_x000D_青属性以外のユニットに2ターンスキルバインド</v>
      </c>
      <c r="F96" s="149">
        <v>47009037</v>
      </c>
      <c r="G96" s="44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4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6" s="44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4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6" s="44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4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4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44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4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3"/>
      <c r="Q96" s="43"/>
      <c r="R96" s="43"/>
    </row>
    <row r="97" spans="1:18" ht="21" customHeight="1" x14ac:dyDescent="0.15">
      <c r="A97" s="35" t="str">
        <f t="shared" si="9"/>
        <v>47009013_47009027</v>
      </c>
      <c r="B97" s="147">
        <v>47009013</v>
      </c>
      <c r="C97" s="43">
        <v>47009027</v>
      </c>
      <c r="D97" s="42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ドッキドキの夏だよー！</v>
      </c>
      <c r="E97" s="42" t="str">
        <f ca="1">VLOOKUP($C97,OFFSET(enemy_skills!$A$1,0,0,COUNTA(enemy_skills!$A:$A),MATCH(E$1,enemy_skills!$1:$1,0)-MATCH("enemy_skill_id",enemy_skills!$1:$1,0)+1),MATCH(E$1,enemy_skills!$1:$1,0)-MATCH("enemy_skill_id",enemy_skills!$1:$1,0)+1,FALSE)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97" s="147">
        <v>47009015</v>
      </c>
      <c r="G97" s="44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4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7" s="44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4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4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4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4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4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4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3"/>
      <c r="Q97" s="43"/>
      <c r="R97" s="43"/>
    </row>
    <row r="98" spans="1:18" ht="21" customHeight="1" x14ac:dyDescent="0.15">
      <c r="A98" s="35" t="str">
        <f t="shared" si="9"/>
        <v>47009013_47009092</v>
      </c>
      <c r="B98" s="147">
        <v>47009013</v>
      </c>
      <c r="C98" s="43">
        <v>47009092</v>
      </c>
      <c r="D98" s="42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熱いヒトは嫌いじゃないよ！</v>
      </c>
      <c r="E98" s="42" t="str">
        <f ca="1">VLOOKUP($C98,OFFSET(enemy_skills!$A$1,0,0,COUNTA(enemy_skills!$A:$A),MATCH(E$1,enemy_skills!$1:$1,0)-MATCH("enemy_skill_id",enemy_skills!$1:$1,0)+1),MATCH(E$1,enemy_skills!$1:$1,0)-MATCH("enemy_skill_id",enemy_skills!$1:$1,0)+1,FALSE)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98" s="147">
        <v>47009045</v>
      </c>
      <c r="G98" s="44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4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8" s="44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4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4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4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4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4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98" s="44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3"/>
      <c r="Q98" s="43"/>
      <c r="R98" s="43"/>
    </row>
    <row r="99" spans="1:18" ht="21" customHeight="1" x14ac:dyDescent="0.15">
      <c r="A99" s="35" t="str">
        <f t="shared" si="9"/>
        <v>47009013_47009093</v>
      </c>
      <c r="B99" s="147">
        <v>47009013</v>
      </c>
      <c r="C99" s="43">
        <v>47009093</v>
      </c>
      <c r="D99" s="42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ケモノ同士仲良くしようよ！</v>
      </c>
      <c r="E99" s="42" t="str">
        <f ca="1">VLOOKUP($C99,OFFSET(enemy_skills!$A$1,0,0,COUNTA(enemy_skills!$A:$A),MATCH(E$1,enemy_skills!$1:$1,0)-MATCH("enemy_skill_id",enemy_skills!$1:$1,0)+1),MATCH(E$1,enemy_skills!$1:$1,0)-MATCH("enemy_skill_id",enemy_skills!$1:$1,0)+1,FALSE)</f>
        <v>青属性ユニットのタップ回数を1UP！</v>
      </c>
      <c r="F99" s="148">
        <v>47009055</v>
      </c>
      <c r="G99" s="44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4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9" s="44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4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4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4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4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4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99" s="44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3"/>
      <c r="Q99" s="43"/>
      <c r="R99" s="43"/>
    </row>
    <row r="100" spans="1:18" ht="21" customHeight="1" x14ac:dyDescent="0.15">
      <c r="A100" s="35" t="str">
        <f>B100&amp;"_"&amp;C100</f>
        <v>47009013_47009119</v>
      </c>
      <c r="B100" s="189">
        <v>47009013</v>
      </c>
      <c r="C100" s="188">
        <v>47009119</v>
      </c>
      <c r="D100" s="42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その格好ならモテること間違いなしね！</v>
      </c>
      <c r="E100" s="42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0" s="187">
        <v>47009119</v>
      </c>
      <c r="G100" s="44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4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100" s="44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4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4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4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4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4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100" s="44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3"/>
      <c r="Q100" s="43"/>
      <c r="R100" s="43"/>
    </row>
    <row r="101" spans="1:18" ht="21" customHeight="1" x14ac:dyDescent="0.15">
      <c r="A101" s="35" t="str">
        <f t="shared" si="9"/>
        <v>47009013_47009094</v>
      </c>
      <c r="B101" s="147">
        <v>47009013</v>
      </c>
      <c r="C101" s="43">
        <v>47009094</v>
      </c>
      <c r="D101" s="42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バナナも美味しそうでいいな…</v>
      </c>
      <c r="E101" s="42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1" s="147">
        <v>47009047</v>
      </c>
      <c r="G101" s="44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4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1" s="44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4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4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4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4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4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101" s="44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3"/>
      <c r="Q101" s="43"/>
      <c r="R101" s="43"/>
    </row>
    <row r="102" spans="1:18" ht="21" customHeight="1" x14ac:dyDescent="0.15">
      <c r="A102" s="35" t="str">
        <f t="shared" si="9"/>
        <v>47009013_47009095</v>
      </c>
      <c r="B102" s="147">
        <v>47009013</v>
      </c>
      <c r="C102" s="43">
        <v>47009095</v>
      </c>
      <c r="D102" s="42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ひんやりするのもいいけど…_x000D_たまには熱くなりましょ！</v>
      </c>
      <c r="E102" s="42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2" s="147">
        <v>47009048</v>
      </c>
      <c r="G102" s="44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4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02" s="44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4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4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4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4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4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102" s="44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3"/>
      <c r="Q102" s="43"/>
      <c r="R102" s="43"/>
    </row>
    <row r="103" spans="1:18" ht="21" customHeight="1" x14ac:dyDescent="0.15">
      <c r="A103" s="35" t="str">
        <f t="shared" si="9"/>
        <v>47009013_47009028</v>
      </c>
      <c r="B103" s="147">
        <v>47009013</v>
      </c>
      <c r="C103" s="43">
        <v>47009028</v>
      </c>
      <c r="D103" s="42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暑い時こそ熱くならなきゃ！</v>
      </c>
      <c r="E103" s="42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赤属性に変化+3ターン攻撃力UP</v>
      </c>
      <c r="F103" s="43">
        <v>47009016</v>
      </c>
      <c r="G103" s="44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4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3" s="44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4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4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4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4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4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4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3"/>
      <c r="Q103" s="43"/>
      <c r="R103" s="43"/>
    </row>
    <row r="104" spans="1:18" ht="21" customHeight="1" x14ac:dyDescent="0.15">
      <c r="A104" s="35" t="str">
        <f t="shared" si="9"/>
        <v>47009013_47009029</v>
      </c>
      <c r="B104" s="147">
        <v>47009013</v>
      </c>
      <c r="C104" s="43">
        <v>47009029</v>
      </c>
      <c r="D104" s="42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ジェリーボールラッシュ</v>
      </c>
      <c r="E104" s="42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04" s="43">
        <v>47009017</v>
      </c>
      <c r="G104" s="44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4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4" s="44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4" s="44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4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4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4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4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4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4" s="43"/>
      <c r="Q104" s="43"/>
      <c r="R104" s="43"/>
    </row>
    <row r="105" spans="1:18" ht="21" customHeight="1" x14ac:dyDescent="0.15">
      <c r="A105" s="35" t="str">
        <f t="shared" si="9"/>
        <v>47009013_47009030</v>
      </c>
      <c r="B105" s="147">
        <v>47009013</v>
      </c>
      <c r="C105" s="43">
        <v>47009030</v>
      </c>
      <c r="D105" s="42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ヴェイパーヒート</v>
      </c>
      <c r="E105" s="42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105" s="43">
        <v>47009018</v>
      </c>
      <c r="G105" s="44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4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05" s="44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4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05" s="44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4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5" s="44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5" s="44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4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3"/>
      <c r="Q105" s="43"/>
      <c r="R105" s="43"/>
    </row>
    <row r="106" spans="1:18" ht="21" customHeight="1" x14ac:dyDescent="0.15">
      <c r="A106" s="35" t="str">
        <f t="shared" si="9"/>
        <v>47009014_47009040</v>
      </c>
      <c r="B106" s="147">
        <v>47009014</v>
      </c>
      <c r="C106" s="43">
        <v>47009040</v>
      </c>
      <c r="D106" s="42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フフ…よくこんなところまで来たね</v>
      </c>
      <c r="E106" s="42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6" s="147">
        <v>47009022</v>
      </c>
      <c r="G106" s="44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4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6" s="44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4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4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4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4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4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4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3"/>
      <c r="Q106" s="43"/>
      <c r="R106" s="43"/>
    </row>
    <row r="107" spans="1:18" ht="21" customHeight="1" x14ac:dyDescent="0.15">
      <c r="A107" s="35" t="str">
        <f t="shared" si="9"/>
        <v>47009014_47009099</v>
      </c>
      <c r="B107" s="147">
        <v>47009014</v>
      </c>
      <c r="C107" s="43">
        <v>47009099</v>
      </c>
      <c r="D107" s="42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健康的というか…なんというかその…</v>
      </c>
      <c r="E107" s="42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7" s="147">
        <v>47009045</v>
      </c>
      <c r="G107" s="44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4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7" s="44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4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4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4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4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4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107" s="44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3"/>
      <c r="Q107" s="43"/>
      <c r="R107" s="43"/>
    </row>
    <row r="108" spans="1:18" ht="21" customHeight="1" x14ac:dyDescent="0.15">
      <c r="A108" s="35" t="str">
        <f t="shared" si="9"/>
        <v>47009014_47009100</v>
      </c>
      <c r="B108" s="147">
        <v>47009014</v>
      </c>
      <c r="C108" s="43">
        <v>47009100</v>
      </c>
      <c r="D108" s="42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ペンギンたちも君の猫たちと遊びたいって</v>
      </c>
      <c r="E108" s="42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08" s="147">
        <v>47009046</v>
      </c>
      <c r="G108" s="44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4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8" s="44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4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4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4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4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4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108" s="44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3"/>
      <c r="Q108" s="43"/>
      <c r="R108" s="43"/>
    </row>
    <row r="109" spans="1:18" ht="21" customHeight="1" x14ac:dyDescent="0.15">
      <c r="A109" s="35" t="str">
        <f t="shared" si="9"/>
        <v>47009014_47009101</v>
      </c>
      <c r="B109" s="147">
        <v>47009014</v>
      </c>
      <c r="C109" s="43">
        <v>47009101</v>
      </c>
      <c r="D109" s="42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…ちょっと目のやり場に困るなぁ……</v>
      </c>
      <c r="E109" s="42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青属性ユニットの防御力UP！</v>
      </c>
      <c r="F109" s="148">
        <v>47009056</v>
      </c>
      <c r="G109" s="44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4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09" s="44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4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4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4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4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4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109" s="44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3"/>
      <c r="Q109" s="43"/>
      <c r="R109" s="43"/>
    </row>
    <row r="110" spans="1:18" ht="21" customHeight="1" x14ac:dyDescent="0.15">
      <c r="A110" s="35" t="str">
        <f t="shared" si="9"/>
        <v>47009014_47009121</v>
      </c>
      <c r="B110" s="189">
        <v>47009014</v>
      </c>
      <c r="C110" s="188">
        <v>47009121</v>
      </c>
      <c r="D110" s="42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…最近露出度の高い水着が流行ってるのかなぁ…</v>
      </c>
      <c r="E110" s="42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10" s="187">
        <v>47009121</v>
      </c>
      <c r="G110" s="44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4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110" s="44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4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4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4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4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4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1424</v>
      </c>
      <c r="O110" s="44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3"/>
      <c r="Q110" s="43"/>
      <c r="R110" s="43"/>
    </row>
    <row r="111" spans="1:18" ht="21" customHeight="1" x14ac:dyDescent="0.15">
      <c r="A111" s="35" t="str">
        <f t="shared" si="9"/>
        <v>47009014_47009102</v>
      </c>
      <c r="B111" s="147">
        <v>47009014</v>
      </c>
      <c r="C111" s="43">
        <v>47009102</v>
      </c>
      <c r="D111" s="42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宝石みたいにキラキラしてる…いいね…</v>
      </c>
      <c r="E111" s="42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(表示なし)</v>
      </c>
      <c r="F111" s="147">
        <v>47009048</v>
      </c>
      <c r="G111" s="44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4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1" s="44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4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4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4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4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4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111" s="44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3"/>
      <c r="Q111" s="43"/>
      <c r="R111" s="43"/>
    </row>
    <row r="112" spans="1:18" ht="21" customHeight="1" x14ac:dyDescent="0.15">
      <c r="A112" s="35" t="str">
        <f t="shared" si="9"/>
        <v>47009014_47009041</v>
      </c>
      <c r="B112" s="147">
        <v>47009014</v>
      </c>
      <c r="C112" s="43">
        <v>47009041</v>
      </c>
      <c r="D112" s="42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刺胞守護の契約</v>
      </c>
      <c r="E112" s="42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防御力UP+解除するまでカウンター</v>
      </c>
      <c r="F112" s="43">
        <v>47009023</v>
      </c>
      <c r="G112" s="44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4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2" s="44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4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4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4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4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4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4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3"/>
      <c r="Q112" s="43"/>
      <c r="R112" s="43"/>
    </row>
    <row r="113" spans="1:18" ht="21" customHeight="1" x14ac:dyDescent="0.15">
      <c r="A113" s="35" t="str">
        <f t="shared" si="9"/>
        <v>47009014_47009042</v>
      </c>
      <c r="B113" s="147">
        <v>47009014</v>
      </c>
      <c r="C113" s="43">
        <v>47009042</v>
      </c>
      <c r="D113" s="42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ペンギンスマッシュ</v>
      </c>
      <c r="E113" s="42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3" s="43">
        <v>47009024</v>
      </c>
      <c r="G113" s="44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4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3" s="44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13" s="44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4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4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4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4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4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13" s="43"/>
      <c r="Q113" s="43"/>
      <c r="R113" s="43"/>
    </row>
    <row r="114" spans="1:18" ht="21" customHeight="1" x14ac:dyDescent="0.15">
      <c r="A114" s="35" t="str">
        <f t="shared" si="9"/>
        <v>47009014_47009045</v>
      </c>
      <c r="B114" s="147">
        <v>47009014</v>
      </c>
      <c r="C114" s="43">
        <v>47009045</v>
      </c>
      <c r="D114" s="42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スパークリング・ジャッジ</v>
      </c>
      <c r="E114" s="42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4" s="43">
        <v>47009025</v>
      </c>
      <c r="G114" s="44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4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14" s="44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4" s="44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4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4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4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4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4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4" s="43"/>
      <c r="Q114" s="43"/>
      <c r="R114" s="43"/>
    </row>
    <row r="115" spans="1:18" ht="21" customHeight="1" x14ac:dyDescent="0.15">
      <c r="A115" s="35" t="str">
        <f t="shared" si="9"/>
        <v>47009014_47009044</v>
      </c>
      <c r="B115" s="147">
        <v>47009014</v>
      </c>
      <c r="C115" s="43">
        <v>47009044</v>
      </c>
      <c r="D115" s="42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水の中は動きにくいね…</v>
      </c>
      <c r="E115" s="42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青パネルをお邪魔パネルに変換(最大10個)</v>
      </c>
      <c r="F115" s="43">
        <v>47009026</v>
      </c>
      <c r="G115" s="44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4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15" s="44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4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4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4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4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5" s="44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4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3"/>
      <c r="Q115" s="43"/>
      <c r="R115" s="43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24"/>
  <sheetViews>
    <sheetView showGridLines="0" zoomScale="122" zoomScaleNormal="122" zoomScalePageLayoutView="122" workbookViewId="0">
      <pane ySplit="1" topLeftCell="A6" activePane="bottomLeft" state="frozenSplit"/>
      <selection pane="bottomLeft" activeCell="B10" sqref="B10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7.83203125" style="45" customWidth="1"/>
    <col min="5" max="5" width="23.6640625" style="45" bestFit="1" customWidth="1"/>
    <col min="6" max="6" width="44.1640625" style="45" bestFit="1" customWidth="1"/>
    <col min="7" max="7" width="52" style="45" customWidth="1" outlineLevel="1"/>
    <col min="8" max="8" width="18.33203125" style="45" customWidth="1" outlineLevel="1"/>
    <col min="9" max="11" width="18.6640625" style="45" customWidth="1" outlineLevel="1"/>
    <col min="12" max="12" width="23.6640625" style="45" customWidth="1"/>
    <col min="13" max="18" width="23.6640625" style="45" customWidth="1" outlineLevel="1"/>
    <col min="19" max="19" width="23.6640625" style="45" customWidth="1"/>
    <col min="20" max="24" width="23.6640625" style="45" customWidth="1" outlineLevel="1"/>
    <col min="25" max="25" width="23.6640625" style="45" customWidth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78</v>
      </c>
      <c r="B1" s="36" t="s">
        <v>79</v>
      </c>
      <c r="C1" s="36" t="s">
        <v>80</v>
      </c>
      <c r="D1" s="36" t="s">
        <v>124</v>
      </c>
      <c r="E1" s="36" t="s">
        <v>81</v>
      </c>
      <c r="F1" s="36" t="s">
        <v>82</v>
      </c>
      <c r="G1" s="37" t="s">
        <v>129</v>
      </c>
      <c r="H1" s="37" t="s">
        <v>135</v>
      </c>
      <c r="I1" s="37" t="s">
        <v>137</v>
      </c>
      <c r="J1" s="37" t="s">
        <v>136</v>
      </c>
      <c r="K1" s="37" t="s">
        <v>138</v>
      </c>
      <c r="L1" s="37" t="s">
        <v>130</v>
      </c>
      <c r="M1" s="37" t="s">
        <v>128</v>
      </c>
      <c r="N1" s="37" t="s">
        <v>131</v>
      </c>
      <c r="O1" s="37" t="s">
        <v>139</v>
      </c>
      <c r="P1" s="37" t="s">
        <v>140</v>
      </c>
      <c r="Q1" s="37" t="s">
        <v>141</v>
      </c>
      <c r="R1" s="37" t="s">
        <v>142</v>
      </c>
      <c r="S1" s="37" t="s">
        <v>132</v>
      </c>
      <c r="T1" s="37" t="s">
        <v>133</v>
      </c>
      <c r="U1" s="37" t="s">
        <v>143</v>
      </c>
      <c r="V1" s="37" t="s">
        <v>144</v>
      </c>
      <c r="W1" s="37" t="s">
        <v>145</v>
      </c>
      <c r="X1" s="37" t="s">
        <v>146</v>
      </c>
      <c r="Y1" s="37" t="s">
        <v>134</v>
      </c>
      <c r="Z1" s="37" t="s">
        <v>75</v>
      </c>
      <c r="AA1" s="37" t="s">
        <v>76</v>
      </c>
      <c r="AB1" s="37" t="s">
        <v>77</v>
      </c>
    </row>
    <row r="2" spans="1:28" ht="21" customHeight="1" x14ac:dyDescent="0.15">
      <c r="A2" s="43">
        <v>47009001</v>
      </c>
      <c r="B2" s="43" t="s">
        <v>517</v>
      </c>
      <c r="C2" s="46">
        <v>3</v>
      </c>
      <c r="D2" s="46" t="s">
        <v>256</v>
      </c>
      <c r="E2" s="47" t="s">
        <v>257</v>
      </c>
      <c r="F2" s="150" t="s">
        <v>603</v>
      </c>
      <c r="G2" s="60" t="str">
        <f t="shared" ref="G2:G33" si="0">IFERROR(LEFT(B2,FIND("]",B2)),B2)</f>
        <v>[effect:enemy_message, val1:1.5, val2:0]</v>
      </c>
      <c r="H2" s="60">
        <f>FIND("effect:",G2)+7</f>
        <v>9</v>
      </c>
      <c r="I2" s="60">
        <f>IFERROR(FIND(",",G2),LEN(G2))</f>
        <v>22</v>
      </c>
      <c r="J2" s="60" t="e">
        <f>FIND("target:",G2)+7</f>
        <v>#VALUE!</v>
      </c>
      <c r="K2" s="60">
        <f>FIND(",",G2,I2+1)</f>
        <v>32</v>
      </c>
      <c r="L2" s="60" t="str">
        <f>IFERROR(VLOOKUP(MID(G2,J2,K2-J2),[5]skilldef!$C:$D,2,FALSE),"-") &amp; " / " &amp; IFERROR(VLOOKUP(MID(G2,H2,I2-H2),[5]skilldef!$A:$B,2,FALSE),"-")</f>
        <v>- / -</v>
      </c>
      <c r="M2" s="60" t="str">
        <f t="shared" ref="M2:M33" si="1">IFERROR(RIGHT(B2,LEN(B2)-FIND("]",B2)-1),"none")</f>
        <v>none</v>
      </c>
      <c r="N2" s="44" t="str">
        <f t="shared" ref="N2:N33" si="2">IFERROR(LEFT(M2,FIND("]",M2)+S12),M2)</f>
        <v>none</v>
      </c>
      <c r="O2" s="60" t="e">
        <f>FIND("effect:",N2)+7</f>
        <v>#VALUE!</v>
      </c>
      <c r="P2" s="60">
        <f>IFERROR(FIND(",",N2),LEN(N2))</f>
        <v>4</v>
      </c>
      <c r="Q2" s="60" t="e">
        <f>FIND("target:",N2)+7</f>
        <v>#VALUE!</v>
      </c>
      <c r="R2" s="60" t="e">
        <f>FIND(",",N2,P2+1)</f>
        <v>#VALUE!</v>
      </c>
      <c r="S2" s="60" t="str">
        <f>IFERROR(VLOOKUP(MID(N2,Q2,R2-Q2),[5]skilldef!$C:$D,2,FALSE),"-") &amp; " / " &amp; IFERROR(VLOOKUP(MID(N2,O2,P2-O2),[5]skilldef!$A:$B,2,FALSE),"-")</f>
        <v>- / -</v>
      </c>
      <c r="T2" s="44" t="str">
        <f t="shared" ref="T2:T33" si="3">IFERROR(RIGHT(M2,LEN(M2)-FIND("]",M2)-1),"none")</f>
        <v>none</v>
      </c>
      <c r="U2" s="60" t="e">
        <f>FIND("effect:",T2)+7</f>
        <v>#VALUE!</v>
      </c>
      <c r="V2" s="60">
        <f>IFERROR(FIND(",",T2),LEN(T2))</f>
        <v>4</v>
      </c>
      <c r="W2" s="60" t="e">
        <f>FIND("target:",T2)+7</f>
        <v>#VALUE!</v>
      </c>
      <c r="X2" s="60" t="e">
        <f>FIND(",",T2,V2+1)</f>
        <v>#VALUE!</v>
      </c>
      <c r="Y2" s="60" t="str">
        <f>IFERROR(VLOOKUP(MID(T2,W2,X2-W2),[5]skilldef!$C:$D,2,FALSE),"-") &amp; " / " &amp; IFERROR(VLOOKUP(MID(T2,U2,V2-U2),[5]skilldef!$A:$B,2,FALSE),"-")</f>
        <v>- / -</v>
      </c>
      <c r="Z2" s="46"/>
      <c r="AA2" s="48"/>
      <c r="AB2" s="46"/>
    </row>
    <row r="3" spans="1:28" ht="21" customHeight="1" x14ac:dyDescent="0.15">
      <c r="A3" s="43">
        <v>47009002</v>
      </c>
      <c r="B3" s="43" t="s">
        <v>497</v>
      </c>
      <c r="C3" s="46">
        <v>3</v>
      </c>
      <c r="D3" s="46" t="s">
        <v>258</v>
      </c>
      <c r="E3" s="47" t="s">
        <v>259</v>
      </c>
      <c r="F3" s="47" t="s">
        <v>260</v>
      </c>
      <c r="G3" s="60" t="str">
        <f t="shared" si="0"/>
        <v>[effect:enemy_message, val1:1.3, val2:1.2]</v>
      </c>
      <c r="H3" s="60">
        <f t="shared" ref="H3:H66" si="4">FIND("effect:",G3)+7</f>
        <v>9</v>
      </c>
      <c r="I3" s="60">
        <f t="shared" ref="I3:I66" si="5">IFERROR(FIND(",",G3),LEN(G3))</f>
        <v>22</v>
      </c>
      <c r="J3" s="60" t="e">
        <f t="shared" ref="J3:J66" si="6">FIND("target:",G3)+7</f>
        <v>#VALUE!</v>
      </c>
      <c r="K3" s="60">
        <f t="shared" ref="K3:K66" si="7">FIND(",",G3,I3+1)</f>
        <v>32</v>
      </c>
      <c r="L3" s="60" t="str">
        <f>IFERROR(VLOOKUP(MID(G3,J3,K3-J3),[5]skilldef!$C:$D,2,FALSE),"-") &amp; " / " &amp; IFERROR(VLOOKUP(MID(G3,H3,I3-H3),[5]skilldef!$A:$B,2,FALSE),"-")</f>
        <v>- / -</v>
      </c>
      <c r="M3" s="60" t="str">
        <f t="shared" si="1"/>
        <v>[effect:rush, count:2, val:0.5]</v>
      </c>
      <c r="N3" s="44" t="str">
        <f t="shared" si="2"/>
        <v>[effect:rush, count:2, val:0.5]</v>
      </c>
      <c r="O3" s="60">
        <f t="shared" ref="O3:O66" si="8">FIND("effect:",N3)+7</f>
        <v>9</v>
      </c>
      <c r="P3" s="60">
        <f t="shared" ref="P3:P66" si="9">IFERROR(FIND(",",N3),LEN(N3))</f>
        <v>13</v>
      </c>
      <c r="Q3" s="60" t="e">
        <f t="shared" ref="Q3:Q66" si="10">FIND("target:",N3)+7</f>
        <v>#VALUE!</v>
      </c>
      <c r="R3" s="60">
        <f t="shared" ref="R3:R66" si="11">FIND(",",N3,P3+1)</f>
        <v>22</v>
      </c>
      <c r="S3" s="60" t="str">
        <f>IFERROR(VLOOKUP(MID(N3,Q3,R3-Q3),[5]skilldef!$C:$D,2,FALSE),"-") &amp; " / " &amp; IFERROR(VLOOKUP(MID(N3,O3,P3-O3),[5]skilldef!$A:$B,2,FALSE),"-")</f>
        <v>- / 連続攻撃</v>
      </c>
      <c r="T3" s="44" t="str">
        <f t="shared" si="3"/>
        <v>none</v>
      </c>
      <c r="U3" s="60" t="e">
        <f t="shared" ref="U3:U66" si="12">FIND("effect:",T3)+7</f>
        <v>#VALUE!</v>
      </c>
      <c r="V3" s="60">
        <f t="shared" ref="V3:V66" si="13">IFERROR(FIND(",",T3),LEN(T3))</f>
        <v>4</v>
      </c>
      <c r="W3" s="60" t="e">
        <f t="shared" ref="W3:W66" si="14">FIND("target:",T3)+7</f>
        <v>#VALUE!</v>
      </c>
      <c r="X3" s="60" t="e">
        <f t="shared" ref="X3:X66" si="15">FIND(",",T3,V3+1)</f>
        <v>#VALUE!</v>
      </c>
      <c r="Y3" s="60" t="str">
        <f>IFERROR(VLOOKUP(MID(T3,W3,X3-W3),[5]skilldef!$C:$D,2,FALSE),"-") &amp; " / " &amp; IFERROR(VLOOKUP(MID(T3,U3,V3-U3),[5]skilldef!$A:$B,2,FALSE),"-")</f>
        <v>- / -</v>
      </c>
      <c r="Z3" s="46"/>
      <c r="AA3" s="48"/>
      <c r="AB3" s="46"/>
    </row>
    <row r="4" spans="1:28" ht="21" customHeight="1" x14ac:dyDescent="0.15">
      <c r="A4" s="43">
        <v>47009003</v>
      </c>
      <c r="B4" s="43" t="s">
        <v>498</v>
      </c>
      <c r="C4" s="46">
        <v>3</v>
      </c>
      <c r="D4" s="46" t="s">
        <v>258</v>
      </c>
      <c r="E4" s="47" t="s">
        <v>261</v>
      </c>
      <c r="F4" s="47" t="s">
        <v>262</v>
      </c>
      <c r="G4" s="60" t="str">
        <f t="shared" si="0"/>
        <v>[effect:enemy_message, val1:1.2, val2:1.2]</v>
      </c>
      <c r="H4" s="60">
        <f t="shared" si="4"/>
        <v>9</v>
      </c>
      <c r="I4" s="60">
        <f t="shared" si="5"/>
        <v>22</v>
      </c>
      <c r="J4" s="60" t="e">
        <f t="shared" si="6"/>
        <v>#VALUE!</v>
      </c>
      <c r="K4" s="60">
        <f t="shared" si="7"/>
        <v>32</v>
      </c>
      <c r="L4" s="60" t="str">
        <f>IFERROR(VLOOKUP(MID(G4,J4,K4-J4),[5]skilldef!$C:$D,2,FALSE),"-") &amp; " / " &amp; IFERROR(VLOOKUP(MID(G4,H4,I4-H4),[5]skilldef!$A:$B,2,FALSE),"-")</f>
        <v>- / -</v>
      </c>
      <c r="M4" s="60" t="str">
        <f t="shared" si="1"/>
        <v>[effect:critical, val:1.2]</v>
      </c>
      <c r="N4" s="44" t="str">
        <f t="shared" si="2"/>
        <v>[effect:critical, val:1.2]</v>
      </c>
      <c r="O4" s="60">
        <f t="shared" si="8"/>
        <v>9</v>
      </c>
      <c r="P4" s="60">
        <f t="shared" si="9"/>
        <v>17</v>
      </c>
      <c r="Q4" s="60" t="e">
        <f t="shared" si="10"/>
        <v>#VALUE!</v>
      </c>
      <c r="R4" s="60" t="e">
        <f t="shared" si="11"/>
        <v>#VALUE!</v>
      </c>
      <c r="S4" s="60" t="str">
        <f>IFERROR(VLOOKUP(MID(N4,Q4,R4-Q4),[5]skilldef!$C:$D,2,FALSE),"-") &amp; " / " &amp; IFERROR(VLOOKUP(MID(N4,O4,P4-O4),[5]skilldef!$A:$B,2,FALSE),"-")</f>
        <v>- / 大攻撃</v>
      </c>
      <c r="T4" s="44" t="str">
        <f t="shared" si="3"/>
        <v>none</v>
      </c>
      <c r="U4" s="60" t="e">
        <f t="shared" si="12"/>
        <v>#VALUE!</v>
      </c>
      <c r="V4" s="60">
        <f t="shared" si="13"/>
        <v>4</v>
      </c>
      <c r="W4" s="60" t="e">
        <f t="shared" si="14"/>
        <v>#VALUE!</v>
      </c>
      <c r="X4" s="60" t="e">
        <f t="shared" si="15"/>
        <v>#VALUE!</v>
      </c>
      <c r="Y4" s="60" t="str">
        <f>IFERROR(VLOOKUP(MID(T4,W4,X4-W4),[5]skilldef!$C:$D,2,FALSE),"-") &amp; " / " &amp; IFERROR(VLOOKUP(MID(T4,U4,V4-U4),[5]skilldef!$A:$B,2,FALSE),"-")</f>
        <v>- / -</v>
      </c>
      <c r="Z4" s="46"/>
      <c r="AA4" s="48"/>
      <c r="AB4" s="46"/>
    </row>
    <row r="5" spans="1:28" ht="21" customHeight="1" x14ac:dyDescent="0.15">
      <c r="A5" s="43">
        <v>47009004</v>
      </c>
      <c r="B5" s="43" t="s">
        <v>551</v>
      </c>
      <c r="C5" s="46">
        <v>3</v>
      </c>
      <c r="D5" s="46" t="s">
        <v>258</v>
      </c>
      <c r="E5" s="47" t="s">
        <v>263</v>
      </c>
      <c r="F5" s="47" t="s">
        <v>548</v>
      </c>
      <c r="G5" s="60" t="str">
        <f t="shared" si="0"/>
        <v>[effect:enemy_message, val1:1.2, val2:1.2]</v>
      </c>
      <c r="H5" s="60">
        <f t="shared" si="4"/>
        <v>9</v>
      </c>
      <c r="I5" s="60">
        <f t="shared" si="5"/>
        <v>22</v>
      </c>
      <c r="J5" s="60" t="e">
        <f t="shared" si="6"/>
        <v>#VALUE!</v>
      </c>
      <c r="K5" s="60">
        <f t="shared" si="7"/>
        <v>32</v>
      </c>
      <c r="L5" s="60" t="str">
        <f>IFERROR(VLOOKUP(MID(G5,J5,K5-J5),[5]skilldef!$C:$D,2,FALSE),"-") &amp; " / " &amp; IFERROR(VLOOKUP(MID(G5,H5,I5-H5),[5]skilldef!$A:$B,2,FALSE),"-")</f>
        <v>- / -</v>
      </c>
      <c r="M5" s="60" t="str">
        <f t="shared" si="1"/>
        <v>[effect:enhance_enemy, target:myself, turn:-1, status:attack, val:0.5, calc:mul, animation:enemy_enhance_attack],[effect:enhance_enemy, target:myself, turn:-1, status:defense, val:2500, calc:add, animation:enemy_enhance_defense]</v>
      </c>
      <c r="N5" s="44" t="str">
        <f t="shared" si="2"/>
        <v>[effect:enhance_enemy, target:myself, turn:-1, status:attack, val:0.5, calc:mul, animation:enemy_enhance_attack],[effect:enhance_enemy, target:myself, turn:-1, status:defense, val:2500, calc:add, animation:enemy_enhance_defense]</v>
      </c>
      <c r="O5" s="60">
        <f t="shared" si="8"/>
        <v>9</v>
      </c>
      <c r="P5" s="60">
        <f t="shared" si="9"/>
        <v>22</v>
      </c>
      <c r="Q5" s="60">
        <f t="shared" si="10"/>
        <v>31</v>
      </c>
      <c r="R5" s="60">
        <f t="shared" si="11"/>
        <v>37</v>
      </c>
      <c r="S5" s="60" t="str">
        <f>IFERROR(VLOOKUP(MID(N5,Q5,R5-Q5),[5]skilldef!$C:$D,2,FALSE),"-") &amp; " / " &amp; IFERROR(VLOOKUP(MID(N5,O5,P5-O5),[5]skilldef!$A:$B,2,FALSE),"-")</f>
        <v>自分自身に / ステータス強化</v>
      </c>
      <c r="T5" s="44" t="str">
        <f t="shared" si="3"/>
        <v>[effect:enhance_enemy, target:myself, turn:-1, status:defense, val:2500, calc:add, animation:enemy_enhance_defense]</v>
      </c>
      <c r="U5" s="60">
        <f t="shared" si="12"/>
        <v>9</v>
      </c>
      <c r="V5" s="60">
        <f t="shared" si="13"/>
        <v>22</v>
      </c>
      <c r="W5" s="60">
        <f t="shared" si="14"/>
        <v>31</v>
      </c>
      <c r="X5" s="60">
        <f t="shared" si="15"/>
        <v>37</v>
      </c>
      <c r="Y5" s="60" t="str">
        <f>IFERROR(VLOOKUP(MID(T5,W5,X5-W5),[5]skilldef!$C:$D,2,FALSE),"-") &amp; " / " &amp; IFERROR(VLOOKUP(MID(T5,U5,V5-U5),[5]skilldef!$A:$B,2,FALSE),"-")</f>
        <v>自分自身に / ステータス強化</v>
      </c>
      <c r="Z5" s="46"/>
      <c r="AA5" s="48"/>
      <c r="AB5" s="46"/>
    </row>
    <row r="6" spans="1:28" ht="21" customHeight="1" x14ac:dyDescent="0.15">
      <c r="A6" s="43">
        <v>47009005</v>
      </c>
      <c r="B6" s="43" t="s">
        <v>552</v>
      </c>
      <c r="C6" s="46">
        <v>3</v>
      </c>
      <c r="D6" s="46" t="s">
        <v>258</v>
      </c>
      <c r="E6" s="151" t="s">
        <v>264</v>
      </c>
      <c r="F6" s="152" t="s">
        <v>550</v>
      </c>
      <c r="G6" s="60" t="str">
        <f t="shared" si="0"/>
        <v>[effect:enemy_message, val1:1.2, val2:1.7]</v>
      </c>
      <c r="H6" s="60">
        <f t="shared" si="4"/>
        <v>9</v>
      </c>
      <c r="I6" s="60">
        <f t="shared" si="5"/>
        <v>22</v>
      </c>
      <c r="J6" s="60" t="e">
        <f t="shared" si="6"/>
        <v>#VALUE!</v>
      </c>
      <c r="K6" s="60">
        <f t="shared" si="7"/>
        <v>32</v>
      </c>
      <c r="L6" s="60" t="str">
        <f>IFERROR(VLOOKUP(MID(G6,J6,K6-J6),[5]skilldef!$C:$D,2,FALSE),"-") &amp; " / " &amp; IFERROR(VLOOKUP(MID(G6,H6,I6-H6),[5]skilldef!$A:$B,2,FALSE),"-")</f>
        <v>- / -</v>
      </c>
      <c r="M6" s="60" t="str">
        <f t="shared" si="1"/>
        <v xml:space="preserve">[effect:change_attribute, target:enemy_all, color:green, turn:-1, animation:change_attribute_green],[effect:freq_turn, target:myself, turn:1, val:1, animation:enemy_freq_turn]    </v>
      </c>
      <c r="N6" s="44" t="str">
        <f t="shared" si="2"/>
        <v xml:space="preserve">[effect:change_attribute, target:enemy_all, color:green, turn:-1, animation:change_attribute_green],[effect:freq_turn, target:myself, turn:1, val:1, animation:enemy_freq_turn]    </v>
      </c>
      <c r="O6" s="60">
        <f t="shared" si="8"/>
        <v>9</v>
      </c>
      <c r="P6" s="60">
        <f t="shared" si="9"/>
        <v>25</v>
      </c>
      <c r="Q6" s="60">
        <f t="shared" si="10"/>
        <v>34</v>
      </c>
      <c r="R6" s="60">
        <f t="shared" si="11"/>
        <v>43</v>
      </c>
      <c r="S6" s="60" t="str">
        <f>IFERROR(VLOOKUP(MID(N6,Q6,R6-Q6),[5]skilldef!$C:$D,2,FALSE),"-") &amp; " / " &amp; IFERROR(VLOOKUP(MID(N6,O6,P6-O6),[5]skilldef!$A:$B,2,FALSE),"-")</f>
        <v>敵全体に / -</v>
      </c>
      <c r="T6" s="44" t="str">
        <f t="shared" si="3"/>
        <v xml:space="preserve">[effect:freq_turn, target:myself, turn:1, val:1, animation:enemy_freq_turn]    </v>
      </c>
      <c r="U6" s="60">
        <f t="shared" si="12"/>
        <v>9</v>
      </c>
      <c r="V6" s="60">
        <f t="shared" si="13"/>
        <v>18</v>
      </c>
      <c r="W6" s="60">
        <f t="shared" si="14"/>
        <v>27</v>
      </c>
      <c r="X6" s="60">
        <f t="shared" si="15"/>
        <v>33</v>
      </c>
      <c r="Y6" s="60" t="str">
        <f>IFERROR(VLOOKUP(MID(T6,W6,X6-W6),[5]skilldef!$C:$D,2,FALSE),"-") &amp; " / " &amp; IFERROR(VLOOKUP(MID(T6,U6,V6-U6),[5]skilldef!$A:$B,2,FALSE),"-")</f>
        <v>自分自身に / 攻撃頻度がUP</v>
      </c>
      <c r="Z6" s="46"/>
      <c r="AA6" s="48"/>
      <c r="AB6" s="46"/>
    </row>
    <row r="7" spans="1:28" ht="21" customHeight="1" x14ac:dyDescent="0.15">
      <c r="A7" s="43">
        <v>47009006</v>
      </c>
      <c r="B7" s="43" t="s">
        <v>511</v>
      </c>
      <c r="C7" s="46">
        <v>3</v>
      </c>
      <c r="D7" s="46" t="s">
        <v>258</v>
      </c>
      <c r="E7" s="153" t="s">
        <v>265</v>
      </c>
      <c r="F7" s="153" t="s">
        <v>265</v>
      </c>
      <c r="G7" s="60" t="str">
        <f t="shared" si="0"/>
        <v>[effect:enemy_message, val1:1.2, val2:1.2]</v>
      </c>
      <c r="H7" s="60">
        <f t="shared" si="4"/>
        <v>9</v>
      </c>
      <c r="I7" s="60">
        <f t="shared" si="5"/>
        <v>22</v>
      </c>
      <c r="J7" s="60" t="e">
        <f t="shared" si="6"/>
        <v>#VALUE!</v>
      </c>
      <c r="K7" s="60">
        <f t="shared" si="7"/>
        <v>32</v>
      </c>
      <c r="L7" s="60" t="str">
        <f>IFERROR(VLOOKUP(MID(G7,J7,K7-J7),[5]skilldef!$C:$D,2,FALSE),"-") &amp; " / " &amp; IFERROR(VLOOKUP(MID(G7,H7,I7-H7),[5]skilldef!$A:$B,2,FALSE),"-")</f>
        <v>- / -</v>
      </c>
      <c r="M7" s="60" t="str">
        <f t="shared" si="1"/>
        <v>none</v>
      </c>
      <c r="N7" s="44" t="str">
        <f t="shared" si="2"/>
        <v>none</v>
      </c>
      <c r="O7" s="60" t="e">
        <f t="shared" si="8"/>
        <v>#VALUE!</v>
      </c>
      <c r="P7" s="60">
        <f t="shared" si="9"/>
        <v>4</v>
      </c>
      <c r="Q7" s="60" t="e">
        <f t="shared" si="10"/>
        <v>#VALUE!</v>
      </c>
      <c r="R7" s="60" t="e">
        <f t="shared" si="11"/>
        <v>#VALUE!</v>
      </c>
      <c r="S7" s="60" t="str">
        <f>IFERROR(VLOOKUP(MID(N7,Q7,R7-Q7),[5]skilldef!$C:$D,2,FALSE),"-") &amp; " / " &amp; IFERROR(VLOOKUP(MID(N7,O7,P7-O7),[5]skilldef!$A:$B,2,FALSE),"-")</f>
        <v>- / -</v>
      </c>
      <c r="T7" s="44" t="str">
        <f t="shared" si="3"/>
        <v>none</v>
      </c>
      <c r="U7" s="60" t="e">
        <f t="shared" si="12"/>
        <v>#VALUE!</v>
      </c>
      <c r="V7" s="60">
        <f t="shared" si="13"/>
        <v>4</v>
      </c>
      <c r="W7" s="60" t="e">
        <f t="shared" si="14"/>
        <v>#VALUE!</v>
      </c>
      <c r="X7" s="60" t="e">
        <f t="shared" si="15"/>
        <v>#VALUE!</v>
      </c>
      <c r="Y7" s="60" t="str">
        <f>IFERROR(VLOOKUP(MID(T7,W7,X7-W7),[5]skilldef!$C:$D,2,FALSE),"-") &amp; " / " &amp; IFERROR(VLOOKUP(MID(T7,U7,V7-U7),[5]skilldef!$A:$B,2,FALSE),"-")</f>
        <v>- / -</v>
      </c>
      <c r="Z7" s="46"/>
      <c r="AA7" s="48"/>
      <c r="AB7" s="46"/>
    </row>
    <row r="8" spans="1:28" ht="21" customHeight="1" x14ac:dyDescent="0.15">
      <c r="A8" s="43">
        <v>47009007</v>
      </c>
      <c r="B8" s="43" t="s">
        <v>511</v>
      </c>
      <c r="C8" s="46">
        <v>3</v>
      </c>
      <c r="D8" s="46" t="s">
        <v>258</v>
      </c>
      <c r="E8" s="153" t="s">
        <v>265</v>
      </c>
      <c r="F8" s="153" t="s">
        <v>265</v>
      </c>
      <c r="G8" s="60" t="str">
        <f t="shared" si="0"/>
        <v>[effect:enemy_message, val1:1.2, val2:1.2]</v>
      </c>
      <c r="H8" s="60">
        <f t="shared" si="4"/>
        <v>9</v>
      </c>
      <c r="I8" s="60">
        <f t="shared" si="5"/>
        <v>22</v>
      </c>
      <c r="J8" s="60" t="e">
        <f t="shared" si="6"/>
        <v>#VALUE!</v>
      </c>
      <c r="K8" s="60">
        <f t="shared" si="7"/>
        <v>32</v>
      </c>
      <c r="L8" s="60" t="str">
        <f>IFERROR(VLOOKUP(MID(G8,J8,K8-J8),[5]skilldef!$C:$D,2,FALSE),"-") &amp; " / " &amp; IFERROR(VLOOKUP(MID(G8,H8,I8-H8),[5]skilldef!$A:$B,2,FALSE),"-")</f>
        <v>- / -</v>
      </c>
      <c r="M8" s="60" t="str">
        <f t="shared" si="1"/>
        <v>none</v>
      </c>
      <c r="N8" s="44" t="str">
        <f t="shared" si="2"/>
        <v>none</v>
      </c>
      <c r="O8" s="60" t="e">
        <f t="shared" si="8"/>
        <v>#VALUE!</v>
      </c>
      <c r="P8" s="60">
        <f t="shared" si="9"/>
        <v>4</v>
      </c>
      <c r="Q8" s="60" t="e">
        <f t="shared" si="10"/>
        <v>#VALUE!</v>
      </c>
      <c r="R8" s="60" t="e">
        <f t="shared" si="11"/>
        <v>#VALUE!</v>
      </c>
      <c r="S8" s="60" t="str">
        <f>IFERROR(VLOOKUP(MID(N8,Q8,R8-Q8),[5]skilldef!$C:$D,2,FALSE),"-") &amp; " / " &amp; IFERROR(VLOOKUP(MID(N8,O8,P8-O8),[5]skilldef!$A:$B,2,FALSE),"-")</f>
        <v>- / -</v>
      </c>
      <c r="T8" s="44" t="str">
        <f t="shared" si="3"/>
        <v>none</v>
      </c>
      <c r="U8" s="60" t="e">
        <f t="shared" si="12"/>
        <v>#VALUE!</v>
      </c>
      <c r="V8" s="60">
        <f t="shared" si="13"/>
        <v>4</v>
      </c>
      <c r="W8" s="60" t="e">
        <f t="shared" si="14"/>
        <v>#VALUE!</v>
      </c>
      <c r="X8" s="60" t="e">
        <f t="shared" si="15"/>
        <v>#VALUE!</v>
      </c>
      <c r="Y8" s="60" t="str">
        <f>IFERROR(VLOOKUP(MID(T8,W8,X8-W8),[5]skilldef!$C:$D,2,FALSE),"-") &amp; " / " &amp; IFERROR(VLOOKUP(MID(T8,U8,V8-U8),[5]skilldef!$A:$B,2,FALSE),"-")</f>
        <v>- / -</v>
      </c>
      <c r="Z8" s="46"/>
      <c r="AA8" s="48"/>
      <c r="AB8" s="46"/>
    </row>
    <row r="9" spans="1:28" ht="21" customHeight="1" x14ac:dyDescent="0.15">
      <c r="A9" s="43">
        <v>47009008</v>
      </c>
      <c r="B9" s="43" t="s">
        <v>514</v>
      </c>
      <c r="C9" s="46">
        <v>3</v>
      </c>
      <c r="D9" s="46" t="s">
        <v>258</v>
      </c>
      <c r="E9" s="47" t="s">
        <v>266</v>
      </c>
      <c r="F9" s="150" t="s">
        <v>603</v>
      </c>
      <c r="G9" s="60" t="str">
        <f t="shared" si="0"/>
        <v>[effect:enemy_message, val1:1.2, val2:0]</v>
      </c>
      <c r="H9" s="60">
        <f t="shared" si="4"/>
        <v>9</v>
      </c>
      <c r="I9" s="60">
        <f t="shared" si="5"/>
        <v>22</v>
      </c>
      <c r="J9" s="60" t="e">
        <f t="shared" si="6"/>
        <v>#VALUE!</v>
      </c>
      <c r="K9" s="60">
        <f t="shared" si="7"/>
        <v>32</v>
      </c>
      <c r="L9" s="60" t="str">
        <f>IFERROR(VLOOKUP(MID(G9,J9,K9-J9),[5]skilldef!$C:$D,2,FALSE),"-") &amp; " / " &amp; IFERROR(VLOOKUP(MID(G9,H9,I9-H9),[5]skilldef!$A:$B,2,FALSE),"-")</f>
        <v>- / -</v>
      </c>
      <c r="M9" s="60" t="str">
        <f t="shared" si="1"/>
        <v>[effect:fix_speed, target:myself, turn:1]</v>
      </c>
      <c r="N9" s="44" t="str">
        <f t="shared" si="2"/>
        <v>[effect:fix_speed, target:myself, turn:1]</v>
      </c>
      <c r="O9" s="60">
        <f t="shared" si="8"/>
        <v>9</v>
      </c>
      <c r="P9" s="60">
        <f t="shared" si="9"/>
        <v>18</v>
      </c>
      <c r="Q9" s="60">
        <f t="shared" si="10"/>
        <v>27</v>
      </c>
      <c r="R9" s="60">
        <f t="shared" si="11"/>
        <v>33</v>
      </c>
      <c r="S9" s="60" t="str">
        <f>IFERROR(VLOOKUP(MID(N9,Q9,R9-Q9),[5]skilldef!$C:$D,2,FALSE),"-") &amp; " / " &amp; IFERROR(VLOOKUP(MID(N9,O9,P9-O9),[5]skilldef!$A:$B,2,FALSE),"-")</f>
        <v>自分自身に / 行動値設定</v>
      </c>
      <c r="T9" s="44" t="str">
        <f t="shared" si="3"/>
        <v>none</v>
      </c>
      <c r="U9" s="60" t="e">
        <f t="shared" si="12"/>
        <v>#VALUE!</v>
      </c>
      <c r="V9" s="60">
        <f t="shared" si="13"/>
        <v>4</v>
      </c>
      <c r="W9" s="60" t="e">
        <f t="shared" si="14"/>
        <v>#VALUE!</v>
      </c>
      <c r="X9" s="60" t="e">
        <f t="shared" si="15"/>
        <v>#VALUE!</v>
      </c>
      <c r="Y9" s="60" t="str">
        <f>IFERROR(VLOOKUP(MID(T9,W9,X9-W9),[5]skilldef!$C:$D,2,FALSE),"-") &amp; " / " &amp; IFERROR(VLOOKUP(MID(T9,U9,V9-U9),[5]skilldef!$A:$B,2,FALSE),"-")</f>
        <v>- / -</v>
      </c>
      <c r="Z9" s="46"/>
      <c r="AA9" s="48"/>
      <c r="AB9" s="46"/>
    </row>
    <row r="10" spans="1:28" ht="21" customHeight="1" x14ac:dyDescent="0.15">
      <c r="A10" s="43">
        <v>47009009</v>
      </c>
      <c r="B10" s="43" t="s">
        <v>620</v>
      </c>
      <c r="C10" s="46">
        <v>3</v>
      </c>
      <c r="D10" s="46" t="s">
        <v>258</v>
      </c>
      <c r="E10" s="47" t="s">
        <v>267</v>
      </c>
      <c r="F10" s="47" t="s">
        <v>619</v>
      </c>
      <c r="G10" s="60" t="str">
        <f t="shared" si="0"/>
        <v>[effect:enemy_message, val1:1.7, val2:5.4]</v>
      </c>
      <c r="H10" s="60">
        <f t="shared" si="4"/>
        <v>9</v>
      </c>
      <c r="I10" s="60">
        <f t="shared" si="5"/>
        <v>22</v>
      </c>
      <c r="J10" s="60" t="e">
        <f t="shared" si="6"/>
        <v>#VALUE!</v>
      </c>
      <c r="K10" s="60">
        <f t="shared" si="7"/>
        <v>32</v>
      </c>
      <c r="L10" s="60" t="str">
        <f>IFERROR(VLOOKUP(MID(G10,J10,K10-J10),[5]skilldef!$C:$D,2,FALSE),"-") &amp; " / " &amp; IFERROR(VLOOKUP(MID(G10,H10,I10-H10),[5]skilldef!$A:$B,2,FALSE),"-")</f>
        <v>- / -</v>
      </c>
      <c r="M10" s="60" t="str">
        <f t="shared" si="1"/>
        <v>[effect:drop_block,block_type:crack_bomb,color:block_blue,val:8,rate:0.3,turn:-1],[effect:sp_boost, target:unit_all, val:3, animation:sp_boost_one03],[effect:suicide, val:1, dead_type:escape, target:myself]</v>
      </c>
      <c r="N10" s="44" t="str">
        <f t="shared" si="2"/>
        <v>[effect:drop_block,block_type:crack_bomb,color:block_blue,val:8,rate:0.3,turn:-1],[effect:sp_boost, target:unit_all, val:3, animation:sp_boost_one03],[effect:suicide, val:1, dead_type:escape, target:myself]</v>
      </c>
      <c r="O10" s="60">
        <f t="shared" si="8"/>
        <v>9</v>
      </c>
      <c r="P10" s="60">
        <f t="shared" si="9"/>
        <v>19</v>
      </c>
      <c r="Q10" s="60">
        <f t="shared" si="10"/>
        <v>108</v>
      </c>
      <c r="R10" s="60">
        <f t="shared" si="11"/>
        <v>41</v>
      </c>
      <c r="S10" s="60" t="str">
        <f>IFERROR(VLOOKUP(MID(N10,Q10,R10-Q10),[5]skilldef!$C:$D,2,FALSE),"-") &amp; " / " &amp; IFERROR(VLOOKUP(MID(N10,O10,P10-O10),[5]skilldef!$A:$B,2,FALSE),"-")</f>
        <v>- / 特定ブロックの割合ドロップ</v>
      </c>
      <c r="T10" s="44" t="str">
        <f t="shared" si="3"/>
        <v>[effect:sp_boost, target:unit_all, val:3, animation:sp_boost_one03],[effect:suicide, val:1, dead_type:escape, target:myself]</v>
      </c>
      <c r="U10" s="60">
        <f t="shared" si="12"/>
        <v>9</v>
      </c>
      <c r="V10" s="60">
        <f t="shared" si="13"/>
        <v>17</v>
      </c>
      <c r="W10" s="60">
        <f t="shared" si="14"/>
        <v>26</v>
      </c>
      <c r="X10" s="60">
        <f t="shared" si="15"/>
        <v>34</v>
      </c>
      <c r="Y10" s="60" t="str">
        <f>IFERROR(VLOOKUP(MID(T10,W10,X10-W10),[5]skilldef!$C:$D,2,FALSE),"-") &amp; " / " &amp; IFERROR(VLOOKUP(MID(T10,U10,V10-U10),[5]skilldef!$A:$B,2,FALSE),"-")</f>
        <v>味方全体に / -</v>
      </c>
      <c r="Z10" s="46"/>
      <c r="AA10" s="48"/>
      <c r="AB10" s="46"/>
    </row>
    <row r="11" spans="1:28" ht="21" customHeight="1" x14ac:dyDescent="0.15">
      <c r="A11" s="43">
        <v>47009010</v>
      </c>
      <c r="B11" s="43" t="s">
        <v>511</v>
      </c>
      <c r="C11" s="46">
        <v>3</v>
      </c>
      <c r="D11" s="46" t="s">
        <v>258</v>
      </c>
      <c r="E11" s="151" t="s">
        <v>265</v>
      </c>
      <c r="F11" s="151" t="s">
        <v>265</v>
      </c>
      <c r="G11" s="60" t="str">
        <f t="shared" si="0"/>
        <v>[effect:enemy_message, val1:1.2, val2:1.2]</v>
      </c>
      <c r="H11" s="60">
        <f t="shared" si="4"/>
        <v>9</v>
      </c>
      <c r="I11" s="60">
        <f t="shared" si="5"/>
        <v>22</v>
      </c>
      <c r="J11" s="60" t="e">
        <f t="shared" si="6"/>
        <v>#VALUE!</v>
      </c>
      <c r="K11" s="60">
        <f t="shared" si="7"/>
        <v>32</v>
      </c>
      <c r="L11" s="60" t="str">
        <f>IFERROR(VLOOKUP(MID(G11,J11,K11-J11),[5]skilldef!$C:$D,2,FALSE),"-") &amp; " / " &amp; IFERROR(VLOOKUP(MID(G11,H11,I11-H11),[5]skilldef!$A:$B,2,FALSE),"-")</f>
        <v>- / -</v>
      </c>
      <c r="M11" s="60" t="str">
        <f t="shared" si="1"/>
        <v>none</v>
      </c>
      <c r="N11" s="44" t="str">
        <f t="shared" si="2"/>
        <v>none</v>
      </c>
      <c r="O11" s="60" t="e">
        <f t="shared" si="8"/>
        <v>#VALUE!</v>
      </c>
      <c r="P11" s="60">
        <f t="shared" si="9"/>
        <v>4</v>
      </c>
      <c r="Q11" s="60" t="e">
        <f t="shared" si="10"/>
        <v>#VALUE!</v>
      </c>
      <c r="R11" s="60" t="e">
        <f t="shared" si="11"/>
        <v>#VALUE!</v>
      </c>
      <c r="S11" s="60" t="str">
        <f>IFERROR(VLOOKUP(MID(N11,Q11,R11-Q11),[5]skilldef!$C:$D,2,FALSE),"-") &amp; " / " &amp; IFERROR(VLOOKUP(MID(N11,O11,P11-O11),[5]skilldef!$A:$B,2,FALSE),"-")</f>
        <v>- / -</v>
      </c>
      <c r="T11" s="44" t="str">
        <f t="shared" si="3"/>
        <v>none</v>
      </c>
      <c r="U11" s="60" t="e">
        <f t="shared" si="12"/>
        <v>#VALUE!</v>
      </c>
      <c r="V11" s="60">
        <f t="shared" si="13"/>
        <v>4</v>
      </c>
      <c r="W11" s="60" t="e">
        <f t="shared" si="14"/>
        <v>#VALUE!</v>
      </c>
      <c r="X11" s="60" t="e">
        <f t="shared" si="15"/>
        <v>#VALUE!</v>
      </c>
      <c r="Y11" s="60" t="str">
        <f>IFERROR(VLOOKUP(MID(T11,W11,X11-W11),[5]skilldef!$C:$D,2,FALSE),"-") &amp; " / " &amp; IFERROR(VLOOKUP(MID(T11,U11,V11-U11),[5]skilldef!$A:$B,2,FALSE),"-")</f>
        <v>- / -</v>
      </c>
      <c r="Z11" s="46"/>
      <c r="AA11" s="48"/>
      <c r="AB11" s="46"/>
    </row>
    <row r="12" spans="1:28" ht="21" customHeight="1" x14ac:dyDescent="0.15">
      <c r="A12" s="43">
        <v>47009011</v>
      </c>
      <c r="B12" s="43" t="s">
        <v>511</v>
      </c>
      <c r="C12" s="46">
        <v>3</v>
      </c>
      <c r="D12" s="46" t="s">
        <v>258</v>
      </c>
      <c r="E12" s="153" t="s">
        <v>265</v>
      </c>
      <c r="F12" s="153" t="s">
        <v>265</v>
      </c>
      <c r="G12" s="60" t="str">
        <f t="shared" si="0"/>
        <v>[effect:enemy_message, val1:1.2, val2:1.2]</v>
      </c>
      <c r="H12" s="60">
        <f t="shared" si="4"/>
        <v>9</v>
      </c>
      <c r="I12" s="60">
        <f t="shared" si="5"/>
        <v>22</v>
      </c>
      <c r="J12" s="60" t="e">
        <f t="shared" si="6"/>
        <v>#VALUE!</v>
      </c>
      <c r="K12" s="60">
        <f t="shared" si="7"/>
        <v>32</v>
      </c>
      <c r="L12" s="60" t="str">
        <f>IFERROR(VLOOKUP(MID(G12,J12,K12-J12),[5]skilldef!$C:$D,2,FALSE),"-") &amp; " / " &amp; IFERROR(VLOOKUP(MID(G12,H12,I12-H12),[5]skilldef!$A:$B,2,FALSE),"-")</f>
        <v>- / -</v>
      </c>
      <c r="M12" s="60" t="str">
        <f t="shared" si="1"/>
        <v>none</v>
      </c>
      <c r="N12" s="44" t="str">
        <f t="shared" si="2"/>
        <v>none</v>
      </c>
      <c r="O12" s="60" t="e">
        <f t="shared" si="8"/>
        <v>#VALUE!</v>
      </c>
      <c r="P12" s="60">
        <f t="shared" si="9"/>
        <v>4</v>
      </c>
      <c r="Q12" s="60" t="e">
        <f t="shared" si="10"/>
        <v>#VALUE!</v>
      </c>
      <c r="R12" s="60" t="e">
        <f t="shared" si="11"/>
        <v>#VALUE!</v>
      </c>
      <c r="S12" s="60" t="str">
        <f>IFERROR(VLOOKUP(MID(N12,Q12,R12-Q12),[5]skilldef!$C:$D,2,FALSE),"-") &amp; " / " &amp; IFERROR(VLOOKUP(MID(N12,O12,P12-O12),[5]skilldef!$A:$B,2,FALSE),"-")</f>
        <v>- / -</v>
      </c>
      <c r="T12" s="44" t="str">
        <f t="shared" si="3"/>
        <v>none</v>
      </c>
      <c r="U12" s="60" t="e">
        <f t="shared" si="12"/>
        <v>#VALUE!</v>
      </c>
      <c r="V12" s="60">
        <f t="shared" si="13"/>
        <v>4</v>
      </c>
      <c r="W12" s="60" t="e">
        <f t="shared" si="14"/>
        <v>#VALUE!</v>
      </c>
      <c r="X12" s="60" t="e">
        <f t="shared" si="15"/>
        <v>#VALUE!</v>
      </c>
      <c r="Y12" s="60" t="str">
        <f>IFERROR(VLOOKUP(MID(T12,W12,X12-W12),[5]skilldef!$C:$D,2,FALSE),"-") &amp; " / " &amp; IFERROR(VLOOKUP(MID(T12,U12,V12-U12),[5]skilldef!$A:$B,2,FALSE),"-")</f>
        <v>- / -</v>
      </c>
      <c r="Z12" s="46"/>
      <c r="AA12" s="48"/>
      <c r="AB12" s="46"/>
    </row>
    <row r="13" spans="1:28" ht="21" customHeight="1" x14ac:dyDescent="0.15">
      <c r="A13" s="43">
        <v>47009012</v>
      </c>
      <c r="B13" s="43" t="s">
        <v>511</v>
      </c>
      <c r="C13" s="46">
        <v>3</v>
      </c>
      <c r="D13" s="46" t="s">
        <v>258</v>
      </c>
      <c r="E13" s="153" t="s">
        <v>265</v>
      </c>
      <c r="F13" s="153" t="s">
        <v>265</v>
      </c>
      <c r="G13" s="60" t="str">
        <f t="shared" si="0"/>
        <v>[effect:enemy_message, val1:1.2, val2:1.2]</v>
      </c>
      <c r="H13" s="60">
        <f t="shared" si="4"/>
        <v>9</v>
      </c>
      <c r="I13" s="60">
        <f t="shared" si="5"/>
        <v>22</v>
      </c>
      <c r="J13" s="60" t="e">
        <f t="shared" si="6"/>
        <v>#VALUE!</v>
      </c>
      <c r="K13" s="60">
        <f t="shared" si="7"/>
        <v>32</v>
      </c>
      <c r="L13" s="60" t="str">
        <f>IFERROR(VLOOKUP(MID(G13,J13,K13-J13),[5]skilldef!$C:$D,2,FALSE),"-") &amp; " / " &amp; IFERROR(VLOOKUP(MID(G13,H13,I13-H13),[5]skilldef!$A:$B,2,FALSE),"-")</f>
        <v>- / -</v>
      </c>
      <c r="M13" s="60" t="str">
        <f t="shared" si="1"/>
        <v>none</v>
      </c>
      <c r="N13" s="44" t="str">
        <f t="shared" si="2"/>
        <v>none</v>
      </c>
      <c r="O13" s="60" t="e">
        <f t="shared" si="8"/>
        <v>#VALUE!</v>
      </c>
      <c r="P13" s="60">
        <f t="shared" si="9"/>
        <v>4</v>
      </c>
      <c r="Q13" s="60" t="e">
        <f t="shared" si="10"/>
        <v>#VALUE!</v>
      </c>
      <c r="R13" s="60" t="e">
        <f t="shared" si="11"/>
        <v>#VALUE!</v>
      </c>
      <c r="S13" s="60" t="str">
        <f>IFERROR(VLOOKUP(MID(N13,Q13,R13-Q13),[5]skilldef!$C:$D,2,FALSE),"-") &amp; " / " &amp; IFERROR(VLOOKUP(MID(N13,O13,P13-O13),[5]skilldef!$A:$B,2,FALSE),"-")</f>
        <v>- / -</v>
      </c>
      <c r="T13" s="44" t="str">
        <f t="shared" si="3"/>
        <v>none</v>
      </c>
      <c r="U13" s="60" t="e">
        <f t="shared" si="12"/>
        <v>#VALUE!</v>
      </c>
      <c r="V13" s="60">
        <f t="shared" si="13"/>
        <v>4</v>
      </c>
      <c r="W13" s="60" t="e">
        <f t="shared" si="14"/>
        <v>#VALUE!</v>
      </c>
      <c r="X13" s="60" t="e">
        <f t="shared" si="15"/>
        <v>#VALUE!</v>
      </c>
      <c r="Y13" s="60" t="str">
        <f>IFERROR(VLOOKUP(MID(T13,W13,X13-W13),[5]skilldef!$C:$D,2,FALSE),"-") &amp; " / " &amp; IFERROR(VLOOKUP(MID(T13,U13,V13-U13),[5]skilldef!$A:$B,2,FALSE),"-")</f>
        <v>- / -</v>
      </c>
      <c r="Z13" s="46"/>
      <c r="AA13" s="48"/>
      <c r="AB13" s="46"/>
    </row>
    <row r="14" spans="1:28" ht="21" customHeight="1" x14ac:dyDescent="0.15">
      <c r="A14" s="43">
        <v>47009013</v>
      </c>
      <c r="B14" s="43" t="s">
        <v>569</v>
      </c>
      <c r="C14" s="46">
        <v>3</v>
      </c>
      <c r="D14" s="46" t="s">
        <v>258</v>
      </c>
      <c r="E14" s="47" t="s">
        <v>268</v>
      </c>
      <c r="F14" s="150" t="s">
        <v>603</v>
      </c>
      <c r="G14" s="60" t="str">
        <f t="shared" si="0"/>
        <v>[effect:enemy_message, val1:1.8, val2:0]</v>
      </c>
      <c r="H14" s="60">
        <f t="shared" si="4"/>
        <v>9</v>
      </c>
      <c r="I14" s="60">
        <f t="shared" si="5"/>
        <v>22</v>
      </c>
      <c r="J14" s="60" t="e">
        <f t="shared" si="6"/>
        <v>#VALUE!</v>
      </c>
      <c r="K14" s="60">
        <f t="shared" si="7"/>
        <v>32</v>
      </c>
      <c r="L14" s="60" t="str">
        <f>IFERROR(VLOOKUP(MID(G14,J14,K14-J14),[5]skilldef!$C:$D,2,FALSE),"-") &amp; " / " &amp; IFERROR(VLOOKUP(MID(G14,H14,I14-H14),[5]skilldef!$A:$B,2,FALSE),"-")</f>
        <v>- / -</v>
      </c>
      <c r="M14" s="60" t="str">
        <f t="shared" si="1"/>
        <v>[effect:fix_speed, target:myself, turn:1]</v>
      </c>
      <c r="N14" s="44" t="str">
        <f t="shared" si="2"/>
        <v>[effect:fix_speed, target:myself, turn:1]</v>
      </c>
      <c r="O14" s="60">
        <f t="shared" si="8"/>
        <v>9</v>
      </c>
      <c r="P14" s="60">
        <f t="shared" si="9"/>
        <v>18</v>
      </c>
      <c r="Q14" s="60">
        <f t="shared" si="10"/>
        <v>27</v>
      </c>
      <c r="R14" s="60">
        <f t="shared" si="11"/>
        <v>33</v>
      </c>
      <c r="S14" s="60" t="str">
        <f>IFERROR(VLOOKUP(MID(N14,Q14,R14-Q14),[5]skilldef!$C:$D,2,FALSE),"-") &amp; " / " &amp; IFERROR(VLOOKUP(MID(N14,O14,P14-O14),[5]skilldef!$A:$B,2,FALSE),"-")</f>
        <v>自分自身に / 行動値設定</v>
      </c>
      <c r="T14" s="44" t="str">
        <f t="shared" si="3"/>
        <v>none</v>
      </c>
      <c r="U14" s="60" t="e">
        <f t="shared" si="12"/>
        <v>#VALUE!</v>
      </c>
      <c r="V14" s="60">
        <f t="shared" si="13"/>
        <v>4</v>
      </c>
      <c r="W14" s="60" t="e">
        <f t="shared" si="14"/>
        <v>#VALUE!</v>
      </c>
      <c r="X14" s="60" t="e">
        <f t="shared" si="15"/>
        <v>#VALUE!</v>
      </c>
      <c r="Y14" s="60" t="str">
        <f>IFERROR(VLOOKUP(MID(T14,W14,X14-W14),[5]skilldef!$C:$D,2,FALSE),"-") &amp; " / " &amp; IFERROR(VLOOKUP(MID(T14,U14,V14-U14),[5]skilldef!$A:$B,2,FALSE),"-")</f>
        <v>- / -</v>
      </c>
      <c r="Z14" s="46"/>
      <c r="AA14" s="48"/>
      <c r="AB14" s="46"/>
    </row>
    <row r="15" spans="1:28" ht="21" customHeight="1" x14ac:dyDescent="0.15">
      <c r="A15" s="43">
        <v>47009014</v>
      </c>
      <c r="B15" s="43" t="s">
        <v>512</v>
      </c>
      <c r="C15" s="46">
        <v>3</v>
      </c>
      <c r="D15" s="46" t="s">
        <v>258</v>
      </c>
      <c r="E15" s="47" t="s">
        <v>269</v>
      </c>
      <c r="F15" s="47" t="s">
        <v>270</v>
      </c>
      <c r="G15" s="60" t="str">
        <f t="shared" si="0"/>
        <v>[effect:enemy_message, val1:1.4, val2:1.4]</v>
      </c>
      <c r="H15" s="60">
        <f t="shared" si="4"/>
        <v>9</v>
      </c>
      <c r="I15" s="60">
        <f t="shared" si="5"/>
        <v>22</v>
      </c>
      <c r="J15" s="60" t="e">
        <f t="shared" si="6"/>
        <v>#VALUE!</v>
      </c>
      <c r="K15" s="60">
        <f t="shared" si="7"/>
        <v>32</v>
      </c>
      <c r="L15" s="60" t="str">
        <f>IFERROR(VLOOKUP(MID(G15,J15,K15-J15),[5]skilldef!$C:$D,2,FALSE),"-") &amp; " / " &amp; IFERROR(VLOOKUP(MID(G15,H15,I15-H15),[5]skilldef!$A:$B,2,FALSE),"-")</f>
        <v>- / -</v>
      </c>
      <c r="M15" s="60" t="str">
        <f t="shared" si="1"/>
        <v>none</v>
      </c>
      <c r="N15" s="44" t="str">
        <f t="shared" si="2"/>
        <v>none</v>
      </c>
      <c r="O15" s="60" t="e">
        <f t="shared" si="8"/>
        <v>#VALUE!</v>
      </c>
      <c r="P15" s="60">
        <f t="shared" si="9"/>
        <v>4</v>
      </c>
      <c r="Q15" s="60" t="e">
        <f t="shared" si="10"/>
        <v>#VALUE!</v>
      </c>
      <c r="R15" s="60" t="e">
        <f t="shared" si="11"/>
        <v>#VALUE!</v>
      </c>
      <c r="S15" s="60" t="str">
        <f>IFERROR(VLOOKUP(MID(N15,Q15,R15-Q15),[5]skilldef!$C:$D,2,FALSE),"-") &amp; " / " &amp; IFERROR(VLOOKUP(MID(N15,O15,P15-O15),[5]skilldef!$A:$B,2,FALSE),"-")</f>
        <v>- / -</v>
      </c>
      <c r="T15" s="44" t="str">
        <f t="shared" si="3"/>
        <v>none</v>
      </c>
      <c r="U15" s="60" t="e">
        <f t="shared" si="12"/>
        <v>#VALUE!</v>
      </c>
      <c r="V15" s="60">
        <f t="shared" si="13"/>
        <v>4</v>
      </c>
      <c r="W15" s="60" t="e">
        <f t="shared" si="14"/>
        <v>#VALUE!</v>
      </c>
      <c r="X15" s="60" t="e">
        <f t="shared" si="15"/>
        <v>#VALUE!</v>
      </c>
      <c r="Y15" s="60" t="str">
        <f>IFERROR(VLOOKUP(MID(T15,W15,X15-W15),[5]skilldef!$C:$D,2,FALSE),"-") &amp; " / " &amp; IFERROR(VLOOKUP(MID(T15,U15,V15-U15),[5]skilldef!$A:$B,2,FALSE),"-")</f>
        <v>- / -</v>
      </c>
      <c r="Z15" s="46"/>
      <c r="AA15" s="48"/>
      <c r="AB15" s="46"/>
    </row>
    <row r="16" spans="1:28" ht="21" customHeight="1" x14ac:dyDescent="0.15">
      <c r="A16" s="43">
        <v>47009015</v>
      </c>
      <c r="B16" s="43" t="s">
        <v>612</v>
      </c>
      <c r="C16" s="46">
        <v>3</v>
      </c>
      <c r="D16" s="46" t="s">
        <v>258</v>
      </c>
      <c r="E16" s="47" t="s">
        <v>271</v>
      </c>
      <c r="F16" s="47" t="s">
        <v>534</v>
      </c>
      <c r="G16" s="60" t="str">
        <f t="shared" si="0"/>
        <v>[effect:enemy_message, val1:1.2, val2:1.3]</v>
      </c>
      <c r="H16" s="60">
        <f t="shared" si="4"/>
        <v>9</v>
      </c>
      <c r="I16" s="60">
        <f t="shared" si="5"/>
        <v>22</v>
      </c>
      <c r="J16" s="60" t="e">
        <f t="shared" si="6"/>
        <v>#VALUE!</v>
      </c>
      <c r="K16" s="60">
        <f t="shared" si="7"/>
        <v>32</v>
      </c>
      <c r="L16" s="60" t="str">
        <f>IFERROR(VLOOKUP(MID(G16,J16,K16-J16),[5]skilldef!$C:$D,2,FALSE),"-") &amp; " / " &amp; IFERROR(VLOOKUP(MID(G16,H16,I16-H16),[5]skilldef!$A:$B,2,FALSE),"-")</f>
        <v>- / -</v>
      </c>
      <c r="M16" s="60" t="str">
        <f t="shared" si="1"/>
        <v>none</v>
      </c>
      <c r="N16" s="44" t="str">
        <f t="shared" si="2"/>
        <v>none</v>
      </c>
      <c r="O16" s="60" t="e">
        <f t="shared" si="8"/>
        <v>#VALUE!</v>
      </c>
      <c r="P16" s="60">
        <f t="shared" si="9"/>
        <v>4</v>
      </c>
      <c r="Q16" s="60" t="e">
        <f t="shared" si="10"/>
        <v>#VALUE!</v>
      </c>
      <c r="R16" s="60" t="e">
        <f t="shared" si="11"/>
        <v>#VALUE!</v>
      </c>
      <c r="S16" s="60" t="str">
        <f>IFERROR(VLOOKUP(MID(N16,Q16,R16-Q16),[5]skilldef!$C:$D,2,FALSE),"-") &amp; " / " &amp; IFERROR(VLOOKUP(MID(N16,O16,P16-O16),[5]skilldef!$A:$B,2,FALSE),"-")</f>
        <v>- / -</v>
      </c>
      <c r="T16" s="44" t="str">
        <f t="shared" si="3"/>
        <v>none</v>
      </c>
      <c r="U16" s="60" t="e">
        <f t="shared" si="12"/>
        <v>#VALUE!</v>
      </c>
      <c r="V16" s="60">
        <f t="shared" si="13"/>
        <v>4</v>
      </c>
      <c r="W16" s="60" t="e">
        <f t="shared" si="14"/>
        <v>#VALUE!</v>
      </c>
      <c r="X16" s="60" t="e">
        <f t="shared" si="15"/>
        <v>#VALUE!</v>
      </c>
      <c r="Y16" s="60" t="str">
        <f>IFERROR(VLOOKUP(MID(T16,W16,X16-W16),[5]skilldef!$C:$D,2,FALSE),"-") &amp; " / " &amp; IFERROR(VLOOKUP(MID(T16,U16,V16-U16),[5]skilldef!$A:$B,2,FALSE),"-")</f>
        <v>- / -</v>
      </c>
      <c r="Z16" s="46"/>
      <c r="AA16" s="48"/>
      <c r="AB16" s="46"/>
    </row>
    <row r="17" spans="1:28" ht="21" customHeight="1" x14ac:dyDescent="0.15">
      <c r="A17" s="43">
        <v>47009016</v>
      </c>
      <c r="B17" s="43" t="s">
        <v>611</v>
      </c>
      <c r="C17" s="46">
        <v>3</v>
      </c>
      <c r="D17" s="46" t="s">
        <v>272</v>
      </c>
      <c r="E17" s="47" t="s">
        <v>273</v>
      </c>
      <c r="F17" s="47" t="s">
        <v>610</v>
      </c>
      <c r="G17" s="60" t="str">
        <f t="shared" si="0"/>
        <v>[effect:enemy_message, val1:1.2, val2:1.8]</v>
      </c>
      <c r="H17" s="60">
        <f t="shared" si="4"/>
        <v>9</v>
      </c>
      <c r="I17" s="60">
        <f t="shared" si="5"/>
        <v>22</v>
      </c>
      <c r="J17" s="60" t="e">
        <f t="shared" si="6"/>
        <v>#VALUE!</v>
      </c>
      <c r="K17" s="60">
        <f t="shared" si="7"/>
        <v>32</v>
      </c>
      <c r="L17" s="60" t="str">
        <f>IFERROR(VLOOKUP(MID(G17,J17,K17-J17),[5]skilldef!$C:$D,2,FALSE),"-") &amp; " / " &amp; IFERROR(VLOOKUP(MID(G17,H17,I17-H17),[5]skilldef!$A:$B,2,FALSE),"-")</f>
        <v>- / -</v>
      </c>
      <c r="M17" s="60" t="str">
        <f t="shared" si="1"/>
        <v>[effect:spread, val:0.5],[effect:suicide, val:0.1, dead_type:suicide, target:myself, animation:enemy_suicide]</v>
      </c>
      <c r="N17" s="44" t="str">
        <f t="shared" si="2"/>
        <v>[effect:spread, val:0.5],[effect:suicide, val:0.1, dead_type:suicide, target:myself, animation:enemy_suicide]</v>
      </c>
      <c r="O17" s="60">
        <f t="shared" si="8"/>
        <v>9</v>
      </c>
      <c r="P17" s="60">
        <f t="shared" si="9"/>
        <v>15</v>
      </c>
      <c r="Q17" s="60">
        <f t="shared" si="10"/>
        <v>78</v>
      </c>
      <c r="R17" s="60">
        <f t="shared" si="11"/>
        <v>25</v>
      </c>
      <c r="S17" s="60" t="str">
        <f>IFERROR(VLOOKUP(MID(N17,Q17,R17-Q17),[5]skilldef!$C:$D,2,FALSE),"-") &amp; " / " &amp; IFERROR(VLOOKUP(MID(N17,O17,P17-O17),[5]skilldef!$A:$B,2,FALSE),"-")</f>
        <v>- / 全体攻撃</v>
      </c>
      <c r="T17" s="44" t="str">
        <f t="shared" si="3"/>
        <v>[effect:suicide, val:0.1, dead_type:suicide, target:myself, animation:enemy_suicide]</v>
      </c>
      <c r="U17" s="60">
        <f t="shared" si="12"/>
        <v>9</v>
      </c>
      <c r="V17" s="60">
        <f t="shared" si="13"/>
        <v>16</v>
      </c>
      <c r="W17" s="60">
        <f t="shared" si="14"/>
        <v>53</v>
      </c>
      <c r="X17" s="60">
        <f t="shared" si="15"/>
        <v>25</v>
      </c>
      <c r="Y17" s="60" t="str">
        <f>IFERROR(VLOOKUP(MID(T17,W17,X17-W17),[5]skilldef!$C:$D,2,FALSE),"-") &amp; " / " &amp; IFERROR(VLOOKUP(MID(T17,U17,V17-U17),[5]skilldef!$A:$B,2,FALSE),"-")</f>
        <v>- / -</v>
      </c>
      <c r="Z17" s="46"/>
      <c r="AA17" s="48"/>
      <c r="AB17" s="46"/>
    </row>
    <row r="18" spans="1:28" ht="21" customHeight="1" x14ac:dyDescent="0.15">
      <c r="A18" s="43">
        <v>47009017</v>
      </c>
      <c r="B18" s="43" t="s">
        <v>499</v>
      </c>
      <c r="C18" s="46">
        <v>3</v>
      </c>
      <c r="D18" s="46" t="s">
        <v>272</v>
      </c>
      <c r="E18" s="47" t="s">
        <v>274</v>
      </c>
      <c r="F18" s="47" t="s">
        <v>275</v>
      </c>
      <c r="G18" s="60" t="str">
        <f t="shared" si="0"/>
        <v>[effect:enemy_message, val1:1.2, val2:1.4]</v>
      </c>
      <c r="H18" s="60">
        <f t="shared" si="4"/>
        <v>9</v>
      </c>
      <c r="I18" s="60">
        <f t="shared" si="5"/>
        <v>22</v>
      </c>
      <c r="J18" s="60" t="e">
        <f t="shared" si="6"/>
        <v>#VALUE!</v>
      </c>
      <c r="K18" s="60">
        <f t="shared" si="7"/>
        <v>32</v>
      </c>
      <c r="L18" s="60" t="str">
        <f>IFERROR(VLOOKUP(MID(G18,J18,K18-J18),[5]skilldef!$C:$D,2,FALSE),"-") &amp; " / " &amp; IFERROR(VLOOKUP(MID(G18,H18,I18-H18),[5]skilldef!$A:$B,2,FALSE),"-")</f>
        <v>- / -</v>
      </c>
      <c r="M18" s="60" t="str">
        <f t="shared" si="1"/>
        <v>[effect:damage_anti_color, target:unit_all, color:red, val1:0.7, val2:0.35]</v>
      </c>
      <c r="N18" s="44" t="str">
        <f t="shared" si="2"/>
        <v>[effect:damage_anti_color, target:unit_all, color:red, val1:0.7, val2:0.35]</v>
      </c>
      <c r="O18" s="60">
        <f t="shared" si="8"/>
        <v>9</v>
      </c>
      <c r="P18" s="60">
        <f t="shared" si="9"/>
        <v>26</v>
      </c>
      <c r="Q18" s="60">
        <f t="shared" si="10"/>
        <v>35</v>
      </c>
      <c r="R18" s="60">
        <f t="shared" si="11"/>
        <v>43</v>
      </c>
      <c r="S18" s="60" t="str">
        <f>IFERROR(VLOOKUP(MID(N18,Q18,R18-Q18),[5]skilldef!$C:$D,2,FALSE),"-") &amp; " / " &amp; IFERROR(VLOOKUP(MID(N18,O18,P18-O18),[5]skilldef!$A:$B,2,FALSE),"-")</f>
        <v>味方全体に / 属性キラー</v>
      </c>
      <c r="T18" s="44" t="str">
        <f t="shared" si="3"/>
        <v>none</v>
      </c>
      <c r="U18" s="60" t="e">
        <f t="shared" si="12"/>
        <v>#VALUE!</v>
      </c>
      <c r="V18" s="60">
        <f t="shared" si="13"/>
        <v>4</v>
      </c>
      <c r="W18" s="60" t="e">
        <f t="shared" si="14"/>
        <v>#VALUE!</v>
      </c>
      <c r="X18" s="60" t="e">
        <f t="shared" si="15"/>
        <v>#VALUE!</v>
      </c>
      <c r="Y18" s="60" t="str">
        <f>IFERROR(VLOOKUP(MID(T18,W18,X18-W18),[5]skilldef!$C:$D,2,FALSE),"-") &amp; " / " &amp; IFERROR(VLOOKUP(MID(T18,U18,V18-U18),[5]skilldef!$A:$B,2,FALSE),"-")</f>
        <v>- / -</v>
      </c>
      <c r="Z18" s="46"/>
      <c r="AA18" s="48"/>
      <c r="AB18" s="46"/>
    </row>
    <row r="19" spans="1:28" ht="21" customHeight="1" x14ac:dyDescent="0.15">
      <c r="A19" s="43">
        <v>47009018</v>
      </c>
      <c r="B19" s="43" t="s">
        <v>570</v>
      </c>
      <c r="C19" s="46">
        <v>3</v>
      </c>
      <c r="D19" s="46" t="s">
        <v>272</v>
      </c>
      <c r="E19" s="47" t="s">
        <v>276</v>
      </c>
      <c r="F19" s="47" t="s">
        <v>532</v>
      </c>
      <c r="G19" s="60" t="str">
        <f t="shared" si="0"/>
        <v>[effect:enemy_message, val1:1.7, val2:1.2]</v>
      </c>
      <c r="H19" s="60">
        <f t="shared" si="4"/>
        <v>9</v>
      </c>
      <c r="I19" s="60">
        <f t="shared" si="5"/>
        <v>22</v>
      </c>
      <c r="J19" s="60" t="e">
        <f t="shared" si="6"/>
        <v>#VALUE!</v>
      </c>
      <c r="K19" s="60">
        <f t="shared" si="7"/>
        <v>32</v>
      </c>
      <c r="L19" s="60" t="str">
        <f>IFERROR(VLOOKUP(MID(G19,J19,K19-J19),[5]skilldef!$C:$D,2,FALSE),"-") &amp; " / " &amp; IFERROR(VLOOKUP(MID(G19,H19,I19-H19),[5]skilldef!$A:$B,2,FALSE),"-")</f>
        <v>- / -</v>
      </c>
      <c r="M19" s="60" t="str">
        <f t="shared" si="1"/>
        <v>[effect:heal, target:myself, val:0.1, animation:enemy_heal],[effect:critical, val:1.5]</v>
      </c>
      <c r="N19" s="44" t="str">
        <f t="shared" si="2"/>
        <v>[effect:heal, target:myself, val:0.1, animation:enemy_heal],[effect:critical, val:1.5]</v>
      </c>
      <c r="O19" s="60">
        <f t="shared" si="8"/>
        <v>9</v>
      </c>
      <c r="P19" s="60">
        <f t="shared" si="9"/>
        <v>13</v>
      </c>
      <c r="Q19" s="60">
        <f t="shared" si="10"/>
        <v>22</v>
      </c>
      <c r="R19" s="60">
        <f t="shared" si="11"/>
        <v>28</v>
      </c>
      <c r="S19" s="60" t="str">
        <f>IFERROR(VLOOKUP(MID(N19,Q19,R19-Q19),[5]skilldef!$C:$D,2,FALSE),"-") &amp; " / " &amp; IFERROR(VLOOKUP(MID(N19,O19,P19-O19),[5]skilldef!$A:$B,2,FALSE),"-")</f>
        <v>自分自身に / 回復</v>
      </c>
      <c r="T19" s="44" t="str">
        <f t="shared" si="3"/>
        <v>[effect:critical, val:1.5]</v>
      </c>
      <c r="U19" s="60">
        <f t="shared" si="12"/>
        <v>9</v>
      </c>
      <c r="V19" s="60">
        <f t="shared" si="13"/>
        <v>17</v>
      </c>
      <c r="W19" s="60" t="e">
        <f t="shared" si="14"/>
        <v>#VALUE!</v>
      </c>
      <c r="X19" s="60" t="e">
        <f t="shared" si="15"/>
        <v>#VALUE!</v>
      </c>
      <c r="Y19" s="60" t="str">
        <f>IFERROR(VLOOKUP(MID(T19,W19,X19-W19),[5]skilldef!$C:$D,2,FALSE),"-") &amp; " / " &amp; IFERROR(VLOOKUP(MID(T19,U19,V19-U19),[5]skilldef!$A:$B,2,FALSE),"-")</f>
        <v>- / 大攻撃</v>
      </c>
      <c r="Z19" s="46"/>
      <c r="AA19" s="48"/>
      <c r="AB19" s="46"/>
    </row>
    <row r="20" spans="1:28" ht="21" customHeight="1" x14ac:dyDescent="0.15">
      <c r="A20" s="43">
        <v>47009019</v>
      </c>
      <c r="B20" s="43" t="s">
        <v>511</v>
      </c>
      <c r="C20" s="46">
        <v>3</v>
      </c>
      <c r="D20" s="46" t="s">
        <v>272</v>
      </c>
      <c r="E20" s="151" t="s">
        <v>265</v>
      </c>
      <c r="F20" s="151" t="s">
        <v>265</v>
      </c>
      <c r="G20" s="60" t="str">
        <f t="shared" si="0"/>
        <v>[effect:enemy_message, val1:1.2, val2:1.2]</v>
      </c>
      <c r="H20" s="60">
        <f t="shared" si="4"/>
        <v>9</v>
      </c>
      <c r="I20" s="60">
        <f t="shared" si="5"/>
        <v>22</v>
      </c>
      <c r="J20" s="60" t="e">
        <f t="shared" si="6"/>
        <v>#VALUE!</v>
      </c>
      <c r="K20" s="60">
        <f t="shared" si="7"/>
        <v>32</v>
      </c>
      <c r="L20" s="60" t="str">
        <f>IFERROR(VLOOKUP(MID(G20,J20,K20-J20),[5]skilldef!$C:$D,2,FALSE),"-") &amp; " / " &amp; IFERROR(VLOOKUP(MID(G20,H20,I20-H20),[5]skilldef!$A:$B,2,FALSE),"-")</f>
        <v>- / -</v>
      </c>
      <c r="M20" s="60" t="str">
        <f t="shared" si="1"/>
        <v>none</v>
      </c>
      <c r="N20" s="44" t="str">
        <f t="shared" si="2"/>
        <v>none</v>
      </c>
      <c r="O20" s="60" t="e">
        <f t="shared" si="8"/>
        <v>#VALUE!</v>
      </c>
      <c r="P20" s="60">
        <f t="shared" si="9"/>
        <v>4</v>
      </c>
      <c r="Q20" s="60" t="e">
        <f t="shared" si="10"/>
        <v>#VALUE!</v>
      </c>
      <c r="R20" s="60" t="e">
        <f t="shared" si="11"/>
        <v>#VALUE!</v>
      </c>
      <c r="S20" s="60" t="str">
        <f>IFERROR(VLOOKUP(MID(N20,Q20,R20-Q20),[5]skilldef!$C:$D,2,FALSE),"-") &amp; " / " &amp; IFERROR(VLOOKUP(MID(N20,O20,P20-O20),[5]skilldef!$A:$B,2,FALSE),"-")</f>
        <v>- / -</v>
      </c>
      <c r="T20" s="44" t="str">
        <f t="shared" si="3"/>
        <v>none</v>
      </c>
      <c r="U20" s="60" t="e">
        <f t="shared" si="12"/>
        <v>#VALUE!</v>
      </c>
      <c r="V20" s="60">
        <f t="shared" si="13"/>
        <v>4</v>
      </c>
      <c r="W20" s="60" t="e">
        <f t="shared" si="14"/>
        <v>#VALUE!</v>
      </c>
      <c r="X20" s="60" t="e">
        <f t="shared" si="15"/>
        <v>#VALUE!</v>
      </c>
      <c r="Y20" s="60" t="str">
        <f>IFERROR(VLOOKUP(MID(T20,W20,X20-W20),[5]skilldef!$C:$D,2,FALSE),"-") &amp; " / " &amp; IFERROR(VLOOKUP(MID(T20,U20,V20-U20),[5]skilldef!$A:$B,2,FALSE),"-")</f>
        <v>- / -</v>
      </c>
      <c r="Z20" s="46"/>
      <c r="AA20" s="48"/>
      <c r="AB20" s="46"/>
    </row>
    <row r="21" spans="1:28" ht="21" customHeight="1" x14ac:dyDescent="0.15">
      <c r="A21" s="43">
        <v>47009020</v>
      </c>
      <c r="B21" s="43" t="s">
        <v>511</v>
      </c>
      <c r="C21" s="46">
        <v>3</v>
      </c>
      <c r="D21" s="46" t="s">
        <v>272</v>
      </c>
      <c r="E21" s="153" t="s">
        <v>265</v>
      </c>
      <c r="F21" s="153" t="s">
        <v>265</v>
      </c>
      <c r="G21" s="60" t="str">
        <f t="shared" si="0"/>
        <v>[effect:enemy_message, val1:1.2, val2:1.2]</v>
      </c>
      <c r="H21" s="60">
        <f t="shared" si="4"/>
        <v>9</v>
      </c>
      <c r="I21" s="60">
        <f t="shared" si="5"/>
        <v>22</v>
      </c>
      <c r="J21" s="60" t="e">
        <f t="shared" si="6"/>
        <v>#VALUE!</v>
      </c>
      <c r="K21" s="60">
        <f t="shared" si="7"/>
        <v>32</v>
      </c>
      <c r="L21" s="60" t="str">
        <f>IFERROR(VLOOKUP(MID(G21,J21,K21-J21),[5]skilldef!$C:$D,2,FALSE),"-") &amp; " / " &amp; IFERROR(VLOOKUP(MID(G21,H21,I21-H21),[5]skilldef!$A:$B,2,FALSE),"-")</f>
        <v>- / -</v>
      </c>
      <c r="M21" s="60" t="str">
        <f t="shared" si="1"/>
        <v>none</v>
      </c>
      <c r="N21" s="44" t="str">
        <f t="shared" si="2"/>
        <v>none</v>
      </c>
      <c r="O21" s="60" t="e">
        <f t="shared" si="8"/>
        <v>#VALUE!</v>
      </c>
      <c r="P21" s="60">
        <f t="shared" si="9"/>
        <v>4</v>
      </c>
      <c r="Q21" s="60" t="e">
        <f t="shared" si="10"/>
        <v>#VALUE!</v>
      </c>
      <c r="R21" s="60" t="e">
        <f t="shared" si="11"/>
        <v>#VALUE!</v>
      </c>
      <c r="S21" s="60" t="str">
        <f>IFERROR(VLOOKUP(MID(N21,Q21,R21-Q21),[5]skilldef!$C:$D,2,FALSE),"-") &amp; " / " &amp; IFERROR(VLOOKUP(MID(N21,O21,P21-O21),[5]skilldef!$A:$B,2,FALSE),"-")</f>
        <v>- / -</v>
      </c>
      <c r="T21" s="44" t="str">
        <f t="shared" si="3"/>
        <v>none</v>
      </c>
      <c r="U21" s="60" t="e">
        <f t="shared" si="12"/>
        <v>#VALUE!</v>
      </c>
      <c r="V21" s="60">
        <f t="shared" si="13"/>
        <v>4</v>
      </c>
      <c r="W21" s="60" t="e">
        <f t="shared" si="14"/>
        <v>#VALUE!</v>
      </c>
      <c r="X21" s="60" t="e">
        <f t="shared" si="15"/>
        <v>#VALUE!</v>
      </c>
      <c r="Y21" s="60" t="str">
        <f>IFERROR(VLOOKUP(MID(T21,W21,X21-W21),[5]skilldef!$C:$D,2,FALSE),"-") &amp; " / " &amp; IFERROR(VLOOKUP(MID(T21,U21,V21-U21),[5]skilldef!$A:$B,2,FALSE),"-")</f>
        <v>- / -</v>
      </c>
      <c r="Z21" s="46"/>
      <c r="AA21" s="48"/>
      <c r="AB21" s="46"/>
    </row>
    <row r="22" spans="1:28" ht="21" customHeight="1" x14ac:dyDescent="0.15">
      <c r="A22" s="43">
        <v>47009021</v>
      </c>
      <c r="B22" s="43" t="s">
        <v>511</v>
      </c>
      <c r="C22" s="46">
        <v>3</v>
      </c>
      <c r="D22" s="46" t="s">
        <v>272</v>
      </c>
      <c r="E22" s="153" t="s">
        <v>265</v>
      </c>
      <c r="F22" s="153" t="s">
        <v>265</v>
      </c>
      <c r="G22" s="60" t="str">
        <f t="shared" si="0"/>
        <v>[effect:enemy_message, val1:1.2, val2:1.2]</v>
      </c>
      <c r="H22" s="60">
        <f t="shared" si="4"/>
        <v>9</v>
      </c>
      <c r="I22" s="60">
        <f t="shared" si="5"/>
        <v>22</v>
      </c>
      <c r="J22" s="60" t="e">
        <f t="shared" si="6"/>
        <v>#VALUE!</v>
      </c>
      <c r="K22" s="60">
        <f t="shared" si="7"/>
        <v>32</v>
      </c>
      <c r="L22" s="60" t="str">
        <f>IFERROR(VLOOKUP(MID(G22,J22,K22-J22),[5]skilldef!$C:$D,2,FALSE),"-") &amp; " / " &amp; IFERROR(VLOOKUP(MID(G22,H22,I22-H22),[5]skilldef!$A:$B,2,FALSE),"-")</f>
        <v>- / -</v>
      </c>
      <c r="M22" s="60" t="str">
        <f t="shared" si="1"/>
        <v>none</v>
      </c>
      <c r="N22" s="44" t="str">
        <f t="shared" si="2"/>
        <v>none</v>
      </c>
      <c r="O22" s="60" t="e">
        <f t="shared" si="8"/>
        <v>#VALUE!</v>
      </c>
      <c r="P22" s="60">
        <f t="shared" si="9"/>
        <v>4</v>
      </c>
      <c r="Q22" s="60" t="e">
        <f t="shared" si="10"/>
        <v>#VALUE!</v>
      </c>
      <c r="R22" s="60" t="e">
        <f t="shared" si="11"/>
        <v>#VALUE!</v>
      </c>
      <c r="S22" s="60" t="str">
        <f>IFERROR(VLOOKUP(MID(N22,Q22,R22-Q22),[5]skilldef!$C:$D,2,FALSE),"-") &amp; " / " &amp; IFERROR(VLOOKUP(MID(N22,O22,P22-O22),[5]skilldef!$A:$B,2,FALSE),"-")</f>
        <v>- / -</v>
      </c>
      <c r="T22" s="44" t="str">
        <f t="shared" si="3"/>
        <v>none</v>
      </c>
      <c r="U22" s="60" t="e">
        <f t="shared" si="12"/>
        <v>#VALUE!</v>
      </c>
      <c r="V22" s="60">
        <f t="shared" si="13"/>
        <v>4</v>
      </c>
      <c r="W22" s="60" t="e">
        <f t="shared" si="14"/>
        <v>#VALUE!</v>
      </c>
      <c r="X22" s="60" t="e">
        <f t="shared" si="15"/>
        <v>#VALUE!</v>
      </c>
      <c r="Y22" s="60" t="str">
        <f>IFERROR(VLOOKUP(MID(T22,W22,X22-W22),[5]skilldef!$C:$D,2,FALSE),"-") &amp; " / " &amp; IFERROR(VLOOKUP(MID(T22,U22,V22-U22),[5]skilldef!$A:$B,2,FALSE),"-")</f>
        <v>- / -</v>
      </c>
      <c r="Z22" s="46"/>
      <c r="AA22" s="48"/>
      <c r="AB22" s="46"/>
    </row>
    <row r="23" spans="1:28" ht="21" customHeight="1" x14ac:dyDescent="0.15">
      <c r="A23" s="43">
        <v>47009022</v>
      </c>
      <c r="B23" s="43" t="s">
        <v>571</v>
      </c>
      <c r="C23" s="46">
        <v>3</v>
      </c>
      <c r="D23" s="46" t="s">
        <v>272</v>
      </c>
      <c r="E23" s="47" t="s">
        <v>277</v>
      </c>
      <c r="F23" s="150" t="s">
        <v>603</v>
      </c>
      <c r="G23" s="60" t="str">
        <f t="shared" si="0"/>
        <v>[effect:enemy_message, val1:1.6, val2:0]</v>
      </c>
      <c r="H23" s="60">
        <f t="shared" si="4"/>
        <v>9</v>
      </c>
      <c r="I23" s="60">
        <f t="shared" si="5"/>
        <v>22</v>
      </c>
      <c r="J23" s="60" t="e">
        <f t="shared" si="6"/>
        <v>#VALUE!</v>
      </c>
      <c r="K23" s="60">
        <f t="shared" si="7"/>
        <v>32</v>
      </c>
      <c r="L23" s="60" t="str">
        <f>IFERROR(VLOOKUP(MID(G23,J23,K23-J23),[5]skilldef!$C:$D,2,FALSE),"-") &amp; " / " &amp; IFERROR(VLOOKUP(MID(G23,H23,I23-H23),[5]skilldef!$A:$B,2,FALSE),"-")</f>
        <v>- / -</v>
      </c>
      <c r="M23" s="60" t="str">
        <f t="shared" si="1"/>
        <v>[effect:fix_speed, target:myself, turn:1]</v>
      </c>
      <c r="N23" s="44" t="str">
        <f t="shared" si="2"/>
        <v>[effect:fix_speed, target:myself, turn:1]</v>
      </c>
      <c r="O23" s="60">
        <f t="shared" si="8"/>
        <v>9</v>
      </c>
      <c r="P23" s="60">
        <f t="shared" si="9"/>
        <v>18</v>
      </c>
      <c r="Q23" s="60">
        <f t="shared" si="10"/>
        <v>27</v>
      </c>
      <c r="R23" s="60">
        <f t="shared" si="11"/>
        <v>33</v>
      </c>
      <c r="S23" s="60" t="str">
        <f>IFERROR(VLOOKUP(MID(N23,Q23,R23-Q23),[5]skilldef!$C:$D,2,FALSE),"-") &amp; " / " &amp; IFERROR(VLOOKUP(MID(N23,O23,P23-O23),[5]skilldef!$A:$B,2,FALSE),"-")</f>
        <v>自分自身に / 行動値設定</v>
      </c>
      <c r="T23" s="44" t="str">
        <f t="shared" si="3"/>
        <v>none</v>
      </c>
      <c r="U23" s="60" t="e">
        <f t="shared" si="12"/>
        <v>#VALUE!</v>
      </c>
      <c r="V23" s="60">
        <f t="shared" si="13"/>
        <v>4</v>
      </c>
      <c r="W23" s="60" t="e">
        <f t="shared" si="14"/>
        <v>#VALUE!</v>
      </c>
      <c r="X23" s="60" t="e">
        <f t="shared" si="15"/>
        <v>#VALUE!</v>
      </c>
      <c r="Y23" s="60" t="str">
        <f>IFERROR(VLOOKUP(MID(T23,W23,X23-W23),[5]skilldef!$C:$D,2,FALSE),"-") &amp; " / " &amp; IFERROR(VLOOKUP(MID(T23,U23,V23-U23),[5]skilldef!$A:$B,2,FALSE),"-")</f>
        <v>- / -</v>
      </c>
      <c r="Z23" s="46"/>
      <c r="AA23" s="48"/>
      <c r="AB23" s="46"/>
    </row>
    <row r="24" spans="1:28" ht="21" customHeight="1" x14ac:dyDescent="0.15">
      <c r="A24" s="43">
        <v>47009023</v>
      </c>
      <c r="B24" s="43" t="s">
        <v>572</v>
      </c>
      <c r="C24" s="46">
        <v>3</v>
      </c>
      <c r="D24" s="46" t="s">
        <v>272</v>
      </c>
      <c r="E24" s="47" t="s">
        <v>278</v>
      </c>
      <c r="F24" s="47" t="s">
        <v>533</v>
      </c>
      <c r="G24" s="60" t="str">
        <f t="shared" si="0"/>
        <v>[effect:enemy_message, val1:1.5, val2:2.8]</v>
      </c>
      <c r="H24" s="60">
        <f t="shared" si="4"/>
        <v>9</v>
      </c>
      <c r="I24" s="60">
        <f t="shared" si="5"/>
        <v>22</v>
      </c>
      <c r="J24" s="60" t="e">
        <f t="shared" si="6"/>
        <v>#VALUE!</v>
      </c>
      <c r="K24" s="60">
        <f t="shared" si="7"/>
        <v>32</v>
      </c>
      <c r="L24" s="60" t="str">
        <f>IFERROR(VLOOKUP(MID(G24,J24,K24-J24),[5]skilldef!$C:$D,2,FALSE),"-") &amp; " / " &amp; IFERROR(VLOOKUP(MID(G24,H24,I24-H24),[5]skilldef!$A:$B,2,FALSE),"-")</f>
        <v>- / -</v>
      </c>
      <c r="M24" s="60" t="str">
        <f t="shared" si="1"/>
        <v>[effect:regenerate, turn:-1, target:unit_all, val:0.05, type:hp_ratio, animation:heal01_unit01],[effect:suicide, val:1, dead_type:escape, target:myself]</v>
      </c>
      <c r="N24" s="44" t="str">
        <f t="shared" si="2"/>
        <v>[effect:regenerate, turn:-1, target:unit_all, val:0.05, type:hp_ratio, animation:heal01_unit01],[effect:suicide, val:1, dead_type:escape, target:myself]</v>
      </c>
      <c r="O24" s="60">
        <f t="shared" si="8"/>
        <v>9</v>
      </c>
      <c r="P24" s="60">
        <f t="shared" si="9"/>
        <v>19</v>
      </c>
      <c r="Q24" s="60">
        <f t="shared" si="10"/>
        <v>37</v>
      </c>
      <c r="R24" s="60">
        <f t="shared" si="11"/>
        <v>28</v>
      </c>
      <c r="S24" s="60" t="str">
        <f>IFERROR(VLOOKUP(MID(N24,Q24,R24-Q24),[5]skilldef!$C:$D,2,FALSE),"-") &amp; " / " &amp; IFERROR(VLOOKUP(MID(N24,O24,P24-O24),[5]skilldef!$A:$B,2,FALSE),"-")</f>
        <v>- / -</v>
      </c>
      <c r="T24" s="44" t="str">
        <f t="shared" si="3"/>
        <v>[effect:suicide, val:1, dead_type:escape, target:myself]</v>
      </c>
      <c r="U24" s="60">
        <f t="shared" si="12"/>
        <v>9</v>
      </c>
      <c r="V24" s="60">
        <f t="shared" si="13"/>
        <v>16</v>
      </c>
      <c r="W24" s="60">
        <f t="shared" si="14"/>
        <v>50</v>
      </c>
      <c r="X24" s="60">
        <f t="shared" si="15"/>
        <v>23</v>
      </c>
      <c r="Y24" s="60" t="str">
        <f>IFERROR(VLOOKUP(MID(T24,W24,X24-W24),[5]skilldef!$C:$D,2,FALSE),"-") &amp; " / " &amp; IFERROR(VLOOKUP(MID(T24,U24,V24-U24),[5]skilldef!$A:$B,2,FALSE),"-")</f>
        <v>- / -</v>
      </c>
      <c r="Z24" s="46"/>
      <c r="AA24" s="48"/>
      <c r="AB24" s="46"/>
    </row>
    <row r="25" spans="1:28" ht="21" customHeight="1" x14ac:dyDescent="0.15">
      <c r="A25" s="43">
        <v>47009024</v>
      </c>
      <c r="B25" s="43" t="s">
        <v>511</v>
      </c>
      <c r="C25" s="46">
        <v>3</v>
      </c>
      <c r="D25" s="46" t="s">
        <v>272</v>
      </c>
      <c r="E25" s="151" t="s">
        <v>265</v>
      </c>
      <c r="F25" s="151" t="s">
        <v>265</v>
      </c>
      <c r="G25" s="60" t="str">
        <f t="shared" si="0"/>
        <v>[effect:enemy_message, val1:1.2, val2:1.2]</v>
      </c>
      <c r="H25" s="60">
        <f t="shared" si="4"/>
        <v>9</v>
      </c>
      <c r="I25" s="60">
        <f t="shared" si="5"/>
        <v>22</v>
      </c>
      <c r="J25" s="60" t="e">
        <f t="shared" si="6"/>
        <v>#VALUE!</v>
      </c>
      <c r="K25" s="60">
        <f t="shared" si="7"/>
        <v>32</v>
      </c>
      <c r="L25" s="60" t="str">
        <f>IFERROR(VLOOKUP(MID(G25,J25,K25-J25),[5]skilldef!$C:$D,2,FALSE),"-") &amp; " / " &amp; IFERROR(VLOOKUP(MID(G25,H25,I25-H25),[5]skilldef!$A:$B,2,FALSE),"-")</f>
        <v>- / -</v>
      </c>
      <c r="M25" s="60" t="str">
        <f t="shared" si="1"/>
        <v>none</v>
      </c>
      <c r="N25" s="44" t="str">
        <f t="shared" si="2"/>
        <v>none</v>
      </c>
      <c r="O25" s="60" t="e">
        <f t="shared" si="8"/>
        <v>#VALUE!</v>
      </c>
      <c r="P25" s="60">
        <f t="shared" si="9"/>
        <v>4</v>
      </c>
      <c r="Q25" s="60" t="e">
        <f t="shared" si="10"/>
        <v>#VALUE!</v>
      </c>
      <c r="R25" s="60" t="e">
        <f t="shared" si="11"/>
        <v>#VALUE!</v>
      </c>
      <c r="S25" s="60" t="str">
        <f>IFERROR(VLOOKUP(MID(N25,Q25,R25-Q25),[5]skilldef!$C:$D,2,FALSE),"-") &amp; " / " &amp; IFERROR(VLOOKUP(MID(N25,O25,P25-O25),[5]skilldef!$A:$B,2,FALSE),"-")</f>
        <v>- / -</v>
      </c>
      <c r="T25" s="44" t="str">
        <f t="shared" si="3"/>
        <v>none</v>
      </c>
      <c r="U25" s="60" t="e">
        <f t="shared" si="12"/>
        <v>#VALUE!</v>
      </c>
      <c r="V25" s="60">
        <f t="shared" si="13"/>
        <v>4</v>
      </c>
      <c r="W25" s="60" t="e">
        <f t="shared" si="14"/>
        <v>#VALUE!</v>
      </c>
      <c r="X25" s="60" t="e">
        <f t="shared" si="15"/>
        <v>#VALUE!</v>
      </c>
      <c r="Y25" s="60" t="str">
        <f>IFERROR(VLOOKUP(MID(T25,W25,X25-W25),[5]skilldef!$C:$D,2,FALSE),"-") &amp; " / " &amp; IFERROR(VLOOKUP(MID(T25,U25,V25-U25),[5]skilldef!$A:$B,2,FALSE),"-")</f>
        <v>- / -</v>
      </c>
      <c r="Z25" s="46"/>
      <c r="AA25" s="48"/>
      <c r="AB25" s="46"/>
    </row>
    <row r="26" spans="1:28" ht="21" customHeight="1" x14ac:dyDescent="0.15">
      <c r="A26" s="43">
        <v>47009025</v>
      </c>
      <c r="B26" s="43" t="s">
        <v>511</v>
      </c>
      <c r="C26" s="46">
        <v>3</v>
      </c>
      <c r="D26" s="46" t="s">
        <v>272</v>
      </c>
      <c r="E26" s="153" t="s">
        <v>265</v>
      </c>
      <c r="F26" s="153" t="s">
        <v>265</v>
      </c>
      <c r="G26" s="60" t="str">
        <f t="shared" si="0"/>
        <v>[effect:enemy_message, val1:1.2, val2:1.2]</v>
      </c>
      <c r="H26" s="60">
        <f t="shared" si="4"/>
        <v>9</v>
      </c>
      <c r="I26" s="60">
        <f t="shared" si="5"/>
        <v>22</v>
      </c>
      <c r="J26" s="60" t="e">
        <f t="shared" si="6"/>
        <v>#VALUE!</v>
      </c>
      <c r="K26" s="60">
        <f t="shared" si="7"/>
        <v>32</v>
      </c>
      <c r="L26" s="60" t="str">
        <f>IFERROR(VLOOKUP(MID(G26,J26,K26-J26),[5]skilldef!$C:$D,2,FALSE),"-") &amp; " / " &amp; IFERROR(VLOOKUP(MID(G26,H26,I26-H26),[5]skilldef!$A:$B,2,FALSE),"-")</f>
        <v>- / -</v>
      </c>
      <c r="M26" s="60" t="str">
        <f t="shared" si="1"/>
        <v>none</v>
      </c>
      <c r="N26" s="44" t="str">
        <f t="shared" si="2"/>
        <v>none</v>
      </c>
      <c r="O26" s="60" t="e">
        <f t="shared" si="8"/>
        <v>#VALUE!</v>
      </c>
      <c r="P26" s="60">
        <f t="shared" si="9"/>
        <v>4</v>
      </c>
      <c r="Q26" s="60" t="e">
        <f t="shared" si="10"/>
        <v>#VALUE!</v>
      </c>
      <c r="R26" s="60" t="e">
        <f t="shared" si="11"/>
        <v>#VALUE!</v>
      </c>
      <c r="S26" s="60" t="str">
        <f>IFERROR(VLOOKUP(MID(N26,Q26,R26-Q26),[5]skilldef!$C:$D,2,FALSE),"-") &amp; " / " &amp; IFERROR(VLOOKUP(MID(N26,O26,P26-O26),[5]skilldef!$A:$B,2,FALSE),"-")</f>
        <v>- / -</v>
      </c>
      <c r="T26" s="44" t="str">
        <f t="shared" si="3"/>
        <v>none</v>
      </c>
      <c r="U26" s="60" t="e">
        <f t="shared" si="12"/>
        <v>#VALUE!</v>
      </c>
      <c r="V26" s="60">
        <f t="shared" si="13"/>
        <v>4</v>
      </c>
      <c r="W26" s="60" t="e">
        <f t="shared" si="14"/>
        <v>#VALUE!</v>
      </c>
      <c r="X26" s="60" t="e">
        <f t="shared" si="15"/>
        <v>#VALUE!</v>
      </c>
      <c r="Y26" s="60" t="str">
        <f>IFERROR(VLOOKUP(MID(T26,W26,X26-W26),[5]skilldef!$C:$D,2,FALSE),"-") &amp; " / " &amp; IFERROR(VLOOKUP(MID(T26,U26,V26-U26),[5]skilldef!$A:$B,2,FALSE),"-")</f>
        <v>- / -</v>
      </c>
      <c r="Z26" s="46"/>
      <c r="AA26" s="48"/>
      <c r="AB26" s="46"/>
    </row>
    <row r="27" spans="1:28" ht="21" customHeight="1" x14ac:dyDescent="0.15">
      <c r="A27" s="43">
        <v>47009026</v>
      </c>
      <c r="B27" s="43" t="s">
        <v>511</v>
      </c>
      <c r="C27" s="46">
        <v>3</v>
      </c>
      <c r="D27" s="46" t="s">
        <v>272</v>
      </c>
      <c r="E27" s="153" t="s">
        <v>265</v>
      </c>
      <c r="F27" s="153" t="s">
        <v>265</v>
      </c>
      <c r="G27" s="60" t="str">
        <f t="shared" si="0"/>
        <v>[effect:enemy_message, val1:1.2, val2:1.2]</v>
      </c>
      <c r="H27" s="60">
        <f t="shared" si="4"/>
        <v>9</v>
      </c>
      <c r="I27" s="60">
        <f t="shared" si="5"/>
        <v>22</v>
      </c>
      <c r="J27" s="60" t="e">
        <f t="shared" si="6"/>
        <v>#VALUE!</v>
      </c>
      <c r="K27" s="60">
        <f t="shared" si="7"/>
        <v>32</v>
      </c>
      <c r="L27" s="60" t="str">
        <f>IFERROR(VLOOKUP(MID(G27,J27,K27-J27),[5]skilldef!$C:$D,2,FALSE),"-") &amp; " / " &amp; IFERROR(VLOOKUP(MID(G27,H27,I27-H27),[5]skilldef!$A:$B,2,FALSE),"-")</f>
        <v>- / -</v>
      </c>
      <c r="M27" s="60" t="str">
        <f t="shared" si="1"/>
        <v>none</v>
      </c>
      <c r="N27" s="44" t="str">
        <f t="shared" si="2"/>
        <v>none</v>
      </c>
      <c r="O27" s="60" t="e">
        <f t="shared" si="8"/>
        <v>#VALUE!</v>
      </c>
      <c r="P27" s="60">
        <f t="shared" si="9"/>
        <v>4</v>
      </c>
      <c r="Q27" s="60" t="e">
        <f t="shared" si="10"/>
        <v>#VALUE!</v>
      </c>
      <c r="R27" s="60" t="e">
        <f t="shared" si="11"/>
        <v>#VALUE!</v>
      </c>
      <c r="S27" s="60" t="str">
        <f>IFERROR(VLOOKUP(MID(N27,Q27,R27-Q27),[5]skilldef!$C:$D,2,FALSE),"-") &amp; " / " &amp; IFERROR(VLOOKUP(MID(N27,O27,P27-O27),[5]skilldef!$A:$B,2,FALSE),"-")</f>
        <v>- / -</v>
      </c>
      <c r="T27" s="44" t="str">
        <f t="shared" si="3"/>
        <v>none</v>
      </c>
      <c r="U27" s="60" t="e">
        <f t="shared" si="12"/>
        <v>#VALUE!</v>
      </c>
      <c r="V27" s="60">
        <f t="shared" si="13"/>
        <v>4</v>
      </c>
      <c r="W27" s="60" t="e">
        <f t="shared" si="14"/>
        <v>#VALUE!</v>
      </c>
      <c r="X27" s="60" t="e">
        <f t="shared" si="15"/>
        <v>#VALUE!</v>
      </c>
      <c r="Y27" s="60" t="str">
        <f>IFERROR(VLOOKUP(MID(T27,W27,X27-W27),[5]skilldef!$C:$D,2,FALSE),"-") &amp; " / " &amp; IFERROR(VLOOKUP(MID(T27,U27,V27-U27),[5]skilldef!$A:$B,2,FALSE),"-")</f>
        <v>- / -</v>
      </c>
      <c r="Z27" s="46"/>
      <c r="AA27" s="48"/>
      <c r="AB27" s="46"/>
    </row>
    <row r="28" spans="1:28" ht="21" customHeight="1" x14ac:dyDescent="0.15">
      <c r="A28" s="43">
        <v>47009027</v>
      </c>
      <c r="B28" s="43" t="s">
        <v>514</v>
      </c>
      <c r="C28" s="46">
        <v>3</v>
      </c>
      <c r="D28" s="46" t="s">
        <v>272</v>
      </c>
      <c r="E28" s="47" t="s">
        <v>279</v>
      </c>
      <c r="F28" s="150" t="s">
        <v>603</v>
      </c>
      <c r="G28" s="60" t="str">
        <f t="shared" si="0"/>
        <v>[effect:enemy_message, val1:1.2, val2:0]</v>
      </c>
      <c r="H28" s="60">
        <f t="shared" si="4"/>
        <v>9</v>
      </c>
      <c r="I28" s="60">
        <f t="shared" si="5"/>
        <v>22</v>
      </c>
      <c r="J28" s="60" t="e">
        <f t="shared" si="6"/>
        <v>#VALUE!</v>
      </c>
      <c r="K28" s="60">
        <f t="shared" si="7"/>
        <v>32</v>
      </c>
      <c r="L28" s="60" t="str">
        <f>IFERROR(VLOOKUP(MID(G28,J28,K28-J28),[5]skilldef!$C:$D,2,FALSE),"-") &amp; " / " &amp; IFERROR(VLOOKUP(MID(G28,H28,I28-H28),[5]skilldef!$A:$B,2,FALSE),"-")</f>
        <v>- / -</v>
      </c>
      <c r="M28" s="60" t="str">
        <f t="shared" si="1"/>
        <v>[effect:fix_speed, target:myself, turn:1]</v>
      </c>
      <c r="N28" s="44" t="str">
        <f t="shared" si="2"/>
        <v>[effect:fix_speed, target:myself, turn:1]</v>
      </c>
      <c r="O28" s="60">
        <f t="shared" si="8"/>
        <v>9</v>
      </c>
      <c r="P28" s="60">
        <f t="shared" si="9"/>
        <v>18</v>
      </c>
      <c r="Q28" s="60">
        <f t="shared" si="10"/>
        <v>27</v>
      </c>
      <c r="R28" s="60">
        <f t="shared" si="11"/>
        <v>33</v>
      </c>
      <c r="S28" s="60" t="str">
        <f>IFERROR(VLOOKUP(MID(N28,Q28,R28-Q28),[5]skilldef!$C:$D,2,FALSE),"-") &amp; " / " &amp; IFERROR(VLOOKUP(MID(N28,O28,P28-O28),[5]skilldef!$A:$B,2,FALSE),"-")</f>
        <v>自分自身に / 行動値設定</v>
      </c>
      <c r="T28" s="44" t="str">
        <f t="shared" si="3"/>
        <v>none</v>
      </c>
      <c r="U28" s="60" t="e">
        <f t="shared" si="12"/>
        <v>#VALUE!</v>
      </c>
      <c r="V28" s="60">
        <f t="shared" si="13"/>
        <v>4</v>
      </c>
      <c r="W28" s="60" t="e">
        <f t="shared" si="14"/>
        <v>#VALUE!</v>
      </c>
      <c r="X28" s="60" t="e">
        <f t="shared" si="15"/>
        <v>#VALUE!</v>
      </c>
      <c r="Y28" s="60" t="str">
        <f>IFERROR(VLOOKUP(MID(T28,W28,X28-W28),[5]skilldef!$C:$D,2,FALSE),"-") &amp; " / " &amp; IFERROR(VLOOKUP(MID(T28,U28,V28-U28),[5]skilldef!$A:$B,2,FALSE),"-")</f>
        <v>- / -</v>
      </c>
      <c r="Z28" s="46"/>
      <c r="AA28" s="48"/>
      <c r="AB28" s="46"/>
    </row>
    <row r="29" spans="1:28" ht="21" customHeight="1" x14ac:dyDescent="0.15">
      <c r="A29" s="43">
        <v>47009028</v>
      </c>
      <c r="B29" s="43" t="s">
        <v>573</v>
      </c>
      <c r="C29" s="46">
        <v>3</v>
      </c>
      <c r="D29" s="46" t="s">
        <v>272</v>
      </c>
      <c r="E29" s="47" t="s">
        <v>280</v>
      </c>
      <c r="F29" s="47" t="s">
        <v>535</v>
      </c>
      <c r="G29" s="60" t="str">
        <f t="shared" si="0"/>
        <v>[effect:enemy_message, val1:1.5, val2:1.6]</v>
      </c>
      <c r="H29" s="60">
        <f t="shared" si="4"/>
        <v>9</v>
      </c>
      <c r="I29" s="60">
        <f t="shared" si="5"/>
        <v>22</v>
      </c>
      <c r="J29" s="60" t="e">
        <f t="shared" si="6"/>
        <v>#VALUE!</v>
      </c>
      <c r="K29" s="60">
        <f t="shared" si="7"/>
        <v>32</v>
      </c>
      <c r="L29" s="60" t="str">
        <f>IFERROR(VLOOKUP(MID(G29,J29,K29-J29),[5]skilldef!$C:$D,2,FALSE),"-") &amp; " / " &amp; IFERROR(VLOOKUP(MID(G29,H29,I29-H29),[5]skilldef!$A:$B,2,FALSE),"-")</f>
        <v>- / -</v>
      </c>
      <c r="M29" s="60" t="str">
        <f t="shared" si="1"/>
        <v>[effect:change_attribute, target:enemy_all, color:red, turn:-1, animation:change_attribute_red],[effect:enhance_enemy, target:myself, turn:3, status:attack, val:0.1, calc:mul, animation:enemy_enhance_attack]</v>
      </c>
      <c r="N29" s="44" t="str">
        <f t="shared" si="2"/>
        <v>[effect:change_attribute, target:enemy_all, color:red, turn:-1, animation:change_attribute_red],[effect:enhance_enemy, target:myself, turn:3, status:attack, val:0.1, calc:mul, animation:enemy_enhance_attack]</v>
      </c>
      <c r="O29" s="60">
        <f t="shared" si="8"/>
        <v>9</v>
      </c>
      <c r="P29" s="60">
        <f t="shared" si="9"/>
        <v>25</v>
      </c>
      <c r="Q29" s="60">
        <f t="shared" si="10"/>
        <v>34</v>
      </c>
      <c r="R29" s="60">
        <f t="shared" si="11"/>
        <v>43</v>
      </c>
      <c r="S29" s="60" t="str">
        <f>IFERROR(VLOOKUP(MID(N29,Q29,R29-Q29),[5]skilldef!$C:$D,2,FALSE),"-") &amp; " / " &amp; IFERROR(VLOOKUP(MID(N29,O29,P29-O29),[5]skilldef!$A:$B,2,FALSE),"-")</f>
        <v>敵全体に / -</v>
      </c>
      <c r="T29" s="44" t="str">
        <f t="shared" si="3"/>
        <v>[effect:enhance_enemy, target:myself, turn:3, status:attack, val:0.1, calc:mul, animation:enemy_enhance_attack]</v>
      </c>
      <c r="U29" s="60">
        <f t="shared" si="12"/>
        <v>9</v>
      </c>
      <c r="V29" s="60">
        <f t="shared" si="13"/>
        <v>22</v>
      </c>
      <c r="W29" s="60">
        <f t="shared" si="14"/>
        <v>31</v>
      </c>
      <c r="X29" s="60">
        <f t="shared" si="15"/>
        <v>37</v>
      </c>
      <c r="Y29" s="60" t="str">
        <f>IFERROR(VLOOKUP(MID(T29,W29,X29-W29),[5]skilldef!$C:$D,2,FALSE),"-") &amp; " / " &amp; IFERROR(VLOOKUP(MID(T29,U29,V29-U29),[5]skilldef!$A:$B,2,FALSE),"-")</f>
        <v>自分自身に / ステータス強化</v>
      </c>
      <c r="Z29" s="46"/>
      <c r="AA29" s="48"/>
      <c r="AB29" s="46"/>
    </row>
    <row r="30" spans="1:28" ht="21" customHeight="1" x14ac:dyDescent="0.15">
      <c r="A30" s="43">
        <v>47009029</v>
      </c>
      <c r="B30" s="43" t="s">
        <v>500</v>
      </c>
      <c r="C30" s="46">
        <v>3</v>
      </c>
      <c r="D30" s="46" t="s">
        <v>272</v>
      </c>
      <c r="E30" s="47" t="s">
        <v>281</v>
      </c>
      <c r="F30" s="47" t="s">
        <v>282</v>
      </c>
      <c r="G30" s="60" t="str">
        <f t="shared" si="0"/>
        <v>[effect:enemy_message, val1:1.2, val2:1.2]</v>
      </c>
      <c r="H30" s="60">
        <f t="shared" si="4"/>
        <v>9</v>
      </c>
      <c r="I30" s="60">
        <f t="shared" si="5"/>
        <v>22</v>
      </c>
      <c r="J30" s="60" t="e">
        <f t="shared" si="6"/>
        <v>#VALUE!</v>
      </c>
      <c r="K30" s="60">
        <f t="shared" si="7"/>
        <v>32</v>
      </c>
      <c r="L30" s="60" t="str">
        <f>IFERROR(VLOOKUP(MID(G30,J30,K30-J30),[5]skilldef!$C:$D,2,FALSE),"-") &amp; " / " &amp; IFERROR(VLOOKUP(MID(G30,H30,I30-H30),[5]skilldef!$A:$B,2,FALSE),"-")</f>
        <v>- / -</v>
      </c>
      <c r="M30" s="60" t="str">
        <f t="shared" si="1"/>
        <v>[effect:rush, count:6, val:0.2]</v>
      </c>
      <c r="N30" s="44" t="str">
        <f t="shared" si="2"/>
        <v>[effect:rush, count:6, val:0.2]</v>
      </c>
      <c r="O30" s="60">
        <f t="shared" si="8"/>
        <v>9</v>
      </c>
      <c r="P30" s="60">
        <f t="shared" si="9"/>
        <v>13</v>
      </c>
      <c r="Q30" s="60" t="e">
        <f t="shared" si="10"/>
        <v>#VALUE!</v>
      </c>
      <c r="R30" s="60">
        <f t="shared" si="11"/>
        <v>22</v>
      </c>
      <c r="S30" s="60" t="str">
        <f>IFERROR(VLOOKUP(MID(N30,Q30,R30-Q30),[5]skilldef!$C:$D,2,FALSE),"-") &amp; " / " &amp; IFERROR(VLOOKUP(MID(N30,O30,P30-O30),[5]skilldef!$A:$B,2,FALSE),"-")</f>
        <v>- / 連続攻撃</v>
      </c>
      <c r="T30" s="44" t="str">
        <f t="shared" si="3"/>
        <v>none</v>
      </c>
      <c r="U30" s="60" t="e">
        <f t="shared" si="12"/>
        <v>#VALUE!</v>
      </c>
      <c r="V30" s="60">
        <f t="shared" si="13"/>
        <v>4</v>
      </c>
      <c r="W30" s="60" t="e">
        <f t="shared" si="14"/>
        <v>#VALUE!</v>
      </c>
      <c r="X30" s="60" t="e">
        <f t="shared" si="15"/>
        <v>#VALUE!</v>
      </c>
      <c r="Y30" s="60" t="str">
        <f>IFERROR(VLOOKUP(MID(T30,W30,X30-W30),[5]skilldef!$C:$D,2,FALSE),"-") &amp; " / " &amp; IFERROR(VLOOKUP(MID(T30,U30,V30-U30),[5]skilldef!$A:$B,2,FALSE),"-")</f>
        <v>- / -</v>
      </c>
      <c r="Z30" s="46"/>
      <c r="AA30" s="48"/>
      <c r="AB30" s="46"/>
    </row>
    <row r="31" spans="1:28" ht="21" customHeight="1" x14ac:dyDescent="0.15">
      <c r="A31" s="43">
        <v>47009030</v>
      </c>
      <c r="B31" s="43" t="s">
        <v>501</v>
      </c>
      <c r="C31" s="46">
        <v>3</v>
      </c>
      <c r="D31" s="46" t="s">
        <v>283</v>
      </c>
      <c r="E31" s="47" t="s">
        <v>284</v>
      </c>
      <c r="F31" s="47" t="s">
        <v>285</v>
      </c>
      <c r="G31" s="60" t="str">
        <f t="shared" si="0"/>
        <v>[effect:enemy_message, val1:1.2, val2:1.2]</v>
      </c>
      <c r="H31" s="60">
        <f t="shared" si="4"/>
        <v>9</v>
      </c>
      <c r="I31" s="60">
        <f t="shared" si="5"/>
        <v>22</v>
      </c>
      <c r="J31" s="60" t="e">
        <f t="shared" si="6"/>
        <v>#VALUE!</v>
      </c>
      <c r="K31" s="60">
        <f t="shared" si="7"/>
        <v>32</v>
      </c>
      <c r="L31" s="60" t="str">
        <f>IFERROR(VLOOKUP(MID(G31,J31,K31-J31),[5]skilldef!$C:$D,2,FALSE),"-") &amp; " / " &amp; IFERROR(VLOOKUP(MID(G31,H31,I31-H31),[5]skilldef!$A:$B,2,FALSE),"-")</f>
        <v>- / -</v>
      </c>
      <c r="M31" s="60" t="str">
        <f t="shared" si="1"/>
        <v>[effect:spread, val:0.35],[effect:dark, target:unit_all, turn:1, animation:enemy_dark]</v>
      </c>
      <c r="N31" s="44" t="str">
        <f t="shared" si="2"/>
        <v>[effect:spread, val:0.35],[effect:dark, target:unit_all, turn:1, animation:enemy_dark]</v>
      </c>
      <c r="O31" s="60">
        <f t="shared" si="8"/>
        <v>9</v>
      </c>
      <c r="P31" s="60">
        <f t="shared" si="9"/>
        <v>15</v>
      </c>
      <c r="Q31" s="60">
        <f t="shared" si="10"/>
        <v>48</v>
      </c>
      <c r="R31" s="60">
        <f t="shared" si="11"/>
        <v>26</v>
      </c>
      <c r="S31" s="60" t="str">
        <f>IFERROR(VLOOKUP(MID(N31,Q31,R31-Q31),[5]skilldef!$C:$D,2,FALSE),"-") &amp; " / " &amp; IFERROR(VLOOKUP(MID(N31,O31,P31-O31),[5]skilldef!$A:$B,2,FALSE),"-")</f>
        <v>- / 全体攻撃</v>
      </c>
      <c r="T31" s="44" t="str">
        <f t="shared" si="3"/>
        <v>[effect:dark, target:unit_all, turn:1, animation:enemy_dark]</v>
      </c>
      <c r="U31" s="60">
        <f t="shared" si="12"/>
        <v>9</v>
      </c>
      <c r="V31" s="60">
        <f t="shared" si="13"/>
        <v>13</v>
      </c>
      <c r="W31" s="60">
        <f t="shared" si="14"/>
        <v>22</v>
      </c>
      <c r="X31" s="60">
        <f t="shared" si="15"/>
        <v>30</v>
      </c>
      <c r="Y31" s="60" t="str">
        <f>IFERROR(VLOOKUP(MID(T31,W31,X31-W31),[5]skilldef!$C:$D,2,FALSE),"-") &amp; " / " &amp; IFERROR(VLOOKUP(MID(T31,U31,V31-U31),[5]skilldef!$A:$B,2,FALSE),"-")</f>
        <v>味方全体に / 暗黒</v>
      </c>
      <c r="Z31" s="46"/>
      <c r="AA31" s="48"/>
      <c r="AB31" s="46"/>
    </row>
    <row r="32" spans="1:28" ht="21" customHeight="1" x14ac:dyDescent="0.15">
      <c r="A32" s="43">
        <v>47009031</v>
      </c>
      <c r="B32" s="43" t="s">
        <v>574</v>
      </c>
      <c r="C32" s="46">
        <v>3</v>
      </c>
      <c r="D32" s="46" t="s">
        <v>283</v>
      </c>
      <c r="E32" s="47" t="s">
        <v>286</v>
      </c>
      <c r="F32" s="151" t="s">
        <v>604</v>
      </c>
      <c r="G32" s="60" t="str">
        <f t="shared" si="0"/>
        <v>[effect:enemy_message, val1:1.4, val2:1.8]</v>
      </c>
      <c r="H32" s="60">
        <f t="shared" si="4"/>
        <v>9</v>
      </c>
      <c r="I32" s="60">
        <f t="shared" si="5"/>
        <v>22</v>
      </c>
      <c r="J32" s="60" t="e">
        <f t="shared" si="6"/>
        <v>#VALUE!</v>
      </c>
      <c r="K32" s="60">
        <f t="shared" si="7"/>
        <v>32</v>
      </c>
      <c r="L32" s="60" t="str">
        <f>IFERROR(VLOOKUP(MID(G32,J32,K32-J32),[5]skilldef!$C:$D,2,FALSE),"-") &amp; " / " &amp; IFERROR(VLOOKUP(MID(G32,H32,I32-H32),[5]skilldef!$A:$B,2,FALSE),"-")</f>
        <v>- / -</v>
      </c>
      <c r="M32" s="60" t="str">
        <f t="shared" si="1"/>
        <v>[effect:break_attack, val:0.1, lowest_val:3000, count:10, block:block_red, target:unit_one]</v>
      </c>
      <c r="N32" s="44" t="str">
        <f t="shared" si="2"/>
        <v>[effect:break_attack, val:0.1, lowest_val:3000, count:10, block:block_red, target:unit_one]</v>
      </c>
      <c r="O32" s="60">
        <f t="shared" si="8"/>
        <v>9</v>
      </c>
      <c r="P32" s="60">
        <f t="shared" si="9"/>
        <v>21</v>
      </c>
      <c r="Q32" s="60">
        <f t="shared" si="10"/>
        <v>83</v>
      </c>
      <c r="R32" s="60">
        <f t="shared" si="11"/>
        <v>30</v>
      </c>
      <c r="S32" s="60" t="str">
        <f>IFERROR(VLOOKUP(MID(N32,Q32,R32-Q32),[5]skilldef!$C:$D,2,FALSE),"-") &amp; " / " &amp; IFERROR(VLOOKUP(MID(N32,O32,P32-O32),[5]skilldef!$A:$B,2,FALSE),"-")</f>
        <v>- / -</v>
      </c>
      <c r="T32" s="44" t="str">
        <f t="shared" si="3"/>
        <v>none</v>
      </c>
      <c r="U32" s="60" t="e">
        <f t="shared" si="12"/>
        <v>#VALUE!</v>
      </c>
      <c r="V32" s="60">
        <f t="shared" si="13"/>
        <v>4</v>
      </c>
      <c r="W32" s="60" t="e">
        <f t="shared" si="14"/>
        <v>#VALUE!</v>
      </c>
      <c r="X32" s="60" t="e">
        <f t="shared" si="15"/>
        <v>#VALUE!</v>
      </c>
      <c r="Y32" s="60" t="str">
        <f>IFERROR(VLOOKUP(MID(T32,W32,X32-W32),[5]skilldef!$C:$D,2,FALSE),"-") &amp; " / " &amp; IFERROR(VLOOKUP(MID(T32,U32,V32-U32),[5]skilldef!$A:$B,2,FALSE),"-")</f>
        <v>- / -</v>
      </c>
      <c r="Z32" s="46"/>
      <c r="AA32" s="48"/>
      <c r="AB32" s="46"/>
    </row>
    <row r="33" spans="1:28" ht="21" customHeight="1" x14ac:dyDescent="0.15">
      <c r="A33" s="43">
        <v>47009032</v>
      </c>
      <c r="B33" s="43" t="s">
        <v>511</v>
      </c>
      <c r="C33" s="46">
        <v>3</v>
      </c>
      <c r="D33" s="46" t="s">
        <v>287</v>
      </c>
      <c r="E33" s="153" t="s">
        <v>265</v>
      </c>
      <c r="F33" s="153" t="s">
        <v>265</v>
      </c>
      <c r="G33" s="60" t="str">
        <f t="shared" si="0"/>
        <v>[effect:enemy_message, val1:1.2, val2:1.2]</v>
      </c>
      <c r="H33" s="60">
        <f t="shared" si="4"/>
        <v>9</v>
      </c>
      <c r="I33" s="60">
        <f t="shared" si="5"/>
        <v>22</v>
      </c>
      <c r="J33" s="60" t="e">
        <f t="shared" si="6"/>
        <v>#VALUE!</v>
      </c>
      <c r="K33" s="60">
        <f t="shared" si="7"/>
        <v>32</v>
      </c>
      <c r="L33" s="60" t="str">
        <f>IFERROR(VLOOKUP(MID(G33,J33,K33-J33),[5]skilldef!$C:$D,2,FALSE),"-") &amp; " / " &amp; IFERROR(VLOOKUP(MID(G33,H33,I33-H33),[5]skilldef!$A:$B,2,FALSE),"-")</f>
        <v>- / -</v>
      </c>
      <c r="M33" s="60" t="str">
        <f t="shared" si="1"/>
        <v>none</v>
      </c>
      <c r="N33" s="44" t="str">
        <f t="shared" si="2"/>
        <v>none</v>
      </c>
      <c r="O33" s="60" t="e">
        <f t="shared" si="8"/>
        <v>#VALUE!</v>
      </c>
      <c r="P33" s="60">
        <f t="shared" si="9"/>
        <v>4</v>
      </c>
      <c r="Q33" s="60" t="e">
        <f t="shared" si="10"/>
        <v>#VALUE!</v>
      </c>
      <c r="R33" s="60" t="e">
        <f t="shared" si="11"/>
        <v>#VALUE!</v>
      </c>
      <c r="S33" s="60" t="str">
        <f>IFERROR(VLOOKUP(MID(N33,Q33,R33-Q33),[5]skilldef!$C:$D,2,FALSE),"-") &amp; " / " &amp; IFERROR(VLOOKUP(MID(N33,O33,P33-O33),[5]skilldef!$A:$B,2,FALSE),"-")</f>
        <v>- / -</v>
      </c>
      <c r="T33" s="44" t="str">
        <f t="shared" si="3"/>
        <v>none</v>
      </c>
      <c r="U33" s="60" t="e">
        <f t="shared" si="12"/>
        <v>#VALUE!</v>
      </c>
      <c r="V33" s="60">
        <f t="shared" si="13"/>
        <v>4</v>
      </c>
      <c r="W33" s="60" t="e">
        <f t="shared" si="14"/>
        <v>#VALUE!</v>
      </c>
      <c r="X33" s="60" t="e">
        <f t="shared" si="15"/>
        <v>#VALUE!</v>
      </c>
      <c r="Y33" s="60" t="str">
        <f>IFERROR(VLOOKUP(MID(T33,W33,X33-W33),[5]skilldef!$C:$D,2,FALSE),"-") &amp; " / " &amp; IFERROR(VLOOKUP(MID(T33,U33,V33-U33),[5]skilldef!$A:$B,2,FALSE),"-")</f>
        <v>- / -</v>
      </c>
      <c r="Z33" s="46"/>
      <c r="AA33" s="48"/>
      <c r="AB33" s="46"/>
    </row>
    <row r="34" spans="1:28" ht="21" customHeight="1" x14ac:dyDescent="0.15">
      <c r="A34" s="43">
        <v>47009033</v>
      </c>
      <c r="B34" s="43" t="s">
        <v>511</v>
      </c>
      <c r="C34" s="46">
        <v>3</v>
      </c>
      <c r="D34" s="46" t="s">
        <v>287</v>
      </c>
      <c r="E34" s="153" t="s">
        <v>265</v>
      </c>
      <c r="F34" s="153" t="s">
        <v>265</v>
      </c>
      <c r="G34" s="60" t="str">
        <f t="shared" ref="G34:G65" si="16">IFERROR(LEFT(B34,FIND("]",B34)),B34)</f>
        <v>[effect:enemy_message, val1:1.2, val2:1.2]</v>
      </c>
      <c r="H34" s="60">
        <f t="shared" si="4"/>
        <v>9</v>
      </c>
      <c r="I34" s="60">
        <f t="shared" si="5"/>
        <v>22</v>
      </c>
      <c r="J34" s="60" t="e">
        <f t="shared" si="6"/>
        <v>#VALUE!</v>
      </c>
      <c r="K34" s="60">
        <f t="shared" si="7"/>
        <v>32</v>
      </c>
      <c r="L34" s="60" t="str">
        <f>IFERROR(VLOOKUP(MID(G34,J34,K34-J34),[5]skilldef!$C:$D,2,FALSE),"-") &amp; " / " &amp; IFERROR(VLOOKUP(MID(G34,H34,I34-H34),[5]skilldef!$A:$B,2,FALSE),"-")</f>
        <v>- / -</v>
      </c>
      <c r="M34" s="60" t="str">
        <f t="shared" ref="M34:M65" si="17">IFERROR(RIGHT(B34,LEN(B34)-FIND("]",B34)-1),"none")</f>
        <v>none</v>
      </c>
      <c r="N34" s="44" t="str">
        <f t="shared" ref="N34:N65" si="18">IFERROR(LEFT(M34,FIND("]",M34)+S44),M34)</f>
        <v>none</v>
      </c>
      <c r="O34" s="60" t="e">
        <f t="shared" si="8"/>
        <v>#VALUE!</v>
      </c>
      <c r="P34" s="60">
        <f t="shared" si="9"/>
        <v>4</v>
      </c>
      <c r="Q34" s="60" t="e">
        <f t="shared" si="10"/>
        <v>#VALUE!</v>
      </c>
      <c r="R34" s="60" t="e">
        <f t="shared" si="11"/>
        <v>#VALUE!</v>
      </c>
      <c r="S34" s="60" t="str">
        <f>IFERROR(VLOOKUP(MID(N34,Q34,R34-Q34),[5]skilldef!$C:$D,2,FALSE),"-") &amp; " / " &amp; IFERROR(VLOOKUP(MID(N34,O34,P34-O34),[5]skilldef!$A:$B,2,FALSE),"-")</f>
        <v>- / -</v>
      </c>
      <c r="T34" s="44" t="str">
        <f t="shared" ref="T34:T65" si="19">IFERROR(RIGHT(M34,LEN(M34)-FIND("]",M34)-1),"none")</f>
        <v>none</v>
      </c>
      <c r="U34" s="60" t="e">
        <f t="shared" si="12"/>
        <v>#VALUE!</v>
      </c>
      <c r="V34" s="60">
        <f t="shared" si="13"/>
        <v>4</v>
      </c>
      <c r="W34" s="60" t="e">
        <f t="shared" si="14"/>
        <v>#VALUE!</v>
      </c>
      <c r="X34" s="60" t="e">
        <f t="shared" si="15"/>
        <v>#VALUE!</v>
      </c>
      <c r="Y34" s="60" t="str">
        <f>IFERROR(VLOOKUP(MID(T34,W34,X34-W34),[5]skilldef!$C:$D,2,FALSE),"-") &amp; " / " &amp; IFERROR(VLOOKUP(MID(T34,U34,V34-U34),[5]skilldef!$A:$B,2,FALSE),"-")</f>
        <v>- / -</v>
      </c>
      <c r="Z34" s="46"/>
      <c r="AA34" s="48"/>
      <c r="AB34" s="46"/>
    </row>
    <row r="35" spans="1:28" ht="21" customHeight="1" x14ac:dyDescent="0.15">
      <c r="A35" s="43">
        <v>47009034</v>
      </c>
      <c r="B35" s="43" t="s">
        <v>575</v>
      </c>
      <c r="C35" s="46">
        <v>3</v>
      </c>
      <c r="D35" s="46" t="s">
        <v>287</v>
      </c>
      <c r="E35" s="47" t="s">
        <v>288</v>
      </c>
      <c r="F35" s="150" t="s">
        <v>603</v>
      </c>
      <c r="G35" s="60" t="str">
        <f t="shared" si="16"/>
        <v>[effect:enemy_message, val1:1.6, val2:0]</v>
      </c>
      <c r="H35" s="60">
        <f t="shared" si="4"/>
        <v>9</v>
      </c>
      <c r="I35" s="60">
        <f t="shared" si="5"/>
        <v>22</v>
      </c>
      <c r="J35" s="60" t="e">
        <f t="shared" si="6"/>
        <v>#VALUE!</v>
      </c>
      <c r="K35" s="60">
        <f t="shared" si="7"/>
        <v>32</v>
      </c>
      <c r="L35" s="60" t="str">
        <f>IFERROR(VLOOKUP(MID(G35,J35,K35-J35),[5]skilldef!$C:$D,2,FALSE),"-") &amp; " / " &amp; IFERROR(VLOOKUP(MID(G35,H35,I35-H35),[5]skilldef!$A:$B,2,FALSE),"-")</f>
        <v>- / -</v>
      </c>
      <c r="M35" s="60" t="str">
        <f t="shared" si="17"/>
        <v>[effect:fix_speed, target:myself, turn:1]</v>
      </c>
      <c r="N35" s="44" t="str">
        <f t="shared" si="18"/>
        <v>[effect:fix_speed, target:myself, turn:1]</v>
      </c>
      <c r="O35" s="60">
        <f t="shared" si="8"/>
        <v>9</v>
      </c>
      <c r="P35" s="60">
        <f t="shared" si="9"/>
        <v>18</v>
      </c>
      <c r="Q35" s="60">
        <f t="shared" si="10"/>
        <v>27</v>
      </c>
      <c r="R35" s="60">
        <f t="shared" si="11"/>
        <v>33</v>
      </c>
      <c r="S35" s="60" t="str">
        <f>IFERROR(VLOOKUP(MID(N35,Q35,R35-Q35),[5]skilldef!$C:$D,2,FALSE),"-") &amp; " / " &amp; IFERROR(VLOOKUP(MID(N35,O35,P35-O35),[5]skilldef!$A:$B,2,FALSE),"-")</f>
        <v>自分自身に / 行動値設定</v>
      </c>
      <c r="T35" s="44" t="str">
        <f t="shared" si="19"/>
        <v>none</v>
      </c>
      <c r="U35" s="60" t="e">
        <f t="shared" si="12"/>
        <v>#VALUE!</v>
      </c>
      <c r="V35" s="60">
        <f t="shared" si="13"/>
        <v>4</v>
      </c>
      <c r="W35" s="60" t="e">
        <f t="shared" si="14"/>
        <v>#VALUE!</v>
      </c>
      <c r="X35" s="60" t="e">
        <f t="shared" si="15"/>
        <v>#VALUE!</v>
      </c>
      <c r="Y35" s="60" t="str">
        <f>IFERROR(VLOOKUP(MID(T35,W35,X35-W35),[5]skilldef!$C:$D,2,FALSE),"-") &amp; " / " &amp; IFERROR(VLOOKUP(MID(T35,U35,V35-U35),[5]skilldef!$A:$B,2,FALSE),"-")</f>
        <v>- / -</v>
      </c>
      <c r="Z35" s="46"/>
      <c r="AA35" s="48"/>
      <c r="AB35" s="46"/>
    </row>
    <row r="36" spans="1:28" ht="21" customHeight="1" x14ac:dyDescent="0.15">
      <c r="A36" s="154">
        <v>47009035</v>
      </c>
      <c r="B36" s="154" t="s">
        <v>502</v>
      </c>
      <c r="C36" s="46">
        <v>3</v>
      </c>
      <c r="D36" s="155" t="s">
        <v>287</v>
      </c>
      <c r="E36" s="156" t="s">
        <v>289</v>
      </c>
      <c r="F36" s="156" t="s">
        <v>289</v>
      </c>
      <c r="G36" s="60" t="str">
        <f t="shared" si="16"/>
        <v>[effect:enemy_message, val1:1.2, val2:1.2]</v>
      </c>
      <c r="H36" s="60">
        <f t="shared" si="4"/>
        <v>9</v>
      </c>
      <c r="I36" s="60">
        <f t="shared" si="5"/>
        <v>22</v>
      </c>
      <c r="J36" s="60" t="e">
        <f t="shared" si="6"/>
        <v>#VALUE!</v>
      </c>
      <c r="K36" s="60">
        <f t="shared" si="7"/>
        <v>32</v>
      </c>
      <c r="L36" s="60" t="str">
        <f>IFERROR(VLOOKUP(MID(G36,J36,K36-J36),[5]skilldef!$C:$D,2,FALSE),"-") &amp; " / " &amp; IFERROR(VLOOKUP(MID(G36,H36,I36-H36),[5]skilldef!$A:$B,2,FALSE),"-")</f>
        <v>- / -</v>
      </c>
      <c r="M36" s="60" t="str">
        <f t="shared" si="17"/>
        <v>[effect:suicide, val:1, dead_type:escape, target:myself]</v>
      </c>
      <c r="N36" s="44" t="str">
        <f t="shared" si="18"/>
        <v>[effect:suicide, val:1, dead_type:escape, target:myself]</v>
      </c>
      <c r="O36" s="60">
        <f t="shared" si="8"/>
        <v>9</v>
      </c>
      <c r="P36" s="60">
        <f t="shared" si="9"/>
        <v>16</v>
      </c>
      <c r="Q36" s="60">
        <f t="shared" si="10"/>
        <v>50</v>
      </c>
      <c r="R36" s="60">
        <f t="shared" si="11"/>
        <v>23</v>
      </c>
      <c r="S36" s="60" t="str">
        <f>IFERROR(VLOOKUP(MID(N36,Q36,R36-Q36),[5]skilldef!$C:$D,2,FALSE),"-") &amp; " / " &amp; IFERROR(VLOOKUP(MID(N36,O36,P36-O36),[5]skilldef!$A:$B,2,FALSE),"-")</f>
        <v>- / -</v>
      </c>
      <c r="T36" s="44" t="str">
        <f t="shared" si="19"/>
        <v>none</v>
      </c>
      <c r="U36" s="60" t="e">
        <f t="shared" si="12"/>
        <v>#VALUE!</v>
      </c>
      <c r="V36" s="60">
        <f t="shared" si="13"/>
        <v>4</v>
      </c>
      <c r="W36" s="60" t="e">
        <f t="shared" si="14"/>
        <v>#VALUE!</v>
      </c>
      <c r="X36" s="60" t="e">
        <f t="shared" si="15"/>
        <v>#VALUE!</v>
      </c>
      <c r="Y36" s="60" t="str">
        <f>IFERROR(VLOOKUP(MID(T36,W36,X36-W36),[5]skilldef!$C:$D,2,FALSE),"-") &amp; " / " &amp; IFERROR(VLOOKUP(MID(T36,U36,V36-U36),[5]skilldef!$A:$B,2,FALSE),"-")</f>
        <v>- / -</v>
      </c>
      <c r="Z36" s="46"/>
      <c r="AA36" s="48"/>
      <c r="AB36" s="46"/>
    </row>
    <row r="37" spans="1:28" ht="21" customHeight="1" x14ac:dyDescent="0.15">
      <c r="A37" s="43">
        <v>47009036</v>
      </c>
      <c r="B37" s="43" t="s">
        <v>553</v>
      </c>
      <c r="C37" s="46">
        <v>3</v>
      </c>
      <c r="D37" s="46" t="s">
        <v>287</v>
      </c>
      <c r="E37" s="47" t="s">
        <v>290</v>
      </c>
      <c r="F37" s="47" t="s">
        <v>605</v>
      </c>
      <c r="G37" s="60" t="str">
        <f t="shared" si="16"/>
        <v>[effect:enemy_message, val1:2.1, val2:3.8]</v>
      </c>
      <c r="H37" s="60">
        <f t="shared" si="4"/>
        <v>9</v>
      </c>
      <c r="I37" s="60">
        <f t="shared" si="5"/>
        <v>22</v>
      </c>
      <c r="J37" s="60" t="e">
        <f t="shared" si="6"/>
        <v>#VALUE!</v>
      </c>
      <c r="K37" s="60">
        <f t="shared" si="7"/>
        <v>32</v>
      </c>
      <c r="L37" s="60" t="str">
        <f>IFERROR(VLOOKUP(MID(G37,J37,K37-J37),[5]skilldef!$C:$D,2,FALSE),"-") &amp; " / " &amp; IFERROR(VLOOKUP(MID(G37,H37,I37-H37),[5]skilldef!$A:$B,2,FALSE),"-")</f>
        <v>- / -</v>
      </c>
      <c r="M37" s="60" t="str">
        <f t="shared" si="17"/>
        <v>[effect:crash_condition, target:unit_all, val:-2, turn:-1, animation:crash_panel_reduce04],[effect:suicide, val:1, dead_type:escape, target:myself]</v>
      </c>
      <c r="N37" s="44" t="str">
        <f t="shared" si="18"/>
        <v>[effect:crash_condition, target:unit_all, val:-2, turn:-1, animation:crash_panel_reduce04],[effect:suicide, val:1, dead_type:escape, target:myself]</v>
      </c>
      <c r="O37" s="60">
        <f t="shared" si="8"/>
        <v>9</v>
      </c>
      <c r="P37" s="60">
        <f t="shared" si="9"/>
        <v>24</v>
      </c>
      <c r="Q37" s="60">
        <f t="shared" si="10"/>
        <v>33</v>
      </c>
      <c r="R37" s="60">
        <f t="shared" si="11"/>
        <v>41</v>
      </c>
      <c r="S37" s="60" t="str">
        <f>IFERROR(VLOOKUP(MID(N37,Q37,R37-Q37),[5]skilldef!$C:$D,2,FALSE),"-") &amp; " / " &amp; IFERROR(VLOOKUP(MID(N37,O37,P37-O37),[5]skilldef!$A:$B,2,FALSE),"-")</f>
        <v>味方全体に / -</v>
      </c>
      <c r="T37" s="44" t="str">
        <f t="shared" si="19"/>
        <v>[effect:suicide, val:1, dead_type:escape, target:myself]</v>
      </c>
      <c r="U37" s="60">
        <f t="shared" si="12"/>
        <v>9</v>
      </c>
      <c r="V37" s="60">
        <f t="shared" si="13"/>
        <v>16</v>
      </c>
      <c r="W37" s="60">
        <f t="shared" si="14"/>
        <v>50</v>
      </c>
      <c r="X37" s="60">
        <f t="shared" si="15"/>
        <v>23</v>
      </c>
      <c r="Y37" s="60" t="str">
        <f>IFERROR(VLOOKUP(MID(T37,W37,X37-W37),[5]skilldef!$C:$D,2,FALSE),"-") &amp; " / " &amp; IFERROR(VLOOKUP(MID(T37,U37,V37-U37),[5]skilldef!$A:$B,2,FALSE),"-")</f>
        <v>- / -</v>
      </c>
      <c r="Z37" s="46"/>
      <c r="AA37" s="48"/>
      <c r="AB37" s="46"/>
    </row>
    <row r="38" spans="1:28" ht="21" customHeight="1" x14ac:dyDescent="0.15">
      <c r="A38" s="43">
        <v>47009037</v>
      </c>
      <c r="B38" s="43" t="s">
        <v>511</v>
      </c>
      <c r="C38" s="46">
        <v>3</v>
      </c>
      <c r="D38" s="46" t="s">
        <v>287</v>
      </c>
      <c r="E38" s="151" t="s">
        <v>265</v>
      </c>
      <c r="F38" s="151" t="s">
        <v>265</v>
      </c>
      <c r="G38" s="60" t="str">
        <f t="shared" si="16"/>
        <v>[effect:enemy_message, val1:1.2, val2:1.2]</v>
      </c>
      <c r="H38" s="60">
        <f t="shared" si="4"/>
        <v>9</v>
      </c>
      <c r="I38" s="60">
        <f t="shared" si="5"/>
        <v>22</v>
      </c>
      <c r="J38" s="60" t="e">
        <f t="shared" si="6"/>
        <v>#VALUE!</v>
      </c>
      <c r="K38" s="60">
        <f t="shared" si="7"/>
        <v>32</v>
      </c>
      <c r="L38" s="60" t="str">
        <f>IFERROR(VLOOKUP(MID(G38,J38,K38-J38),[5]skilldef!$C:$D,2,FALSE),"-") &amp; " / " &amp; IFERROR(VLOOKUP(MID(G38,H38,I38-H38),[5]skilldef!$A:$B,2,FALSE),"-")</f>
        <v>- / -</v>
      </c>
      <c r="M38" s="60" t="str">
        <f t="shared" si="17"/>
        <v>none</v>
      </c>
      <c r="N38" s="44" t="str">
        <f t="shared" si="18"/>
        <v>none</v>
      </c>
      <c r="O38" s="60" t="e">
        <f t="shared" si="8"/>
        <v>#VALUE!</v>
      </c>
      <c r="P38" s="60">
        <f t="shared" si="9"/>
        <v>4</v>
      </c>
      <c r="Q38" s="60" t="e">
        <f t="shared" si="10"/>
        <v>#VALUE!</v>
      </c>
      <c r="R38" s="60" t="e">
        <f t="shared" si="11"/>
        <v>#VALUE!</v>
      </c>
      <c r="S38" s="60" t="str">
        <f>IFERROR(VLOOKUP(MID(N38,Q38,R38-Q38),[5]skilldef!$C:$D,2,FALSE),"-") &amp; " / " &amp; IFERROR(VLOOKUP(MID(N38,O38,P38-O38),[5]skilldef!$A:$B,2,FALSE),"-")</f>
        <v>- / -</v>
      </c>
      <c r="T38" s="44" t="str">
        <f t="shared" si="19"/>
        <v>none</v>
      </c>
      <c r="U38" s="60" t="e">
        <f t="shared" si="12"/>
        <v>#VALUE!</v>
      </c>
      <c r="V38" s="60">
        <f t="shared" si="13"/>
        <v>4</v>
      </c>
      <c r="W38" s="60" t="e">
        <f t="shared" si="14"/>
        <v>#VALUE!</v>
      </c>
      <c r="X38" s="60" t="e">
        <f t="shared" si="15"/>
        <v>#VALUE!</v>
      </c>
      <c r="Y38" s="60" t="str">
        <f>IFERROR(VLOOKUP(MID(T38,W38,X38-W38),[5]skilldef!$C:$D,2,FALSE),"-") &amp; " / " &amp; IFERROR(VLOOKUP(MID(T38,U38,V38-U38),[5]skilldef!$A:$B,2,FALSE),"-")</f>
        <v>- / -</v>
      </c>
      <c r="Z38" s="46"/>
      <c r="AA38" s="48"/>
      <c r="AB38" s="46"/>
    </row>
    <row r="39" spans="1:28" ht="21" customHeight="1" x14ac:dyDescent="0.15">
      <c r="A39" s="43">
        <v>47009038</v>
      </c>
      <c r="B39" s="43" t="s">
        <v>511</v>
      </c>
      <c r="C39" s="46">
        <v>3</v>
      </c>
      <c r="D39" s="46" t="s">
        <v>287</v>
      </c>
      <c r="E39" s="153" t="s">
        <v>265</v>
      </c>
      <c r="F39" s="153" t="s">
        <v>265</v>
      </c>
      <c r="G39" s="60" t="str">
        <f t="shared" si="16"/>
        <v>[effect:enemy_message, val1:1.2, val2:1.2]</v>
      </c>
      <c r="H39" s="60">
        <f t="shared" si="4"/>
        <v>9</v>
      </c>
      <c r="I39" s="60">
        <f t="shared" si="5"/>
        <v>22</v>
      </c>
      <c r="J39" s="60" t="e">
        <f t="shared" si="6"/>
        <v>#VALUE!</v>
      </c>
      <c r="K39" s="60">
        <f t="shared" si="7"/>
        <v>32</v>
      </c>
      <c r="L39" s="60" t="str">
        <f>IFERROR(VLOOKUP(MID(G39,J39,K39-J39),[5]skilldef!$C:$D,2,FALSE),"-") &amp; " / " &amp; IFERROR(VLOOKUP(MID(G39,H39,I39-H39),[5]skilldef!$A:$B,2,FALSE),"-")</f>
        <v>- / -</v>
      </c>
      <c r="M39" s="60" t="str">
        <f t="shared" si="17"/>
        <v>none</v>
      </c>
      <c r="N39" s="44" t="str">
        <f t="shared" si="18"/>
        <v>none</v>
      </c>
      <c r="O39" s="60" t="e">
        <f t="shared" si="8"/>
        <v>#VALUE!</v>
      </c>
      <c r="P39" s="60">
        <f t="shared" si="9"/>
        <v>4</v>
      </c>
      <c r="Q39" s="60" t="e">
        <f t="shared" si="10"/>
        <v>#VALUE!</v>
      </c>
      <c r="R39" s="60" t="e">
        <f t="shared" si="11"/>
        <v>#VALUE!</v>
      </c>
      <c r="S39" s="60" t="str">
        <f>IFERROR(VLOOKUP(MID(N39,Q39,R39-Q39),[5]skilldef!$C:$D,2,FALSE),"-") &amp; " / " &amp; IFERROR(VLOOKUP(MID(N39,O39,P39-O39),[5]skilldef!$A:$B,2,FALSE),"-")</f>
        <v>- / -</v>
      </c>
      <c r="T39" s="44" t="str">
        <f t="shared" si="19"/>
        <v>none</v>
      </c>
      <c r="U39" s="60" t="e">
        <f t="shared" si="12"/>
        <v>#VALUE!</v>
      </c>
      <c r="V39" s="60">
        <f t="shared" si="13"/>
        <v>4</v>
      </c>
      <c r="W39" s="60" t="e">
        <f t="shared" si="14"/>
        <v>#VALUE!</v>
      </c>
      <c r="X39" s="60" t="e">
        <f t="shared" si="15"/>
        <v>#VALUE!</v>
      </c>
      <c r="Y39" s="60" t="str">
        <f>IFERROR(VLOOKUP(MID(T39,W39,X39-W39),[5]skilldef!$C:$D,2,FALSE),"-") &amp; " / " &amp; IFERROR(VLOOKUP(MID(T39,U39,V39-U39),[5]skilldef!$A:$B,2,FALSE),"-")</f>
        <v>- / -</v>
      </c>
      <c r="Z39" s="46"/>
      <c r="AA39" s="48"/>
      <c r="AB39" s="46"/>
    </row>
    <row r="40" spans="1:28" ht="21" customHeight="1" x14ac:dyDescent="0.15">
      <c r="A40" s="43">
        <v>47009039</v>
      </c>
      <c r="B40" s="43" t="s">
        <v>511</v>
      </c>
      <c r="C40" s="46">
        <v>3</v>
      </c>
      <c r="D40" s="46" t="s">
        <v>287</v>
      </c>
      <c r="E40" s="153" t="s">
        <v>265</v>
      </c>
      <c r="F40" s="153" t="s">
        <v>265</v>
      </c>
      <c r="G40" s="60" t="str">
        <f t="shared" si="16"/>
        <v>[effect:enemy_message, val1:1.2, val2:1.2]</v>
      </c>
      <c r="H40" s="60">
        <f t="shared" si="4"/>
        <v>9</v>
      </c>
      <c r="I40" s="60">
        <f t="shared" si="5"/>
        <v>22</v>
      </c>
      <c r="J40" s="60" t="e">
        <f t="shared" si="6"/>
        <v>#VALUE!</v>
      </c>
      <c r="K40" s="60">
        <f t="shared" si="7"/>
        <v>32</v>
      </c>
      <c r="L40" s="60" t="str">
        <f>IFERROR(VLOOKUP(MID(G40,J40,K40-J40),[5]skilldef!$C:$D,2,FALSE),"-") &amp; " / " &amp; IFERROR(VLOOKUP(MID(G40,H40,I40-H40),[5]skilldef!$A:$B,2,FALSE),"-")</f>
        <v>- / -</v>
      </c>
      <c r="M40" s="60" t="str">
        <f t="shared" si="17"/>
        <v>none</v>
      </c>
      <c r="N40" s="44" t="str">
        <f t="shared" si="18"/>
        <v>none</v>
      </c>
      <c r="O40" s="60" t="e">
        <f t="shared" si="8"/>
        <v>#VALUE!</v>
      </c>
      <c r="P40" s="60">
        <f t="shared" si="9"/>
        <v>4</v>
      </c>
      <c r="Q40" s="60" t="e">
        <f t="shared" si="10"/>
        <v>#VALUE!</v>
      </c>
      <c r="R40" s="60" t="e">
        <f t="shared" si="11"/>
        <v>#VALUE!</v>
      </c>
      <c r="S40" s="60" t="str">
        <f>IFERROR(VLOOKUP(MID(N40,Q40,R40-Q40),[5]skilldef!$C:$D,2,FALSE),"-") &amp; " / " &amp; IFERROR(VLOOKUP(MID(N40,O40,P40-O40),[5]skilldef!$A:$B,2,FALSE),"-")</f>
        <v>- / -</v>
      </c>
      <c r="T40" s="44" t="str">
        <f t="shared" si="19"/>
        <v>none</v>
      </c>
      <c r="U40" s="60" t="e">
        <f t="shared" si="12"/>
        <v>#VALUE!</v>
      </c>
      <c r="V40" s="60">
        <f t="shared" si="13"/>
        <v>4</v>
      </c>
      <c r="W40" s="60" t="e">
        <f t="shared" si="14"/>
        <v>#VALUE!</v>
      </c>
      <c r="X40" s="60" t="e">
        <f t="shared" si="15"/>
        <v>#VALUE!</v>
      </c>
      <c r="Y40" s="60" t="str">
        <f>IFERROR(VLOOKUP(MID(T40,W40,X40-W40),[5]skilldef!$C:$D,2,FALSE),"-") &amp; " / " &amp; IFERROR(VLOOKUP(MID(T40,U40,V40-U40),[5]skilldef!$A:$B,2,FALSE),"-")</f>
        <v>- / -</v>
      </c>
      <c r="Z40" s="46"/>
      <c r="AA40" s="48"/>
      <c r="AB40" s="46"/>
    </row>
    <row r="41" spans="1:28" ht="21" customHeight="1" x14ac:dyDescent="0.15">
      <c r="A41" s="43">
        <v>47009040</v>
      </c>
      <c r="B41" s="43" t="s">
        <v>513</v>
      </c>
      <c r="C41" s="46">
        <v>3</v>
      </c>
      <c r="D41" s="46" t="s">
        <v>287</v>
      </c>
      <c r="E41" s="47" t="s">
        <v>291</v>
      </c>
      <c r="F41" s="150" t="s">
        <v>603</v>
      </c>
      <c r="G41" s="60" t="str">
        <f t="shared" si="16"/>
        <v>[effect:enemy_message, val1:1.6, val2:0]</v>
      </c>
      <c r="H41" s="60">
        <f t="shared" si="4"/>
        <v>9</v>
      </c>
      <c r="I41" s="60">
        <f t="shared" si="5"/>
        <v>22</v>
      </c>
      <c r="J41" s="60" t="e">
        <f t="shared" si="6"/>
        <v>#VALUE!</v>
      </c>
      <c r="K41" s="60">
        <f t="shared" si="7"/>
        <v>32</v>
      </c>
      <c r="L41" s="60" t="str">
        <f>IFERROR(VLOOKUP(MID(G41,J41,K41-J41),[5]skilldef!$C:$D,2,FALSE),"-") &amp; " / " &amp; IFERROR(VLOOKUP(MID(G41,H41,I41-H41),[5]skilldef!$A:$B,2,FALSE),"-")</f>
        <v>- / -</v>
      </c>
      <c r="M41" s="60" t="str">
        <f t="shared" si="17"/>
        <v>none</v>
      </c>
      <c r="N41" s="44" t="str">
        <f t="shared" si="18"/>
        <v>none</v>
      </c>
      <c r="O41" s="60" t="e">
        <f t="shared" si="8"/>
        <v>#VALUE!</v>
      </c>
      <c r="P41" s="60">
        <f t="shared" si="9"/>
        <v>4</v>
      </c>
      <c r="Q41" s="60" t="e">
        <f t="shared" si="10"/>
        <v>#VALUE!</v>
      </c>
      <c r="R41" s="60" t="e">
        <f t="shared" si="11"/>
        <v>#VALUE!</v>
      </c>
      <c r="S41" s="60" t="str">
        <f>IFERROR(VLOOKUP(MID(N41,Q41,R41-Q41),[5]skilldef!$C:$D,2,FALSE),"-") &amp; " / " &amp; IFERROR(VLOOKUP(MID(N41,O41,P41-O41),[5]skilldef!$A:$B,2,FALSE),"-")</f>
        <v>- / -</v>
      </c>
      <c r="T41" s="44" t="str">
        <f t="shared" si="19"/>
        <v>none</v>
      </c>
      <c r="U41" s="60" t="e">
        <f t="shared" si="12"/>
        <v>#VALUE!</v>
      </c>
      <c r="V41" s="60">
        <f t="shared" si="13"/>
        <v>4</v>
      </c>
      <c r="W41" s="60" t="e">
        <f t="shared" si="14"/>
        <v>#VALUE!</v>
      </c>
      <c r="X41" s="60" t="e">
        <f t="shared" si="15"/>
        <v>#VALUE!</v>
      </c>
      <c r="Y41" s="60" t="str">
        <f>IFERROR(VLOOKUP(MID(T41,W41,X41-W41),[5]skilldef!$C:$D,2,FALSE),"-") &amp; " / " &amp; IFERROR(VLOOKUP(MID(T41,U41,V41-U41),[5]skilldef!$A:$B,2,FALSE),"-")</f>
        <v>- / -</v>
      </c>
      <c r="Z41" s="46"/>
      <c r="AA41" s="48"/>
      <c r="AB41" s="46"/>
    </row>
    <row r="42" spans="1:28" ht="21" customHeight="1" x14ac:dyDescent="0.15">
      <c r="A42" s="43">
        <v>47009041</v>
      </c>
      <c r="B42" s="43" t="s">
        <v>576</v>
      </c>
      <c r="C42" s="46">
        <v>3</v>
      </c>
      <c r="D42" s="46" t="s">
        <v>287</v>
      </c>
      <c r="E42" s="47" t="s">
        <v>292</v>
      </c>
      <c r="F42" s="47" t="s">
        <v>536</v>
      </c>
      <c r="G42" s="60" t="str">
        <f t="shared" si="16"/>
        <v>[effect:enemy_message, val1:1.6, val2:1.7]</v>
      </c>
      <c r="H42" s="60">
        <f t="shared" si="4"/>
        <v>9</v>
      </c>
      <c r="I42" s="60">
        <f t="shared" si="5"/>
        <v>22</v>
      </c>
      <c r="J42" s="60" t="e">
        <f t="shared" si="6"/>
        <v>#VALUE!</v>
      </c>
      <c r="K42" s="60">
        <f t="shared" si="7"/>
        <v>32</v>
      </c>
      <c r="L42" s="60" t="str">
        <f>IFERROR(VLOOKUP(MID(G42,J42,K42-J42),[5]skilldef!$C:$D,2,FALSE),"-") &amp; " / " &amp; IFERROR(VLOOKUP(MID(G42,H42,I42-H42),[5]skilldef!$A:$B,2,FALSE),"-")</f>
        <v>- / -</v>
      </c>
      <c r="M42" s="60" t="str">
        <f t="shared" si="17"/>
        <v>[effect:enhance_enemy, target:myself, turn:-1, status:defense, val:2500, calc:add, animation:enemy_enhance_defense],[effect:enemy_counter, target:myself, invoke_condition:unit_all, counter_target:attacker, turn:-1, val:0.2, animation:enemy_counter]</v>
      </c>
      <c r="N42" s="44" t="str">
        <f t="shared" si="18"/>
        <v>[effect:enhance_enemy, target:myself, turn:-1, status:defense, val:2500, calc:add, animation:enemy_enhance_defense],[effect:enemy_counter, target:myself, invoke_condition:unit_all, counter_target:attacker, turn:-1, val:0.2, animation:enemy_counter]</v>
      </c>
      <c r="O42" s="60">
        <f t="shared" si="8"/>
        <v>9</v>
      </c>
      <c r="P42" s="60">
        <f t="shared" si="9"/>
        <v>22</v>
      </c>
      <c r="Q42" s="60">
        <f t="shared" si="10"/>
        <v>31</v>
      </c>
      <c r="R42" s="60">
        <f t="shared" si="11"/>
        <v>37</v>
      </c>
      <c r="S42" s="60" t="str">
        <f>IFERROR(VLOOKUP(MID(N42,Q42,R42-Q42),[5]skilldef!$C:$D,2,FALSE),"-") &amp; " / " &amp; IFERROR(VLOOKUP(MID(N42,O42,P42-O42),[5]skilldef!$A:$B,2,FALSE),"-")</f>
        <v>自分自身に / ステータス強化</v>
      </c>
      <c r="T42" s="44" t="str">
        <f t="shared" si="19"/>
        <v>[effect:enemy_counter, target:myself, invoke_condition:unit_all, counter_target:attacker, turn:-1, val:0.2, animation:enemy_counter]</v>
      </c>
      <c r="U42" s="60">
        <f t="shared" si="12"/>
        <v>9</v>
      </c>
      <c r="V42" s="60">
        <f t="shared" si="13"/>
        <v>22</v>
      </c>
      <c r="W42" s="60">
        <f t="shared" si="14"/>
        <v>31</v>
      </c>
      <c r="X42" s="60">
        <f t="shared" si="15"/>
        <v>37</v>
      </c>
      <c r="Y42" s="60" t="str">
        <f>IFERROR(VLOOKUP(MID(T42,W42,X42-W42),[5]skilldef!$C:$D,2,FALSE),"-") &amp; " / " &amp; IFERROR(VLOOKUP(MID(T42,U42,V42-U42),[5]skilldef!$A:$B,2,FALSE),"-")</f>
        <v>自分自身に / カウンター</v>
      </c>
      <c r="Z42" s="46"/>
      <c r="AA42" s="48"/>
      <c r="AB42" s="46"/>
    </row>
    <row r="43" spans="1:28" ht="21" customHeight="1" x14ac:dyDescent="0.15">
      <c r="A43" s="43">
        <v>47009042</v>
      </c>
      <c r="B43" s="43" t="s">
        <v>503</v>
      </c>
      <c r="C43" s="46">
        <v>3</v>
      </c>
      <c r="D43" s="46" t="s">
        <v>287</v>
      </c>
      <c r="E43" s="47" t="s">
        <v>293</v>
      </c>
      <c r="F43" s="47" t="s">
        <v>294</v>
      </c>
      <c r="G43" s="60" t="str">
        <f t="shared" si="16"/>
        <v>[effect:enemy_message, val1:1.2, val2:1.2]</v>
      </c>
      <c r="H43" s="60">
        <f t="shared" si="4"/>
        <v>9</v>
      </c>
      <c r="I43" s="60">
        <f t="shared" si="5"/>
        <v>22</v>
      </c>
      <c r="J43" s="60" t="e">
        <f t="shared" si="6"/>
        <v>#VALUE!</v>
      </c>
      <c r="K43" s="60">
        <f t="shared" si="7"/>
        <v>32</v>
      </c>
      <c r="L43" s="60" t="str">
        <f>IFERROR(VLOOKUP(MID(G43,J43,K43-J43),[5]skilldef!$C:$D,2,FALSE),"-") &amp; " / " &amp; IFERROR(VLOOKUP(MID(G43,H43,I43-H43),[5]skilldef!$A:$B,2,FALSE),"-")</f>
        <v>- / -</v>
      </c>
      <c r="M43" s="60" t="str">
        <f t="shared" si="17"/>
        <v>[effect:critical, val:1.5]</v>
      </c>
      <c r="N43" s="44" t="str">
        <f t="shared" si="18"/>
        <v>[effect:critical, val:1.5]</v>
      </c>
      <c r="O43" s="60">
        <f t="shared" si="8"/>
        <v>9</v>
      </c>
      <c r="P43" s="60">
        <f t="shared" si="9"/>
        <v>17</v>
      </c>
      <c r="Q43" s="60" t="e">
        <f t="shared" si="10"/>
        <v>#VALUE!</v>
      </c>
      <c r="R43" s="60" t="e">
        <f t="shared" si="11"/>
        <v>#VALUE!</v>
      </c>
      <c r="S43" s="60" t="str">
        <f>IFERROR(VLOOKUP(MID(N43,Q43,R43-Q43),[5]skilldef!$C:$D,2,FALSE),"-") &amp; " / " &amp; IFERROR(VLOOKUP(MID(N43,O43,P43-O43),[5]skilldef!$A:$B,2,FALSE),"-")</f>
        <v>- / 大攻撃</v>
      </c>
      <c r="T43" s="44" t="str">
        <f t="shared" si="19"/>
        <v>none</v>
      </c>
      <c r="U43" s="60" t="e">
        <f t="shared" si="12"/>
        <v>#VALUE!</v>
      </c>
      <c r="V43" s="60">
        <f t="shared" si="13"/>
        <v>4</v>
      </c>
      <c r="W43" s="60" t="e">
        <f t="shared" si="14"/>
        <v>#VALUE!</v>
      </c>
      <c r="X43" s="60" t="e">
        <f t="shared" si="15"/>
        <v>#VALUE!</v>
      </c>
      <c r="Y43" s="60" t="str">
        <f>IFERROR(VLOOKUP(MID(T43,W43,X43-W43),[5]skilldef!$C:$D,2,FALSE),"-") &amp; " / " &amp; IFERROR(VLOOKUP(MID(T43,U43,V43-U43),[5]skilldef!$A:$B,2,FALSE),"-")</f>
        <v>- / -</v>
      </c>
      <c r="Z43" s="46"/>
      <c r="AA43" s="48"/>
      <c r="AB43" s="46"/>
    </row>
    <row r="44" spans="1:28" ht="21" customHeight="1" x14ac:dyDescent="0.15">
      <c r="A44" s="43">
        <v>47009043</v>
      </c>
      <c r="B44" s="43" t="s">
        <v>504</v>
      </c>
      <c r="C44" s="46">
        <v>3</v>
      </c>
      <c r="D44" s="46" t="s">
        <v>287</v>
      </c>
      <c r="E44" s="47" t="s">
        <v>295</v>
      </c>
      <c r="F44" s="151" t="s">
        <v>296</v>
      </c>
      <c r="G44" s="60" t="str">
        <f t="shared" si="16"/>
        <v>[effect:enemy_message, val1:1.2, val2:1.2]</v>
      </c>
      <c r="H44" s="60">
        <f t="shared" si="4"/>
        <v>9</v>
      </c>
      <c r="I44" s="60">
        <f t="shared" si="5"/>
        <v>22</v>
      </c>
      <c r="J44" s="60" t="e">
        <f t="shared" si="6"/>
        <v>#VALUE!</v>
      </c>
      <c r="K44" s="60">
        <f t="shared" si="7"/>
        <v>32</v>
      </c>
      <c r="L44" s="60" t="str">
        <f>IFERROR(VLOOKUP(MID(G44,J44,K44-J44),[5]skilldef!$C:$D,2,FALSE),"-") &amp; " / " &amp; IFERROR(VLOOKUP(MID(G44,H44,I44-H44),[5]skilldef!$A:$B,2,FALSE),"-")</f>
        <v>- / -</v>
      </c>
      <c r="M44" s="60" t="str">
        <f t="shared" si="17"/>
        <v>[effect:spread, val:0.35]</v>
      </c>
      <c r="N44" s="44" t="str">
        <f t="shared" si="18"/>
        <v>[effect:spread, val:0.35]</v>
      </c>
      <c r="O44" s="60">
        <f t="shared" si="8"/>
        <v>9</v>
      </c>
      <c r="P44" s="60">
        <f t="shared" si="9"/>
        <v>15</v>
      </c>
      <c r="Q44" s="60" t="e">
        <f t="shared" si="10"/>
        <v>#VALUE!</v>
      </c>
      <c r="R44" s="60" t="e">
        <f t="shared" si="11"/>
        <v>#VALUE!</v>
      </c>
      <c r="S44" s="60" t="str">
        <f>IFERROR(VLOOKUP(MID(N44,Q44,R44-Q44),[5]skilldef!$C:$D,2,FALSE),"-") &amp; " / " &amp; IFERROR(VLOOKUP(MID(N44,O44,P44-O44),[5]skilldef!$A:$B,2,FALSE),"-")</f>
        <v>- / 全体攻撃</v>
      </c>
      <c r="T44" s="44" t="str">
        <f t="shared" si="19"/>
        <v>none</v>
      </c>
      <c r="U44" s="60" t="e">
        <f t="shared" si="12"/>
        <v>#VALUE!</v>
      </c>
      <c r="V44" s="60">
        <f t="shared" si="13"/>
        <v>4</v>
      </c>
      <c r="W44" s="60" t="e">
        <f t="shared" si="14"/>
        <v>#VALUE!</v>
      </c>
      <c r="X44" s="60" t="e">
        <f t="shared" si="15"/>
        <v>#VALUE!</v>
      </c>
      <c r="Y44" s="60" t="str">
        <f>IFERROR(VLOOKUP(MID(T44,W44,X44-W44),[5]skilldef!$C:$D,2,FALSE),"-") &amp; " / " &amp; IFERROR(VLOOKUP(MID(T44,U44,V44-U44),[5]skilldef!$A:$B,2,FALSE),"-")</f>
        <v>- / -</v>
      </c>
      <c r="Z44" s="46"/>
      <c r="AA44" s="48"/>
      <c r="AB44" s="46"/>
    </row>
    <row r="45" spans="1:28" ht="21" customHeight="1" x14ac:dyDescent="0.15">
      <c r="A45" s="43">
        <v>47009044</v>
      </c>
      <c r="B45" s="43" t="s">
        <v>615</v>
      </c>
      <c r="C45" s="46">
        <v>3</v>
      </c>
      <c r="D45" s="46" t="s">
        <v>287</v>
      </c>
      <c r="E45" s="47" t="s">
        <v>297</v>
      </c>
      <c r="F45" s="153" t="s">
        <v>606</v>
      </c>
      <c r="G45" s="60" t="str">
        <f t="shared" si="16"/>
        <v>[effect:enemy_message, val1:1.2, val2:2.1]</v>
      </c>
      <c r="H45" s="60">
        <f t="shared" si="4"/>
        <v>9</v>
      </c>
      <c r="I45" s="60">
        <f t="shared" si="5"/>
        <v>22</v>
      </c>
      <c r="J45" s="60" t="e">
        <f t="shared" si="6"/>
        <v>#VALUE!</v>
      </c>
      <c r="K45" s="60">
        <f t="shared" si="7"/>
        <v>32</v>
      </c>
      <c r="L45" s="60" t="str">
        <f>IFERROR(VLOOKUP(MID(G45,J45,K45-J45),[5]skilldef!$C:$D,2,FALSE),"-") &amp; " / " &amp; IFERROR(VLOOKUP(MID(G45,H45,I45-H45),[5]skilldef!$A:$B,2,FALSE),"-")</f>
        <v>- / -</v>
      </c>
      <c r="M45" s="60" t="str">
        <f t="shared" si="17"/>
        <v>[effect:force_change_block, new_block:jammer, target:block_blue, ignore01:crash, ignore02:crack_bomb, ignore03:color_break, ignore04:magnet, count:10, val:0, animation:change_block]</v>
      </c>
      <c r="N45" s="44" t="str">
        <f t="shared" si="18"/>
        <v>[effect:force_change_block, new_block:jammer, target:block_blue, ignore01:crash, ignore02:crack_bomb, ignore03:color_break, ignore04:magnet, count:10, val:0, animation:change_block]</v>
      </c>
      <c r="O45" s="60">
        <f t="shared" si="8"/>
        <v>9</v>
      </c>
      <c r="P45" s="60">
        <f t="shared" si="9"/>
        <v>27</v>
      </c>
      <c r="Q45" s="60">
        <f t="shared" si="10"/>
        <v>54</v>
      </c>
      <c r="R45" s="60">
        <f t="shared" si="11"/>
        <v>45</v>
      </c>
      <c r="S45" s="60" t="str">
        <f>IFERROR(VLOOKUP(MID(N45,Q45,R45-Q45),[5]skilldef!$C:$D,2,FALSE),"-") &amp; " / " &amp; IFERROR(VLOOKUP(MID(N45,O45,P45-O45),[5]skilldef!$A:$B,2,FALSE),"-")</f>
        <v>- / -</v>
      </c>
      <c r="T45" s="44" t="str">
        <f t="shared" si="19"/>
        <v>none</v>
      </c>
      <c r="U45" s="60" t="e">
        <f t="shared" si="12"/>
        <v>#VALUE!</v>
      </c>
      <c r="V45" s="60">
        <f t="shared" si="13"/>
        <v>4</v>
      </c>
      <c r="W45" s="60" t="e">
        <f t="shared" si="14"/>
        <v>#VALUE!</v>
      </c>
      <c r="X45" s="60" t="e">
        <f t="shared" si="15"/>
        <v>#VALUE!</v>
      </c>
      <c r="Y45" s="60" t="str">
        <f>IFERROR(VLOOKUP(MID(T45,W45,X45-W45),[5]skilldef!$C:$D,2,FALSE),"-") &amp; " / " &amp; IFERROR(VLOOKUP(MID(T45,U45,V45-U45),[5]skilldef!$A:$B,2,FALSE),"-")</f>
        <v>- / -</v>
      </c>
      <c r="Z45" s="46"/>
      <c r="AA45" s="48"/>
      <c r="AB45" s="46"/>
    </row>
    <row r="46" spans="1:28" ht="21" customHeight="1" x14ac:dyDescent="0.15">
      <c r="A46" s="43">
        <v>47009045</v>
      </c>
      <c r="B46" s="43" t="s">
        <v>504</v>
      </c>
      <c r="C46" s="46">
        <v>3</v>
      </c>
      <c r="D46" s="46" t="s">
        <v>287</v>
      </c>
      <c r="E46" s="47" t="s">
        <v>295</v>
      </c>
      <c r="F46" s="151" t="s">
        <v>296</v>
      </c>
      <c r="G46" s="60" t="str">
        <f t="shared" si="16"/>
        <v>[effect:enemy_message, val1:1.2, val2:1.2]</v>
      </c>
      <c r="H46" s="60">
        <f t="shared" si="4"/>
        <v>9</v>
      </c>
      <c r="I46" s="60">
        <f t="shared" si="5"/>
        <v>22</v>
      </c>
      <c r="J46" s="60" t="e">
        <f t="shared" si="6"/>
        <v>#VALUE!</v>
      </c>
      <c r="K46" s="60">
        <f t="shared" si="7"/>
        <v>32</v>
      </c>
      <c r="L46" s="60" t="str">
        <f>IFERROR(VLOOKUP(MID(G46,J46,K46-J46),[5]skilldef!$C:$D,2,FALSE),"-") &amp; " / " &amp; IFERROR(VLOOKUP(MID(G46,H46,I46-H46),[5]skilldef!$A:$B,2,FALSE),"-")</f>
        <v>- / -</v>
      </c>
      <c r="M46" s="60" t="str">
        <f t="shared" si="17"/>
        <v>[effect:spread, val:0.35]</v>
      </c>
      <c r="N46" s="44" t="str">
        <f t="shared" si="18"/>
        <v>[effect:spread, val:0.35]</v>
      </c>
      <c r="O46" s="60">
        <f t="shared" si="8"/>
        <v>9</v>
      </c>
      <c r="P46" s="60">
        <f t="shared" si="9"/>
        <v>15</v>
      </c>
      <c r="Q46" s="60" t="e">
        <f t="shared" si="10"/>
        <v>#VALUE!</v>
      </c>
      <c r="R46" s="60" t="e">
        <f t="shared" si="11"/>
        <v>#VALUE!</v>
      </c>
      <c r="S46" s="60" t="str">
        <f>IFERROR(VLOOKUP(MID(N46,Q46,R46-Q46),[5]skilldef!$C:$D,2,FALSE),"-") &amp; " / " &amp; IFERROR(VLOOKUP(MID(N46,O46,P46-O46),[5]skilldef!$A:$B,2,FALSE),"-")</f>
        <v>- / 全体攻撃</v>
      </c>
      <c r="T46" s="44" t="str">
        <f t="shared" si="19"/>
        <v>none</v>
      </c>
      <c r="U46" s="60" t="e">
        <f t="shared" si="12"/>
        <v>#VALUE!</v>
      </c>
      <c r="V46" s="60">
        <f t="shared" si="13"/>
        <v>4</v>
      </c>
      <c r="W46" s="60" t="e">
        <f t="shared" si="14"/>
        <v>#VALUE!</v>
      </c>
      <c r="X46" s="60" t="e">
        <f t="shared" si="15"/>
        <v>#VALUE!</v>
      </c>
      <c r="Y46" s="60" t="str">
        <f>IFERROR(VLOOKUP(MID(T46,W46,X46-W46),[5]skilldef!$C:$D,2,FALSE),"-") &amp; " / " &amp; IFERROR(VLOOKUP(MID(T46,U46,V46-U46),[5]skilldef!$A:$B,2,FALSE),"-")</f>
        <v>- / -</v>
      </c>
      <c r="Z46" s="46"/>
      <c r="AA46" s="48"/>
      <c r="AB46" s="46"/>
    </row>
    <row r="47" spans="1:28" ht="21" customHeight="1" x14ac:dyDescent="0.15">
      <c r="A47" s="43">
        <v>47009046</v>
      </c>
      <c r="B47" s="43" t="s">
        <v>511</v>
      </c>
      <c r="C47" s="46">
        <v>3</v>
      </c>
      <c r="D47" s="46" t="s">
        <v>287</v>
      </c>
      <c r="E47" s="153" t="s">
        <v>265</v>
      </c>
      <c r="F47" s="153" t="s">
        <v>265</v>
      </c>
      <c r="G47" s="60" t="str">
        <f t="shared" si="16"/>
        <v>[effect:enemy_message, val1:1.2, val2:1.2]</v>
      </c>
      <c r="H47" s="60">
        <f t="shared" si="4"/>
        <v>9</v>
      </c>
      <c r="I47" s="60">
        <f t="shared" si="5"/>
        <v>22</v>
      </c>
      <c r="J47" s="60" t="e">
        <f t="shared" si="6"/>
        <v>#VALUE!</v>
      </c>
      <c r="K47" s="60">
        <f t="shared" si="7"/>
        <v>32</v>
      </c>
      <c r="L47" s="60" t="str">
        <f>IFERROR(VLOOKUP(MID(G47,J47,K47-J47),[5]skilldef!$C:$D,2,FALSE),"-") &amp; " / " &amp; IFERROR(VLOOKUP(MID(G47,H47,I47-H47),[5]skilldef!$A:$B,2,FALSE),"-")</f>
        <v>- / -</v>
      </c>
      <c r="M47" s="60" t="str">
        <f t="shared" si="17"/>
        <v>none</v>
      </c>
      <c r="N47" s="44" t="str">
        <f t="shared" si="18"/>
        <v>none</v>
      </c>
      <c r="O47" s="60" t="e">
        <f t="shared" si="8"/>
        <v>#VALUE!</v>
      </c>
      <c r="P47" s="60">
        <f t="shared" si="9"/>
        <v>4</v>
      </c>
      <c r="Q47" s="60" t="e">
        <f t="shared" si="10"/>
        <v>#VALUE!</v>
      </c>
      <c r="R47" s="60" t="e">
        <f t="shared" si="11"/>
        <v>#VALUE!</v>
      </c>
      <c r="S47" s="60" t="str">
        <f>IFERROR(VLOOKUP(MID(N47,Q47,R47-Q47),[5]skilldef!$C:$D,2,FALSE),"-") &amp; " / " &amp; IFERROR(VLOOKUP(MID(N47,O47,P47-O47),[5]skilldef!$A:$B,2,FALSE),"-")</f>
        <v>- / -</v>
      </c>
      <c r="T47" s="44" t="str">
        <f t="shared" si="19"/>
        <v>none</v>
      </c>
      <c r="U47" s="60" t="e">
        <f t="shared" si="12"/>
        <v>#VALUE!</v>
      </c>
      <c r="V47" s="60">
        <f t="shared" si="13"/>
        <v>4</v>
      </c>
      <c r="W47" s="60" t="e">
        <f t="shared" si="14"/>
        <v>#VALUE!</v>
      </c>
      <c r="X47" s="60" t="e">
        <f t="shared" si="15"/>
        <v>#VALUE!</v>
      </c>
      <c r="Y47" s="60" t="str">
        <f>IFERROR(VLOOKUP(MID(T47,W47,X47-W47),[5]skilldef!$C:$D,2,FALSE),"-") &amp; " / " &amp; IFERROR(VLOOKUP(MID(T47,U47,V47-U47),[5]skilldef!$A:$B,2,FALSE),"-")</f>
        <v>- / -</v>
      </c>
      <c r="Z47" s="46"/>
      <c r="AA47" s="48"/>
      <c r="AB47" s="46"/>
    </row>
    <row r="48" spans="1:28" ht="21" customHeight="1" x14ac:dyDescent="0.15">
      <c r="A48" s="43">
        <v>47009047</v>
      </c>
      <c r="B48" s="43" t="s">
        <v>511</v>
      </c>
      <c r="C48" s="46">
        <v>3</v>
      </c>
      <c r="D48" s="46" t="s">
        <v>287</v>
      </c>
      <c r="E48" s="153" t="s">
        <v>265</v>
      </c>
      <c r="F48" s="153" t="s">
        <v>265</v>
      </c>
      <c r="G48" s="60" t="str">
        <f t="shared" si="16"/>
        <v>[effect:enemy_message, val1:1.2, val2:1.2]</v>
      </c>
      <c r="H48" s="60">
        <f t="shared" si="4"/>
        <v>9</v>
      </c>
      <c r="I48" s="60">
        <f t="shared" si="5"/>
        <v>22</v>
      </c>
      <c r="J48" s="60" t="e">
        <f t="shared" si="6"/>
        <v>#VALUE!</v>
      </c>
      <c r="K48" s="60">
        <f t="shared" si="7"/>
        <v>32</v>
      </c>
      <c r="L48" s="60" t="str">
        <f>IFERROR(VLOOKUP(MID(G48,J48,K48-J48),[5]skilldef!$C:$D,2,FALSE),"-") &amp; " / " &amp; IFERROR(VLOOKUP(MID(G48,H48,I48-H48),[5]skilldef!$A:$B,2,FALSE),"-")</f>
        <v>- / -</v>
      </c>
      <c r="M48" s="60" t="str">
        <f t="shared" si="17"/>
        <v>none</v>
      </c>
      <c r="N48" s="44" t="str">
        <f t="shared" si="18"/>
        <v>none</v>
      </c>
      <c r="O48" s="60" t="e">
        <f t="shared" si="8"/>
        <v>#VALUE!</v>
      </c>
      <c r="P48" s="60">
        <f t="shared" si="9"/>
        <v>4</v>
      </c>
      <c r="Q48" s="60" t="e">
        <f t="shared" si="10"/>
        <v>#VALUE!</v>
      </c>
      <c r="R48" s="60" t="e">
        <f t="shared" si="11"/>
        <v>#VALUE!</v>
      </c>
      <c r="S48" s="60" t="str">
        <f>IFERROR(VLOOKUP(MID(N48,Q48,R48-Q48),[5]skilldef!$C:$D,2,FALSE),"-") &amp; " / " &amp; IFERROR(VLOOKUP(MID(N48,O48,P48-O48),[5]skilldef!$A:$B,2,FALSE),"-")</f>
        <v>- / -</v>
      </c>
      <c r="T48" s="44" t="str">
        <f t="shared" si="19"/>
        <v>none</v>
      </c>
      <c r="U48" s="60" t="e">
        <f t="shared" si="12"/>
        <v>#VALUE!</v>
      </c>
      <c r="V48" s="60">
        <f t="shared" si="13"/>
        <v>4</v>
      </c>
      <c r="W48" s="60" t="e">
        <f t="shared" si="14"/>
        <v>#VALUE!</v>
      </c>
      <c r="X48" s="60" t="e">
        <f t="shared" si="15"/>
        <v>#VALUE!</v>
      </c>
      <c r="Y48" s="60" t="str">
        <f>IFERROR(VLOOKUP(MID(T48,W48,X48-W48),[5]skilldef!$C:$D,2,FALSE),"-") &amp; " / " &amp; IFERROR(VLOOKUP(MID(T48,U48,V48-U48),[5]skilldef!$A:$B,2,FALSE),"-")</f>
        <v>- / -</v>
      </c>
      <c r="Z48" s="46"/>
      <c r="AA48" s="48"/>
      <c r="AB48" s="46"/>
    </row>
    <row r="49" spans="1:28" ht="21" customHeight="1" x14ac:dyDescent="0.15">
      <c r="A49" s="43">
        <v>47009048</v>
      </c>
      <c r="B49" s="43" t="s">
        <v>577</v>
      </c>
      <c r="C49" s="46">
        <v>3</v>
      </c>
      <c r="D49" s="46" t="s">
        <v>287</v>
      </c>
      <c r="E49" s="47" t="s">
        <v>298</v>
      </c>
      <c r="F49" s="150" t="s">
        <v>603</v>
      </c>
      <c r="G49" s="60" t="str">
        <f t="shared" si="16"/>
        <v>[effect:enemy_message, val1:1.7, val2:0]</v>
      </c>
      <c r="H49" s="60">
        <f t="shared" si="4"/>
        <v>9</v>
      </c>
      <c r="I49" s="60">
        <f t="shared" si="5"/>
        <v>22</v>
      </c>
      <c r="J49" s="60" t="e">
        <f t="shared" si="6"/>
        <v>#VALUE!</v>
      </c>
      <c r="K49" s="60">
        <f t="shared" si="7"/>
        <v>32</v>
      </c>
      <c r="L49" s="60" t="str">
        <f>IFERROR(VLOOKUP(MID(G49,J49,K49-J49),[5]skilldef!$C:$D,2,FALSE),"-") &amp; " / " &amp; IFERROR(VLOOKUP(MID(G49,H49,I49-H49),[5]skilldef!$A:$B,2,FALSE),"-")</f>
        <v>- / -</v>
      </c>
      <c r="M49" s="60" t="str">
        <f t="shared" si="17"/>
        <v>[effect:fix_speed, target:myself, turn:1]</v>
      </c>
      <c r="N49" s="44" t="str">
        <f t="shared" si="18"/>
        <v>[effect:fix_speed, target:myself, turn:1]</v>
      </c>
      <c r="O49" s="60">
        <f t="shared" si="8"/>
        <v>9</v>
      </c>
      <c r="P49" s="60">
        <f t="shared" si="9"/>
        <v>18</v>
      </c>
      <c r="Q49" s="60">
        <f t="shared" si="10"/>
        <v>27</v>
      </c>
      <c r="R49" s="60">
        <f t="shared" si="11"/>
        <v>33</v>
      </c>
      <c r="S49" s="60" t="str">
        <f>IFERROR(VLOOKUP(MID(N49,Q49,R49-Q49),[5]skilldef!$C:$D,2,FALSE),"-") &amp; " / " &amp; IFERROR(VLOOKUP(MID(N49,O49,P49-O49),[5]skilldef!$A:$B,2,FALSE),"-")</f>
        <v>自分自身に / 行動値設定</v>
      </c>
      <c r="T49" s="44" t="str">
        <f t="shared" si="19"/>
        <v>none</v>
      </c>
      <c r="U49" s="60" t="e">
        <f t="shared" si="12"/>
        <v>#VALUE!</v>
      </c>
      <c r="V49" s="60">
        <f t="shared" si="13"/>
        <v>4</v>
      </c>
      <c r="W49" s="60" t="e">
        <f t="shared" si="14"/>
        <v>#VALUE!</v>
      </c>
      <c r="X49" s="60" t="e">
        <f t="shared" si="15"/>
        <v>#VALUE!</v>
      </c>
      <c r="Y49" s="60" t="str">
        <f>IFERROR(VLOOKUP(MID(T49,W49,X49-W49),[5]skilldef!$C:$D,2,FALSE),"-") &amp; " / " &amp; IFERROR(VLOOKUP(MID(T49,U49,V49-U49),[5]skilldef!$A:$B,2,FALSE),"-")</f>
        <v>- / -</v>
      </c>
      <c r="Z49" s="46"/>
      <c r="AA49" s="48"/>
      <c r="AB49" s="46"/>
    </row>
    <row r="50" spans="1:28" ht="21" customHeight="1" x14ac:dyDescent="0.15">
      <c r="A50" s="43">
        <v>47009049</v>
      </c>
      <c r="B50" s="43" t="s">
        <v>578</v>
      </c>
      <c r="C50" s="46">
        <v>3</v>
      </c>
      <c r="D50" s="46" t="s">
        <v>287</v>
      </c>
      <c r="E50" s="47" t="s">
        <v>299</v>
      </c>
      <c r="F50" s="47" t="s">
        <v>597</v>
      </c>
      <c r="G50" s="60" t="str">
        <f t="shared" si="16"/>
        <v>[effect:enemy_message, val1:1.5, val2:3.5]</v>
      </c>
      <c r="H50" s="60">
        <f t="shared" si="4"/>
        <v>9</v>
      </c>
      <c r="I50" s="60">
        <f t="shared" si="5"/>
        <v>22</v>
      </c>
      <c r="J50" s="60" t="e">
        <f t="shared" si="6"/>
        <v>#VALUE!</v>
      </c>
      <c r="K50" s="60">
        <f t="shared" si="7"/>
        <v>32</v>
      </c>
      <c r="L50" s="60" t="str">
        <f>IFERROR(VLOOKUP(MID(G50,J50,K50-J50),[5]skilldef!$C:$D,2,FALSE),"-") &amp; " / " &amp; IFERROR(VLOOKUP(MID(G50,H50,I50-H50),[5]skilldef!$A:$B,2,FALSE),"-")</f>
        <v>- / -</v>
      </c>
      <c r="M50" s="60" t="str">
        <f t="shared" si="17"/>
        <v>[effect:drop_block, block_type:crash, color:block_all, val:8, rate:0.06, turn:-1, animation:crash_influence04],[effect:suicide, val:1, dead_type:escape, target:myself]</v>
      </c>
      <c r="N50" s="44" t="str">
        <f t="shared" si="18"/>
        <v>[effect:drop_block, block_type:crash, color:block_all, val:8, rate:0.06, turn:-1, animation:crash_influence04],[effect:suicide, val:1, dead_type:escape, target:myself]</v>
      </c>
      <c r="O50" s="60">
        <f t="shared" si="8"/>
        <v>9</v>
      </c>
      <c r="P50" s="60">
        <f t="shared" si="9"/>
        <v>19</v>
      </c>
      <c r="Q50" s="60">
        <f t="shared" si="10"/>
        <v>161</v>
      </c>
      <c r="R50" s="60">
        <f t="shared" si="11"/>
        <v>37</v>
      </c>
      <c r="S50" s="60" t="str">
        <f>IFERROR(VLOOKUP(MID(N50,Q50,R50-Q50),[5]skilldef!$C:$D,2,FALSE),"-") &amp; " / " &amp; IFERROR(VLOOKUP(MID(N50,O50,P50-O50),[5]skilldef!$A:$B,2,FALSE),"-")</f>
        <v>- / 特定ブロックの割合ドロップ</v>
      </c>
      <c r="T50" s="44" t="str">
        <f t="shared" si="19"/>
        <v>[effect:suicide, val:1, dead_type:escape, target:myself]</v>
      </c>
      <c r="U50" s="60">
        <f t="shared" si="12"/>
        <v>9</v>
      </c>
      <c r="V50" s="60">
        <f t="shared" si="13"/>
        <v>16</v>
      </c>
      <c r="W50" s="60">
        <f t="shared" si="14"/>
        <v>50</v>
      </c>
      <c r="X50" s="60">
        <f t="shared" si="15"/>
        <v>23</v>
      </c>
      <c r="Y50" s="60" t="str">
        <f>IFERROR(VLOOKUP(MID(T50,W50,X50-W50),[5]skilldef!$C:$D,2,FALSE),"-") &amp; " / " &amp; IFERROR(VLOOKUP(MID(T50,U50,V50-U50),[5]skilldef!$A:$B,2,FALSE),"-")</f>
        <v>- / -</v>
      </c>
      <c r="Z50" s="46"/>
      <c r="AA50" s="48"/>
      <c r="AB50" s="46"/>
    </row>
    <row r="51" spans="1:28" ht="21" customHeight="1" x14ac:dyDescent="0.15">
      <c r="A51" s="43">
        <v>47009050</v>
      </c>
      <c r="B51" s="43" t="s">
        <v>511</v>
      </c>
      <c r="C51" s="46">
        <v>3</v>
      </c>
      <c r="D51" s="46" t="s">
        <v>287</v>
      </c>
      <c r="E51" s="151" t="s">
        <v>265</v>
      </c>
      <c r="F51" s="151" t="s">
        <v>265</v>
      </c>
      <c r="G51" s="60" t="str">
        <f t="shared" si="16"/>
        <v>[effect:enemy_message, val1:1.2, val2:1.2]</v>
      </c>
      <c r="H51" s="60">
        <f t="shared" si="4"/>
        <v>9</v>
      </c>
      <c r="I51" s="60">
        <f t="shared" si="5"/>
        <v>22</v>
      </c>
      <c r="J51" s="60" t="e">
        <f t="shared" si="6"/>
        <v>#VALUE!</v>
      </c>
      <c r="K51" s="60">
        <f t="shared" si="7"/>
        <v>32</v>
      </c>
      <c r="L51" s="60" t="str">
        <f>IFERROR(VLOOKUP(MID(G51,J51,K51-J51),[5]skilldef!$C:$D,2,FALSE),"-") &amp; " / " &amp; IFERROR(VLOOKUP(MID(G51,H51,I51-H51),[5]skilldef!$A:$B,2,FALSE),"-")</f>
        <v>- / -</v>
      </c>
      <c r="M51" s="60" t="str">
        <f t="shared" si="17"/>
        <v>none</v>
      </c>
      <c r="N51" s="44" t="str">
        <f t="shared" si="18"/>
        <v>none</v>
      </c>
      <c r="O51" s="60" t="e">
        <f t="shared" si="8"/>
        <v>#VALUE!</v>
      </c>
      <c r="P51" s="60">
        <f t="shared" si="9"/>
        <v>4</v>
      </c>
      <c r="Q51" s="60" t="e">
        <f t="shared" si="10"/>
        <v>#VALUE!</v>
      </c>
      <c r="R51" s="60" t="e">
        <f t="shared" si="11"/>
        <v>#VALUE!</v>
      </c>
      <c r="S51" s="60" t="str">
        <f>IFERROR(VLOOKUP(MID(N51,Q51,R51-Q51),[5]skilldef!$C:$D,2,FALSE),"-") &amp; " / " &amp; IFERROR(VLOOKUP(MID(N51,O51,P51-O51),[5]skilldef!$A:$B,2,FALSE),"-")</f>
        <v>- / -</v>
      </c>
      <c r="T51" s="44" t="str">
        <f t="shared" si="19"/>
        <v>none</v>
      </c>
      <c r="U51" s="60" t="e">
        <f t="shared" si="12"/>
        <v>#VALUE!</v>
      </c>
      <c r="V51" s="60">
        <f t="shared" si="13"/>
        <v>4</v>
      </c>
      <c r="W51" s="60" t="e">
        <f t="shared" si="14"/>
        <v>#VALUE!</v>
      </c>
      <c r="X51" s="60" t="e">
        <f t="shared" si="15"/>
        <v>#VALUE!</v>
      </c>
      <c r="Y51" s="60" t="str">
        <f>IFERROR(VLOOKUP(MID(T51,W51,X51-W51),[5]skilldef!$C:$D,2,FALSE),"-") &amp; " / " &amp; IFERROR(VLOOKUP(MID(T51,U51,V51-U51),[5]skilldef!$A:$B,2,FALSE),"-")</f>
        <v>- / -</v>
      </c>
      <c r="Z51" s="46"/>
      <c r="AA51" s="48"/>
      <c r="AB51" s="46"/>
    </row>
    <row r="52" spans="1:28" ht="21" customHeight="1" x14ac:dyDescent="0.15">
      <c r="A52" s="43">
        <v>47009051</v>
      </c>
      <c r="B52" s="43" t="s">
        <v>511</v>
      </c>
      <c r="C52" s="46">
        <v>3</v>
      </c>
      <c r="D52" s="46" t="s">
        <v>287</v>
      </c>
      <c r="E52" s="153" t="s">
        <v>265</v>
      </c>
      <c r="F52" s="153" t="s">
        <v>265</v>
      </c>
      <c r="G52" s="60" t="str">
        <f t="shared" si="16"/>
        <v>[effect:enemy_message, val1:1.2, val2:1.2]</v>
      </c>
      <c r="H52" s="60">
        <f t="shared" si="4"/>
        <v>9</v>
      </c>
      <c r="I52" s="60">
        <f t="shared" si="5"/>
        <v>22</v>
      </c>
      <c r="J52" s="60" t="e">
        <f t="shared" si="6"/>
        <v>#VALUE!</v>
      </c>
      <c r="K52" s="60">
        <f t="shared" si="7"/>
        <v>32</v>
      </c>
      <c r="L52" s="60" t="str">
        <f>IFERROR(VLOOKUP(MID(G52,J52,K52-J52),[5]skilldef!$C:$D,2,FALSE),"-") &amp; " / " &amp; IFERROR(VLOOKUP(MID(G52,H52,I52-H52),[5]skilldef!$A:$B,2,FALSE),"-")</f>
        <v>- / -</v>
      </c>
      <c r="M52" s="60" t="str">
        <f t="shared" si="17"/>
        <v>none</v>
      </c>
      <c r="N52" s="44" t="str">
        <f t="shared" si="18"/>
        <v>none</v>
      </c>
      <c r="O52" s="60" t="e">
        <f t="shared" si="8"/>
        <v>#VALUE!</v>
      </c>
      <c r="P52" s="60">
        <f t="shared" si="9"/>
        <v>4</v>
      </c>
      <c r="Q52" s="60" t="e">
        <f t="shared" si="10"/>
        <v>#VALUE!</v>
      </c>
      <c r="R52" s="60" t="e">
        <f t="shared" si="11"/>
        <v>#VALUE!</v>
      </c>
      <c r="S52" s="60" t="str">
        <f>IFERROR(VLOOKUP(MID(N52,Q52,R52-Q52),[5]skilldef!$C:$D,2,FALSE),"-") &amp; " / " &amp; IFERROR(VLOOKUP(MID(N52,O52,P52-O52),[5]skilldef!$A:$B,2,FALSE),"-")</f>
        <v>- / -</v>
      </c>
      <c r="T52" s="44" t="str">
        <f t="shared" si="19"/>
        <v>none</v>
      </c>
      <c r="U52" s="60" t="e">
        <f t="shared" si="12"/>
        <v>#VALUE!</v>
      </c>
      <c r="V52" s="60">
        <f t="shared" si="13"/>
        <v>4</v>
      </c>
      <c r="W52" s="60" t="e">
        <f t="shared" si="14"/>
        <v>#VALUE!</v>
      </c>
      <c r="X52" s="60" t="e">
        <f t="shared" si="15"/>
        <v>#VALUE!</v>
      </c>
      <c r="Y52" s="60" t="str">
        <f>IFERROR(VLOOKUP(MID(T52,W52,X52-W52),[5]skilldef!$C:$D,2,FALSE),"-") &amp; " / " &amp; IFERROR(VLOOKUP(MID(T52,U52,V52-U52),[5]skilldef!$A:$B,2,FALSE),"-")</f>
        <v>- / -</v>
      </c>
      <c r="Z52" s="46"/>
      <c r="AA52" s="48"/>
      <c r="AB52" s="46"/>
    </row>
    <row r="53" spans="1:28" ht="21" customHeight="1" x14ac:dyDescent="0.15">
      <c r="A53" s="43">
        <v>47009052</v>
      </c>
      <c r="B53" s="43" t="s">
        <v>511</v>
      </c>
      <c r="C53" s="46">
        <v>3</v>
      </c>
      <c r="D53" s="46" t="s">
        <v>287</v>
      </c>
      <c r="E53" s="153" t="s">
        <v>265</v>
      </c>
      <c r="F53" s="153" t="s">
        <v>265</v>
      </c>
      <c r="G53" s="60" t="str">
        <f t="shared" si="16"/>
        <v>[effect:enemy_message, val1:1.2, val2:1.2]</v>
      </c>
      <c r="H53" s="60">
        <f t="shared" si="4"/>
        <v>9</v>
      </c>
      <c r="I53" s="60">
        <f t="shared" si="5"/>
        <v>22</v>
      </c>
      <c r="J53" s="60" t="e">
        <f t="shared" si="6"/>
        <v>#VALUE!</v>
      </c>
      <c r="K53" s="60">
        <f t="shared" si="7"/>
        <v>32</v>
      </c>
      <c r="L53" s="60" t="str">
        <f>IFERROR(VLOOKUP(MID(G53,J53,K53-J53),[5]skilldef!$C:$D,2,FALSE),"-") &amp; " / " &amp; IFERROR(VLOOKUP(MID(G53,H53,I53-H53),[5]skilldef!$A:$B,2,FALSE),"-")</f>
        <v>- / -</v>
      </c>
      <c r="M53" s="60" t="str">
        <f t="shared" si="17"/>
        <v>none</v>
      </c>
      <c r="N53" s="44" t="str">
        <f t="shared" si="18"/>
        <v>none</v>
      </c>
      <c r="O53" s="60" t="e">
        <f t="shared" si="8"/>
        <v>#VALUE!</v>
      </c>
      <c r="P53" s="60">
        <f t="shared" si="9"/>
        <v>4</v>
      </c>
      <c r="Q53" s="60" t="e">
        <f t="shared" si="10"/>
        <v>#VALUE!</v>
      </c>
      <c r="R53" s="60" t="e">
        <f t="shared" si="11"/>
        <v>#VALUE!</v>
      </c>
      <c r="S53" s="60" t="str">
        <f>IFERROR(VLOOKUP(MID(N53,Q53,R53-Q53),[5]skilldef!$C:$D,2,FALSE),"-") &amp; " / " &amp; IFERROR(VLOOKUP(MID(N53,O53,P53-O53),[5]skilldef!$A:$B,2,FALSE),"-")</f>
        <v>- / -</v>
      </c>
      <c r="T53" s="44" t="str">
        <f t="shared" si="19"/>
        <v>none</v>
      </c>
      <c r="U53" s="60" t="e">
        <f t="shared" si="12"/>
        <v>#VALUE!</v>
      </c>
      <c r="V53" s="60">
        <f t="shared" si="13"/>
        <v>4</v>
      </c>
      <c r="W53" s="60" t="e">
        <f t="shared" si="14"/>
        <v>#VALUE!</v>
      </c>
      <c r="X53" s="60" t="e">
        <f t="shared" si="15"/>
        <v>#VALUE!</v>
      </c>
      <c r="Y53" s="60" t="str">
        <f>IFERROR(VLOOKUP(MID(T53,W53,X53-W53),[5]skilldef!$C:$D,2,FALSE),"-") &amp; " / " &amp; IFERROR(VLOOKUP(MID(T53,U53,V53-U53),[5]skilldef!$A:$B,2,FALSE),"-")</f>
        <v>- / -</v>
      </c>
      <c r="Z53" s="46"/>
      <c r="AA53" s="48"/>
      <c r="AB53" s="46"/>
    </row>
    <row r="54" spans="1:28" ht="21" customHeight="1" x14ac:dyDescent="0.15">
      <c r="A54" s="43">
        <v>47009053</v>
      </c>
      <c r="B54" s="43" t="s">
        <v>579</v>
      </c>
      <c r="C54" s="46">
        <v>3</v>
      </c>
      <c r="D54" s="46" t="s">
        <v>287</v>
      </c>
      <c r="E54" s="47" t="s">
        <v>300</v>
      </c>
      <c r="F54" s="157" t="s">
        <v>545</v>
      </c>
      <c r="G54" s="60" t="str">
        <f t="shared" si="16"/>
        <v>[effect:enemy_message, val1:1.8, val2:1.6]</v>
      </c>
      <c r="H54" s="60">
        <f t="shared" si="4"/>
        <v>9</v>
      </c>
      <c r="I54" s="60">
        <f t="shared" si="5"/>
        <v>22</v>
      </c>
      <c r="J54" s="60" t="e">
        <f t="shared" si="6"/>
        <v>#VALUE!</v>
      </c>
      <c r="K54" s="60">
        <f t="shared" si="7"/>
        <v>32</v>
      </c>
      <c r="L54" s="60" t="str">
        <f>IFERROR(VLOOKUP(MID(G54,J54,K54-J54),[5]skilldef!$C:$D,2,FALSE),"-") &amp; " / " &amp; IFERROR(VLOOKUP(MID(G54,H54,I54-H54),[5]skilldef!$A:$B,2,FALSE),"-")</f>
        <v>- / -</v>
      </c>
      <c r="M54" s="60" t="str">
        <f t="shared" si="17"/>
        <v>[effect:tolerance, target:myself, turn:-1, tolerance_effect:hungup, count:-1],[effect:tolerance, target:myself, turn:-1, tolerance_effect:sleep, count:-1, animation:enemy_tolerance]</v>
      </c>
      <c r="N54" s="44" t="str">
        <f t="shared" si="18"/>
        <v>[effect:tolerance, target:myself, turn:-1, tolerance_effect:hungup, count:-1],[effect:tolerance, target:myself, turn:-1, tolerance_effect:sleep, count:-1, animation:enemy_tolerance]</v>
      </c>
      <c r="O54" s="60">
        <f t="shared" si="8"/>
        <v>9</v>
      </c>
      <c r="P54" s="60">
        <f t="shared" si="9"/>
        <v>18</v>
      </c>
      <c r="Q54" s="60">
        <f t="shared" si="10"/>
        <v>27</v>
      </c>
      <c r="R54" s="60">
        <f t="shared" si="11"/>
        <v>33</v>
      </c>
      <c r="S54" s="60" t="str">
        <f>IFERROR(VLOOKUP(MID(N54,Q54,R54-Q54),[5]skilldef!$C:$D,2,FALSE),"-") &amp; " / " &amp; IFERROR(VLOOKUP(MID(N54,O54,P54-O54),[5]skilldef!$A:$B,2,FALSE),"-")</f>
        <v>自分自身に / 状態異常耐性</v>
      </c>
      <c r="T54" s="44" t="str">
        <f t="shared" si="19"/>
        <v>[effect:tolerance, target:myself, turn:-1, tolerance_effect:sleep, count:-1, animation:enemy_tolerance]</v>
      </c>
      <c r="U54" s="60">
        <f t="shared" si="12"/>
        <v>9</v>
      </c>
      <c r="V54" s="60">
        <f t="shared" si="13"/>
        <v>18</v>
      </c>
      <c r="W54" s="60">
        <f t="shared" si="14"/>
        <v>27</v>
      </c>
      <c r="X54" s="60">
        <f t="shared" si="15"/>
        <v>33</v>
      </c>
      <c r="Y54" s="60" t="str">
        <f>IFERROR(VLOOKUP(MID(T54,W54,X54-W54),[5]skilldef!$C:$D,2,FALSE),"-") &amp; " / " &amp; IFERROR(VLOOKUP(MID(T54,U54,V54-U54),[5]skilldef!$A:$B,2,FALSE),"-")</f>
        <v>自分自身に / 状態異常耐性</v>
      </c>
      <c r="Z54" s="46"/>
      <c r="AA54" s="48"/>
      <c r="AB54" s="46"/>
    </row>
    <row r="55" spans="1:28" ht="21" customHeight="1" x14ac:dyDescent="0.15">
      <c r="A55" s="43">
        <v>47009054</v>
      </c>
      <c r="B55" s="43" t="s">
        <v>505</v>
      </c>
      <c r="C55" s="46">
        <v>3</v>
      </c>
      <c r="D55" s="46" t="s">
        <v>287</v>
      </c>
      <c r="E55" s="47" t="s">
        <v>301</v>
      </c>
      <c r="F55" s="47" t="s">
        <v>607</v>
      </c>
      <c r="G55" s="60" t="str">
        <f t="shared" si="16"/>
        <v>[effect:enemy_message, val1:1.2, val2:1.8]</v>
      </c>
      <c r="H55" s="60">
        <f t="shared" si="4"/>
        <v>9</v>
      </c>
      <c r="I55" s="60">
        <f t="shared" si="5"/>
        <v>22</v>
      </c>
      <c r="J55" s="60" t="e">
        <f t="shared" si="6"/>
        <v>#VALUE!</v>
      </c>
      <c r="K55" s="60">
        <f t="shared" si="7"/>
        <v>32</v>
      </c>
      <c r="L55" s="60" t="str">
        <f>IFERROR(VLOOKUP(MID(G55,J55,K55-J55),[5]skilldef!$C:$D,2,FALSE),"-") &amp; " / " &amp; IFERROR(VLOOKUP(MID(G55,H55,I55-H55),[5]skilldef!$A:$B,2,FALSE),"-")</f>
        <v>- / -</v>
      </c>
      <c r="M55" s="60" t="str">
        <f t="shared" si="17"/>
        <v>[effect:break_attack, val:0.08, lowest_val:5000, count:20, block:block_blue, target:unit_one]</v>
      </c>
      <c r="N55" s="44" t="str">
        <f t="shared" si="18"/>
        <v>[effect:break_attack, val:0.08, lowest_val:5000, count:20, block:block_blue, target:unit_one]</v>
      </c>
      <c r="O55" s="60">
        <f t="shared" si="8"/>
        <v>9</v>
      </c>
      <c r="P55" s="60">
        <f t="shared" si="9"/>
        <v>21</v>
      </c>
      <c r="Q55" s="60">
        <f t="shared" si="10"/>
        <v>85</v>
      </c>
      <c r="R55" s="60">
        <f t="shared" si="11"/>
        <v>31</v>
      </c>
      <c r="S55" s="60" t="str">
        <f>IFERROR(VLOOKUP(MID(N55,Q55,R55-Q55),[5]skilldef!$C:$D,2,FALSE),"-") &amp; " / " &amp; IFERROR(VLOOKUP(MID(N55,O55,P55-O55),[5]skilldef!$A:$B,2,FALSE),"-")</f>
        <v>- / -</v>
      </c>
      <c r="T55" s="44" t="str">
        <f t="shared" si="19"/>
        <v>none</v>
      </c>
      <c r="U55" s="60" t="e">
        <f t="shared" si="12"/>
        <v>#VALUE!</v>
      </c>
      <c r="V55" s="60">
        <f t="shared" si="13"/>
        <v>4</v>
      </c>
      <c r="W55" s="60" t="e">
        <f t="shared" si="14"/>
        <v>#VALUE!</v>
      </c>
      <c r="X55" s="60" t="e">
        <f t="shared" si="15"/>
        <v>#VALUE!</v>
      </c>
      <c r="Y55" s="60" t="str">
        <f>IFERROR(VLOOKUP(MID(T55,W55,X55-W55),[5]skilldef!$C:$D,2,FALSE),"-") &amp; " / " &amp; IFERROR(VLOOKUP(MID(T55,U55,V55-U55),[5]skilldef!$A:$B,2,FALSE),"-")</f>
        <v>- / -</v>
      </c>
      <c r="Z55" s="46"/>
      <c r="AA55" s="48"/>
      <c r="AB55" s="46"/>
    </row>
    <row r="56" spans="1:28" ht="21" customHeight="1" x14ac:dyDescent="0.15">
      <c r="A56" s="43">
        <v>47009055</v>
      </c>
      <c r="B56" s="43" t="s">
        <v>504</v>
      </c>
      <c r="C56" s="46">
        <v>3</v>
      </c>
      <c r="D56" s="46" t="s">
        <v>302</v>
      </c>
      <c r="E56" s="47" t="s">
        <v>303</v>
      </c>
      <c r="F56" s="47" t="s">
        <v>296</v>
      </c>
      <c r="G56" s="60" t="str">
        <f t="shared" si="16"/>
        <v>[effect:enemy_message, val1:1.2, val2:1.2]</v>
      </c>
      <c r="H56" s="60">
        <f t="shared" si="4"/>
        <v>9</v>
      </c>
      <c r="I56" s="60">
        <f t="shared" si="5"/>
        <v>22</v>
      </c>
      <c r="J56" s="60" t="e">
        <f t="shared" si="6"/>
        <v>#VALUE!</v>
      </c>
      <c r="K56" s="60">
        <f t="shared" si="7"/>
        <v>32</v>
      </c>
      <c r="L56" s="60" t="str">
        <f>IFERROR(VLOOKUP(MID(G56,J56,K56-J56),[5]skilldef!$C:$D,2,FALSE),"-") &amp; " / " &amp; IFERROR(VLOOKUP(MID(G56,H56,I56-H56),[5]skilldef!$A:$B,2,FALSE),"-")</f>
        <v>- / -</v>
      </c>
      <c r="M56" s="60" t="str">
        <f t="shared" si="17"/>
        <v>[effect:spread, val:0.35]</v>
      </c>
      <c r="N56" s="44" t="str">
        <f t="shared" si="18"/>
        <v>[effect:spread, val:0.35]</v>
      </c>
      <c r="O56" s="60">
        <f t="shared" si="8"/>
        <v>9</v>
      </c>
      <c r="P56" s="60">
        <f t="shared" si="9"/>
        <v>15</v>
      </c>
      <c r="Q56" s="60" t="e">
        <f t="shared" si="10"/>
        <v>#VALUE!</v>
      </c>
      <c r="R56" s="60" t="e">
        <f t="shared" si="11"/>
        <v>#VALUE!</v>
      </c>
      <c r="S56" s="60" t="str">
        <f>IFERROR(VLOOKUP(MID(N56,Q56,R56-Q56),[5]skilldef!$C:$D,2,FALSE),"-") &amp; " / " &amp; IFERROR(VLOOKUP(MID(N56,O56,P56-O56),[5]skilldef!$A:$B,2,FALSE),"-")</f>
        <v>- / 全体攻撃</v>
      </c>
      <c r="T56" s="44" t="str">
        <f t="shared" si="19"/>
        <v>none</v>
      </c>
      <c r="U56" s="60" t="e">
        <f t="shared" si="12"/>
        <v>#VALUE!</v>
      </c>
      <c r="V56" s="60">
        <f t="shared" si="13"/>
        <v>4</v>
      </c>
      <c r="W56" s="60" t="e">
        <f t="shared" si="14"/>
        <v>#VALUE!</v>
      </c>
      <c r="X56" s="60" t="e">
        <f t="shared" si="15"/>
        <v>#VALUE!</v>
      </c>
      <c r="Y56" s="60" t="str">
        <f>IFERROR(VLOOKUP(MID(T56,W56,X56-W56),[5]skilldef!$C:$D,2,FALSE),"-") &amp; " / " &amp; IFERROR(VLOOKUP(MID(T56,U56,V56-U56),[5]skilldef!$A:$B,2,FALSE),"-")</f>
        <v>- / -</v>
      </c>
      <c r="Z56" s="46"/>
      <c r="AA56" s="48"/>
      <c r="AB56" s="46"/>
    </row>
    <row r="57" spans="1:28" ht="21" customHeight="1" x14ac:dyDescent="0.15">
      <c r="A57" s="43">
        <v>47009056</v>
      </c>
      <c r="B57" s="43" t="s">
        <v>580</v>
      </c>
      <c r="C57" s="46">
        <v>3</v>
      </c>
      <c r="D57" s="46" t="s">
        <v>302</v>
      </c>
      <c r="E57" s="47" t="s">
        <v>304</v>
      </c>
      <c r="F57" s="47" t="s">
        <v>305</v>
      </c>
      <c r="G57" s="60" t="str">
        <f t="shared" si="16"/>
        <v>[effect:enemy_message, val1:1.6, val2:1.3]</v>
      </c>
      <c r="H57" s="60">
        <f t="shared" si="4"/>
        <v>9</v>
      </c>
      <c r="I57" s="60">
        <f t="shared" si="5"/>
        <v>22</v>
      </c>
      <c r="J57" s="60" t="e">
        <f t="shared" si="6"/>
        <v>#VALUE!</v>
      </c>
      <c r="K57" s="60">
        <f t="shared" si="7"/>
        <v>32</v>
      </c>
      <c r="L57" s="60" t="str">
        <f>IFERROR(VLOOKUP(MID(G57,J57,K57-J57),[5]skilldef!$C:$D,2,FALSE),"-") &amp; " / " &amp; IFERROR(VLOOKUP(MID(G57,H57,I57-H57),[5]skilldef!$A:$B,2,FALSE),"-")</f>
        <v>- / -</v>
      </c>
      <c r="M57" s="60" t="str">
        <f t="shared" si="17"/>
        <v>[effect:damage_gravity, val:0.6, animation:fevergauge_down]</v>
      </c>
      <c r="N57" s="44" t="str">
        <f t="shared" si="18"/>
        <v>[effect:damage_gravity, val:0.6, animation:fevergauge_down]</v>
      </c>
      <c r="O57" s="60">
        <f t="shared" si="8"/>
        <v>9</v>
      </c>
      <c r="P57" s="60">
        <f t="shared" si="9"/>
        <v>23</v>
      </c>
      <c r="Q57" s="60" t="e">
        <f t="shared" si="10"/>
        <v>#VALUE!</v>
      </c>
      <c r="R57" s="60">
        <f t="shared" si="11"/>
        <v>32</v>
      </c>
      <c r="S57" s="60" t="str">
        <f>IFERROR(VLOOKUP(MID(N57,Q57,R57-Q57),[5]skilldef!$C:$D,2,FALSE),"-") &amp; " / " &amp; IFERROR(VLOOKUP(MID(N57,O57,P57-O57),[5]skilldef!$A:$B,2,FALSE),"-")</f>
        <v>- / 割合ダメージ</v>
      </c>
      <c r="T57" s="44" t="str">
        <f t="shared" si="19"/>
        <v>none</v>
      </c>
      <c r="U57" s="60" t="e">
        <f t="shared" si="12"/>
        <v>#VALUE!</v>
      </c>
      <c r="V57" s="60">
        <f t="shared" si="13"/>
        <v>4</v>
      </c>
      <c r="W57" s="60" t="e">
        <f t="shared" si="14"/>
        <v>#VALUE!</v>
      </c>
      <c r="X57" s="60" t="e">
        <f t="shared" si="15"/>
        <v>#VALUE!</v>
      </c>
      <c r="Y57" s="60" t="str">
        <f>IFERROR(VLOOKUP(MID(T57,W57,X57-W57),[5]skilldef!$C:$D,2,FALSE),"-") &amp; " / " &amp; IFERROR(VLOOKUP(MID(T57,U57,V57-U57),[5]skilldef!$A:$B,2,FALSE),"-")</f>
        <v>- / -</v>
      </c>
      <c r="Z57" s="46"/>
      <c r="AA57" s="48"/>
      <c r="AB57" s="46"/>
    </row>
    <row r="58" spans="1:28" ht="21" customHeight="1" x14ac:dyDescent="0.15">
      <c r="A58" s="43">
        <v>47009057</v>
      </c>
      <c r="B58" s="43" t="s">
        <v>511</v>
      </c>
      <c r="C58" s="46">
        <v>3</v>
      </c>
      <c r="D58" s="46" t="s">
        <v>302</v>
      </c>
      <c r="E58" s="151" t="s">
        <v>265</v>
      </c>
      <c r="F58" s="151" t="s">
        <v>265</v>
      </c>
      <c r="G58" s="60" t="str">
        <f t="shared" si="16"/>
        <v>[effect:enemy_message, val1:1.2, val2:1.2]</v>
      </c>
      <c r="H58" s="60">
        <f t="shared" si="4"/>
        <v>9</v>
      </c>
      <c r="I58" s="60">
        <f t="shared" si="5"/>
        <v>22</v>
      </c>
      <c r="J58" s="60" t="e">
        <f t="shared" si="6"/>
        <v>#VALUE!</v>
      </c>
      <c r="K58" s="60">
        <f t="shared" si="7"/>
        <v>32</v>
      </c>
      <c r="L58" s="60" t="str">
        <f>IFERROR(VLOOKUP(MID(G58,J58,K58-J58),[5]skilldef!$C:$D,2,FALSE),"-") &amp; " / " &amp; IFERROR(VLOOKUP(MID(G58,H58,I58-H58),[5]skilldef!$A:$B,2,FALSE),"-")</f>
        <v>- / -</v>
      </c>
      <c r="M58" s="60" t="str">
        <f t="shared" si="17"/>
        <v>none</v>
      </c>
      <c r="N58" s="44" t="str">
        <f t="shared" si="18"/>
        <v>none</v>
      </c>
      <c r="O58" s="60" t="e">
        <f t="shared" si="8"/>
        <v>#VALUE!</v>
      </c>
      <c r="P58" s="60">
        <f t="shared" si="9"/>
        <v>4</v>
      </c>
      <c r="Q58" s="60" t="e">
        <f t="shared" si="10"/>
        <v>#VALUE!</v>
      </c>
      <c r="R58" s="60" t="e">
        <f t="shared" si="11"/>
        <v>#VALUE!</v>
      </c>
      <c r="S58" s="60" t="str">
        <f>IFERROR(VLOOKUP(MID(N58,Q58,R58-Q58),[5]skilldef!$C:$D,2,FALSE),"-") &amp; " / " &amp; IFERROR(VLOOKUP(MID(N58,O58,P58-O58),[5]skilldef!$A:$B,2,FALSE),"-")</f>
        <v>- / -</v>
      </c>
      <c r="T58" s="44" t="str">
        <f t="shared" si="19"/>
        <v>none</v>
      </c>
      <c r="U58" s="60" t="e">
        <f t="shared" si="12"/>
        <v>#VALUE!</v>
      </c>
      <c r="V58" s="60">
        <f t="shared" si="13"/>
        <v>4</v>
      </c>
      <c r="W58" s="60" t="e">
        <f t="shared" si="14"/>
        <v>#VALUE!</v>
      </c>
      <c r="X58" s="60" t="e">
        <f t="shared" si="15"/>
        <v>#VALUE!</v>
      </c>
      <c r="Y58" s="60" t="str">
        <f>IFERROR(VLOOKUP(MID(T58,W58,X58-W58),[5]skilldef!$C:$D,2,FALSE),"-") &amp; " / " &amp; IFERROR(VLOOKUP(MID(T58,U58,V58-U58),[5]skilldef!$A:$B,2,FALSE),"-")</f>
        <v>- / -</v>
      </c>
      <c r="Z58" s="46"/>
      <c r="AA58" s="48"/>
      <c r="AB58" s="46"/>
    </row>
    <row r="59" spans="1:28" ht="21" customHeight="1" x14ac:dyDescent="0.15">
      <c r="A59" s="43">
        <v>47009058</v>
      </c>
      <c r="B59" s="43" t="s">
        <v>511</v>
      </c>
      <c r="C59" s="46">
        <v>3</v>
      </c>
      <c r="D59" s="46" t="s">
        <v>302</v>
      </c>
      <c r="E59" s="153" t="s">
        <v>265</v>
      </c>
      <c r="F59" s="153" t="s">
        <v>265</v>
      </c>
      <c r="G59" s="60" t="str">
        <f t="shared" si="16"/>
        <v>[effect:enemy_message, val1:1.2, val2:1.2]</v>
      </c>
      <c r="H59" s="60">
        <f t="shared" si="4"/>
        <v>9</v>
      </c>
      <c r="I59" s="60">
        <f t="shared" si="5"/>
        <v>22</v>
      </c>
      <c r="J59" s="60" t="e">
        <f t="shared" si="6"/>
        <v>#VALUE!</v>
      </c>
      <c r="K59" s="60">
        <f t="shared" si="7"/>
        <v>32</v>
      </c>
      <c r="L59" s="60" t="str">
        <f>IFERROR(VLOOKUP(MID(G59,J59,K59-J59),[5]skilldef!$C:$D,2,FALSE),"-") &amp; " / " &amp; IFERROR(VLOOKUP(MID(G59,H59,I59-H59),[5]skilldef!$A:$B,2,FALSE),"-")</f>
        <v>- / -</v>
      </c>
      <c r="M59" s="60" t="str">
        <f t="shared" si="17"/>
        <v>none</v>
      </c>
      <c r="N59" s="44" t="str">
        <f t="shared" si="18"/>
        <v>none</v>
      </c>
      <c r="O59" s="60" t="e">
        <f t="shared" si="8"/>
        <v>#VALUE!</v>
      </c>
      <c r="P59" s="60">
        <f t="shared" si="9"/>
        <v>4</v>
      </c>
      <c r="Q59" s="60" t="e">
        <f t="shared" si="10"/>
        <v>#VALUE!</v>
      </c>
      <c r="R59" s="60" t="e">
        <f t="shared" si="11"/>
        <v>#VALUE!</v>
      </c>
      <c r="S59" s="60" t="str">
        <f>IFERROR(VLOOKUP(MID(N59,Q59,R59-Q59),[5]skilldef!$C:$D,2,FALSE),"-") &amp; " / " &amp; IFERROR(VLOOKUP(MID(N59,O59,P59-O59),[5]skilldef!$A:$B,2,FALSE),"-")</f>
        <v>- / -</v>
      </c>
      <c r="T59" s="44" t="str">
        <f t="shared" si="19"/>
        <v>none</v>
      </c>
      <c r="U59" s="60" t="e">
        <f t="shared" si="12"/>
        <v>#VALUE!</v>
      </c>
      <c r="V59" s="60">
        <f t="shared" si="13"/>
        <v>4</v>
      </c>
      <c r="W59" s="60" t="e">
        <f t="shared" si="14"/>
        <v>#VALUE!</v>
      </c>
      <c r="X59" s="60" t="e">
        <f t="shared" si="15"/>
        <v>#VALUE!</v>
      </c>
      <c r="Y59" s="60" t="str">
        <f>IFERROR(VLOOKUP(MID(T59,W59,X59-W59),[5]skilldef!$C:$D,2,FALSE),"-") &amp; " / " &amp; IFERROR(VLOOKUP(MID(T59,U59,V59-U59),[5]skilldef!$A:$B,2,FALSE),"-")</f>
        <v>- / -</v>
      </c>
      <c r="Z59" s="46"/>
      <c r="AA59" s="48"/>
      <c r="AB59" s="46"/>
    </row>
    <row r="60" spans="1:28" ht="21" customHeight="1" x14ac:dyDescent="0.15">
      <c r="A60" s="43">
        <v>47009059</v>
      </c>
      <c r="B60" s="43" t="s">
        <v>511</v>
      </c>
      <c r="C60" s="46">
        <v>3</v>
      </c>
      <c r="D60" s="46" t="s">
        <v>302</v>
      </c>
      <c r="E60" s="153" t="s">
        <v>265</v>
      </c>
      <c r="F60" s="153" t="s">
        <v>265</v>
      </c>
      <c r="G60" s="60" t="str">
        <f t="shared" si="16"/>
        <v>[effect:enemy_message, val1:1.2, val2:1.2]</v>
      </c>
      <c r="H60" s="60">
        <f t="shared" si="4"/>
        <v>9</v>
      </c>
      <c r="I60" s="60">
        <f t="shared" si="5"/>
        <v>22</v>
      </c>
      <c r="J60" s="60" t="e">
        <f t="shared" si="6"/>
        <v>#VALUE!</v>
      </c>
      <c r="K60" s="60">
        <f t="shared" si="7"/>
        <v>32</v>
      </c>
      <c r="L60" s="60" t="str">
        <f>IFERROR(VLOOKUP(MID(G60,J60,K60-J60),[5]skilldef!$C:$D,2,FALSE),"-") &amp; " / " &amp; IFERROR(VLOOKUP(MID(G60,H60,I60-H60),[5]skilldef!$A:$B,2,FALSE),"-")</f>
        <v>- / -</v>
      </c>
      <c r="M60" s="60" t="str">
        <f t="shared" si="17"/>
        <v>none</v>
      </c>
      <c r="N60" s="44" t="str">
        <f t="shared" si="18"/>
        <v>none</v>
      </c>
      <c r="O60" s="60" t="e">
        <f t="shared" si="8"/>
        <v>#VALUE!</v>
      </c>
      <c r="P60" s="60">
        <f t="shared" si="9"/>
        <v>4</v>
      </c>
      <c r="Q60" s="60" t="e">
        <f t="shared" si="10"/>
        <v>#VALUE!</v>
      </c>
      <c r="R60" s="60" t="e">
        <f t="shared" si="11"/>
        <v>#VALUE!</v>
      </c>
      <c r="S60" s="60" t="str">
        <f>IFERROR(VLOOKUP(MID(N60,Q60,R60-Q60),[5]skilldef!$C:$D,2,FALSE),"-") &amp; " / " &amp; IFERROR(VLOOKUP(MID(N60,O60,P60-O60),[5]skilldef!$A:$B,2,FALSE),"-")</f>
        <v>- / -</v>
      </c>
      <c r="T60" s="44" t="str">
        <f t="shared" si="19"/>
        <v>none</v>
      </c>
      <c r="U60" s="60" t="e">
        <f t="shared" si="12"/>
        <v>#VALUE!</v>
      </c>
      <c r="V60" s="60">
        <f t="shared" si="13"/>
        <v>4</v>
      </c>
      <c r="W60" s="60" t="e">
        <f t="shared" si="14"/>
        <v>#VALUE!</v>
      </c>
      <c r="X60" s="60" t="e">
        <f t="shared" si="15"/>
        <v>#VALUE!</v>
      </c>
      <c r="Y60" s="60" t="str">
        <f>IFERROR(VLOOKUP(MID(T60,W60,X60-W60),[5]skilldef!$C:$D,2,FALSE),"-") &amp; " / " &amp; IFERROR(VLOOKUP(MID(T60,U60,V60-U60),[5]skilldef!$A:$B,2,FALSE),"-")</f>
        <v>- / -</v>
      </c>
      <c r="Z60" s="46"/>
      <c r="AA60" s="48"/>
      <c r="AB60" s="46"/>
    </row>
    <row r="61" spans="1:28" ht="21" customHeight="1" x14ac:dyDescent="0.15">
      <c r="A61" s="43">
        <v>47009060</v>
      </c>
      <c r="B61" s="43" t="s">
        <v>554</v>
      </c>
      <c r="C61" s="46">
        <v>3</v>
      </c>
      <c r="D61" s="46" t="s">
        <v>302</v>
      </c>
      <c r="E61" s="47" t="s">
        <v>306</v>
      </c>
      <c r="F61" s="47" t="s">
        <v>609</v>
      </c>
      <c r="G61" s="60" t="str">
        <f t="shared" si="16"/>
        <v>[effect:enemy_message, val1:1.7, val2:3.1]</v>
      </c>
      <c r="H61" s="60">
        <f t="shared" si="4"/>
        <v>9</v>
      </c>
      <c r="I61" s="60">
        <f t="shared" si="5"/>
        <v>22</v>
      </c>
      <c r="J61" s="60" t="e">
        <f t="shared" si="6"/>
        <v>#VALUE!</v>
      </c>
      <c r="K61" s="60">
        <f t="shared" si="7"/>
        <v>32</v>
      </c>
      <c r="L61" s="60" t="str">
        <f>IFERROR(VLOOKUP(MID(G61,J61,K61-J61),[5]skilldef!$C:$D,2,FALSE),"-") &amp; " / " &amp; IFERROR(VLOOKUP(MID(G61,H61,I61-H61),[5]skilldef!$A:$B,2,FALSE),"-")</f>
        <v>- / -</v>
      </c>
      <c r="M61" s="60" t="str">
        <f t="shared" si="17"/>
        <v>[effect:tolerance, target:myself, turn:-1, tolerance_effect:hungup, count:-1],[effect:tolerance, target:myself, turn:-1, tolerance_effect:sleep, count:-1, animation:enemy_tolerance],[effect:freq_turn, target:myself, turn:-1, val:1, animation:enemy_freq_turn]</v>
      </c>
      <c r="N61" s="44" t="str">
        <f t="shared" si="18"/>
        <v>[effect:tolerance, target:myself, turn:-1, tolerance_effect:hungup, count:-1],[effect:tolerance, target:myself, turn:-1, tolerance_effect:sleep, count:-1, animation:enemy_tolerance],[effect:freq_turn, target:myself, turn:-1, val:1, animation:enemy_freq_turn]</v>
      </c>
      <c r="O61" s="60">
        <f t="shared" si="8"/>
        <v>9</v>
      </c>
      <c r="P61" s="60">
        <f t="shared" si="9"/>
        <v>18</v>
      </c>
      <c r="Q61" s="60">
        <f t="shared" si="10"/>
        <v>27</v>
      </c>
      <c r="R61" s="60">
        <f t="shared" si="11"/>
        <v>33</v>
      </c>
      <c r="S61" s="60" t="str">
        <f>IFERROR(VLOOKUP(MID(N61,Q61,R61-Q61),[5]skilldef!$C:$D,2,FALSE),"-") &amp; " / " &amp; IFERROR(VLOOKUP(MID(N61,O61,P61-O61),[5]skilldef!$A:$B,2,FALSE),"-")</f>
        <v>自分自身に / 状態異常耐性</v>
      </c>
      <c r="T61" s="44" t="str">
        <f t="shared" si="19"/>
        <v>[effect:tolerance, target:myself, turn:-1, tolerance_effect:sleep, count:-1, animation:enemy_tolerance],[effect:freq_turn, target:myself, turn:-1, val:1, animation:enemy_freq_turn]</v>
      </c>
      <c r="U61" s="60">
        <f t="shared" si="12"/>
        <v>9</v>
      </c>
      <c r="V61" s="60">
        <f t="shared" si="13"/>
        <v>18</v>
      </c>
      <c r="W61" s="60">
        <f t="shared" si="14"/>
        <v>27</v>
      </c>
      <c r="X61" s="60">
        <f t="shared" si="15"/>
        <v>33</v>
      </c>
      <c r="Y61" s="60" t="str">
        <f>IFERROR(VLOOKUP(MID(T61,W61,X61-W61),[5]skilldef!$C:$D,2,FALSE),"-") &amp; " / " &amp; IFERROR(VLOOKUP(MID(T61,U61,V61-U61),[5]skilldef!$A:$B,2,FALSE),"-")</f>
        <v>自分自身に / 状態異常耐性</v>
      </c>
      <c r="Z61" s="46"/>
      <c r="AA61" s="48"/>
      <c r="AB61" s="46"/>
    </row>
    <row r="62" spans="1:28" ht="21" customHeight="1" x14ac:dyDescent="0.15">
      <c r="A62" s="43">
        <v>47009061</v>
      </c>
      <c r="B62" s="43" t="s">
        <v>506</v>
      </c>
      <c r="C62" s="46">
        <v>3</v>
      </c>
      <c r="D62" s="46" t="s">
        <v>302</v>
      </c>
      <c r="E62" s="47" t="s">
        <v>307</v>
      </c>
      <c r="F62" s="47" t="s">
        <v>608</v>
      </c>
      <c r="G62" s="60" t="str">
        <f t="shared" si="16"/>
        <v>[effect:enemy_message, val1:1.6, val2:1.8]</v>
      </c>
      <c r="H62" s="60">
        <f t="shared" si="4"/>
        <v>9</v>
      </c>
      <c r="I62" s="60">
        <f t="shared" si="5"/>
        <v>22</v>
      </c>
      <c r="J62" s="60" t="e">
        <f t="shared" si="6"/>
        <v>#VALUE!</v>
      </c>
      <c r="K62" s="60">
        <f t="shared" si="7"/>
        <v>32</v>
      </c>
      <c r="L62" s="60" t="str">
        <f>IFERROR(VLOOKUP(MID(G62,J62,K62-J62),[5]skilldef!$C:$D,2,FALSE),"-") &amp; " / " &amp; IFERROR(VLOOKUP(MID(G62,H62,I62-H62),[5]skilldef!$A:$B,2,FALSE),"-")</f>
        <v>- / -</v>
      </c>
      <c r="M62" s="60" t="str">
        <f t="shared" si="17"/>
        <v>[effect:break_attack, val:0.06, lowest_val:5000, count:20, block:block_red, target:unit_one]</v>
      </c>
      <c r="N62" s="44" t="str">
        <f t="shared" si="18"/>
        <v>[effect:break_attack, val:0.06, lowest_val:5000, count:20, block:block_red, target:unit_one]</v>
      </c>
      <c r="O62" s="60">
        <f t="shared" si="8"/>
        <v>9</v>
      </c>
      <c r="P62" s="60">
        <f t="shared" si="9"/>
        <v>21</v>
      </c>
      <c r="Q62" s="60">
        <f t="shared" si="10"/>
        <v>84</v>
      </c>
      <c r="R62" s="60">
        <f t="shared" si="11"/>
        <v>31</v>
      </c>
      <c r="S62" s="60" t="str">
        <f>IFERROR(VLOOKUP(MID(N62,Q62,R62-Q62),[5]skilldef!$C:$D,2,FALSE),"-") &amp; " / " &amp; IFERROR(VLOOKUP(MID(N62,O62,P62-O62),[5]skilldef!$A:$B,2,FALSE),"-")</f>
        <v>- / -</v>
      </c>
      <c r="T62" s="44" t="str">
        <f t="shared" si="19"/>
        <v>none</v>
      </c>
      <c r="U62" s="60" t="e">
        <f t="shared" si="12"/>
        <v>#VALUE!</v>
      </c>
      <c r="V62" s="60">
        <f t="shared" si="13"/>
        <v>4</v>
      </c>
      <c r="W62" s="60" t="e">
        <f t="shared" si="14"/>
        <v>#VALUE!</v>
      </c>
      <c r="X62" s="60" t="e">
        <f t="shared" si="15"/>
        <v>#VALUE!</v>
      </c>
      <c r="Y62" s="60" t="str">
        <f>IFERROR(VLOOKUP(MID(T62,W62,X62-W62),[5]skilldef!$C:$D,2,FALSE),"-") &amp; " / " &amp; IFERROR(VLOOKUP(MID(T62,U62,V62-U62),[5]skilldef!$A:$B,2,FALSE),"-")</f>
        <v>- / -</v>
      </c>
      <c r="Z62" s="46"/>
      <c r="AA62" s="48"/>
      <c r="AB62" s="46"/>
    </row>
    <row r="63" spans="1:28" ht="21" customHeight="1" x14ac:dyDescent="0.15">
      <c r="A63" s="43">
        <v>47009062</v>
      </c>
      <c r="B63" s="43" t="s">
        <v>613</v>
      </c>
      <c r="C63" s="46">
        <v>3</v>
      </c>
      <c r="D63" s="46" t="s">
        <v>302</v>
      </c>
      <c r="E63" s="47" t="s">
        <v>308</v>
      </c>
      <c r="F63" s="47" t="s">
        <v>598</v>
      </c>
      <c r="G63" s="60" t="str">
        <f t="shared" si="16"/>
        <v>[effect:enemy_message, val1:1.4, val2:2.4]</v>
      </c>
      <c r="H63" s="60">
        <f t="shared" si="4"/>
        <v>9</v>
      </c>
      <c r="I63" s="60">
        <f t="shared" si="5"/>
        <v>22</v>
      </c>
      <c r="J63" s="60" t="e">
        <f t="shared" si="6"/>
        <v>#VALUE!</v>
      </c>
      <c r="K63" s="60">
        <f t="shared" si="7"/>
        <v>32</v>
      </c>
      <c r="L63" s="60" t="str">
        <f>IFERROR(VLOOKUP(MID(G63,J63,K63-J63),[5]skilldef!$C:$D,2,FALSE),"-") &amp; " / " &amp; IFERROR(VLOOKUP(MID(G63,H63,I63-H63),[5]skilldef!$A:$B,2,FALSE),"-")</f>
        <v>- / -</v>
      </c>
      <c r="M63" s="60" t="str">
        <f t="shared" si="17"/>
        <v>[effect:spread, val:0.3],[effect:force_change_block, new_block:block_red, target:block_all, ignore01:crash, ignore02:crack_bomb, ignore03:color_break, ignore04:magnet, count:10, val:0, animation:change_block]</v>
      </c>
      <c r="N63" s="44" t="str">
        <f t="shared" si="18"/>
        <v>[effect:spread, val:0.3],[effect:force_change_block, new_block:block_red, target:block_all, ignore01:crash, ignore02:crack_bomb, ignore03:color_break, ignore04:magnet, count:10, val:0, animation:change_block]</v>
      </c>
      <c r="O63" s="60">
        <f t="shared" si="8"/>
        <v>9</v>
      </c>
      <c r="P63" s="60">
        <f t="shared" si="9"/>
        <v>15</v>
      </c>
      <c r="Q63" s="60">
        <f t="shared" si="10"/>
        <v>82</v>
      </c>
      <c r="R63" s="60">
        <f t="shared" si="11"/>
        <v>25</v>
      </c>
      <c r="S63" s="60" t="str">
        <f>IFERROR(VLOOKUP(MID(N63,Q63,R63-Q63),[5]skilldef!$C:$D,2,FALSE),"-") &amp; " / " &amp; IFERROR(VLOOKUP(MID(N63,O63,P63-O63),[5]skilldef!$A:$B,2,FALSE),"-")</f>
        <v>- / 全体攻撃</v>
      </c>
      <c r="T63" s="44" t="str">
        <f t="shared" si="19"/>
        <v>[effect:force_change_block, new_block:block_red, target:block_all, ignore01:crash, ignore02:crack_bomb, ignore03:color_break, ignore04:magnet, count:10, val:0, animation:change_block]</v>
      </c>
      <c r="U63" s="60">
        <f t="shared" si="12"/>
        <v>9</v>
      </c>
      <c r="V63" s="60">
        <f t="shared" si="13"/>
        <v>27</v>
      </c>
      <c r="W63" s="60">
        <f t="shared" si="14"/>
        <v>57</v>
      </c>
      <c r="X63" s="60">
        <f t="shared" si="15"/>
        <v>48</v>
      </c>
      <c r="Y63" s="60" t="str">
        <f>IFERROR(VLOOKUP(MID(T63,W63,X63-W63),[5]skilldef!$C:$D,2,FALSE),"-") &amp; " / " &amp; IFERROR(VLOOKUP(MID(T63,U63,V63-U63),[5]skilldef!$A:$B,2,FALSE),"-")</f>
        <v>- / -</v>
      </c>
      <c r="Z63" s="46"/>
      <c r="AA63" s="48"/>
      <c r="AB63" s="46"/>
    </row>
    <row r="64" spans="1:28" ht="21" customHeight="1" x14ac:dyDescent="0.15">
      <c r="A64" s="43">
        <v>47009063</v>
      </c>
      <c r="B64" s="43" t="s">
        <v>555</v>
      </c>
      <c r="C64" s="46">
        <v>3</v>
      </c>
      <c r="D64" s="46" t="s">
        <v>302</v>
      </c>
      <c r="E64" s="47" t="s">
        <v>309</v>
      </c>
      <c r="F64" s="47" t="s">
        <v>537</v>
      </c>
      <c r="G64" s="60" t="str">
        <f t="shared" si="16"/>
        <v>[effect:enemy_message, val1:1.4, val2:1.5]</v>
      </c>
      <c r="H64" s="60">
        <f t="shared" si="4"/>
        <v>9</v>
      </c>
      <c r="I64" s="60">
        <f t="shared" si="5"/>
        <v>22</v>
      </c>
      <c r="J64" s="60" t="e">
        <f t="shared" si="6"/>
        <v>#VALUE!</v>
      </c>
      <c r="K64" s="60">
        <f t="shared" si="7"/>
        <v>32</v>
      </c>
      <c r="L64" s="60" t="str">
        <f>IFERROR(VLOOKUP(MID(G64,J64,K64-J64),[5]skilldef!$C:$D,2,FALSE),"-") &amp; " / " &amp; IFERROR(VLOOKUP(MID(G64,H64,I64-H64),[5]skilldef!$A:$B,2,FALSE),"-")</f>
        <v>- / -</v>
      </c>
      <c r="M64" s="60" t="str">
        <f t="shared" si="17"/>
        <v>[effect:enhance_enemy, target:myself, turn:3, status:attack, val:0.3, calc:mul, animation:enemy_enhance_attack]</v>
      </c>
      <c r="N64" s="44" t="str">
        <f t="shared" si="18"/>
        <v>[effect:enhance_enemy, target:myself, turn:3, status:attack, val:0.3, calc:mul, animation:enemy_enhance_attack]</v>
      </c>
      <c r="O64" s="60">
        <f t="shared" si="8"/>
        <v>9</v>
      </c>
      <c r="P64" s="60">
        <f t="shared" si="9"/>
        <v>22</v>
      </c>
      <c r="Q64" s="60">
        <f t="shared" si="10"/>
        <v>31</v>
      </c>
      <c r="R64" s="60">
        <f t="shared" si="11"/>
        <v>37</v>
      </c>
      <c r="S64" s="60" t="str">
        <f>IFERROR(VLOOKUP(MID(N64,Q64,R64-Q64),[5]skilldef!$C:$D,2,FALSE),"-") &amp; " / " &amp; IFERROR(VLOOKUP(MID(N64,O64,P64-O64),[5]skilldef!$A:$B,2,FALSE),"-")</f>
        <v>自分自身に / ステータス強化</v>
      </c>
      <c r="T64" s="44" t="str">
        <f t="shared" si="19"/>
        <v>none</v>
      </c>
      <c r="U64" s="60" t="e">
        <f t="shared" si="12"/>
        <v>#VALUE!</v>
      </c>
      <c r="V64" s="60">
        <f t="shared" si="13"/>
        <v>4</v>
      </c>
      <c r="W64" s="60" t="e">
        <f t="shared" si="14"/>
        <v>#VALUE!</v>
      </c>
      <c r="X64" s="60" t="e">
        <f t="shared" si="15"/>
        <v>#VALUE!</v>
      </c>
      <c r="Y64" s="60" t="str">
        <f>IFERROR(VLOOKUP(MID(T64,W64,X64-W64),[5]skilldef!$C:$D,2,FALSE),"-") &amp; " / " &amp; IFERROR(VLOOKUP(MID(T64,U64,V64-U64),[5]skilldef!$A:$B,2,FALSE),"-")</f>
        <v>- / -</v>
      </c>
      <c r="Z64" s="46"/>
      <c r="AA64" s="48"/>
      <c r="AB64" s="46"/>
    </row>
    <row r="65" spans="1:28" ht="21" customHeight="1" x14ac:dyDescent="0.15">
      <c r="A65" s="43">
        <v>47009064</v>
      </c>
      <c r="B65" s="43" t="s">
        <v>581</v>
      </c>
      <c r="C65" s="46">
        <v>3</v>
      </c>
      <c r="D65" s="46" t="s">
        <v>302</v>
      </c>
      <c r="E65" s="47" t="s">
        <v>310</v>
      </c>
      <c r="F65" s="47" t="s">
        <v>544</v>
      </c>
      <c r="G65" s="60" t="str">
        <f t="shared" si="16"/>
        <v>[effect:enemy_message, val1:1.5, val2:3.8]</v>
      </c>
      <c r="H65" s="60">
        <f t="shared" si="4"/>
        <v>9</v>
      </c>
      <c r="I65" s="60">
        <f t="shared" si="5"/>
        <v>22</v>
      </c>
      <c r="J65" s="60" t="e">
        <f t="shared" si="6"/>
        <v>#VALUE!</v>
      </c>
      <c r="K65" s="60">
        <f t="shared" si="7"/>
        <v>32</v>
      </c>
      <c r="L65" s="60" t="str">
        <f>IFERROR(VLOOKUP(MID(G65,J65,K65-J65),[5]skilldef!$C:$D,2,FALSE),"-") &amp; " / " &amp; IFERROR(VLOOKUP(MID(G65,H65,I65-H65),[5]skilldef!$A:$B,2,FALSE),"-")</f>
        <v>- / -</v>
      </c>
      <c r="M65" s="60" t="str">
        <f t="shared" si="17"/>
        <v>[effect:break_attack, val:0.01, lowest_val:2000, count:-1, block:block_red, target:unit_all],[effect:hungup, target:unit_blue/not, turn:3, rate:1, animation:hungup01]</v>
      </c>
      <c r="N65" s="44" t="str">
        <f t="shared" si="18"/>
        <v>[effect:break_attack, val:0.01, lowest_val:2000, count:-1, block:block_red, target:unit_all],[effect:hungup, target:unit_blue/not, turn:3, rate:1, animation:hungup01]</v>
      </c>
      <c r="O65" s="60">
        <f t="shared" si="8"/>
        <v>9</v>
      </c>
      <c r="P65" s="60">
        <f t="shared" si="9"/>
        <v>21</v>
      </c>
      <c r="Q65" s="60">
        <f t="shared" si="10"/>
        <v>84</v>
      </c>
      <c r="R65" s="60">
        <f t="shared" si="11"/>
        <v>31</v>
      </c>
      <c r="S65" s="60" t="str">
        <f>IFERROR(VLOOKUP(MID(N65,Q65,R65-Q65),[5]skilldef!$C:$D,2,FALSE),"-") &amp; " / " &amp; IFERROR(VLOOKUP(MID(N65,O65,P65-O65),[5]skilldef!$A:$B,2,FALSE),"-")</f>
        <v>- / -</v>
      </c>
      <c r="T65" s="44" t="str">
        <f t="shared" si="19"/>
        <v>[effect:hungup, target:unit_blue/not, turn:3, rate:1, animation:hungup01]</v>
      </c>
      <c r="U65" s="60">
        <f t="shared" si="12"/>
        <v>9</v>
      </c>
      <c r="V65" s="60">
        <f t="shared" si="13"/>
        <v>15</v>
      </c>
      <c r="W65" s="60">
        <f t="shared" si="14"/>
        <v>24</v>
      </c>
      <c r="X65" s="60">
        <f t="shared" si="15"/>
        <v>37</v>
      </c>
      <c r="Y65" s="60" t="str">
        <f>IFERROR(VLOOKUP(MID(T65,W65,X65-W65),[5]skilldef!$C:$D,2,FALSE),"-") &amp; " / " &amp; IFERROR(VLOOKUP(MID(T65,U65,V65-U65),[5]skilldef!$A:$B,2,FALSE),"-")</f>
        <v>- / ハングアップ</v>
      </c>
      <c r="Z65" s="46"/>
      <c r="AA65" s="48"/>
      <c r="AB65" s="46"/>
    </row>
    <row r="66" spans="1:28" ht="21" customHeight="1" x14ac:dyDescent="0.15">
      <c r="A66" s="147">
        <v>47009065</v>
      </c>
      <c r="B66" s="147" t="s">
        <v>582</v>
      </c>
      <c r="C66" s="46">
        <v>3</v>
      </c>
      <c r="D66" s="158" t="s">
        <v>302</v>
      </c>
      <c r="E66" s="159" t="s">
        <v>310</v>
      </c>
      <c r="F66" s="159" t="s">
        <v>543</v>
      </c>
      <c r="G66" s="60" t="str">
        <f t="shared" ref="G66:G97" si="20">IFERROR(LEFT(B66,FIND("]",B66)),B66)</f>
        <v>[effect:enemy_message, val1:1.5, val2:3.8]</v>
      </c>
      <c r="H66" s="60">
        <f t="shared" si="4"/>
        <v>9</v>
      </c>
      <c r="I66" s="60">
        <f t="shared" si="5"/>
        <v>22</v>
      </c>
      <c r="J66" s="60" t="e">
        <f t="shared" si="6"/>
        <v>#VALUE!</v>
      </c>
      <c r="K66" s="60">
        <f t="shared" si="7"/>
        <v>32</v>
      </c>
      <c r="L66" s="60" t="str">
        <f>IFERROR(VLOOKUP(MID(G66,J66,K66-J66),[5]skilldef!$C:$D,2,FALSE),"-") &amp; " / " &amp; IFERROR(VLOOKUP(MID(G66,H66,I66-H66),[5]skilldef!$A:$B,2,FALSE),"-")</f>
        <v>- / -</v>
      </c>
      <c r="M66" s="60" t="str">
        <f t="shared" ref="M66:M97" si="21">IFERROR(RIGHT(B66,LEN(B66)-FIND("]",B66)-1),"none")</f>
        <v>[effect:break_attack, val:0.01, lowest_val:1000, count:-1, block:block_red, target:unit_all],[effect:hungup, target:unit_blue/not, turn:2, rate:1, animation:hungup01]</v>
      </c>
      <c r="N66" s="44" t="str">
        <f t="shared" ref="N66:N97" si="22">IFERROR(LEFT(M66,FIND("]",M66)+S76),M66)</f>
        <v>[effect:break_attack, val:0.01, lowest_val:1000, count:-1, block:block_red, target:unit_all],[effect:hungup, target:unit_blue/not, turn:2, rate:1, animation:hungup01]</v>
      </c>
      <c r="O66" s="60">
        <f t="shared" si="8"/>
        <v>9</v>
      </c>
      <c r="P66" s="60">
        <f t="shared" si="9"/>
        <v>21</v>
      </c>
      <c r="Q66" s="60">
        <f t="shared" si="10"/>
        <v>84</v>
      </c>
      <c r="R66" s="60">
        <f t="shared" si="11"/>
        <v>31</v>
      </c>
      <c r="S66" s="60" t="str">
        <f>IFERROR(VLOOKUP(MID(N66,Q66,R66-Q66),[5]skilldef!$C:$D,2,FALSE),"-") &amp; " / " &amp; IFERROR(VLOOKUP(MID(N66,O66,P66-O66),[5]skilldef!$A:$B,2,FALSE),"-")</f>
        <v>- / -</v>
      </c>
      <c r="T66" s="44" t="str">
        <f t="shared" ref="T66:T97" si="23">IFERROR(RIGHT(M66,LEN(M66)-FIND("]",M66)-1),"none")</f>
        <v>[effect:hungup, target:unit_blue/not, turn:2, rate:1, animation:hungup01]</v>
      </c>
      <c r="U66" s="60">
        <f t="shared" si="12"/>
        <v>9</v>
      </c>
      <c r="V66" s="60">
        <f t="shared" si="13"/>
        <v>15</v>
      </c>
      <c r="W66" s="60">
        <f t="shared" si="14"/>
        <v>24</v>
      </c>
      <c r="X66" s="60">
        <f t="shared" si="15"/>
        <v>37</v>
      </c>
      <c r="Y66" s="60" t="str">
        <f>IFERROR(VLOOKUP(MID(T66,W66,X66-W66),[5]skilldef!$C:$D,2,FALSE),"-") &amp; " / " &amp; IFERROR(VLOOKUP(MID(T66,U66,V66-U66),[5]skilldef!$A:$B,2,FALSE),"-")</f>
        <v>- / ハングアップ</v>
      </c>
      <c r="Z66" s="46"/>
      <c r="AA66" s="48"/>
      <c r="AB66" s="46"/>
    </row>
    <row r="67" spans="1:28" ht="21" customHeight="1" x14ac:dyDescent="0.15">
      <c r="A67" s="43">
        <v>47009066</v>
      </c>
      <c r="B67" s="43" t="s">
        <v>511</v>
      </c>
      <c r="C67" s="46">
        <v>3</v>
      </c>
      <c r="D67" s="46" t="s">
        <v>302</v>
      </c>
      <c r="E67" s="153" t="s">
        <v>265</v>
      </c>
      <c r="F67" s="47" t="s">
        <v>311</v>
      </c>
      <c r="G67" s="60" t="str">
        <f t="shared" si="20"/>
        <v>[effect:enemy_message, val1:1.2, val2:1.2]</v>
      </c>
      <c r="H67" s="60">
        <f t="shared" ref="H67:H124" si="24">FIND("effect:",G67)+7</f>
        <v>9</v>
      </c>
      <c r="I67" s="60">
        <f t="shared" ref="I67:I115" si="25">IFERROR(FIND(",",G67),LEN(G67))</f>
        <v>22</v>
      </c>
      <c r="J67" s="60" t="e">
        <f t="shared" ref="J67:J115" si="26">FIND("target:",G67)+7</f>
        <v>#VALUE!</v>
      </c>
      <c r="K67" s="60">
        <f t="shared" ref="K67:K115" si="27">FIND(",",G67,I67+1)</f>
        <v>32</v>
      </c>
      <c r="L67" s="60" t="str">
        <f>IFERROR(VLOOKUP(MID(G67,J67,K67-J67),[5]skilldef!$C:$D,2,FALSE),"-") &amp; " / " &amp; IFERROR(VLOOKUP(MID(G67,H67,I67-H67),[5]skilldef!$A:$B,2,FALSE),"-")</f>
        <v>- / -</v>
      </c>
      <c r="M67" s="60" t="str">
        <f t="shared" si="21"/>
        <v>none</v>
      </c>
      <c r="N67" s="44" t="str">
        <f t="shared" si="22"/>
        <v>none</v>
      </c>
      <c r="O67" s="60" t="e">
        <f t="shared" ref="O67:O124" si="28">FIND("effect:",N67)+7</f>
        <v>#VALUE!</v>
      </c>
      <c r="P67" s="60">
        <f t="shared" ref="P67:P115" si="29">IFERROR(FIND(",",N67),LEN(N67))</f>
        <v>4</v>
      </c>
      <c r="Q67" s="60" t="e">
        <f t="shared" ref="Q67:Q115" si="30">FIND("target:",N67)+7</f>
        <v>#VALUE!</v>
      </c>
      <c r="R67" s="60" t="e">
        <f t="shared" ref="R67:R115" si="31">FIND(",",N67,P67+1)</f>
        <v>#VALUE!</v>
      </c>
      <c r="S67" s="60" t="str">
        <f>IFERROR(VLOOKUP(MID(N67,Q67,R67-Q67),[5]skilldef!$C:$D,2,FALSE),"-") &amp; " / " &amp; IFERROR(VLOOKUP(MID(N67,O67,P67-O67),[5]skilldef!$A:$B,2,FALSE),"-")</f>
        <v>- / -</v>
      </c>
      <c r="T67" s="44" t="str">
        <f t="shared" si="23"/>
        <v>none</v>
      </c>
      <c r="U67" s="60" t="e">
        <f t="shared" ref="U67:U124" si="32">FIND("effect:",T67)+7</f>
        <v>#VALUE!</v>
      </c>
      <c r="V67" s="60">
        <f t="shared" ref="V67:V115" si="33">IFERROR(FIND(",",T67),LEN(T67))</f>
        <v>4</v>
      </c>
      <c r="W67" s="60" t="e">
        <f t="shared" ref="W67:W115" si="34">FIND("target:",T67)+7</f>
        <v>#VALUE!</v>
      </c>
      <c r="X67" s="60" t="e">
        <f t="shared" ref="X67:X115" si="35">FIND(",",T67,V67+1)</f>
        <v>#VALUE!</v>
      </c>
      <c r="Y67" s="60" t="str">
        <f>IFERROR(VLOOKUP(MID(T67,W67,X67-W67),[5]skilldef!$C:$D,2,FALSE),"-") &amp; " / " &amp; IFERROR(VLOOKUP(MID(T67,U67,V67-U67),[5]skilldef!$A:$B,2,FALSE),"-")</f>
        <v>- / -</v>
      </c>
      <c r="Z67" s="46"/>
      <c r="AA67" s="48"/>
      <c r="AB67" s="46"/>
    </row>
    <row r="68" spans="1:28" ht="21" customHeight="1" x14ac:dyDescent="0.15">
      <c r="A68" s="43">
        <v>47009067</v>
      </c>
      <c r="B68" s="43" t="s">
        <v>511</v>
      </c>
      <c r="C68" s="46">
        <v>3</v>
      </c>
      <c r="D68" s="46" t="s">
        <v>312</v>
      </c>
      <c r="E68" s="153" t="s">
        <v>265</v>
      </c>
      <c r="F68" s="47" t="s">
        <v>313</v>
      </c>
      <c r="G68" s="60" t="str">
        <f t="shared" si="20"/>
        <v>[effect:enemy_message, val1:1.2, val2:1.2]</v>
      </c>
      <c r="H68" s="60">
        <f t="shared" si="24"/>
        <v>9</v>
      </c>
      <c r="I68" s="60">
        <f t="shared" si="25"/>
        <v>22</v>
      </c>
      <c r="J68" s="60" t="e">
        <f t="shared" si="26"/>
        <v>#VALUE!</v>
      </c>
      <c r="K68" s="60">
        <f t="shared" si="27"/>
        <v>32</v>
      </c>
      <c r="L68" s="60" t="str">
        <f>IFERROR(VLOOKUP(MID(G68,J68,K68-J68),[5]skilldef!$C:$D,2,FALSE),"-") &amp; " / " &amp; IFERROR(VLOOKUP(MID(G68,H68,I68-H68),[5]skilldef!$A:$B,2,FALSE),"-")</f>
        <v>- / -</v>
      </c>
      <c r="M68" s="60" t="str">
        <f t="shared" si="21"/>
        <v>none</v>
      </c>
      <c r="N68" s="44" t="str">
        <f t="shared" si="22"/>
        <v>none</v>
      </c>
      <c r="O68" s="60" t="e">
        <f t="shared" si="28"/>
        <v>#VALUE!</v>
      </c>
      <c r="P68" s="60">
        <f t="shared" si="29"/>
        <v>4</v>
      </c>
      <c r="Q68" s="60" t="e">
        <f t="shared" si="30"/>
        <v>#VALUE!</v>
      </c>
      <c r="R68" s="60" t="e">
        <f t="shared" si="31"/>
        <v>#VALUE!</v>
      </c>
      <c r="S68" s="60" t="str">
        <f>IFERROR(VLOOKUP(MID(N68,Q68,R68-Q68),[5]skilldef!$C:$D,2,FALSE),"-") &amp; " / " &amp; IFERROR(VLOOKUP(MID(N68,O68,P68-O68),[5]skilldef!$A:$B,2,FALSE),"-")</f>
        <v>- / -</v>
      </c>
      <c r="T68" s="44" t="str">
        <f t="shared" si="23"/>
        <v>none</v>
      </c>
      <c r="U68" s="60" t="e">
        <f t="shared" si="32"/>
        <v>#VALUE!</v>
      </c>
      <c r="V68" s="60">
        <f t="shared" si="33"/>
        <v>4</v>
      </c>
      <c r="W68" s="60" t="e">
        <f t="shared" si="34"/>
        <v>#VALUE!</v>
      </c>
      <c r="X68" s="60" t="e">
        <f t="shared" si="35"/>
        <v>#VALUE!</v>
      </c>
      <c r="Y68" s="60" t="str">
        <f>IFERROR(VLOOKUP(MID(T68,W68,X68-W68),[5]skilldef!$C:$D,2,FALSE),"-") &amp; " / " &amp; IFERROR(VLOOKUP(MID(T68,U68,V68-U68),[5]skilldef!$A:$B,2,FALSE),"-")</f>
        <v>- / -</v>
      </c>
      <c r="Z68" s="46"/>
      <c r="AA68" s="48"/>
      <c r="AB68" s="46"/>
    </row>
    <row r="69" spans="1:28" ht="21" customHeight="1" x14ac:dyDescent="0.15">
      <c r="A69" s="43">
        <v>47009068</v>
      </c>
      <c r="B69" s="43" t="s">
        <v>583</v>
      </c>
      <c r="C69" s="46">
        <v>3</v>
      </c>
      <c r="D69" s="46" t="s">
        <v>312</v>
      </c>
      <c r="E69" s="47" t="s">
        <v>314</v>
      </c>
      <c r="F69" s="47" t="s">
        <v>546</v>
      </c>
      <c r="G69" s="60" t="str">
        <f t="shared" si="20"/>
        <v>[effect:enemy_message, val1:2.1, val2:3.2]</v>
      </c>
      <c r="H69" s="60">
        <f t="shared" si="24"/>
        <v>9</v>
      </c>
      <c r="I69" s="60">
        <f t="shared" si="25"/>
        <v>22</v>
      </c>
      <c r="J69" s="60" t="e">
        <f t="shared" si="26"/>
        <v>#VALUE!</v>
      </c>
      <c r="K69" s="60">
        <f t="shared" si="27"/>
        <v>32</v>
      </c>
      <c r="L69" s="60" t="str">
        <f>IFERROR(VLOOKUP(MID(G69,J69,K69-J69),[5]skilldef!$C:$D,2,FALSE),"-") &amp; " / " &amp; IFERROR(VLOOKUP(MID(G69,H69,I69-H69),[5]skilldef!$A:$B,2,FALSE),"-")</f>
        <v>- / -</v>
      </c>
      <c r="M69" s="60" t="str">
        <f t="shared" si="21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v>
      </c>
      <c r="N69" s="44" t="str">
        <f t="shared" si="22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v>
      </c>
      <c r="O69" s="60">
        <f t="shared" si="28"/>
        <v>9</v>
      </c>
      <c r="P69" s="60">
        <f t="shared" si="29"/>
        <v>18</v>
      </c>
      <c r="Q69" s="60">
        <f t="shared" si="30"/>
        <v>27</v>
      </c>
      <c r="R69" s="60">
        <f t="shared" si="31"/>
        <v>33</v>
      </c>
      <c r="S69" s="60" t="str">
        <f>IFERROR(VLOOKUP(MID(N69,Q69,R69-Q69),[5]skilldef!$C:$D,2,FALSE),"-") &amp; " / " &amp; IFERROR(VLOOKUP(MID(N69,O69,P69-O69),[5]skilldef!$A:$B,2,FALSE),"-")</f>
        <v>自分自身に / 状態異常耐性</v>
      </c>
      <c r="T69" s="44" t="str">
        <f t="shared" si="23"/>
        <v>[effect:tolerance, target:myself, turn:-1, tolerance_effect:sleep, count:-1, animation:enemy_tolerance],[effect:fix_speed, target:myself, turn:1],[effect:damage_gravity, val:0.8, animation:fevergauge_down]</v>
      </c>
      <c r="U69" s="60">
        <f t="shared" si="32"/>
        <v>9</v>
      </c>
      <c r="V69" s="60">
        <f t="shared" si="33"/>
        <v>18</v>
      </c>
      <c r="W69" s="60">
        <f t="shared" si="34"/>
        <v>27</v>
      </c>
      <c r="X69" s="60">
        <f t="shared" si="35"/>
        <v>33</v>
      </c>
      <c r="Y69" s="60" t="str">
        <f>IFERROR(VLOOKUP(MID(T69,W69,X69-W69),[5]skilldef!$C:$D,2,FALSE),"-") &amp; " / " &amp; IFERROR(VLOOKUP(MID(T69,U69,V69-U69),[5]skilldef!$A:$B,2,FALSE),"-")</f>
        <v>自分自身に / 状態異常耐性</v>
      </c>
      <c r="Z69" s="46"/>
      <c r="AA69" s="48"/>
      <c r="AB69" s="46"/>
    </row>
    <row r="70" spans="1:28" ht="21" customHeight="1" x14ac:dyDescent="0.15">
      <c r="A70" s="43">
        <v>47009069</v>
      </c>
      <c r="B70" s="43" t="s">
        <v>601</v>
      </c>
      <c r="C70" s="46">
        <v>3</v>
      </c>
      <c r="D70" s="46" t="s">
        <v>312</v>
      </c>
      <c r="E70" s="47" t="s">
        <v>315</v>
      </c>
      <c r="F70" s="47" t="s">
        <v>600</v>
      </c>
      <c r="G70" s="60" t="str">
        <f t="shared" si="20"/>
        <v>[effect:enemy_message, val1:2.0, val2:3.8]</v>
      </c>
      <c r="H70" s="60">
        <f t="shared" si="24"/>
        <v>9</v>
      </c>
      <c r="I70" s="60">
        <f t="shared" si="25"/>
        <v>22</v>
      </c>
      <c r="J70" s="60" t="e">
        <f t="shared" si="26"/>
        <v>#VALUE!</v>
      </c>
      <c r="K70" s="60">
        <f t="shared" si="27"/>
        <v>32</v>
      </c>
      <c r="L70" s="60" t="str">
        <f>IFERROR(VLOOKUP(MID(G70,J70,K70-J70),[5]skilldef!$C:$D,2,FALSE),"-") &amp; " / " &amp; IFERROR(VLOOKUP(MID(G70,H70,I70-H70),[5]skilldef!$A:$B,2,FALSE),"-")</f>
        <v>- / -</v>
      </c>
      <c r="M70" s="60" t="str">
        <f t="shared" si="21"/>
        <v>[effect:change_panel_ratio, turn:5, block_type:red, val:0.5, animation:block_incidence04]</v>
      </c>
      <c r="N70" s="44" t="str">
        <f t="shared" si="22"/>
        <v>[effect:change_panel_ratio, turn:5, block_type:red, val:0.5, animation:block_incidence04]</v>
      </c>
      <c r="O70" s="60">
        <f t="shared" si="28"/>
        <v>9</v>
      </c>
      <c r="P70" s="60">
        <f t="shared" si="29"/>
        <v>27</v>
      </c>
      <c r="Q70" s="60" t="e">
        <f t="shared" si="30"/>
        <v>#VALUE!</v>
      </c>
      <c r="R70" s="60">
        <f t="shared" si="31"/>
        <v>35</v>
      </c>
      <c r="S70" s="60" t="str">
        <f>IFERROR(VLOOKUP(MID(N70,Q70,R70-Q70),[5]skilldef!$C:$D,2,FALSE),"-") &amp; " / " &amp; IFERROR(VLOOKUP(MID(N70,O70,P70-O70),[5]skilldef!$A:$B,2,FALSE),"-")</f>
        <v>- / -</v>
      </c>
      <c r="T70" s="44" t="str">
        <f t="shared" si="23"/>
        <v>none</v>
      </c>
      <c r="U70" s="60" t="e">
        <f t="shared" si="32"/>
        <v>#VALUE!</v>
      </c>
      <c r="V70" s="60">
        <f t="shared" si="33"/>
        <v>4</v>
      </c>
      <c r="W70" s="60" t="e">
        <f t="shared" si="34"/>
        <v>#VALUE!</v>
      </c>
      <c r="X70" s="60" t="e">
        <f t="shared" si="35"/>
        <v>#VALUE!</v>
      </c>
      <c r="Y70" s="60" t="str">
        <f>IFERROR(VLOOKUP(MID(T70,W70,X70-W70),[5]skilldef!$C:$D,2,FALSE),"-") &amp; " / " &amp; IFERROR(VLOOKUP(MID(T70,U70,V70-U70),[5]skilldef!$A:$B,2,FALSE),"-")</f>
        <v>- / -</v>
      </c>
      <c r="Z70" s="46"/>
      <c r="AA70" s="48"/>
      <c r="AB70" s="46"/>
    </row>
    <row r="71" spans="1:28" ht="21" customHeight="1" x14ac:dyDescent="0.15">
      <c r="A71" s="43">
        <v>47009070</v>
      </c>
      <c r="B71" s="43" t="s">
        <v>614</v>
      </c>
      <c r="C71" s="46">
        <v>3</v>
      </c>
      <c r="D71" s="46" t="s">
        <v>312</v>
      </c>
      <c r="E71" s="47" t="s">
        <v>316</v>
      </c>
      <c r="F71" s="47" t="s">
        <v>599</v>
      </c>
      <c r="G71" s="60" t="str">
        <f t="shared" si="20"/>
        <v>[effect:enemy_message, val1:1.5, val2:2.4]</v>
      </c>
      <c r="H71" s="60">
        <f t="shared" si="24"/>
        <v>9</v>
      </c>
      <c r="I71" s="60">
        <f t="shared" si="25"/>
        <v>22</v>
      </c>
      <c r="J71" s="60" t="e">
        <f t="shared" si="26"/>
        <v>#VALUE!</v>
      </c>
      <c r="K71" s="60">
        <f t="shared" si="27"/>
        <v>32</v>
      </c>
      <c r="L71" s="60" t="str">
        <f>IFERROR(VLOOKUP(MID(G71,J71,K71-J71),[5]skilldef!$C:$D,2,FALSE),"-") &amp; " / " &amp; IFERROR(VLOOKUP(MID(G71,H71,I71-H71),[5]skilldef!$A:$B,2,FALSE),"-")</f>
        <v>- / -</v>
      </c>
      <c r="M71" s="60" t="str">
        <f t="shared" si="21"/>
        <v>[effect:spread, val:0.3],[effect:force_change_block, new_block:block_red, target:block_all, ignore01:crash, ignore02:crack_bomb, ignore03:color_break, ignore04:magnet, count:10, val:0, animation:change_block]</v>
      </c>
      <c r="N71" s="44" t="str">
        <f t="shared" si="22"/>
        <v>[effect:spread, val:0.3],[effect:force_change_block, new_block:block_red, target:block_all, ignore01:crash, ignore02:crack_bomb, ignore03:color_break, ignore04:magnet, count:10, val:0, animation:change_block]</v>
      </c>
      <c r="O71" s="60">
        <f t="shared" si="28"/>
        <v>9</v>
      </c>
      <c r="P71" s="60">
        <f t="shared" si="29"/>
        <v>15</v>
      </c>
      <c r="Q71" s="60">
        <f t="shared" si="30"/>
        <v>82</v>
      </c>
      <c r="R71" s="60">
        <f t="shared" si="31"/>
        <v>25</v>
      </c>
      <c r="S71" s="60" t="str">
        <f>IFERROR(VLOOKUP(MID(N71,Q71,R71-Q71),[5]skilldef!$C:$D,2,FALSE),"-") &amp; " / " &amp; IFERROR(VLOOKUP(MID(N71,O71,P71-O71),[5]skilldef!$A:$B,2,FALSE),"-")</f>
        <v>- / 全体攻撃</v>
      </c>
      <c r="T71" s="44" t="str">
        <f t="shared" si="23"/>
        <v>[effect:force_change_block, new_block:block_red, target:block_all, ignore01:crash, ignore02:crack_bomb, ignore03:color_break, ignore04:magnet, count:10, val:0, animation:change_block]</v>
      </c>
      <c r="U71" s="60">
        <f t="shared" si="32"/>
        <v>9</v>
      </c>
      <c r="V71" s="60">
        <f t="shared" si="33"/>
        <v>27</v>
      </c>
      <c r="W71" s="60">
        <f t="shared" si="34"/>
        <v>57</v>
      </c>
      <c r="X71" s="60">
        <f t="shared" si="35"/>
        <v>48</v>
      </c>
      <c r="Y71" s="60" t="str">
        <f>IFERROR(VLOOKUP(MID(T71,W71,X71-W71),[5]skilldef!$C:$D,2,FALSE),"-") &amp; " / " &amp; IFERROR(VLOOKUP(MID(T71,U71,V71-U71),[5]skilldef!$A:$B,2,FALSE),"-")</f>
        <v>- / -</v>
      </c>
      <c r="Z71" s="46"/>
      <c r="AA71" s="48"/>
      <c r="AB71" s="46"/>
    </row>
    <row r="72" spans="1:28" ht="21" customHeight="1" x14ac:dyDescent="0.15">
      <c r="A72" s="43">
        <v>47009071</v>
      </c>
      <c r="B72" s="43" t="s">
        <v>507</v>
      </c>
      <c r="C72" s="46">
        <v>3</v>
      </c>
      <c r="D72" s="46" t="s">
        <v>312</v>
      </c>
      <c r="E72" s="47" t="s">
        <v>317</v>
      </c>
      <c r="F72" s="47" t="s">
        <v>318</v>
      </c>
      <c r="G72" s="60" t="str">
        <f t="shared" si="20"/>
        <v>[effect:enemy_message, val1:1.2, val2:2.5]</v>
      </c>
      <c r="H72" s="60">
        <f t="shared" si="24"/>
        <v>9</v>
      </c>
      <c r="I72" s="60">
        <f t="shared" si="25"/>
        <v>22</v>
      </c>
      <c r="J72" s="60" t="e">
        <f t="shared" si="26"/>
        <v>#VALUE!</v>
      </c>
      <c r="K72" s="60">
        <f t="shared" si="27"/>
        <v>32</v>
      </c>
      <c r="L72" s="60" t="str">
        <f>IFERROR(VLOOKUP(MID(G72,J72,K72-J72),[5]skilldef!$C:$D,2,FALSE),"-") &amp; " / " &amp; IFERROR(VLOOKUP(MID(G72,H72,I72-H72),[5]skilldef!$A:$B,2,FALSE),"-")</f>
        <v>- / -</v>
      </c>
      <c r="M72" s="60" t="str">
        <f t="shared" si="21"/>
        <v>[effect:break_attack, val:0.02, lowest_val:1500, count:-1, block:block_red, target:unit_all],[effect:hungup, target:unit_all, turn:1, rate:1, animation:hungup01]</v>
      </c>
      <c r="N72" s="44" t="str">
        <f t="shared" si="22"/>
        <v>[effect:break_attack, val:0.02, lowest_val:1500, count:-1, block:block_red, target:unit_all],[effect:hungup, target:unit_all, turn:1, rate:1, animation:hungup01]</v>
      </c>
      <c r="O72" s="60">
        <f t="shared" si="28"/>
        <v>9</v>
      </c>
      <c r="P72" s="60">
        <f t="shared" si="29"/>
        <v>21</v>
      </c>
      <c r="Q72" s="60">
        <f t="shared" si="30"/>
        <v>84</v>
      </c>
      <c r="R72" s="60">
        <f t="shared" si="31"/>
        <v>31</v>
      </c>
      <c r="S72" s="60" t="str">
        <f>IFERROR(VLOOKUP(MID(N72,Q72,R72-Q72),[5]skilldef!$C:$D,2,FALSE),"-") &amp; " / " &amp; IFERROR(VLOOKUP(MID(N72,O72,P72-O72),[5]skilldef!$A:$B,2,FALSE),"-")</f>
        <v>- / -</v>
      </c>
      <c r="T72" s="44" t="str">
        <f t="shared" si="23"/>
        <v>[effect:hungup, target:unit_all, turn:1, rate:1, animation:hungup01]</v>
      </c>
      <c r="U72" s="60">
        <f t="shared" si="32"/>
        <v>9</v>
      </c>
      <c r="V72" s="60">
        <f t="shared" si="33"/>
        <v>15</v>
      </c>
      <c r="W72" s="60">
        <f t="shared" si="34"/>
        <v>24</v>
      </c>
      <c r="X72" s="60">
        <f t="shared" si="35"/>
        <v>32</v>
      </c>
      <c r="Y72" s="60" t="str">
        <f>IFERROR(VLOOKUP(MID(T72,W72,X72-W72),[5]skilldef!$C:$D,2,FALSE),"-") &amp; " / " &amp; IFERROR(VLOOKUP(MID(T72,U72,V72-U72),[5]skilldef!$A:$B,2,FALSE),"-")</f>
        <v>味方全体に / ハングアップ</v>
      </c>
      <c r="Z72" s="46"/>
      <c r="AA72" s="48"/>
      <c r="AB72" s="46"/>
    </row>
    <row r="73" spans="1:28" ht="21" customHeight="1" x14ac:dyDescent="0.15">
      <c r="A73" s="43">
        <v>47009072</v>
      </c>
      <c r="B73" s="43" t="s">
        <v>508</v>
      </c>
      <c r="C73" s="46">
        <v>3</v>
      </c>
      <c r="D73" s="46" t="s">
        <v>312</v>
      </c>
      <c r="E73" s="47" t="s">
        <v>319</v>
      </c>
      <c r="F73" s="47" t="s">
        <v>320</v>
      </c>
      <c r="G73" s="60" t="str">
        <f t="shared" si="20"/>
        <v>[effect:enemy_message, val1:1.7, val2:2.2]</v>
      </c>
      <c r="H73" s="60">
        <f t="shared" si="24"/>
        <v>9</v>
      </c>
      <c r="I73" s="60">
        <f t="shared" si="25"/>
        <v>22</v>
      </c>
      <c r="J73" s="60" t="e">
        <f t="shared" si="26"/>
        <v>#VALUE!</v>
      </c>
      <c r="K73" s="60">
        <f t="shared" si="27"/>
        <v>32</v>
      </c>
      <c r="L73" s="60" t="str">
        <f>IFERROR(VLOOKUP(MID(G73,J73,K73-J73),[5]skilldef!$C:$D,2,FALSE),"-") &amp; " / " &amp; IFERROR(VLOOKUP(MID(G73,H73,I73-H73),[5]skilldef!$A:$B,2,FALSE),"-")</f>
        <v>- / -</v>
      </c>
      <c r="M73" s="60" t="str">
        <f t="shared" si="21"/>
        <v>[effect:reduction, target:myself, turn:3, color:all, val:0.5, animation:reduction_one01]</v>
      </c>
      <c r="N73" s="44" t="str">
        <f t="shared" si="22"/>
        <v>[effect:reduction, target:myself, turn:3, color:all, val:0.5, animation:reduction_one01]</v>
      </c>
      <c r="O73" s="60">
        <f t="shared" si="28"/>
        <v>9</v>
      </c>
      <c r="P73" s="60">
        <f t="shared" si="29"/>
        <v>18</v>
      </c>
      <c r="Q73" s="60">
        <f t="shared" si="30"/>
        <v>27</v>
      </c>
      <c r="R73" s="60">
        <f t="shared" si="31"/>
        <v>33</v>
      </c>
      <c r="S73" s="60" t="str">
        <f>IFERROR(VLOOKUP(MID(N73,Q73,R73-Q73),[5]skilldef!$C:$D,2,FALSE),"-") &amp; " / " &amp; IFERROR(VLOOKUP(MID(N73,O73,P73-O73),[5]skilldef!$A:$B,2,FALSE),"-")</f>
        <v>自分自身に / -</v>
      </c>
      <c r="T73" s="44" t="str">
        <f t="shared" si="23"/>
        <v>none</v>
      </c>
      <c r="U73" s="60" t="e">
        <f t="shared" si="32"/>
        <v>#VALUE!</v>
      </c>
      <c r="V73" s="60">
        <f t="shared" si="33"/>
        <v>4</v>
      </c>
      <c r="W73" s="60" t="e">
        <f t="shared" si="34"/>
        <v>#VALUE!</v>
      </c>
      <c r="X73" s="60" t="e">
        <f t="shared" si="35"/>
        <v>#VALUE!</v>
      </c>
      <c r="Y73" s="60" t="str">
        <f>IFERROR(VLOOKUP(MID(T73,W73,X73-W73),[5]skilldef!$C:$D,2,FALSE),"-") &amp; " / " &amp; IFERROR(VLOOKUP(MID(T73,U73,V73-U73),[5]skilldef!$A:$B,2,FALSE),"-")</f>
        <v>- / -</v>
      </c>
      <c r="Z73" s="46"/>
      <c r="AA73" s="48"/>
      <c r="AB73" s="46"/>
    </row>
    <row r="74" spans="1:28" ht="21" customHeight="1" x14ac:dyDescent="0.15">
      <c r="A74" s="43">
        <v>47009073</v>
      </c>
      <c r="B74" s="43" t="s">
        <v>602</v>
      </c>
      <c r="C74" s="46">
        <v>3</v>
      </c>
      <c r="D74" s="46" t="s">
        <v>312</v>
      </c>
      <c r="E74" s="47" t="s">
        <v>321</v>
      </c>
      <c r="F74" s="47" t="s">
        <v>322</v>
      </c>
      <c r="G74" s="60" t="str">
        <f t="shared" si="20"/>
        <v>[effect:enemy_message, val1:2.2, val2:1.5]</v>
      </c>
      <c r="H74" s="60">
        <f t="shared" si="24"/>
        <v>9</v>
      </c>
      <c r="I74" s="60">
        <f t="shared" si="25"/>
        <v>22</v>
      </c>
      <c r="J74" s="60" t="e">
        <f t="shared" si="26"/>
        <v>#VALUE!</v>
      </c>
      <c r="K74" s="60">
        <f t="shared" si="27"/>
        <v>32</v>
      </c>
      <c r="L74" s="60" t="str">
        <f>IFERROR(VLOOKUP(MID(G74,J74,K74-J74),[5]skilldef!$C:$D,2,FALSE),"-") &amp; " / " &amp; IFERROR(VLOOKUP(MID(G74,H74,I74-H74),[5]skilldef!$A:$B,2,FALSE),"-")</f>
        <v>- / -</v>
      </c>
      <c r="M74" s="60" t="str">
        <f t="shared" si="21"/>
        <v>[effect:damage_fix_absolute, target:unit_all, val:10000]</v>
      </c>
      <c r="N74" s="44" t="str">
        <f t="shared" si="22"/>
        <v>[effect:damage_fix_absolute, target:unit_all, val:10000]</v>
      </c>
      <c r="O74" s="60">
        <f t="shared" si="28"/>
        <v>9</v>
      </c>
      <c r="P74" s="60">
        <f t="shared" si="29"/>
        <v>28</v>
      </c>
      <c r="Q74" s="60">
        <f t="shared" si="30"/>
        <v>37</v>
      </c>
      <c r="R74" s="60">
        <f t="shared" si="31"/>
        <v>45</v>
      </c>
      <c r="S74" s="60" t="str">
        <f>IFERROR(VLOOKUP(MID(N74,Q74,R74-Q74),[5]skilldef!$C:$D,2,FALSE),"-") &amp; " / " &amp; IFERROR(VLOOKUP(MID(N74,O74,P74-O74),[5]skilldef!$A:$B,2,FALSE),"-")</f>
        <v>味方全体に / -</v>
      </c>
      <c r="T74" s="44" t="str">
        <f t="shared" si="23"/>
        <v>none</v>
      </c>
      <c r="U74" s="60" t="e">
        <f t="shared" si="32"/>
        <v>#VALUE!</v>
      </c>
      <c r="V74" s="60">
        <f t="shared" si="33"/>
        <v>4</v>
      </c>
      <c r="W74" s="60" t="e">
        <f t="shared" si="34"/>
        <v>#VALUE!</v>
      </c>
      <c r="X74" s="60" t="e">
        <f t="shared" si="35"/>
        <v>#VALUE!</v>
      </c>
      <c r="Y74" s="60" t="str">
        <f>IFERROR(VLOOKUP(MID(T74,W74,X74-W74),[5]skilldef!$C:$D,2,FALSE),"-") &amp; " / " &amp; IFERROR(VLOOKUP(MID(T74,U74,V74-U74),[5]skilldef!$A:$B,2,FALSE),"-")</f>
        <v>- / -</v>
      </c>
      <c r="Z74" s="46"/>
      <c r="AA74" s="48"/>
      <c r="AB74" s="46"/>
    </row>
    <row r="75" spans="1:28" ht="21" customHeight="1" x14ac:dyDescent="0.15">
      <c r="A75" s="43">
        <v>47009074</v>
      </c>
      <c r="B75" s="43" t="s">
        <v>566</v>
      </c>
      <c r="C75" s="46">
        <v>3</v>
      </c>
      <c r="D75" s="46" t="s">
        <v>312</v>
      </c>
      <c r="E75" s="47" t="s">
        <v>323</v>
      </c>
      <c r="F75" s="47" t="s">
        <v>324</v>
      </c>
      <c r="G75" s="60" t="str">
        <f t="shared" si="20"/>
        <v>[effect:enemy_message, val1:1.2, val2:2.4]</v>
      </c>
      <c r="H75" s="60">
        <f t="shared" si="24"/>
        <v>9</v>
      </c>
      <c r="I75" s="60">
        <f t="shared" si="25"/>
        <v>22</v>
      </c>
      <c r="J75" s="60" t="e">
        <f t="shared" si="26"/>
        <v>#VALUE!</v>
      </c>
      <c r="K75" s="60">
        <f t="shared" si="27"/>
        <v>32</v>
      </c>
      <c r="L75" s="60" t="str">
        <f>IFERROR(VLOOKUP(MID(G75,J75,K75-J75),[5]skilldef!$C:$D,2,FALSE),"-") &amp; " / " &amp; IFERROR(VLOOKUP(MID(G75,H75,I75-H75),[5]skilldef!$A:$B,2,FALSE),"-")</f>
        <v>- / -</v>
      </c>
      <c r="M75" s="60" t="str">
        <f t="shared" si="21"/>
        <v>none</v>
      </c>
      <c r="N75" s="44" t="str">
        <f t="shared" si="22"/>
        <v>none</v>
      </c>
      <c r="O75" s="60" t="e">
        <f t="shared" si="28"/>
        <v>#VALUE!</v>
      </c>
      <c r="P75" s="60">
        <f t="shared" si="29"/>
        <v>4</v>
      </c>
      <c r="Q75" s="60" t="e">
        <f t="shared" si="30"/>
        <v>#VALUE!</v>
      </c>
      <c r="R75" s="60" t="e">
        <f t="shared" si="31"/>
        <v>#VALUE!</v>
      </c>
      <c r="S75" s="60" t="str">
        <f>IFERROR(VLOOKUP(MID(N75,Q75,R75-Q75),[5]skilldef!$C:$D,2,FALSE),"-") &amp; " / " &amp; IFERROR(VLOOKUP(MID(N75,O75,P75-O75),[5]skilldef!$A:$B,2,FALSE),"-")</f>
        <v>- / -</v>
      </c>
      <c r="T75" s="44" t="str">
        <f t="shared" si="23"/>
        <v>none</v>
      </c>
      <c r="U75" s="60" t="e">
        <f t="shared" si="32"/>
        <v>#VALUE!</v>
      </c>
      <c r="V75" s="60">
        <f t="shared" si="33"/>
        <v>4</v>
      </c>
      <c r="W75" s="60" t="e">
        <f t="shared" si="34"/>
        <v>#VALUE!</v>
      </c>
      <c r="X75" s="60" t="e">
        <f t="shared" si="35"/>
        <v>#VALUE!</v>
      </c>
      <c r="Y75" s="60" t="str">
        <f>IFERROR(VLOOKUP(MID(T75,W75,X75-W75),[5]skilldef!$C:$D,2,FALSE),"-") &amp; " / " &amp; IFERROR(VLOOKUP(MID(T75,U75,V75-U75),[5]skilldef!$A:$B,2,FALSE),"-")</f>
        <v>- / -</v>
      </c>
      <c r="Z75" s="46"/>
      <c r="AA75" s="48"/>
      <c r="AB75" s="46"/>
    </row>
    <row r="76" spans="1:28" ht="21" customHeight="1" x14ac:dyDescent="0.15">
      <c r="A76" s="43">
        <v>47009075</v>
      </c>
      <c r="B76" s="43" t="s">
        <v>509</v>
      </c>
      <c r="C76" s="46">
        <v>3</v>
      </c>
      <c r="D76" s="46" t="s">
        <v>312</v>
      </c>
      <c r="E76" s="47" t="s">
        <v>317</v>
      </c>
      <c r="F76" s="47" t="s">
        <v>542</v>
      </c>
      <c r="G76" s="60" t="str">
        <f t="shared" si="20"/>
        <v>[effect:enemy_message, val1:1.2, val2:3.8]</v>
      </c>
      <c r="H76" s="60">
        <f t="shared" si="24"/>
        <v>9</v>
      </c>
      <c r="I76" s="60">
        <f t="shared" si="25"/>
        <v>22</v>
      </c>
      <c r="J76" s="60" t="e">
        <f t="shared" si="26"/>
        <v>#VALUE!</v>
      </c>
      <c r="K76" s="60">
        <f t="shared" si="27"/>
        <v>32</v>
      </c>
      <c r="L76" s="60" t="str">
        <f>IFERROR(VLOOKUP(MID(G76,J76,K76-J76),[5]skilldef!$C:$D,2,FALSE),"-") &amp; " / " &amp; IFERROR(VLOOKUP(MID(G76,H76,I76-H76),[5]skilldef!$A:$B,2,FALSE),"-")</f>
        <v>- / -</v>
      </c>
      <c r="M76" s="60" t="str">
        <f t="shared" si="21"/>
        <v>[effect:break_attack, val:0.02, lowest_val:1500, count:-1, block:block_red, target:unit_all],[effect:hungup, target:unit_blue/not, turn:1, rate:1, animation:hungup01]</v>
      </c>
      <c r="N76" s="44" t="str">
        <f t="shared" si="22"/>
        <v>[effect:break_attack, val:0.02, lowest_val:1500, count:-1, block:block_red, target:unit_all],[effect:hungup, target:unit_blue/not, turn:1, rate:1, animation:hungup01]</v>
      </c>
      <c r="O76" s="60">
        <f t="shared" si="28"/>
        <v>9</v>
      </c>
      <c r="P76" s="60">
        <f t="shared" si="29"/>
        <v>21</v>
      </c>
      <c r="Q76" s="60">
        <f t="shared" si="30"/>
        <v>84</v>
      </c>
      <c r="R76" s="60">
        <f t="shared" si="31"/>
        <v>31</v>
      </c>
      <c r="S76" s="60" t="str">
        <f>IFERROR(VLOOKUP(MID(N76,Q76,R76-Q76),[5]skilldef!$C:$D,2,FALSE),"-") &amp; " / " &amp; IFERROR(VLOOKUP(MID(N76,O76,P76-O76),[5]skilldef!$A:$B,2,FALSE),"-")</f>
        <v>- / -</v>
      </c>
      <c r="T76" s="44" t="str">
        <f t="shared" si="23"/>
        <v>[effect:hungup, target:unit_blue/not, turn:1, rate:1, animation:hungup01]</v>
      </c>
      <c r="U76" s="60">
        <f t="shared" si="32"/>
        <v>9</v>
      </c>
      <c r="V76" s="60">
        <f t="shared" si="33"/>
        <v>15</v>
      </c>
      <c r="W76" s="60">
        <f t="shared" si="34"/>
        <v>24</v>
      </c>
      <c r="X76" s="60">
        <f t="shared" si="35"/>
        <v>37</v>
      </c>
      <c r="Y76" s="60" t="str">
        <f>IFERROR(VLOOKUP(MID(T76,W76,X76-W76),[5]skilldef!$C:$D,2,FALSE),"-") &amp; " / " &amp; IFERROR(VLOOKUP(MID(T76,U76,V76-U76),[5]skilldef!$A:$B,2,FALSE),"-")</f>
        <v>- / ハングアップ</v>
      </c>
      <c r="Z76" s="46"/>
      <c r="AA76" s="48"/>
      <c r="AB76" s="46"/>
    </row>
    <row r="77" spans="1:28" ht="21" customHeight="1" x14ac:dyDescent="0.15">
      <c r="A77" s="43">
        <v>47009076</v>
      </c>
      <c r="B77" s="43" t="s">
        <v>511</v>
      </c>
      <c r="C77" s="46">
        <v>3</v>
      </c>
      <c r="D77" s="46" t="s">
        <v>312</v>
      </c>
      <c r="E77" s="153" t="s">
        <v>265</v>
      </c>
      <c r="F77" s="47" t="s">
        <v>313</v>
      </c>
      <c r="G77" s="60" t="str">
        <f t="shared" si="20"/>
        <v>[effect:enemy_message, val1:1.2, val2:1.2]</v>
      </c>
      <c r="H77" s="60">
        <f t="shared" si="24"/>
        <v>9</v>
      </c>
      <c r="I77" s="60">
        <f t="shared" si="25"/>
        <v>22</v>
      </c>
      <c r="J77" s="60" t="e">
        <f t="shared" si="26"/>
        <v>#VALUE!</v>
      </c>
      <c r="K77" s="60">
        <f t="shared" si="27"/>
        <v>32</v>
      </c>
      <c r="L77" s="60" t="str">
        <f>IFERROR(VLOOKUP(MID(G77,J77,K77-J77),[5]skilldef!$C:$D,2,FALSE),"-") &amp; " / " &amp; IFERROR(VLOOKUP(MID(G77,H77,I77-H77),[5]skilldef!$A:$B,2,FALSE),"-")</f>
        <v>- / -</v>
      </c>
      <c r="M77" s="60" t="str">
        <f t="shared" si="21"/>
        <v>none</v>
      </c>
      <c r="N77" s="44" t="str">
        <f t="shared" si="22"/>
        <v>none</v>
      </c>
      <c r="O77" s="60" t="e">
        <f t="shared" si="28"/>
        <v>#VALUE!</v>
      </c>
      <c r="P77" s="60">
        <f t="shared" si="29"/>
        <v>4</v>
      </c>
      <c r="Q77" s="60" t="e">
        <f t="shared" si="30"/>
        <v>#VALUE!</v>
      </c>
      <c r="R77" s="60" t="e">
        <f t="shared" si="31"/>
        <v>#VALUE!</v>
      </c>
      <c r="S77" s="60" t="str">
        <f>IFERROR(VLOOKUP(MID(N77,Q77,R77-Q77),[5]skilldef!$C:$D,2,FALSE),"-") &amp; " / " &amp; IFERROR(VLOOKUP(MID(N77,O77,P77-O77),[5]skilldef!$A:$B,2,FALSE),"-")</f>
        <v>- / -</v>
      </c>
      <c r="T77" s="44" t="str">
        <f t="shared" si="23"/>
        <v>none</v>
      </c>
      <c r="U77" s="60" t="e">
        <f t="shared" si="32"/>
        <v>#VALUE!</v>
      </c>
      <c r="V77" s="60">
        <f t="shared" si="33"/>
        <v>4</v>
      </c>
      <c r="W77" s="60" t="e">
        <f t="shared" si="34"/>
        <v>#VALUE!</v>
      </c>
      <c r="X77" s="60" t="e">
        <f t="shared" si="35"/>
        <v>#VALUE!</v>
      </c>
      <c r="Y77" s="60" t="str">
        <f>IFERROR(VLOOKUP(MID(T77,W77,X77-W77),[5]skilldef!$C:$D,2,FALSE),"-") &amp; " / " &amp; IFERROR(VLOOKUP(MID(T77,U77,V77-U77),[5]skilldef!$A:$B,2,FALSE),"-")</f>
        <v>- / -</v>
      </c>
      <c r="Z77" s="46"/>
      <c r="AA77" s="48"/>
      <c r="AB77" s="46"/>
    </row>
    <row r="78" spans="1:28" ht="21" customHeight="1" thickBot="1" x14ac:dyDescent="0.2">
      <c r="A78" s="160">
        <v>47009077</v>
      </c>
      <c r="B78" s="160" t="s">
        <v>511</v>
      </c>
      <c r="C78" s="46">
        <v>3</v>
      </c>
      <c r="D78" s="161" t="s">
        <v>312</v>
      </c>
      <c r="E78" s="153" t="s">
        <v>265</v>
      </c>
      <c r="F78" s="162" t="s">
        <v>313</v>
      </c>
      <c r="G78" s="60" t="str">
        <f t="shared" si="20"/>
        <v>[effect:enemy_message, val1:1.2, val2:1.2]</v>
      </c>
      <c r="H78" s="60">
        <f t="shared" si="24"/>
        <v>9</v>
      </c>
      <c r="I78" s="60">
        <f t="shared" si="25"/>
        <v>22</v>
      </c>
      <c r="J78" s="60" t="e">
        <f t="shared" si="26"/>
        <v>#VALUE!</v>
      </c>
      <c r="K78" s="60">
        <f t="shared" si="27"/>
        <v>32</v>
      </c>
      <c r="L78" s="60" t="str">
        <f>IFERROR(VLOOKUP(MID(G78,J78,K78-J78),[5]skilldef!$C:$D,2,FALSE),"-") &amp; " / " &amp; IFERROR(VLOOKUP(MID(G78,H78,I78-H78),[5]skilldef!$A:$B,2,FALSE),"-")</f>
        <v>- / -</v>
      </c>
      <c r="M78" s="60" t="str">
        <f t="shared" si="21"/>
        <v>none</v>
      </c>
      <c r="N78" s="44" t="str">
        <f t="shared" si="22"/>
        <v>none</v>
      </c>
      <c r="O78" s="60" t="e">
        <f t="shared" si="28"/>
        <v>#VALUE!</v>
      </c>
      <c r="P78" s="60">
        <f t="shared" si="29"/>
        <v>4</v>
      </c>
      <c r="Q78" s="60" t="e">
        <f t="shared" si="30"/>
        <v>#VALUE!</v>
      </c>
      <c r="R78" s="60" t="e">
        <f t="shared" si="31"/>
        <v>#VALUE!</v>
      </c>
      <c r="S78" s="60" t="str">
        <f>IFERROR(VLOOKUP(MID(N78,Q78,R78-Q78),[5]skilldef!$C:$D,2,FALSE),"-") &amp; " / " &amp; IFERROR(VLOOKUP(MID(N78,O78,P78-O78),[5]skilldef!$A:$B,2,FALSE),"-")</f>
        <v>- / -</v>
      </c>
      <c r="T78" s="44" t="str">
        <f t="shared" si="23"/>
        <v>none</v>
      </c>
      <c r="U78" s="60" t="e">
        <f t="shared" si="32"/>
        <v>#VALUE!</v>
      </c>
      <c r="V78" s="60">
        <f t="shared" si="33"/>
        <v>4</v>
      </c>
      <c r="W78" s="60" t="e">
        <f t="shared" si="34"/>
        <v>#VALUE!</v>
      </c>
      <c r="X78" s="60" t="e">
        <f t="shared" si="35"/>
        <v>#VALUE!</v>
      </c>
      <c r="Y78" s="60" t="str">
        <f>IFERROR(VLOOKUP(MID(T78,W78,X78-W78),[5]skilldef!$C:$D,2,FALSE),"-") &amp; " / " &amp; IFERROR(VLOOKUP(MID(T78,U78,V78-U78),[5]skilldef!$A:$B,2,FALSE),"-")</f>
        <v>- / -</v>
      </c>
      <c r="Z78" s="46"/>
      <c r="AA78" s="48"/>
      <c r="AB78" s="46"/>
    </row>
    <row r="79" spans="1:28" ht="21" customHeight="1" x14ac:dyDescent="0.15">
      <c r="A79" s="163">
        <v>47009078</v>
      </c>
      <c r="B79" s="43" t="s">
        <v>556</v>
      </c>
      <c r="C79" s="46">
        <v>3</v>
      </c>
      <c r="D79" s="164" t="s">
        <v>302</v>
      </c>
      <c r="E79" s="165" t="s">
        <v>325</v>
      </c>
      <c r="F79" s="47" t="s">
        <v>538</v>
      </c>
      <c r="G79" s="60" t="str">
        <f t="shared" si="20"/>
        <v>[effect:enemy_message, val1:1.4, val2:1.4]</v>
      </c>
      <c r="H79" s="60">
        <f t="shared" si="24"/>
        <v>9</v>
      </c>
      <c r="I79" s="60">
        <f t="shared" si="25"/>
        <v>22</v>
      </c>
      <c r="J79" s="60" t="e">
        <f t="shared" si="26"/>
        <v>#VALUE!</v>
      </c>
      <c r="K79" s="60">
        <f t="shared" si="27"/>
        <v>32</v>
      </c>
      <c r="L79" s="60" t="str">
        <f>IFERROR(VLOOKUP(MID(G79,J79,K79-J79),[5]skilldef!$C:$D,2,FALSE),"-") &amp; " / " &amp; IFERROR(VLOOKUP(MID(G79,H79,I79-H79),[5]skilldef!$A:$B,2,FALSE),"-")</f>
        <v>- / -</v>
      </c>
      <c r="M79" s="60" t="str">
        <f t="shared" si="21"/>
        <v>[effect:enhance_unit, target:unit_blue, turn:-1, status:attack, val:0.7, calc:mul]</v>
      </c>
      <c r="N79" s="44" t="str">
        <f t="shared" si="22"/>
        <v>[effect:enhance_unit, target:unit_blue, turn:-1, status:attack, val:0.7, calc:mul]</v>
      </c>
      <c r="O79" s="60">
        <f t="shared" si="28"/>
        <v>9</v>
      </c>
      <c r="P79" s="60">
        <f t="shared" si="29"/>
        <v>21</v>
      </c>
      <c r="Q79" s="60">
        <f t="shared" si="30"/>
        <v>30</v>
      </c>
      <c r="R79" s="60">
        <f t="shared" si="31"/>
        <v>39</v>
      </c>
      <c r="S79" s="60" t="str">
        <f>IFERROR(VLOOKUP(MID(N79,Q79,R79-Q79),[5]skilldef!$C:$D,2,FALSE),"-") &amp; " / " &amp; IFERROR(VLOOKUP(MID(N79,O79,P79-O79),[5]skilldef!$A:$B,2,FALSE),"-")</f>
        <v>青の味方に / -</v>
      </c>
      <c r="T79" s="44" t="str">
        <f t="shared" si="23"/>
        <v>none</v>
      </c>
      <c r="U79" s="60" t="e">
        <f t="shared" si="32"/>
        <v>#VALUE!</v>
      </c>
      <c r="V79" s="60">
        <f t="shared" si="33"/>
        <v>4</v>
      </c>
      <c r="W79" s="60" t="e">
        <f t="shared" si="34"/>
        <v>#VALUE!</v>
      </c>
      <c r="X79" s="60" t="e">
        <f t="shared" si="35"/>
        <v>#VALUE!</v>
      </c>
      <c r="Y79" s="60" t="str">
        <f>IFERROR(VLOOKUP(MID(T79,W79,X79-W79),[5]skilldef!$C:$D,2,FALSE),"-") &amp; " / " &amp; IFERROR(VLOOKUP(MID(T79,U79,V79-U79),[5]skilldef!$A:$B,2,FALSE),"-")</f>
        <v>- / -</v>
      </c>
      <c r="Z79" s="46"/>
      <c r="AA79" s="48"/>
      <c r="AB79" s="46"/>
    </row>
    <row r="80" spans="1:28" ht="21" customHeight="1" x14ac:dyDescent="0.15">
      <c r="A80" s="43">
        <v>47009079</v>
      </c>
      <c r="B80" s="43" t="s">
        <v>567</v>
      </c>
      <c r="C80" s="46">
        <v>3</v>
      </c>
      <c r="D80" s="46" t="s">
        <v>326</v>
      </c>
      <c r="E80" s="159" t="s">
        <v>327</v>
      </c>
      <c r="F80" s="150" t="s">
        <v>603</v>
      </c>
      <c r="G80" s="60" t="str">
        <f t="shared" si="20"/>
        <v>[effect:enemy_message, val1:1.4, val2:0]</v>
      </c>
      <c r="H80" s="60">
        <f t="shared" si="24"/>
        <v>9</v>
      </c>
      <c r="I80" s="60">
        <f t="shared" si="25"/>
        <v>22</v>
      </c>
      <c r="J80" s="60" t="e">
        <f t="shared" si="26"/>
        <v>#VALUE!</v>
      </c>
      <c r="K80" s="60">
        <f t="shared" si="27"/>
        <v>32</v>
      </c>
      <c r="L80" s="60" t="str">
        <f>IFERROR(VLOOKUP(MID(G80,J80,K80-J80),[5]skilldef!$C:$D,2,FALSE),"-") &amp; " / " &amp; IFERROR(VLOOKUP(MID(G80,H80,I80-H80),[5]skilldef!$A:$B,2,FALSE),"-")</f>
        <v>- / -</v>
      </c>
      <c r="M80" s="60" t="str">
        <f t="shared" si="21"/>
        <v>none</v>
      </c>
      <c r="N80" s="44" t="str">
        <f t="shared" si="22"/>
        <v>none</v>
      </c>
      <c r="O80" s="60" t="e">
        <f t="shared" si="28"/>
        <v>#VALUE!</v>
      </c>
      <c r="P80" s="60">
        <f t="shared" si="29"/>
        <v>4</v>
      </c>
      <c r="Q80" s="60" t="e">
        <f t="shared" si="30"/>
        <v>#VALUE!</v>
      </c>
      <c r="R80" s="60" t="e">
        <f t="shared" si="31"/>
        <v>#VALUE!</v>
      </c>
      <c r="S80" s="60" t="str">
        <f>IFERROR(VLOOKUP(MID(N80,Q80,R80-Q80),[5]skilldef!$C:$D,2,FALSE),"-") &amp; " / " &amp; IFERROR(VLOOKUP(MID(N80,O80,P80-O80),[5]skilldef!$A:$B,2,FALSE),"-")</f>
        <v>- / -</v>
      </c>
      <c r="T80" s="44" t="str">
        <f t="shared" si="23"/>
        <v>none</v>
      </c>
      <c r="U80" s="60" t="e">
        <f t="shared" si="32"/>
        <v>#VALUE!</v>
      </c>
      <c r="V80" s="60">
        <f t="shared" si="33"/>
        <v>4</v>
      </c>
      <c r="W80" s="60" t="e">
        <f t="shared" si="34"/>
        <v>#VALUE!</v>
      </c>
      <c r="X80" s="60" t="e">
        <f t="shared" si="35"/>
        <v>#VALUE!</v>
      </c>
      <c r="Y80" s="60" t="str">
        <f>IFERROR(VLOOKUP(MID(T80,W80,X80-W80),[5]skilldef!$C:$D,2,FALSE),"-") &amp; " / " &amp; IFERROR(VLOOKUP(MID(T80,U80,V80-U80),[5]skilldef!$A:$B,2,FALSE),"-")</f>
        <v>- / -</v>
      </c>
      <c r="Z80" s="46"/>
      <c r="AA80" s="48"/>
      <c r="AB80" s="46"/>
    </row>
    <row r="81" spans="1:28" ht="21" customHeight="1" x14ac:dyDescent="0.15">
      <c r="A81" s="43">
        <v>47009080</v>
      </c>
      <c r="B81" s="43" t="s">
        <v>517</v>
      </c>
      <c r="C81" s="46">
        <v>3</v>
      </c>
      <c r="D81" s="46" t="s">
        <v>326</v>
      </c>
      <c r="E81" s="159" t="s">
        <v>328</v>
      </c>
      <c r="F81" s="150" t="s">
        <v>603</v>
      </c>
      <c r="G81" s="60" t="str">
        <f t="shared" si="20"/>
        <v>[effect:enemy_message, val1:1.5, val2:0]</v>
      </c>
      <c r="H81" s="60">
        <f t="shared" si="24"/>
        <v>9</v>
      </c>
      <c r="I81" s="60">
        <f t="shared" si="25"/>
        <v>22</v>
      </c>
      <c r="J81" s="60" t="e">
        <f t="shared" si="26"/>
        <v>#VALUE!</v>
      </c>
      <c r="K81" s="60">
        <f t="shared" si="27"/>
        <v>32</v>
      </c>
      <c r="L81" s="60" t="str">
        <f>IFERROR(VLOOKUP(MID(G81,J81,K81-J81),[5]skilldef!$C:$D,2,FALSE),"-") &amp; " / " &amp; IFERROR(VLOOKUP(MID(G81,H81,I81-H81),[5]skilldef!$A:$B,2,FALSE),"-")</f>
        <v>- / -</v>
      </c>
      <c r="M81" s="60" t="str">
        <f t="shared" si="21"/>
        <v>none</v>
      </c>
      <c r="N81" s="44" t="str">
        <f t="shared" si="22"/>
        <v>none</v>
      </c>
      <c r="O81" s="60" t="e">
        <f t="shared" si="28"/>
        <v>#VALUE!</v>
      </c>
      <c r="P81" s="60">
        <f t="shared" si="29"/>
        <v>4</v>
      </c>
      <c r="Q81" s="60" t="e">
        <f t="shared" si="30"/>
        <v>#VALUE!</v>
      </c>
      <c r="R81" s="60" t="e">
        <f t="shared" si="31"/>
        <v>#VALUE!</v>
      </c>
      <c r="S81" s="60" t="str">
        <f>IFERROR(VLOOKUP(MID(N81,Q81,R81-Q81),[5]skilldef!$C:$D,2,FALSE),"-") &amp; " / " &amp; IFERROR(VLOOKUP(MID(N81,O81,P81-O81),[5]skilldef!$A:$B,2,FALSE),"-")</f>
        <v>- / -</v>
      </c>
      <c r="T81" s="44" t="str">
        <f t="shared" si="23"/>
        <v>none</v>
      </c>
      <c r="U81" s="60" t="e">
        <f t="shared" si="32"/>
        <v>#VALUE!</v>
      </c>
      <c r="V81" s="60">
        <f t="shared" si="33"/>
        <v>4</v>
      </c>
      <c r="W81" s="60" t="e">
        <f t="shared" si="34"/>
        <v>#VALUE!</v>
      </c>
      <c r="X81" s="60" t="e">
        <f t="shared" si="35"/>
        <v>#VALUE!</v>
      </c>
      <c r="Y81" s="60" t="str">
        <f>IFERROR(VLOOKUP(MID(T81,W81,X81-W81),[5]skilldef!$C:$D,2,FALSE),"-") &amp; " / " &amp; IFERROR(VLOOKUP(MID(T81,U81,V81-U81),[5]skilldef!$A:$B,2,FALSE),"-")</f>
        <v>- / -</v>
      </c>
      <c r="Z81" s="46"/>
      <c r="AA81" s="48"/>
      <c r="AB81" s="46"/>
    </row>
    <row r="82" spans="1:28" ht="21" customHeight="1" x14ac:dyDescent="0.15">
      <c r="A82" s="43">
        <v>47009081</v>
      </c>
      <c r="B82" s="43" t="s">
        <v>527</v>
      </c>
      <c r="C82" s="46">
        <v>3</v>
      </c>
      <c r="D82" s="46" t="s">
        <v>326</v>
      </c>
      <c r="E82" s="159" t="s">
        <v>329</v>
      </c>
      <c r="F82" s="150" t="s">
        <v>603</v>
      </c>
      <c r="G82" s="60" t="str">
        <f t="shared" si="20"/>
        <v>[effect:enemy_message, val1:1.8, val2:0]</v>
      </c>
      <c r="H82" s="60">
        <f t="shared" si="24"/>
        <v>9</v>
      </c>
      <c r="I82" s="60">
        <f t="shared" si="25"/>
        <v>22</v>
      </c>
      <c r="J82" s="60" t="e">
        <f t="shared" si="26"/>
        <v>#VALUE!</v>
      </c>
      <c r="K82" s="60">
        <f t="shared" si="27"/>
        <v>32</v>
      </c>
      <c r="L82" s="60" t="str">
        <f>IFERROR(VLOOKUP(MID(G82,J82,K82-J82),[5]skilldef!$C:$D,2,FALSE),"-") &amp; " / " &amp; IFERROR(VLOOKUP(MID(G82,H82,I82-H82),[5]skilldef!$A:$B,2,FALSE),"-")</f>
        <v>- / -</v>
      </c>
      <c r="M82" s="60" t="str">
        <f t="shared" si="21"/>
        <v>none</v>
      </c>
      <c r="N82" s="44" t="str">
        <f t="shared" si="22"/>
        <v>none</v>
      </c>
      <c r="O82" s="60" t="e">
        <f t="shared" si="28"/>
        <v>#VALUE!</v>
      </c>
      <c r="P82" s="60">
        <f t="shared" si="29"/>
        <v>4</v>
      </c>
      <c r="Q82" s="60" t="e">
        <f t="shared" si="30"/>
        <v>#VALUE!</v>
      </c>
      <c r="R82" s="60" t="e">
        <f t="shared" si="31"/>
        <v>#VALUE!</v>
      </c>
      <c r="S82" s="60" t="str">
        <f>IFERROR(VLOOKUP(MID(N82,Q82,R82-Q82),[5]skilldef!$C:$D,2,FALSE),"-") &amp; " / " &amp; IFERROR(VLOOKUP(MID(N82,O82,P82-O82),[5]skilldef!$A:$B,2,FALSE),"-")</f>
        <v>- / -</v>
      </c>
      <c r="T82" s="44" t="str">
        <f t="shared" si="23"/>
        <v>none</v>
      </c>
      <c r="U82" s="60" t="e">
        <f t="shared" si="32"/>
        <v>#VALUE!</v>
      </c>
      <c r="V82" s="60">
        <f t="shared" si="33"/>
        <v>4</v>
      </c>
      <c r="W82" s="60" t="e">
        <f t="shared" si="34"/>
        <v>#VALUE!</v>
      </c>
      <c r="X82" s="60" t="e">
        <f t="shared" si="35"/>
        <v>#VALUE!</v>
      </c>
      <c r="Y82" s="60" t="str">
        <f>IFERROR(VLOOKUP(MID(T82,W82,X82-W82),[5]skilldef!$C:$D,2,FALSE),"-") &amp; " / " &amp; IFERROR(VLOOKUP(MID(T82,U82,V82-U82),[5]skilldef!$A:$B,2,FALSE),"-")</f>
        <v>- / -</v>
      </c>
      <c r="Z82" s="46"/>
      <c r="AA82" s="48"/>
      <c r="AB82" s="46"/>
    </row>
    <row r="83" spans="1:28" ht="21" customHeight="1" x14ac:dyDescent="0.15">
      <c r="A83" s="43">
        <v>47009082</v>
      </c>
      <c r="B83" s="43" t="s">
        <v>518</v>
      </c>
      <c r="C83" s="46">
        <v>3</v>
      </c>
      <c r="D83" s="46" t="s">
        <v>326</v>
      </c>
      <c r="E83" s="159" t="s">
        <v>330</v>
      </c>
      <c r="F83" s="150" t="s">
        <v>603</v>
      </c>
      <c r="G83" s="60" t="str">
        <f t="shared" si="20"/>
        <v>[effect:enemy_message, val1:1.3, val2:0]</v>
      </c>
      <c r="H83" s="60">
        <f t="shared" si="24"/>
        <v>9</v>
      </c>
      <c r="I83" s="60">
        <f t="shared" si="25"/>
        <v>22</v>
      </c>
      <c r="J83" s="60" t="e">
        <f t="shared" si="26"/>
        <v>#VALUE!</v>
      </c>
      <c r="K83" s="60">
        <f t="shared" si="27"/>
        <v>32</v>
      </c>
      <c r="L83" s="60" t="str">
        <f>IFERROR(VLOOKUP(MID(G83,J83,K83-J83),[5]skilldef!$C:$D,2,FALSE),"-") &amp; " / " &amp; IFERROR(VLOOKUP(MID(G83,H83,I83-H83),[5]skilldef!$A:$B,2,FALSE),"-")</f>
        <v>- / -</v>
      </c>
      <c r="M83" s="60" t="str">
        <f t="shared" si="21"/>
        <v>[effect:fix_speed, target:myself, turn:1]</v>
      </c>
      <c r="N83" s="44" t="str">
        <f t="shared" si="22"/>
        <v>[effect:fix_speed, target:myself, turn:1]</v>
      </c>
      <c r="O83" s="60">
        <f t="shared" si="28"/>
        <v>9</v>
      </c>
      <c r="P83" s="60">
        <f t="shared" si="29"/>
        <v>18</v>
      </c>
      <c r="Q83" s="60">
        <f t="shared" si="30"/>
        <v>27</v>
      </c>
      <c r="R83" s="60">
        <f t="shared" si="31"/>
        <v>33</v>
      </c>
      <c r="S83" s="60" t="str">
        <f>IFERROR(VLOOKUP(MID(N83,Q83,R83-Q83),[5]skilldef!$C:$D,2,FALSE),"-") &amp; " / " &amp; IFERROR(VLOOKUP(MID(N83,O83,P83-O83),[5]skilldef!$A:$B,2,FALSE),"-")</f>
        <v>自分自身に / 行動値設定</v>
      </c>
      <c r="T83" s="44" t="str">
        <f t="shared" si="23"/>
        <v>none</v>
      </c>
      <c r="U83" s="60" t="e">
        <f t="shared" si="32"/>
        <v>#VALUE!</v>
      </c>
      <c r="V83" s="60">
        <f t="shared" si="33"/>
        <v>4</v>
      </c>
      <c r="W83" s="60" t="e">
        <f t="shared" si="34"/>
        <v>#VALUE!</v>
      </c>
      <c r="X83" s="60" t="e">
        <f t="shared" si="35"/>
        <v>#VALUE!</v>
      </c>
      <c r="Y83" s="60" t="str">
        <f>IFERROR(VLOOKUP(MID(T83,W83,X83-W83),[5]skilldef!$C:$D,2,FALSE),"-") &amp; " / " &amp; IFERROR(VLOOKUP(MID(T83,U83,V83-U83),[5]skilldef!$A:$B,2,FALSE),"-")</f>
        <v>- / -</v>
      </c>
      <c r="Z83" s="46"/>
      <c r="AA83" s="48"/>
      <c r="AB83" s="46"/>
    </row>
    <row r="84" spans="1:28" ht="21" customHeight="1" x14ac:dyDescent="0.15">
      <c r="A84" s="43">
        <v>47009083</v>
      </c>
      <c r="B84" s="43" t="s">
        <v>519</v>
      </c>
      <c r="C84" s="46">
        <v>3</v>
      </c>
      <c r="D84" s="46" t="s">
        <v>326</v>
      </c>
      <c r="E84" s="159" t="s">
        <v>331</v>
      </c>
      <c r="F84" s="150" t="s">
        <v>603</v>
      </c>
      <c r="G84" s="60" t="str">
        <f t="shared" si="20"/>
        <v>[effect:enemy_message, val1:2.2, val2:0]</v>
      </c>
      <c r="H84" s="60">
        <f t="shared" si="24"/>
        <v>9</v>
      </c>
      <c r="I84" s="60">
        <f t="shared" si="25"/>
        <v>22</v>
      </c>
      <c r="J84" s="60" t="e">
        <f t="shared" si="26"/>
        <v>#VALUE!</v>
      </c>
      <c r="K84" s="60">
        <f t="shared" si="27"/>
        <v>32</v>
      </c>
      <c r="L84" s="60" t="str">
        <f>IFERROR(VLOOKUP(MID(G84,J84,K84-J84),[5]skilldef!$C:$D,2,FALSE),"-") &amp; " / " &amp; IFERROR(VLOOKUP(MID(G84,H84,I84-H84),[5]skilldef!$A:$B,2,FALSE),"-")</f>
        <v>- / -</v>
      </c>
      <c r="M84" s="60" t="str">
        <f t="shared" si="21"/>
        <v>[effect:fix_speed, target:myself, turn:1]</v>
      </c>
      <c r="N84" s="44" t="str">
        <f t="shared" si="22"/>
        <v>[effect:fix_speed, target:myself, turn:1]</v>
      </c>
      <c r="O84" s="60">
        <f t="shared" si="28"/>
        <v>9</v>
      </c>
      <c r="P84" s="60">
        <f t="shared" si="29"/>
        <v>18</v>
      </c>
      <c r="Q84" s="60">
        <f t="shared" si="30"/>
        <v>27</v>
      </c>
      <c r="R84" s="60">
        <f t="shared" si="31"/>
        <v>33</v>
      </c>
      <c r="S84" s="60" t="str">
        <f>IFERROR(VLOOKUP(MID(N84,Q84,R84-Q84),[5]skilldef!$C:$D,2,FALSE),"-") &amp; " / " &amp; IFERROR(VLOOKUP(MID(N84,O84,P84-O84),[5]skilldef!$A:$B,2,FALSE),"-")</f>
        <v>自分自身に / 行動値設定</v>
      </c>
      <c r="T84" s="44" t="str">
        <f t="shared" si="23"/>
        <v>none</v>
      </c>
      <c r="U84" s="60" t="e">
        <f t="shared" si="32"/>
        <v>#VALUE!</v>
      </c>
      <c r="V84" s="60">
        <f t="shared" si="33"/>
        <v>4</v>
      </c>
      <c r="W84" s="60" t="e">
        <f t="shared" si="34"/>
        <v>#VALUE!</v>
      </c>
      <c r="X84" s="60" t="e">
        <f t="shared" si="35"/>
        <v>#VALUE!</v>
      </c>
      <c r="Y84" s="60" t="str">
        <f>IFERROR(VLOOKUP(MID(T84,W84,X84-W84),[5]skilldef!$C:$D,2,FALSE),"-") &amp; " / " &amp; IFERROR(VLOOKUP(MID(T84,U84,V84-U84),[5]skilldef!$A:$B,2,FALSE),"-")</f>
        <v>- / -</v>
      </c>
      <c r="Z84" s="46"/>
      <c r="AA84" s="48"/>
      <c r="AB84" s="46"/>
    </row>
    <row r="85" spans="1:28" ht="21" customHeight="1" x14ac:dyDescent="0.15">
      <c r="A85" s="43">
        <v>47009084</v>
      </c>
      <c r="B85" s="43" t="s">
        <v>584</v>
      </c>
      <c r="C85" s="46">
        <v>3</v>
      </c>
      <c r="D85" s="46" t="s">
        <v>326</v>
      </c>
      <c r="E85" s="159" t="s">
        <v>332</v>
      </c>
      <c r="F85" s="150" t="s">
        <v>603</v>
      </c>
      <c r="G85" s="60" t="str">
        <f t="shared" si="20"/>
        <v>[effect:enemy_message, val1:2.8, val2:0]</v>
      </c>
      <c r="H85" s="60">
        <f t="shared" si="24"/>
        <v>9</v>
      </c>
      <c r="I85" s="60">
        <f t="shared" si="25"/>
        <v>22</v>
      </c>
      <c r="J85" s="60" t="e">
        <f t="shared" si="26"/>
        <v>#VALUE!</v>
      </c>
      <c r="K85" s="60">
        <f t="shared" si="27"/>
        <v>32</v>
      </c>
      <c r="L85" s="60" t="str">
        <f>IFERROR(VLOOKUP(MID(G85,J85,K85-J85),[5]skilldef!$C:$D,2,FALSE),"-") &amp; " / " &amp; IFERROR(VLOOKUP(MID(G85,H85,I85-H85),[5]skilldef!$A:$B,2,FALSE),"-")</f>
        <v>- / -</v>
      </c>
      <c r="M85" s="60" t="str">
        <f t="shared" si="21"/>
        <v>[effect:fix_speed, target:myself, turn:1]</v>
      </c>
      <c r="N85" s="44" t="str">
        <f t="shared" si="22"/>
        <v>[effect:fix_speed, target:myself, turn:1]</v>
      </c>
      <c r="O85" s="60">
        <f t="shared" si="28"/>
        <v>9</v>
      </c>
      <c r="P85" s="60">
        <f t="shared" si="29"/>
        <v>18</v>
      </c>
      <c r="Q85" s="60">
        <f t="shared" si="30"/>
        <v>27</v>
      </c>
      <c r="R85" s="60">
        <f t="shared" si="31"/>
        <v>33</v>
      </c>
      <c r="S85" s="60" t="str">
        <f>IFERROR(VLOOKUP(MID(N85,Q85,R85-Q85),[5]skilldef!$C:$D,2,FALSE),"-") &amp; " / " &amp; IFERROR(VLOOKUP(MID(N85,O85,P85-O85),[5]skilldef!$A:$B,2,FALSE),"-")</f>
        <v>自分自身に / 行動値設定</v>
      </c>
      <c r="T85" s="44" t="str">
        <f t="shared" si="23"/>
        <v>none</v>
      </c>
      <c r="U85" s="60" t="e">
        <f t="shared" si="32"/>
        <v>#VALUE!</v>
      </c>
      <c r="V85" s="60">
        <f t="shared" si="33"/>
        <v>4</v>
      </c>
      <c r="W85" s="60" t="e">
        <f t="shared" si="34"/>
        <v>#VALUE!</v>
      </c>
      <c r="X85" s="60" t="e">
        <f t="shared" si="35"/>
        <v>#VALUE!</v>
      </c>
      <c r="Y85" s="60" t="str">
        <f>IFERROR(VLOOKUP(MID(T85,W85,X85-W85),[5]skilldef!$C:$D,2,FALSE),"-") &amp; " / " &amp; IFERROR(VLOOKUP(MID(T85,U85,V85-U85),[5]skilldef!$A:$B,2,FALSE),"-")</f>
        <v>- / -</v>
      </c>
      <c r="Z85" s="46"/>
      <c r="AA85" s="48"/>
      <c r="AB85" s="46"/>
    </row>
    <row r="86" spans="1:28" ht="21" customHeight="1" x14ac:dyDescent="0.15">
      <c r="A86" s="43">
        <v>47009085</v>
      </c>
      <c r="B86" s="43" t="s">
        <v>514</v>
      </c>
      <c r="C86" s="46">
        <v>3</v>
      </c>
      <c r="D86" s="46" t="s">
        <v>326</v>
      </c>
      <c r="E86" s="159" t="s">
        <v>333</v>
      </c>
      <c r="F86" s="150" t="s">
        <v>603</v>
      </c>
      <c r="G86" s="60" t="str">
        <f t="shared" si="20"/>
        <v>[effect:enemy_message, val1:1.2, val2:0]</v>
      </c>
      <c r="H86" s="60">
        <f t="shared" si="24"/>
        <v>9</v>
      </c>
      <c r="I86" s="60">
        <f t="shared" si="25"/>
        <v>22</v>
      </c>
      <c r="J86" s="60" t="e">
        <f t="shared" si="26"/>
        <v>#VALUE!</v>
      </c>
      <c r="K86" s="60">
        <f t="shared" si="27"/>
        <v>32</v>
      </c>
      <c r="L86" s="60" t="str">
        <f>IFERROR(VLOOKUP(MID(G86,J86,K86-J86),[5]skilldef!$C:$D,2,FALSE),"-") &amp; " / " &amp; IFERROR(VLOOKUP(MID(G86,H86,I86-H86),[5]skilldef!$A:$B,2,FALSE),"-")</f>
        <v>- / -</v>
      </c>
      <c r="M86" s="60" t="str">
        <f t="shared" si="21"/>
        <v>[effect:fix_speed, target:myself, turn:1]</v>
      </c>
      <c r="N86" s="44" t="str">
        <f t="shared" si="22"/>
        <v>[effect:fix_speed, target:myself, turn:1]</v>
      </c>
      <c r="O86" s="60">
        <f t="shared" si="28"/>
        <v>9</v>
      </c>
      <c r="P86" s="60">
        <f t="shared" si="29"/>
        <v>18</v>
      </c>
      <c r="Q86" s="60">
        <f t="shared" si="30"/>
        <v>27</v>
      </c>
      <c r="R86" s="60">
        <f t="shared" si="31"/>
        <v>33</v>
      </c>
      <c r="S86" s="60" t="str">
        <f>IFERROR(VLOOKUP(MID(N86,Q86,R86-Q86),[5]skilldef!$C:$D,2,FALSE),"-") &amp; " / " &amp; IFERROR(VLOOKUP(MID(N86,O86,P86-O86),[5]skilldef!$A:$B,2,FALSE),"-")</f>
        <v>自分自身に / 行動値設定</v>
      </c>
      <c r="T86" s="44" t="str">
        <f t="shared" si="23"/>
        <v>none</v>
      </c>
      <c r="U86" s="60" t="e">
        <f t="shared" si="32"/>
        <v>#VALUE!</v>
      </c>
      <c r="V86" s="60">
        <f t="shared" si="33"/>
        <v>4</v>
      </c>
      <c r="W86" s="60" t="e">
        <f t="shared" si="34"/>
        <v>#VALUE!</v>
      </c>
      <c r="X86" s="60" t="e">
        <f t="shared" si="35"/>
        <v>#VALUE!</v>
      </c>
      <c r="Y86" s="60" t="str">
        <f>IFERROR(VLOOKUP(MID(T86,W86,X86-W86),[5]skilldef!$C:$D,2,FALSE),"-") &amp; " / " &amp; IFERROR(VLOOKUP(MID(T86,U86,V86-U86),[5]skilldef!$A:$B,2,FALSE),"-")</f>
        <v>- / -</v>
      </c>
      <c r="Z86" s="46"/>
      <c r="AA86" s="48"/>
      <c r="AB86" s="46"/>
    </row>
    <row r="87" spans="1:28" ht="21" customHeight="1" x14ac:dyDescent="0.15">
      <c r="A87" s="43">
        <v>47009086</v>
      </c>
      <c r="B87" s="43" t="s">
        <v>520</v>
      </c>
      <c r="C87" s="46">
        <v>3</v>
      </c>
      <c r="D87" s="46" t="s">
        <v>326</v>
      </c>
      <c r="E87" s="159" t="s">
        <v>334</v>
      </c>
      <c r="F87" s="150" t="s">
        <v>603</v>
      </c>
      <c r="G87" s="60" t="str">
        <f t="shared" si="20"/>
        <v>[effect:enemy_message, val1:2.1, val2:0]</v>
      </c>
      <c r="H87" s="60">
        <f t="shared" si="24"/>
        <v>9</v>
      </c>
      <c r="I87" s="60">
        <f t="shared" si="25"/>
        <v>22</v>
      </c>
      <c r="J87" s="60" t="e">
        <f t="shared" si="26"/>
        <v>#VALUE!</v>
      </c>
      <c r="K87" s="60">
        <f t="shared" si="27"/>
        <v>32</v>
      </c>
      <c r="L87" s="60" t="str">
        <f>IFERROR(VLOOKUP(MID(G87,J87,K87-J87),[5]skilldef!$C:$D,2,FALSE),"-") &amp; " / " &amp; IFERROR(VLOOKUP(MID(G87,H87,I87-H87),[5]skilldef!$A:$B,2,FALSE),"-")</f>
        <v>- / -</v>
      </c>
      <c r="M87" s="60" t="str">
        <f t="shared" si="21"/>
        <v>[effect:fix_speed, target:myself, turn:1]</v>
      </c>
      <c r="N87" s="44" t="str">
        <f t="shared" si="22"/>
        <v>[effect:fix_speed, target:myself, turn:1]</v>
      </c>
      <c r="O87" s="60">
        <f t="shared" si="28"/>
        <v>9</v>
      </c>
      <c r="P87" s="60">
        <f t="shared" si="29"/>
        <v>18</v>
      </c>
      <c r="Q87" s="60">
        <f t="shared" si="30"/>
        <v>27</v>
      </c>
      <c r="R87" s="60">
        <f t="shared" si="31"/>
        <v>33</v>
      </c>
      <c r="S87" s="60" t="str">
        <f>IFERROR(VLOOKUP(MID(N87,Q87,R87-Q87),[5]skilldef!$C:$D,2,FALSE),"-") &amp; " / " &amp; IFERROR(VLOOKUP(MID(N87,O87,P87-O87),[5]skilldef!$A:$B,2,FALSE),"-")</f>
        <v>自分自身に / 行動値設定</v>
      </c>
      <c r="T87" s="44" t="str">
        <f t="shared" si="23"/>
        <v>none</v>
      </c>
      <c r="U87" s="60" t="e">
        <f t="shared" si="32"/>
        <v>#VALUE!</v>
      </c>
      <c r="V87" s="60">
        <f t="shared" si="33"/>
        <v>4</v>
      </c>
      <c r="W87" s="60" t="e">
        <f t="shared" si="34"/>
        <v>#VALUE!</v>
      </c>
      <c r="X87" s="60" t="e">
        <f t="shared" si="35"/>
        <v>#VALUE!</v>
      </c>
      <c r="Y87" s="60" t="str">
        <f>IFERROR(VLOOKUP(MID(T87,W87,X87-W87),[5]skilldef!$C:$D,2,FALSE),"-") &amp; " / " &amp; IFERROR(VLOOKUP(MID(T87,U87,V87-U87),[5]skilldef!$A:$B,2,FALSE),"-")</f>
        <v>- / -</v>
      </c>
      <c r="Z87" s="46"/>
      <c r="AA87" s="48"/>
      <c r="AB87" s="46"/>
    </row>
    <row r="88" spans="1:28" ht="21" customHeight="1" x14ac:dyDescent="0.15">
      <c r="A88" s="43">
        <v>47009087</v>
      </c>
      <c r="B88" s="43" t="s">
        <v>521</v>
      </c>
      <c r="C88" s="46">
        <v>3</v>
      </c>
      <c r="D88" s="46" t="s">
        <v>326</v>
      </c>
      <c r="E88" s="159" t="s">
        <v>335</v>
      </c>
      <c r="F88" s="150" t="s">
        <v>603</v>
      </c>
      <c r="G88" s="60" t="str">
        <f t="shared" si="20"/>
        <v>[effect:enemy_message, val1:1.9, val2:0]</v>
      </c>
      <c r="H88" s="60">
        <f t="shared" si="24"/>
        <v>9</v>
      </c>
      <c r="I88" s="60">
        <f t="shared" si="25"/>
        <v>22</v>
      </c>
      <c r="J88" s="60" t="e">
        <f t="shared" si="26"/>
        <v>#VALUE!</v>
      </c>
      <c r="K88" s="60">
        <f t="shared" si="27"/>
        <v>32</v>
      </c>
      <c r="L88" s="60" t="str">
        <f>IFERROR(VLOOKUP(MID(G88,J88,K88-J88),[5]skilldef!$C:$D,2,FALSE),"-") &amp; " / " &amp; IFERROR(VLOOKUP(MID(G88,H88,I88-H88),[5]skilldef!$A:$B,2,FALSE),"-")</f>
        <v>- / -</v>
      </c>
      <c r="M88" s="60" t="str">
        <f t="shared" si="21"/>
        <v>[effect:fix_speed, target:myself, turn:1]</v>
      </c>
      <c r="N88" s="44" t="str">
        <f t="shared" si="22"/>
        <v>[effect:fix_speed, target:myself, turn:1]</v>
      </c>
      <c r="O88" s="60">
        <f t="shared" si="28"/>
        <v>9</v>
      </c>
      <c r="P88" s="60">
        <f t="shared" si="29"/>
        <v>18</v>
      </c>
      <c r="Q88" s="60">
        <f t="shared" si="30"/>
        <v>27</v>
      </c>
      <c r="R88" s="60">
        <f t="shared" si="31"/>
        <v>33</v>
      </c>
      <c r="S88" s="60" t="str">
        <f>IFERROR(VLOOKUP(MID(N88,Q88,R88-Q88),[5]skilldef!$C:$D,2,FALSE),"-") &amp; " / " &amp; IFERROR(VLOOKUP(MID(N88,O88,P88-O88),[5]skilldef!$A:$B,2,FALSE),"-")</f>
        <v>自分自身に / 行動値設定</v>
      </c>
      <c r="T88" s="44" t="str">
        <f t="shared" si="23"/>
        <v>none</v>
      </c>
      <c r="U88" s="60" t="e">
        <f t="shared" si="32"/>
        <v>#VALUE!</v>
      </c>
      <c r="V88" s="60">
        <f t="shared" si="33"/>
        <v>4</v>
      </c>
      <c r="W88" s="60" t="e">
        <f t="shared" si="34"/>
        <v>#VALUE!</v>
      </c>
      <c r="X88" s="60" t="e">
        <f t="shared" si="35"/>
        <v>#VALUE!</v>
      </c>
      <c r="Y88" s="60" t="str">
        <f>IFERROR(VLOOKUP(MID(T88,W88,X88-W88),[5]skilldef!$C:$D,2,FALSE),"-") &amp; " / " &amp; IFERROR(VLOOKUP(MID(T88,U88,V88-U88),[5]skilldef!$A:$B,2,FALSE),"-")</f>
        <v>- / -</v>
      </c>
      <c r="Z88" s="46"/>
      <c r="AA88" s="48"/>
      <c r="AB88" s="46"/>
    </row>
    <row r="89" spans="1:28" ht="21" customHeight="1" x14ac:dyDescent="0.15">
      <c r="A89" s="43">
        <v>47009088</v>
      </c>
      <c r="B89" s="43" t="s">
        <v>557</v>
      </c>
      <c r="C89" s="46">
        <v>3</v>
      </c>
      <c r="D89" s="46" t="s">
        <v>326</v>
      </c>
      <c r="E89" s="159" t="s">
        <v>336</v>
      </c>
      <c r="F89" s="47" t="s">
        <v>539</v>
      </c>
      <c r="G89" s="60" t="str">
        <f t="shared" si="20"/>
        <v>[effect:enemy_message, val1:1.2, val2:1.4]</v>
      </c>
      <c r="H89" s="60">
        <f t="shared" si="24"/>
        <v>9</v>
      </c>
      <c r="I89" s="60">
        <f t="shared" si="25"/>
        <v>22</v>
      </c>
      <c r="J89" s="60" t="e">
        <f t="shared" si="26"/>
        <v>#VALUE!</v>
      </c>
      <c r="K89" s="60">
        <f t="shared" si="27"/>
        <v>32</v>
      </c>
      <c r="L89" s="60" t="str">
        <f>IFERROR(VLOOKUP(MID(G89,J89,K89-J89),[5]skilldef!$C:$D,2,FALSE),"-") &amp; " / " &amp; IFERROR(VLOOKUP(MID(G89,H89,I89-H89),[5]skilldef!$A:$B,2,FALSE),"-")</f>
        <v>- / -</v>
      </c>
      <c r="M89" s="60" t="str">
        <f t="shared" si="21"/>
        <v>[effect:enhance_unit, target:unit_blue, turn:-1, status:heal, val:0.4, calc:mul],[effect:fix_speed, target:myself, turn:1]</v>
      </c>
      <c r="N89" s="44" t="str">
        <f t="shared" si="22"/>
        <v>[effect:enhance_unit, target:unit_blue, turn:-1, status:heal, val:0.4, calc:mul],[effect:fix_speed, target:myself, turn:1]</v>
      </c>
      <c r="O89" s="60">
        <f t="shared" si="28"/>
        <v>9</v>
      </c>
      <c r="P89" s="60">
        <f t="shared" si="29"/>
        <v>21</v>
      </c>
      <c r="Q89" s="60">
        <f t="shared" si="30"/>
        <v>30</v>
      </c>
      <c r="R89" s="60">
        <f t="shared" si="31"/>
        <v>39</v>
      </c>
      <c r="S89" s="60" t="str">
        <f>IFERROR(VLOOKUP(MID(N89,Q89,R89-Q89),[5]skilldef!$C:$D,2,FALSE),"-") &amp; " / " &amp; IFERROR(VLOOKUP(MID(N89,O89,P89-O89),[5]skilldef!$A:$B,2,FALSE),"-")</f>
        <v>青の味方に / -</v>
      </c>
      <c r="T89" s="44" t="str">
        <f t="shared" si="23"/>
        <v>[effect:fix_speed, target:myself, turn:1]</v>
      </c>
      <c r="U89" s="60">
        <f t="shared" si="32"/>
        <v>9</v>
      </c>
      <c r="V89" s="60">
        <f t="shared" si="33"/>
        <v>18</v>
      </c>
      <c r="W89" s="60">
        <f t="shared" si="34"/>
        <v>27</v>
      </c>
      <c r="X89" s="60">
        <f t="shared" si="35"/>
        <v>33</v>
      </c>
      <c r="Y89" s="60" t="str">
        <f>IFERROR(VLOOKUP(MID(T89,W89,X89-W89),[5]skilldef!$C:$D,2,FALSE),"-") &amp; " / " &amp; IFERROR(VLOOKUP(MID(T89,U89,V89-U89),[5]skilldef!$A:$B,2,FALSE),"-")</f>
        <v>自分自身に / 行動値設定</v>
      </c>
      <c r="Z89" s="46"/>
      <c r="AA89" s="48"/>
      <c r="AB89" s="46"/>
    </row>
    <row r="90" spans="1:28" ht="21" customHeight="1" x14ac:dyDescent="0.15">
      <c r="A90" s="43">
        <v>47009089</v>
      </c>
      <c r="B90" s="43" t="s">
        <v>522</v>
      </c>
      <c r="C90" s="46">
        <v>3</v>
      </c>
      <c r="D90" s="46" t="s">
        <v>326</v>
      </c>
      <c r="E90" s="159" t="s">
        <v>337</v>
      </c>
      <c r="F90" s="150" t="s">
        <v>603</v>
      </c>
      <c r="G90" s="60" t="str">
        <f t="shared" si="20"/>
        <v>[effect:enemy_message, val1:3.1, val2:0]</v>
      </c>
      <c r="H90" s="60">
        <f t="shared" si="24"/>
        <v>9</v>
      </c>
      <c r="I90" s="60">
        <f t="shared" si="25"/>
        <v>22</v>
      </c>
      <c r="J90" s="60" t="e">
        <f t="shared" si="26"/>
        <v>#VALUE!</v>
      </c>
      <c r="K90" s="60">
        <f t="shared" si="27"/>
        <v>32</v>
      </c>
      <c r="L90" s="60" t="str">
        <f>IFERROR(VLOOKUP(MID(G90,J90,K90-J90),[5]skilldef!$C:$D,2,FALSE),"-") &amp; " / " &amp; IFERROR(VLOOKUP(MID(G90,H90,I90-H90),[5]skilldef!$A:$B,2,FALSE),"-")</f>
        <v>- / -</v>
      </c>
      <c r="M90" s="60" t="str">
        <f t="shared" si="21"/>
        <v>[effect:fix_speed, target:myself, turn:1]</v>
      </c>
      <c r="N90" s="44" t="str">
        <f t="shared" si="22"/>
        <v>[effect:fix_speed, target:myself, turn:1]</v>
      </c>
      <c r="O90" s="60">
        <f t="shared" si="28"/>
        <v>9</v>
      </c>
      <c r="P90" s="60">
        <f t="shared" si="29"/>
        <v>18</v>
      </c>
      <c r="Q90" s="60">
        <f t="shared" si="30"/>
        <v>27</v>
      </c>
      <c r="R90" s="60">
        <f t="shared" si="31"/>
        <v>33</v>
      </c>
      <c r="S90" s="60" t="str">
        <f>IFERROR(VLOOKUP(MID(N90,Q90,R90-Q90),[5]skilldef!$C:$D,2,FALSE),"-") &amp; " / " &amp; IFERROR(VLOOKUP(MID(N90,O90,P90-O90),[5]skilldef!$A:$B,2,FALSE),"-")</f>
        <v>自分自身に / 行動値設定</v>
      </c>
      <c r="T90" s="44" t="str">
        <f t="shared" si="23"/>
        <v>none</v>
      </c>
      <c r="U90" s="60" t="e">
        <f t="shared" si="32"/>
        <v>#VALUE!</v>
      </c>
      <c r="V90" s="60">
        <f t="shared" si="33"/>
        <v>4</v>
      </c>
      <c r="W90" s="60" t="e">
        <f t="shared" si="34"/>
        <v>#VALUE!</v>
      </c>
      <c r="X90" s="60" t="e">
        <f t="shared" si="35"/>
        <v>#VALUE!</v>
      </c>
      <c r="Y90" s="60" t="str">
        <f>IFERROR(VLOOKUP(MID(T90,W90,X90-W90),[5]skilldef!$C:$D,2,FALSE),"-") &amp; " / " &amp; IFERROR(VLOOKUP(MID(T90,U90,V90-U90),[5]skilldef!$A:$B,2,FALSE),"-")</f>
        <v>- / -</v>
      </c>
      <c r="Z90" s="46"/>
      <c r="AA90" s="48"/>
      <c r="AB90" s="46"/>
    </row>
    <row r="91" spans="1:28" ht="21" customHeight="1" x14ac:dyDescent="0.15">
      <c r="A91" s="43">
        <v>47009090</v>
      </c>
      <c r="B91" s="43" t="s">
        <v>523</v>
      </c>
      <c r="C91" s="46">
        <v>3</v>
      </c>
      <c r="D91" s="46" t="s">
        <v>326</v>
      </c>
      <c r="E91" s="159" t="s">
        <v>338</v>
      </c>
      <c r="F91" s="150" t="s">
        <v>603</v>
      </c>
      <c r="G91" s="60" t="str">
        <f t="shared" si="20"/>
        <v>[effect:enemy_message, val1:2.6, val2:0]</v>
      </c>
      <c r="H91" s="60">
        <f t="shared" si="24"/>
        <v>9</v>
      </c>
      <c r="I91" s="60">
        <f t="shared" si="25"/>
        <v>22</v>
      </c>
      <c r="J91" s="60" t="e">
        <f t="shared" si="26"/>
        <v>#VALUE!</v>
      </c>
      <c r="K91" s="60">
        <f t="shared" si="27"/>
        <v>32</v>
      </c>
      <c r="L91" s="60" t="str">
        <f>IFERROR(VLOOKUP(MID(G91,J91,K91-J91),[5]skilldef!$C:$D,2,FALSE),"-") &amp; " / " &amp; IFERROR(VLOOKUP(MID(G91,H91,I91-H91),[5]skilldef!$A:$B,2,FALSE),"-")</f>
        <v>- / -</v>
      </c>
      <c r="M91" s="60" t="str">
        <f t="shared" si="21"/>
        <v>[effect:fix_speed, target:myself, turn:1]</v>
      </c>
      <c r="N91" s="44" t="str">
        <f t="shared" si="22"/>
        <v>[effect:fix_speed, target:myself, turn:1]</v>
      </c>
      <c r="O91" s="60">
        <f t="shared" si="28"/>
        <v>9</v>
      </c>
      <c r="P91" s="60">
        <f t="shared" si="29"/>
        <v>18</v>
      </c>
      <c r="Q91" s="60">
        <f t="shared" si="30"/>
        <v>27</v>
      </c>
      <c r="R91" s="60">
        <f t="shared" si="31"/>
        <v>33</v>
      </c>
      <c r="S91" s="60" t="str">
        <f>IFERROR(VLOOKUP(MID(N91,Q91,R91-Q91),[5]skilldef!$C:$D,2,FALSE),"-") &amp; " / " &amp; IFERROR(VLOOKUP(MID(N91,O91,P91-O91),[5]skilldef!$A:$B,2,FALSE),"-")</f>
        <v>自分自身に / 行動値設定</v>
      </c>
      <c r="T91" s="44" t="str">
        <f t="shared" si="23"/>
        <v>none</v>
      </c>
      <c r="U91" s="60" t="e">
        <f t="shared" si="32"/>
        <v>#VALUE!</v>
      </c>
      <c r="V91" s="60">
        <f t="shared" si="33"/>
        <v>4</v>
      </c>
      <c r="W91" s="60" t="e">
        <f t="shared" si="34"/>
        <v>#VALUE!</v>
      </c>
      <c r="X91" s="60" t="e">
        <f t="shared" si="35"/>
        <v>#VALUE!</v>
      </c>
      <c r="Y91" s="60" t="str">
        <f>IFERROR(VLOOKUP(MID(T91,W91,X91-W91),[5]skilldef!$C:$D,2,FALSE),"-") &amp; " / " &amp; IFERROR(VLOOKUP(MID(T91,U91,V91-U91),[5]skilldef!$A:$B,2,FALSE),"-")</f>
        <v>- / -</v>
      </c>
      <c r="Z91" s="46"/>
      <c r="AA91" s="48"/>
      <c r="AB91" s="46"/>
    </row>
    <row r="92" spans="1:28" ht="21" customHeight="1" x14ac:dyDescent="0.15">
      <c r="A92" s="43">
        <v>47009091</v>
      </c>
      <c r="B92" s="43" t="s">
        <v>524</v>
      </c>
      <c r="C92" s="46">
        <v>3</v>
      </c>
      <c r="D92" s="46" t="s">
        <v>326</v>
      </c>
      <c r="E92" s="159" t="s">
        <v>339</v>
      </c>
      <c r="F92" s="150" t="s">
        <v>603</v>
      </c>
      <c r="G92" s="60" t="str">
        <f t="shared" si="20"/>
        <v>[effect:enemy_message, val1:2.7, val2:0]</v>
      </c>
      <c r="H92" s="60">
        <f t="shared" si="24"/>
        <v>9</v>
      </c>
      <c r="I92" s="60">
        <f t="shared" si="25"/>
        <v>22</v>
      </c>
      <c r="J92" s="60" t="e">
        <f t="shared" si="26"/>
        <v>#VALUE!</v>
      </c>
      <c r="K92" s="60">
        <f t="shared" si="27"/>
        <v>32</v>
      </c>
      <c r="L92" s="60" t="str">
        <f>IFERROR(VLOOKUP(MID(G92,J92,K92-J92),[5]skilldef!$C:$D,2,FALSE),"-") &amp; " / " &amp; IFERROR(VLOOKUP(MID(G92,H92,I92-H92),[5]skilldef!$A:$B,2,FALSE),"-")</f>
        <v>- / -</v>
      </c>
      <c r="M92" s="60" t="str">
        <f t="shared" si="21"/>
        <v>[effect:fix_speed, target:myself, turn:1]</v>
      </c>
      <c r="N92" s="44" t="str">
        <f t="shared" si="22"/>
        <v>[effect:fix_speed, target:myself, turn:1]</v>
      </c>
      <c r="O92" s="60">
        <f t="shared" si="28"/>
        <v>9</v>
      </c>
      <c r="P92" s="60">
        <f t="shared" si="29"/>
        <v>18</v>
      </c>
      <c r="Q92" s="60">
        <f t="shared" si="30"/>
        <v>27</v>
      </c>
      <c r="R92" s="60">
        <f t="shared" si="31"/>
        <v>33</v>
      </c>
      <c r="S92" s="60" t="str">
        <f>IFERROR(VLOOKUP(MID(N92,Q92,R92-Q92),[5]skilldef!$C:$D,2,FALSE),"-") &amp; " / " &amp; IFERROR(VLOOKUP(MID(N92,O92,P92-O92),[5]skilldef!$A:$B,2,FALSE),"-")</f>
        <v>自分自身に / 行動値設定</v>
      </c>
      <c r="T92" s="44" t="str">
        <f t="shared" si="23"/>
        <v>none</v>
      </c>
      <c r="U92" s="60" t="e">
        <f t="shared" si="32"/>
        <v>#VALUE!</v>
      </c>
      <c r="V92" s="60">
        <f t="shared" si="33"/>
        <v>4</v>
      </c>
      <c r="W92" s="60" t="e">
        <f t="shared" si="34"/>
        <v>#VALUE!</v>
      </c>
      <c r="X92" s="60" t="e">
        <f t="shared" si="35"/>
        <v>#VALUE!</v>
      </c>
      <c r="Y92" s="60" t="str">
        <f>IFERROR(VLOOKUP(MID(T92,W92,X92-W92),[5]skilldef!$C:$D,2,FALSE),"-") &amp; " / " &amp; IFERROR(VLOOKUP(MID(T92,U92,V92-U92),[5]skilldef!$A:$B,2,FALSE),"-")</f>
        <v>- / -</v>
      </c>
      <c r="Z92" s="46"/>
      <c r="AA92" s="48"/>
      <c r="AB92" s="46"/>
    </row>
    <row r="93" spans="1:28" ht="21" customHeight="1" x14ac:dyDescent="0.15">
      <c r="A93" s="43">
        <v>47009092</v>
      </c>
      <c r="B93" s="43" t="s">
        <v>585</v>
      </c>
      <c r="C93" s="46">
        <v>3</v>
      </c>
      <c r="D93" s="46" t="s">
        <v>326</v>
      </c>
      <c r="E93" s="159" t="s">
        <v>340</v>
      </c>
      <c r="F93" s="150" t="s">
        <v>603</v>
      </c>
      <c r="G93" s="60" t="str">
        <f t="shared" si="20"/>
        <v>[effect:enemy_message, val1:1.5, val2:0]</v>
      </c>
      <c r="H93" s="60">
        <f t="shared" si="24"/>
        <v>9</v>
      </c>
      <c r="I93" s="60">
        <f t="shared" si="25"/>
        <v>22</v>
      </c>
      <c r="J93" s="60" t="e">
        <f t="shared" si="26"/>
        <v>#VALUE!</v>
      </c>
      <c r="K93" s="60">
        <f t="shared" si="27"/>
        <v>32</v>
      </c>
      <c r="L93" s="60" t="str">
        <f>IFERROR(VLOOKUP(MID(G93,J93,K93-J93),[5]skilldef!$C:$D,2,FALSE),"-") &amp; " / " &amp; IFERROR(VLOOKUP(MID(G93,H93,I93-H93),[5]skilldef!$A:$B,2,FALSE),"-")</f>
        <v>- / -</v>
      </c>
      <c r="M93" s="60" t="str">
        <f t="shared" si="21"/>
        <v>[effect:fix_speed, target:myself, turn:1]</v>
      </c>
      <c r="N93" s="44" t="str">
        <f t="shared" si="22"/>
        <v>[effect:fix_speed, target:myself, turn:1]</v>
      </c>
      <c r="O93" s="60">
        <f t="shared" si="28"/>
        <v>9</v>
      </c>
      <c r="P93" s="60">
        <f t="shared" si="29"/>
        <v>18</v>
      </c>
      <c r="Q93" s="60">
        <f t="shared" si="30"/>
        <v>27</v>
      </c>
      <c r="R93" s="60">
        <f t="shared" si="31"/>
        <v>33</v>
      </c>
      <c r="S93" s="60" t="str">
        <f>IFERROR(VLOOKUP(MID(N93,Q93,R93-Q93),[5]skilldef!$C:$D,2,FALSE),"-") &amp; " / " &amp; IFERROR(VLOOKUP(MID(N93,O93,P93-O93),[5]skilldef!$A:$B,2,FALSE),"-")</f>
        <v>自分自身に / 行動値設定</v>
      </c>
      <c r="T93" s="44" t="str">
        <f t="shared" si="23"/>
        <v>none</v>
      </c>
      <c r="U93" s="60" t="e">
        <f t="shared" si="32"/>
        <v>#VALUE!</v>
      </c>
      <c r="V93" s="60">
        <f t="shared" si="33"/>
        <v>4</v>
      </c>
      <c r="W93" s="60" t="e">
        <f t="shared" si="34"/>
        <v>#VALUE!</v>
      </c>
      <c r="X93" s="60" t="e">
        <f t="shared" si="35"/>
        <v>#VALUE!</v>
      </c>
      <c r="Y93" s="60" t="str">
        <f>IFERROR(VLOOKUP(MID(T93,W93,X93-W93),[5]skilldef!$C:$D,2,FALSE),"-") &amp; " / " &amp; IFERROR(VLOOKUP(MID(T93,U93,V93-U93),[5]skilldef!$A:$B,2,FALSE),"-")</f>
        <v>- / -</v>
      </c>
      <c r="Z93" s="46"/>
      <c r="AA93" s="48"/>
      <c r="AB93" s="46"/>
    </row>
    <row r="94" spans="1:28" ht="21" customHeight="1" x14ac:dyDescent="0.15">
      <c r="A94" s="43">
        <v>47009093</v>
      </c>
      <c r="B94" s="43" t="s">
        <v>586</v>
      </c>
      <c r="C94" s="46">
        <v>3</v>
      </c>
      <c r="D94" s="46" t="s">
        <v>326</v>
      </c>
      <c r="E94" s="159" t="s">
        <v>341</v>
      </c>
      <c r="F94" s="47" t="s">
        <v>596</v>
      </c>
      <c r="G94" s="60" t="str">
        <f t="shared" si="20"/>
        <v>[effect:enemy_message, val1:1.5, val2:1.8]</v>
      </c>
      <c r="H94" s="60">
        <f t="shared" si="24"/>
        <v>9</v>
      </c>
      <c r="I94" s="60">
        <f t="shared" si="25"/>
        <v>22</v>
      </c>
      <c r="J94" s="60" t="e">
        <f t="shared" si="26"/>
        <v>#VALUE!</v>
      </c>
      <c r="K94" s="60">
        <f t="shared" si="27"/>
        <v>32</v>
      </c>
      <c r="L94" s="60" t="str">
        <f>IFERROR(VLOOKUP(MID(G94,J94,K94-J94),[5]skilldef!$C:$D,2,FALSE),"-") &amp; " / " &amp; IFERROR(VLOOKUP(MID(G94,H94,I94-H94),[5]skilldef!$A:$B,2,FALSE),"-")</f>
        <v>- / -</v>
      </c>
      <c r="M94" s="60" t="str">
        <f t="shared" si="21"/>
        <v>[effect:enhance_unit, target:unit_blue, turn:-1, status:action, val:1],[effect:fix_speed, target:myself, turn:1]</v>
      </c>
      <c r="N94" s="44" t="str">
        <f t="shared" si="22"/>
        <v>[effect:enhance_unit, target:unit_blue, turn:-1, status:action, val:1],[effect:fix_speed, target:myself, turn:1]</v>
      </c>
      <c r="O94" s="60">
        <f t="shared" si="28"/>
        <v>9</v>
      </c>
      <c r="P94" s="60">
        <f t="shared" si="29"/>
        <v>21</v>
      </c>
      <c r="Q94" s="60">
        <f t="shared" si="30"/>
        <v>30</v>
      </c>
      <c r="R94" s="60">
        <f t="shared" si="31"/>
        <v>39</v>
      </c>
      <c r="S94" s="60" t="str">
        <f>IFERROR(VLOOKUP(MID(N94,Q94,R94-Q94),[5]skilldef!$C:$D,2,FALSE),"-") &amp; " / " &amp; IFERROR(VLOOKUP(MID(N94,O94,P94-O94),[5]skilldef!$A:$B,2,FALSE),"-")</f>
        <v>青の味方に / -</v>
      </c>
      <c r="T94" s="44" t="str">
        <f t="shared" si="23"/>
        <v>[effect:fix_speed, target:myself, turn:1]</v>
      </c>
      <c r="U94" s="60">
        <f t="shared" si="32"/>
        <v>9</v>
      </c>
      <c r="V94" s="60">
        <f t="shared" si="33"/>
        <v>18</v>
      </c>
      <c r="W94" s="60">
        <f t="shared" si="34"/>
        <v>27</v>
      </c>
      <c r="X94" s="60">
        <f t="shared" si="35"/>
        <v>33</v>
      </c>
      <c r="Y94" s="60" t="str">
        <f>IFERROR(VLOOKUP(MID(T94,W94,X94-W94),[5]skilldef!$C:$D,2,FALSE),"-") &amp; " / " &amp; IFERROR(VLOOKUP(MID(T94,U94,V94-U94),[5]skilldef!$A:$B,2,FALSE),"-")</f>
        <v>自分自身に / 行動値設定</v>
      </c>
      <c r="Z94" s="46"/>
      <c r="AA94" s="48"/>
      <c r="AB94" s="46"/>
    </row>
    <row r="95" spans="1:28" ht="21" customHeight="1" x14ac:dyDescent="0.15">
      <c r="A95" s="43">
        <v>47009094</v>
      </c>
      <c r="B95" s="43" t="s">
        <v>515</v>
      </c>
      <c r="C95" s="46">
        <v>3</v>
      </c>
      <c r="D95" s="46" t="s">
        <v>326</v>
      </c>
      <c r="E95" s="159" t="s">
        <v>342</v>
      </c>
      <c r="F95" s="150" t="s">
        <v>603</v>
      </c>
      <c r="G95" s="60" t="str">
        <f t="shared" si="20"/>
        <v>[effect:enemy_message, val1:1.4, val2:0]</v>
      </c>
      <c r="H95" s="60">
        <f t="shared" si="24"/>
        <v>9</v>
      </c>
      <c r="I95" s="60">
        <f t="shared" si="25"/>
        <v>22</v>
      </c>
      <c r="J95" s="60" t="e">
        <f t="shared" si="26"/>
        <v>#VALUE!</v>
      </c>
      <c r="K95" s="60">
        <f t="shared" si="27"/>
        <v>32</v>
      </c>
      <c r="L95" s="60" t="str">
        <f>IFERROR(VLOOKUP(MID(G95,J95,K95-J95),[5]skilldef!$C:$D,2,FALSE),"-") &amp; " / " &amp; IFERROR(VLOOKUP(MID(G95,H95,I95-H95),[5]skilldef!$A:$B,2,FALSE),"-")</f>
        <v>- / -</v>
      </c>
      <c r="M95" s="60" t="str">
        <f t="shared" si="21"/>
        <v>[effect:fix_speed, target:myself, turn:1]</v>
      </c>
      <c r="N95" s="44" t="str">
        <f t="shared" si="22"/>
        <v>[effect:fix_speed, target:myself, turn:1]</v>
      </c>
      <c r="O95" s="60">
        <f t="shared" si="28"/>
        <v>9</v>
      </c>
      <c r="P95" s="60">
        <f t="shared" si="29"/>
        <v>18</v>
      </c>
      <c r="Q95" s="60">
        <f t="shared" si="30"/>
        <v>27</v>
      </c>
      <c r="R95" s="60">
        <f t="shared" si="31"/>
        <v>33</v>
      </c>
      <c r="S95" s="60" t="str">
        <f>IFERROR(VLOOKUP(MID(N95,Q95,R95-Q95),[5]skilldef!$C:$D,2,FALSE),"-") &amp; " / " &amp; IFERROR(VLOOKUP(MID(N95,O95,P95-O95),[5]skilldef!$A:$B,2,FALSE),"-")</f>
        <v>自分自身に / 行動値設定</v>
      </c>
      <c r="T95" s="44" t="str">
        <f t="shared" si="23"/>
        <v>none</v>
      </c>
      <c r="U95" s="60" t="e">
        <f t="shared" si="32"/>
        <v>#VALUE!</v>
      </c>
      <c r="V95" s="60">
        <f t="shared" si="33"/>
        <v>4</v>
      </c>
      <c r="W95" s="60" t="e">
        <f t="shared" si="34"/>
        <v>#VALUE!</v>
      </c>
      <c r="X95" s="60" t="e">
        <f t="shared" si="35"/>
        <v>#VALUE!</v>
      </c>
      <c r="Y95" s="60" t="str">
        <f>IFERROR(VLOOKUP(MID(T95,W95,X95-W95),[5]skilldef!$C:$D,2,FALSE),"-") &amp; " / " &amp; IFERROR(VLOOKUP(MID(T95,U95,V95-U95),[5]skilldef!$A:$B,2,FALSE),"-")</f>
        <v>- / -</v>
      </c>
      <c r="Z95" s="46"/>
      <c r="AA95" s="48"/>
      <c r="AB95" s="46"/>
    </row>
    <row r="96" spans="1:28" ht="21" customHeight="1" x14ac:dyDescent="0.15">
      <c r="A96" s="43">
        <v>47009095</v>
      </c>
      <c r="B96" s="43" t="s">
        <v>524</v>
      </c>
      <c r="C96" s="46">
        <v>3</v>
      </c>
      <c r="D96" s="46" t="s">
        <v>326</v>
      </c>
      <c r="E96" s="159" t="s">
        <v>343</v>
      </c>
      <c r="F96" s="150" t="s">
        <v>603</v>
      </c>
      <c r="G96" s="60" t="str">
        <f t="shared" si="20"/>
        <v>[effect:enemy_message, val1:2.7, val2:0]</v>
      </c>
      <c r="H96" s="60">
        <f t="shared" si="24"/>
        <v>9</v>
      </c>
      <c r="I96" s="60">
        <f t="shared" si="25"/>
        <v>22</v>
      </c>
      <c r="J96" s="60" t="e">
        <f t="shared" si="26"/>
        <v>#VALUE!</v>
      </c>
      <c r="K96" s="60">
        <f t="shared" si="27"/>
        <v>32</v>
      </c>
      <c r="L96" s="60" t="str">
        <f>IFERROR(VLOOKUP(MID(G96,J96,K96-J96),[5]skilldef!$C:$D,2,FALSE),"-") &amp; " / " &amp; IFERROR(VLOOKUP(MID(G96,H96,I96-H96),[5]skilldef!$A:$B,2,FALSE),"-")</f>
        <v>- / -</v>
      </c>
      <c r="M96" s="60" t="str">
        <f t="shared" si="21"/>
        <v>[effect:fix_speed, target:myself, turn:1]</v>
      </c>
      <c r="N96" s="44" t="str">
        <f t="shared" si="22"/>
        <v>[effect:fix_speed, target:myself, turn:1]</v>
      </c>
      <c r="O96" s="60">
        <f t="shared" si="28"/>
        <v>9</v>
      </c>
      <c r="P96" s="60">
        <f t="shared" si="29"/>
        <v>18</v>
      </c>
      <c r="Q96" s="60">
        <f t="shared" si="30"/>
        <v>27</v>
      </c>
      <c r="R96" s="60">
        <f t="shared" si="31"/>
        <v>33</v>
      </c>
      <c r="S96" s="60" t="str">
        <f>IFERROR(VLOOKUP(MID(N96,Q96,R96-Q96),[5]skilldef!$C:$D,2,FALSE),"-") &amp; " / " &amp; IFERROR(VLOOKUP(MID(N96,O96,P96-O96),[5]skilldef!$A:$B,2,FALSE),"-")</f>
        <v>自分自身に / 行動値設定</v>
      </c>
      <c r="T96" s="44" t="str">
        <f t="shared" si="23"/>
        <v>none</v>
      </c>
      <c r="U96" s="60" t="e">
        <f t="shared" si="32"/>
        <v>#VALUE!</v>
      </c>
      <c r="V96" s="60">
        <f t="shared" si="33"/>
        <v>4</v>
      </c>
      <c r="W96" s="60" t="e">
        <f t="shared" si="34"/>
        <v>#VALUE!</v>
      </c>
      <c r="X96" s="60" t="e">
        <f t="shared" si="35"/>
        <v>#VALUE!</v>
      </c>
      <c r="Y96" s="60" t="str">
        <f>IFERROR(VLOOKUP(MID(T96,W96,X96-W96),[5]skilldef!$C:$D,2,FALSE),"-") &amp; " / " &amp; IFERROR(VLOOKUP(MID(T96,U96,V96-U96),[5]skilldef!$A:$B,2,FALSE),"-")</f>
        <v>- / -</v>
      </c>
      <c r="Z96" s="46"/>
      <c r="AA96" s="48"/>
      <c r="AB96" s="46"/>
    </row>
    <row r="97" spans="1:28" ht="21" customHeight="1" x14ac:dyDescent="0.15">
      <c r="A97" s="43">
        <v>47009096</v>
      </c>
      <c r="B97" s="43" t="s">
        <v>516</v>
      </c>
      <c r="C97" s="46">
        <v>3</v>
      </c>
      <c r="D97" s="46" t="s">
        <v>326</v>
      </c>
      <c r="E97" s="159" t="s">
        <v>344</v>
      </c>
      <c r="F97" s="150" t="s">
        <v>603</v>
      </c>
      <c r="G97" s="60" t="str">
        <f t="shared" si="20"/>
        <v>[effect:enemy_message, val1:1.8, val2:0]</v>
      </c>
      <c r="H97" s="60">
        <f t="shared" si="24"/>
        <v>9</v>
      </c>
      <c r="I97" s="60">
        <f t="shared" si="25"/>
        <v>22</v>
      </c>
      <c r="J97" s="60" t="e">
        <f t="shared" si="26"/>
        <v>#VALUE!</v>
      </c>
      <c r="K97" s="60">
        <f t="shared" si="27"/>
        <v>32</v>
      </c>
      <c r="L97" s="60" t="str">
        <f>IFERROR(VLOOKUP(MID(G97,J97,K97-J97),[5]skilldef!$C:$D,2,FALSE),"-") &amp; " / " &amp; IFERROR(VLOOKUP(MID(G97,H97,I97-H97),[5]skilldef!$A:$B,2,FALSE),"-")</f>
        <v>- / -</v>
      </c>
      <c r="M97" s="60" t="str">
        <f t="shared" si="21"/>
        <v>[effect:fix_speed, target:myself, turn:1]</v>
      </c>
      <c r="N97" s="44" t="str">
        <f t="shared" si="22"/>
        <v>[effect:fix_speed, target:myself, turn:1]</v>
      </c>
      <c r="O97" s="60">
        <f t="shared" si="28"/>
        <v>9</v>
      </c>
      <c r="P97" s="60">
        <f t="shared" si="29"/>
        <v>18</v>
      </c>
      <c r="Q97" s="60">
        <f t="shared" si="30"/>
        <v>27</v>
      </c>
      <c r="R97" s="60">
        <f t="shared" si="31"/>
        <v>33</v>
      </c>
      <c r="S97" s="60" t="str">
        <f>IFERROR(VLOOKUP(MID(N97,Q97,R97-Q97),[5]skilldef!$C:$D,2,FALSE),"-") &amp; " / " &amp; IFERROR(VLOOKUP(MID(N97,O97,P97-O97),[5]skilldef!$A:$B,2,FALSE),"-")</f>
        <v>自分自身に / 行動値設定</v>
      </c>
      <c r="T97" s="44" t="str">
        <f t="shared" si="23"/>
        <v>none</v>
      </c>
      <c r="U97" s="60" t="e">
        <f t="shared" si="32"/>
        <v>#VALUE!</v>
      </c>
      <c r="V97" s="60">
        <f t="shared" si="33"/>
        <v>4</v>
      </c>
      <c r="W97" s="60" t="e">
        <f t="shared" si="34"/>
        <v>#VALUE!</v>
      </c>
      <c r="X97" s="60" t="e">
        <f t="shared" si="35"/>
        <v>#VALUE!</v>
      </c>
      <c r="Y97" s="60" t="str">
        <f>IFERROR(VLOOKUP(MID(T97,W97,X97-W97),[5]skilldef!$C:$D,2,FALSE),"-") &amp; " / " &amp; IFERROR(VLOOKUP(MID(T97,U97,V97-U97),[5]skilldef!$A:$B,2,FALSE),"-")</f>
        <v>- / -</v>
      </c>
      <c r="Z97" s="46"/>
      <c r="AA97" s="48"/>
      <c r="AB97" s="46"/>
    </row>
    <row r="98" spans="1:28" ht="21" customHeight="1" x14ac:dyDescent="0.15">
      <c r="A98" s="43">
        <v>47009097</v>
      </c>
      <c r="B98" s="43" t="s">
        <v>521</v>
      </c>
      <c r="C98" s="46">
        <v>3</v>
      </c>
      <c r="D98" s="46" t="s">
        <v>326</v>
      </c>
      <c r="E98" s="159" t="s">
        <v>345</v>
      </c>
      <c r="F98" s="150" t="s">
        <v>603</v>
      </c>
      <c r="G98" s="60" t="str">
        <f t="shared" ref="G98:G124" si="36">IFERROR(LEFT(B98,FIND("]",B98)),B98)</f>
        <v>[effect:enemy_message, val1:1.9, val2:0]</v>
      </c>
      <c r="H98" s="60">
        <f t="shared" si="24"/>
        <v>9</v>
      </c>
      <c r="I98" s="60">
        <f t="shared" si="25"/>
        <v>22</v>
      </c>
      <c r="J98" s="60" t="e">
        <f t="shared" si="26"/>
        <v>#VALUE!</v>
      </c>
      <c r="K98" s="60">
        <f t="shared" si="27"/>
        <v>32</v>
      </c>
      <c r="L98" s="60" t="str">
        <f>IFERROR(VLOOKUP(MID(G98,J98,K98-J98),[5]skilldef!$C:$D,2,FALSE),"-") &amp; " / " &amp; IFERROR(VLOOKUP(MID(G98,H98,I98-H98),[5]skilldef!$A:$B,2,FALSE),"-")</f>
        <v>- / -</v>
      </c>
      <c r="M98" s="60" t="str">
        <f t="shared" ref="M98:M124" si="37">IFERROR(RIGHT(B98,LEN(B98)-FIND("]",B98)-1),"none")</f>
        <v>[effect:fix_speed, target:myself, turn:1]</v>
      </c>
      <c r="N98" s="44" t="str">
        <f t="shared" ref="N98:N114" si="38">IFERROR(LEFT(M98,FIND("]",M98)+S108),M98)</f>
        <v>[effect:fix_speed, target:myself, turn:1]</v>
      </c>
      <c r="O98" s="60">
        <f t="shared" si="28"/>
        <v>9</v>
      </c>
      <c r="P98" s="60">
        <f t="shared" si="29"/>
        <v>18</v>
      </c>
      <c r="Q98" s="60">
        <f t="shared" si="30"/>
        <v>27</v>
      </c>
      <c r="R98" s="60">
        <f t="shared" si="31"/>
        <v>33</v>
      </c>
      <c r="S98" s="60" t="str">
        <f>IFERROR(VLOOKUP(MID(N98,Q98,R98-Q98),[5]skilldef!$C:$D,2,FALSE),"-") &amp; " / " &amp; IFERROR(VLOOKUP(MID(N98,O98,P98-O98),[5]skilldef!$A:$B,2,FALSE),"-")</f>
        <v>自分自身に / 行動値設定</v>
      </c>
      <c r="T98" s="44" t="str">
        <f t="shared" ref="T98:T124" si="39">IFERROR(RIGHT(M98,LEN(M98)-FIND("]",M98)-1),"none")</f>
        <v>none</v>
      </c>
      <c r="U98" s="60" t="e">
        <f t="shared" si="32"/>
        <v>#VALUE!</v>
      </c>
      <c r="V98" s="60">
        <f t="shared" si="33"/>
        <v>4</v>
      </c>
      <c r="W98" s="60" t="e">
        <f t="shared" si="34"/>
        <v>#VALUE!</v>
      </c>
      <c r="X98" s="60" t="e">
        <f t="shared" si="35"/>
        <v>#VALUE!</v>
      </c>
      <c r="Y98" s="60" t="str">
        <f>IFERROR(VLOOKUP(MID(T98,W98,X98-W98),[5]skilldef!$C:$D,2,FALSE),"-") &amp; " / " &amp; IFERROR(VLOOKUP(MID(T98,U98,V98-U98),[5]skilldef!$A:$B,2,FALSE),"-")</f>
        <v>- / -</v>
      </c>
      <c r="Z98" s="46"/>
      <c r="AA98" s="48"/>
      <c r="AB98" s="46"/>
    </row>
    <row r="99" spans="1:28" ht="21" customHeight="1" x14ac:dyDescent="0.15">
      <c r="A99" s="43">
        <v>47009098</v>
      </c>
      <c r="B99" s="43" t="s">
        <v>587</v>
      </c>
      <c r="C99" s="46">
        <v>3</v>
      </c>
      <c r="D99" s="46" t="s">
        <v>326</v>
      </c>
      <c r="E99" s="159" t="s">
        <v>346</v>
      </c>
      <c r="F99" s="150" t="s">
        <v>603</v>
      </c>
      <c r="G99" s="60" t="str">
        <f t="shared" si="36"/>
        <v>[effect:enemy_message, val1:1.8, val2:0]</v>
      </c>
      <c r="H99" s="60">
        <f t="shared" si="24"/>
        <v>9</v>
      </c>
      <c r="I99" s="60">
        <f t="shared" si="25"/>
        <v>22</v>
      </c>
      <c r="J99" s="60" t="e">
        <f t="shared" si="26"/>
        <v>#VALUE!</v>
      </c>
      <c r="K99" s="60">
        <f t="shared" si="27"/>
        <v>32</v>
      </c>
      <c r="L99" s="60" t="str">
        <f>IFERROR(VLOOKUP(MID(G99,J99,K99-J99),[5]skilldef!$C:$D,2,FALSE),"-") &amp; " / " &amp; IFERROR(VLOOKUP(MID(G99,H99,I99-H99),[5]skilldef!$A:$B,2,FALSE),"-")</f>
        <v>- / -</v>
      </c>
      <c r="M99" s="60" t="str">
        <f t="shared" si="37"/>
        <v>[effect:fix_speed, target:myself, turn:1]</v>
      </c>
      <c r="N99" s="44" t="str">
        <f t="shared" si="38"/>
        <v>[effect:fix_speed, target:myself, turn:1]</v>
      </c>
      <c r="O99" s="60">
        <f t="shared" si="28"/>
        <v>9</v>
      </c>
      <c r="P99" s="60">
        <f t="shared" si="29"/>
        <v>18</v>
      </c>
      <c r="Q99" s="60">
        <f t="shared" si="30"/>
        <v>27</v>
      </c>
      <c r="R99" s="60">
        <f t="shared" si="31"/>
        <v>33</v>
      </c>
      <c r="S99" s="60" t="str">
        <f>IFERROR(VLOOKUP(MID(N99,Q99,R99-Q99),[5]skilldef!$C:$D,2,FALSE),"-") &amp; " / " &amp; IFERROR(VLOOKUP(MID(N99,O99,P99-O99),[5]skilldef!$A:$B,2,FALSE),"-")</f>
        <v>自分自身に / 行動値設定</v>
      </c>
      <c r="T99" s="44" t="str">
        <f t="shared" si="39"/>
        <v>none</v>
      </c>
      <c r="U99" s="60" t="e">
        <f t="shared" si="32"/>
        <v>#VALUE!</v>
      </c>
      <c r="V99" s="60">
        <f t="shared" si="33"/>
        <v>4</v>
      </c>
      <c r="W99" s="60" t="e">
        <f t="shared" si="34"/>
        <v>#VALUE!</v>
      </c>
      <c r="X99" s="60" t="e">
        <f t="shared" si="35"/>
        <v>#VALUE!</v>
      </c>
      <c r="Y99" s="60" t="str">
        <f>IFERROR(VLOOKUP(MID(T99,W99,X99-W99),[5]skilldef!$C:$D,2,FALSE),"-") &amp; " / " &amp; IFERROR(VLOOKUP(MID(T99,U99,V99-U99),[5]skilldef!$A:$B,2,FALSE),"-")</f>
        <v>- / -</v>
      </c>
      <c r="Z99" s="46"/>
      <c r="AA99" s="48"/>
      <c r="AB99" s="46"/>
    </row>
    <row r="100" spans="1:28" ht="21" customHeight="1" x14ac:dyDescent="0.15">
      <c r="A100" s="43">
        <v>47009099</v>
      </c>
      <c r="B100" s="43" t="s">
        <v>588</v>
      </c>
      <c r="C100" s="46">
        <v>3</v>
      </c>
      <c r="D100" s="46" t="s">
        <v>326</v>
      </c>
      <c r="E100" s="159" t="s">
        <v>347</v>
      </c>
      <c r="F100" s="150" t="s">
        <v>603</v>
      </c>
      <c r="G100" s="60" t="str">
        <f t="shared" si="36"/>
        <v>[effect:enemy_message, val1:1.8, val2:0]</v>
      </c>
      <c r="H100" s="60">
        <f t="shared" si="24"/>
        <v>9</v>
      </c>
      <c r="I100" s="60">
        <f t="shared" si="25"/>
        <v>22</v>
      </c>
      <c r="J100" s="60" t="e">
        <f t="shared" si="26"/>
        <v>#VALUE!</v>
      </c>
      <c r="K100" s="60">
        <f t="shared" si="27"/>
        <v>32</v>
      </c>
      <c r="L100" s="60" t="str">
        <f>IFERROR(VLOOKUP(MID(G100,J100,K100-J100),[5]skilldef!$C:$D,2,FALSE),"-") &amp; " / " &amp; IFERROR(VLOOKUP(MID(G100,H100,I100-H100),[5]skilldef!$A:$B,2,FALSE),"-")</f>
        <v>- / -</v>
      </c>
      <c r="M100" s="60" t="str">
        <f t="shared" si="37"/>
        <v>none</v>
      </c>
      <c r="N100" s="44" t="str">
        <f t="shared" si="38"/>
        <v>none</v>
      </c>
      <c r="O100" s="60" t="e">
        <f t="shared" si="28"/>
        <v>#VALUE!</v>
      </c>
      <c r="P100" s="60">
        <f t="shared" si="29"/>
        <v>4</v>
      </c>
      <c r="Q100" s="60" t="e">
        <f t="shared" si="30"/>
        <v>#VALUE!</v>
      </c>
      <c r="R100" s="60" t="e">
        <f t="shared" si="31"/>
        <v>#VALUE!</v>
      </c>
      <c r="S100" s="60" t="str">
        <f>IFERROR(VLOOKUP(MID(N100,Q100,R100-Q100),[5]skilldef!$C:$D,2,FALSE),"-") &amp; " / " &amp; IFERROR(VLOOKUP(MID(N100,O100,P100-O100),[5]skilldef!$A:$B,2,FALSE),"-")</f>
        <v>- / -</v>
      </c>
      <c r="T100" s="44" t="str">
        <f t="shared" si="39"/>
        <v>none</v>
      </c>
      <c r="U100" s="60" t="e">
        <f t="shared" si="32"/>
        <v>#VALUE!</v>
      </c>
      <c r="V100" s="60">
        <f t="shared" si="33"/>
        <v>4</v>
      </c>
      <c r="W100" s="60" t="e">
        <f t="shared" si="34"/>
        <v>#VALUE!</v>
      </c>
      <c r="X100" s="60" t="e">
        <f t="shared" si="35"/>
        <v>#VALUE!</v>
      </c>
      <c r="Y100" s="60" t="str">
        <f>IFERROR(VLOOKUP(MID(T100,W100,X100-W100),[5]skilldef!$C:$D,2,FALSE),"-") &amp; " / " &amp; IFERROR(VLOOKUP(MID(T100,U100,V100-U100),[5]skilldef!$A:$B,2,FALSE),"-")</f>
        <v>- / -</v>
      </c>
      <c r="Z100" s="46"/>
      <c r="AA100" s="48"/>
      <c r="AB100" s="46"/>
    </row>
    <row r="101" spans="1:28" ht="21" customHeight="1" x14ac:dyDescent="0.15">
      <c r="A101" s="43">
        <v>47009100</v>
      </c>
      <c r="B101" s="43" t="s">
        <v>526</v>
      </c>
      <c r="C101" s="46">
        <v>3</v>
      </c>
      <c r="D101" s="46" t="s">
        <v>326</v>
      </c>
      <c r="E101" s="159" t="s">
        <v>348</v>
      </c>
      <c r="F101" s="150" t="s">
        <v>603</v>
      </c>
      <c r="G101" s="60" t="str">
        <f t="shared" si="36"/>
        <v>[effect:enemy_message, val1:1.9, val2:0]</v>
      </c>
      <c r="H101" s="60">
        <f t="shared" si="24"/>
        <v>9</v>
      </c>
      <c r="I101" s="60">
        <f t="shared" si="25"/>
        <v>22</v>
      </c>
      <c r="J101" s="60" t="e">
        <f t="shared" si="26"/>
        <v>#VALUE!</v>
      </c>
      <c r="K101" s="60">
        <f t="shared" si="27"/>
        <v>32</v>
      </c>
      <c r="L101" s="60" t="str">
        <f>IFERROR(VLOOKUP(MID(G101,J101,K101-J101),[5]skilldef!$C:$D,2,FALSE),"-") &amp; " / " &amp; IFERROR(VLOOKUP(MID(G101,H101,I101-H101),[5]skilldef!$A:$B,2,FALSE),"-")</f>
        <v>- / -</v>
      </c>
      <c r="M101" s="60" t="str">
        <f t="shared" si="37"/>
        <v>none</v>
      </c>
      <c r="N101" s="44" t="str">
        <f t="shared" si="38"/>
        <v>none</v>
      </c>
      <c r="O101" s="60" t="e">
        <f t="shared" si="28"/>
        <v>#VALUE!</v>
      </c>
      <c r="P101" s="60">
        <f t="shared" si="29"/>
        <v>4</v>
      </c>
      <c r="Q101" s="60" t="e">
        <f t="shared" si="30"/>
        <v>#VALUE!</v>
      </c>
      <c r="R101" s="60" t="e">
        <f t="shared" si="31"/>
        <v>#VALUE!</v>
      </c>
      <c r="S101" s="60" t="str">
        <f>IFERROR(VLOOKUP(MID(N101,Q101,R101-Q101),[5]skilldef!$C:$D,2,FALSE),"-") &amp; " / " &amp; IFERROR(VLOOKUP(MID(N101,O101,P101-O101),[5]skilldef!$A:$B,2,FALSE),"-")</f>
        <v>- / -</v>
      </c>
      <c r="T101" s="44" t="str">
        <f t="shared" si="39"/>
        <v>none</v>
      </c>
      <c r="U101" s="60" t="e">
        <f t="shared" si="32"/>
        <v>#VALUE!</v>
      </c>
      <c r="V101" s="60">
        <f t="shared" si="33"/>
        <v>4</v>
      </c>
      <c r="W101" s="60" t="e">
        <f t="shared" si="34"/>
        <v>#VALUE!</v>
      </c>
      <c r="X101" s="60" t="e">
        <f t="shared" si="35"/>
        <v>#VALUE!</v>
      </c>
      <c r="Y101" s="60" t="str">
        <f>IFERROR(VLOOKUP(MID(T101,W101,X101-W101),[5]skilldef!$C:$D,2,FALSE),"-") &amp; " / " &amp; IFERROR(VLOOKUP(MID(T101,U101,V101-U101),[5]skilldef!$A:$B,2,FALSE),"-")</f>
        <v>- / -</v>
      </c>
      <c r="Z101" s="46"/>
      <c r="AA101" s="48"/>
      <c r="AB101" s="46"/>
    </row>
    <row r="102" spans="1:28" ht="21" customHeight="1" x14ac:dyDescent="0.15">
      <c r="A102" s="43">
        <v>47009101</v>
      </c>
      <c r="B102" s="43" t="s">
        <v>558</v>
      </c>
      <c r="C102" s="46">
        <v>3</v>
      </c>
      <c r="D102" s="46" t="s">
        <v>326</v>
      </c>
      <c r="E102" s="159" t="s">
        <v>349</v>
      </c>
      <c r="F102" s="47" t="s">
        <v>540</v>
      </c>
      <c r="G102" s="60" t="str">
        <f t="shared" si="36"/>
        <v>[effect:enemy_message, val1:1.7, val2:1.4]</v>
      </c>
      <c r="H102" s="60">
        <f t="shared" si="24"/>
        <v>9</v>
      </c>
      <c r="I102" s="60">
        <f t="shared" si="25"/>
        <v>22</v>
      </c>
      <c r="J102" s="60" t="e">
        <f t="shared" si="26"/>
        <v>#VALUE!</v>
      </c>
      <c r="K102" s="60">
        <f t="shared" si="27"/>
        <v>32</v>
      </c>
      <c r="L102" s="60" t="str">
        <f>IFERROR(VLOOKUP(MID(G102,J102,K102-J102),[5]skilldef!$C:$D,2,FALSE),"-") &amp; " / " &amp; IFERROR(VLOOKUP(MID(G102,H102,I102-H102),[5]skilldef!$A:$B,2,FALSE),"-")</f>
        <v>- / -</v>
      </c>
      <c r="M102" s="60" t="str">
        <f t="shared" si="37"/>
        <v>[effect:enhance_unit, target:unit_blue, turn:-1, status:defense, val:1080, calc:add]</v>
      </c>
      <c r="N102" s="44" t="str">
        <f t="shared" si="38"/>
        <v>[effect:enhance_unit, target:unit_blue, turn:-1, status:defense, val:1080, calc:add]</v>
      </c>
      <c r="O102" s="60">
        <f t="shared" si="28"/>
        <v>9</v>
      </c>
      <c r="P102" s="60">
        <f t="shared" si="29"/>
        <v>21</v>
      </c>
      <c r="Q102" s="60">
        <f t="shared" si="30"/>
        <v>30</v>
      </c>
      <c r="R102" s="60">
        <f t="shared" si="31"/>
        <v>39</v>
      </c>
      <c r="S102" s="60" t="str">
        <f>IFERROR(VLOOKUP(MID(N102,Q102,R102-Q102),[5]skilldef!$C:$D,2,FALSE),"-") &amp; " / " &amp; IFERROR(VLOOKUP(MID(N102,O102,P102-O102),[5]skilldef!$A:$B,2,FALSE),"-")</f>
        <v>青の味方に / -</v>
      </c>
      <c r="T102" s="44" t="str">
        <f t="shared" si="39"/>
        <v>none</v>
      </c>
      <c r="U102" s="60" t="e">
        <f t="shared" si="32"/>
        <v>#VALUE!</v>
      </c>
      <c r="V102" s="60">
        <f t="shared" si="33"/>
        <v>4</v>
      </c>
      <c r="W102" s="60" t="e">
        <f t="shared" si="34"/>
        <v>#VALUE!</v>
      </c>
      <c r="X102" s="60" t="e">
        <f t="shared" si="35"/>
        <v>#VALUE!</v>
      </c>
      <c r="Y102" s="60" t="str">
        <f>IFERROR(VLOOKUP(MID(T102,W102,X102-W102),[5]skilldef!$C:$D,2,FALSE),"-") &amp; " / " &amp; IFERROR(VLOOKUP(MID(T102,U102,V102-U102),[5]skilldef!$A:$B,2,FALSE),"-")</f>
        <v>- / -</v>
      </c>
      <c r="Z102" s="46"/>
      <c r="AA102" s="48"/>
      <c r="AB102" s="46"/>
    </row>
    <row r="103" spans="1:28" ht="21" customHeight="1" x14ac:dyDescent="0.15">
      <c r="A103" s="43">
        <v>47009102</v>
      </c>
      <c r="B103" s="43" t="s">
        <v>527</v>
      </c>
      <c r="C103" s="46">
        <v>3</v>
      </c>
      <c r="D103" s="46" t="s">
        <v>326</v>
      </c>
      <c r="E103" s="159" t="s">
        <v>350</v>
      </c>
      <c r="F103" s="150" t="s">
        <v>603</v>
      </c>
      <c r="G103" s="60" t="str">
        <f t="shared" si="36"/>
        <v>[effect:enemy_message, val1:1.8, val2:0]</v>
      </c>
      <c r="H103" s="60">
        <f t="shared" si="24"/>
        <v>9</v>
      </c>
      <c r="I103" s="60">
        <f t="shared" si="25"/>
        <v>22</v>
      </c>
      <c r="J103" s="60" t="e">
        <f t="shared" si="26"/>
        <v>#VALUE!</v>
      </c>
      <c r="K103" s="60">
        <f t="shared" si="27"/>
        <v>32</v>
      </c>
      <c r="L103" s="60" t="str">
        <f>IFERROR(VLOOKUP(MID(G103,J103,K103-J103),[5]skilldef!$C:$D,2,FALSE),"-") &amp; " / " &amp; IFERROR(VLOOKUP(MID(G103,H103,I103-H103),[5]skilldef!$A:$B,2,FALSE),"-")</f>
        <v>- / -</v>
      </c>
      <c r="M103" s="60" t="str">
        <f t="shared" si="37"/>
        <v>none</v>
      </c>
      <c r="N103" s="44" t="str">
        <f t="shared" si="38"/>
        <v>none</v>
      </c>
      <c r="O103" s="60" t="e">
        <f t="shared" si="28"/>
        <v>#VALUE!</v>
      </c>
      <c r="P103" s="60">
        <f t="shared" si="29"/>
        <v>4</v>
      </c>
      <c r="Q103" s="60" t="e">
        <f t="shared" si="30"/>
        <v>#VALUE!</v>
      </c>
      <c r="R103" s="60" t="e">
        <f t="shared" si="31"/>
        <v>#VALUE!</v>
      </c>
      <c r="S103" s="60" t="str">
        <f>IFERROR(VLOOKUP(MID(N103,Q103,R103-Q103),[5]skilldef!$C:$D,2,FALSE),"-") &amp; " / " &amp; IFERROR(VLOOKUP(MID(N103,O103,P103-O103),[5]skilldef!$A:$B,2,FALSE),"-")</f>
        <v>- / -</v>
      </c>
      <c r="T103" s="44" t="str">
        <f t="shared" si="39"/>
        <v>none</v>
      </c>
      <c r="U103" s="60" t="e">
        <f t="shared" si="32"/>
        <v>#VALUE!</v>
      </c>
      <c r="V103" s="60">
        <f t="shared" si="33"/>
        <v>4</v>
      </c>
      <c r="W103" s="60" t="e">
        <f t="shared" si="34"/>
        <v>#VALUE!</v>
      </c>
      <c r="X103" s="60" t="e">
        <f t="shared" si="35"/>
        <v>#VALUE!</v>
      </c>
      <c r="Y103" s="60" t="str">
        <f>IFERROR(VLOOKUP(MID(T103,W103,X103-W103),[5]skilldef!$C:$D,2,FALSE),"-") &amp; " / " &amp; IFERROR(VLOOKUP(MID(T103,U103,V103-U103),[5]skilldef!$A:$B,2,FALSE),"-")</f>
        <v>- / -</v>
      </c>
      <c r="Z103" s="46"/>
      <c r="AA103" s="48"/>
      <c r="AB103" s="46"/>
    </row>
    <row r="104" spans="1:28" ht="21" customHeight="1" x14ac:dyDescent="0.15">
      <c r="A104" s="43">
        <v>47009103</v>
      </c>
      <c r="B104" s="43" t="s">
        <v>523</v>
      </c>
      <c r="C104" s="46">
        <v>3</v>
      </c>
      <c r="D104" s="46" t="s">
        <v>326</v>
      </c>
      <c r="E104" s="159" t="s">
        <v>351</v>
      </c>
      <c r="F104" s="150" t="s">
        <v>603</v>
      </c>
      <c r="G104" s="60" t="str">
        <f t="shared" si="36"/>
        <v>[effect:enemy_message, val1:2.6, val2:0]</v>
      </c>
      <c r="H104" s="60">
        <f t="shared" si="24"/>
        <v>9</v>
      </c>
      <c r="I104" s="60">
        <f t="shared" si="25"/>
        <v>22</v>
      </c>
      <c r="J104" s="60" t="e">
        <f t="shared" si="26"/>
        <v>#VALUE!</v>
      </c>
      <c r="K104" s="60">
        <f t="shared" si="27"/>
        <v>32</v>
      </c>
      <c r="L104" s="60" t="str">
        <f>IFERROR(VLOOKUP(MID(G104,J104,K104-J104),[5]skilldef!$C:$D,2,FALSE),"-") &amp; " / " &amp; IFERROR(VLOOKUP(MID(G104,H104,I104-H104),[5]skilldef!$A:$B,2,FALSE),"-")</f>
        <v>- / -</v>
      </c>
      <c r="M104" s="60" t="str">
        <f t="shared" si="37"/>
        <v>[effect:fix_speed, target:myself, turn:1]</v>
      </c>
      <c r="N104" s="44" t="str">
        <f t="shared" si="38"/>
        <v>[effect:fix_speed, target:myself, turn:1]</v>
      </c>
      <c r="O104" s="60">
        <f t="shared" si="28"/>
        <v>9</v>
      </c>
      <c r="P104" s="60">
        <f t="shared" si="29"/>
        <v>18</v>
      </c>
      <c r="Q104" s="60">
        <f t="shared" si="30"/>
        <v>27</v>
      </c>
      <c r="R104" s="60">
        <f t="shared" si="31"/>
        <v>33</v>
      </c>
      <c r="S104" s="60" t="str">
        <f>IFERROR(VLOOKUP(MID(N104,Q104,R104-Q104),[5]skilldef!$C:$D,2,FALSE),"-") &amp; " / " &amp; IFERROR(VLOOKUP(MID(N104,O104,P104-O104),[5]skilldef!$A:$B,2,FALSE),"-")</f>
        <v>自分自身に / 行動値設定</v>
      </c>
      <c r="T104" s="44" t="str">
        <f t="shared" si="39"/>
        <v>none</v>
      </c>
      <c r="U104" s="60" t="e">
        <f t="shared" si="32"/>
        <v>#VALUE!</v>
      </c>
      <c r="V104" s="60">
        <f t="shared" si="33"/>
        <v>4</v>
      </c>
      <c r="W104" s="60" t="e">
        <f t="shared" si="34"/>
        <v>#VALUE!</v>
      </c>
      <c r="X104" s="60" t="e">
        <f t="shared" si="35"/>
        <v>#VALUE!</v>
      </c>
      <c r="Y104" s="60" t="str">
        <f>IFERROR(VLOOKUP(MID(T104,W104,X104-W104),[5]skilldef!$C:$D,2,FALSE),"-") &amp; " / " &amp; IFERROR(VLOOKUP(MID(T104,U104,V104-U104),[5]skilldef!$A:$B,2,FALSE),"-")</f>
        <v>- / -</v>
      </c>
      <c r="Z104" s="46"/>
      <c r="AA104" s="48"/>
      <c r="AB104" s="46"/>
    </row>
    <row r="105" spans="1:28" ht="21" customHeight="1" x14ac:dyDescent="0.15">
      <c r="A105" s="43">
        <v>47009104</v>
      </c>
      <c r="B105" s="43" t="s">
        <v>523</v>
      </c>
      <c r="C105" s="46">
        <v>3</v>
      </c>
      <c r="D105" s="46" t="s">
        <v>326</v>
      </c>
      <c r="E105" s="159" t="s">
        <v>352</v>
      </c>
      <c r="F105" s="150" t="s">
        <v>603</v>
      </c>
      <c r="G105" s="60" t="str">
        <f t="shared" si="36"/>
        <v>[effect:enemy_message, val1:2.6, val2:0]</v>
      </c>
      <c r="H105" s="60">
        <f t="shared" si="24"/>
        <v>9</v>
      </c>
      <c r="I105" s="60">
        <f t="shared" si="25"/>
        <v>22</v>
      </c>
      <c r="J105" s="60" t="e">
        <f t="shared" si="26"/>
        <v>#VALUE!</v>
      </c>
      <c r="K105" s="60">
        <f t="shared" si="27"/>
        <v>32</v>
      </c>
      <c r="L105" s="60" t="str">
        <f>IFERROR(VLOOKUP(MID(G105,J105,K105-J105),[5]skilldef!$C:$D,2,FALSE),"-") &amp; " / " &amp; IFERROR(VLOOKUP(MID(G105,H105,I105-H105),[5]skilldef!$A:$B,2,FALSE),"-")</f>
        <v>- / -</v>
      </c>
      <c r="M105" s="60" t="str">
        <f t="shared" si="37"/>
        <v>[effect:fix_speed, target:myself, turn:1]</v>
      </c>
      <c r="N105" s="44" t="str">
        <f t="shared" si="38"/>
        <v>[effect:fix_speed, target:myself, turn:1]</v>
      </c>
      <c r="O105" s="60">
        <f t="shared" si="28"/>
        <v>9</v>
      </c>
      <c r="P105" s="60">
        <f t="shared" si="29"/>
        <v>18</v>
      </c>
      <c r="Q105" s="60">
        <f t="shared" si="30"/>
        <v>27</v>
      </c>
      <c r="R105" s="60">
        <f t="shared" si="31"/>
        <v>33</v>
      </c>
      <c r="S105" s="60" t="str">
        <f>IFERROR(VLOOKUP(MID(N105,Q105,R105-Q105),[5]skilldef!$C:$D,2,FALSE),"-") &amp; " / " &amp; IFERROR(VLOOKUP(MID(N105,O105,P105-O105),[5]skilldef!$A:$B,2,FALSE),"-")</f>
        <v>自分自身に / 行動値設定</v>
      </c>
      <c r="T105" s="44" t="str">
        <f t="shared" si="39"/>
        <v>none</v>
      </c>
      <c r="U105" s="60" t="e">
        <f t="shared" si="32"/>
        <v>#VALUE!</v>
      </c>
      <c r="V105" s="60">
        <f t="shared" si="33"/>
        <v>4</v>
      </c>
      <c r="W105" s="60" t="e">
        <f t="shared" si="34"/>
        <v>#VALUE!</v>
      </c>
      <c r="X105" s="60" t="e">
        <f t="shared" si="35"/>
        <v>#VALUE!</v>
      </c>
      <c r="Y105" s="60" t="str">
        <f>IFERROR(VLOOKUP(MID(T105,W105,X105-W105),[5]skilldef!$C:$D,2,FALSE),"-") &amp; " / " &amp; IFERROR(VLOOKUP(MID(T105,U105,V105-U105),[5]skilldef!$A:$B,2,FALSE),"-")</f>
        <v>- / -</v>
      </c>
      <c r="Z105" s="46"/>
      <c r="AA105" s="48"/>
      <c r="AB105" s="46"/>
    </row>
    <row r="106" spans="1:28" ht="21" customHeight="1" x14ac:dyDescent="0.15">
      <c r="A106" s="43">
        <v>47009105</v>
      </c>
      <c r="B106" s="43" t="s">
        <v>528</v>
      </c>
      <c r="C106" s="46">
        <v>3</v>
      </c>
      <c r="D106" s="46" t="s">
        <v>326</v>
      </c>
      <c r="E106" s="159" t="s">
        <v>353</v>
      </c>
      <c r="F106" s="150" t="s">
        <v>603</v>
      </c>
      <c r="G106" s="60" t="str">
        <f t="shared" si="36"/>
        <v>[effect:enemy_message, val1:2.0, val2:0]</v>
      </c>
      <c r="H106" s="60">
        <f t="shared" si="24"/>
        <v>9</v>
      </c>
      <c r="I106" s="60">
        <f t="shared" si="25"/>
        <v>22</v>
      </c>
      <c r="J106" s="60" t="e">
        <f t="shared" si="26"/>
        <v>#VALUE!</v>
      </c>
      <c r="K106" s="60">
        <f t="shared" si="27"/>
        <v>32</v>
      </c>
      <c r="L106" s="60" t="str">
        <f>IFERROR(VLOOKUP(MID(G106,J106,K106-J106),[5]skilldef!$C:$D,2,FALSE),"-") &amp; " / " &amp; IFERROR(VLOOKUP(MID(G106,H106,I106-H106),[5]skilldef!$A:$B,2,FALSE),"-")</f>
        <v>- / -</v>
      </c>
      <c r="M106" s="60" t="str">
        <f t="shared" si="37"/>
        <v>[effect:fix_speed, target:myself, turn:1]</v>
      </c>
      <c r="N106" s="44" t="str">
        <f t="shared" si="38"/>
        <v>[effect:fix_speed, target:myself, turn:1]</v>
      </c>
      <c r="O106" s="60">
        <f t="shared" si="28"/>
        <v>9</v>
      </c>
      <c r="P106" s="60">
        <f t="shared" si="29"/>
        <v>18</v>
      </c>
      <c r="Q106" s="60">
        <f t="shared" si="30"/>
        <v>27</v>
      </c>
      <c r="R106" s="60">
        <f t="shared" si="31"/>
        <v>33</v>
      </c>
      <c r="S106" s="60" t="str">
        <f>IFERROR(VLOOKUP(MID(N106,Q106,R106-Q106),[5]skilldef!$C:$D,2,FALSE),"-") &amp; " / " &amp; IFERROR(VLOOKUP(MID(N106,O106,P106-O106),[5]skilldef!$A:$B,2,FALSE),"-")</f>
        <v>自分自身に / 行動値設定</v>
      </c>
      <c r="T106" s="44" t="str">
        <f t="shared" si="39"/>
        <v>none</v>
      </c>
      <c r="U106" s="60" t="e">
        <f t="shared" si="32"/>
        <v>#VALUE!</v>
      </c>
      <c r="V106" s="60">
        <f t="shared" si="33"/>
        <v>4</v>
      </c>
      <c r="W106" s="60" t="e">
        <f t="shared" si="34"/>
        <v>#VALUE!</v>
      </c>
      <c r="X106" s="60" t="e">
        <f t="shared" si="35"/>
        <v>#VALUE!</v>
      </c>
      <c r="Y106" s="60" t="str">
        <f>IFERROR(VLOOKUP(MID(T106,W106,X106-W106),[5]skilldef!$C:$D,2,FALSE),"-") &amp; " / " &amp; IFERROR(VLOOKUP(MID(T106,U106,V106-U106),[5]skilldef!$A:$B,2,FALSE),"-")</f>
        <v>- / -</v>
      </c>
      <c r="Z106" s="46"/>
      <c r="AA106" s="48"/>
      <c r="AB106" s="46"/>
    </row>
    <row r="107" spans="1:28" ht="21" customHeight="1" x14ac:dyDescent="0.15">
      <c r="A107" s="43">
        <v>47009106</v>
      </c>
      <c r="B107" s="43" t="s">
        <v>568</v>
      </c>
      <c r="C107" s="46">
        <v>3</v>
      </c>
      <c r="D107" s="46" t="s">
        <v>326</v>
      </c>
      <c r="E107" s="159" t="s">
        <v>589</v>
      </c>
      <c r="F107" s="157" t="s">
        <v>549</v>
      </c>
      <c r="G107" s="60" t="str">
        <f t="shared" si="36"/>
        <v>[effect:enemy_message, val1:3.0, val2:3.8]</v>
      </c>
      <c r="H107" s="60">
        <f t="shared" si="24"/>
        <v>9</v>
      </c>
      <c r="I107" s="60">
        <f t="shared" si="25"/>
        <v>22</v>
      </c>
      <c r="J107" s="60" t="e">
        <f t="shared" si="26"/>
        <v>#VALUE!</v>
      </c>
      <c r="K107" s="60">
        <f t="shared" si="27"/>
        <v>32</v>
      </c>
      <c r="L107" s="60" t="str">
        <f>IFERROR(VLOOKUP(MID(G107,J107,K107-J107),[5]skilldef!$C:$D,2,FALSE),"-") &amp; " / " &amp; IFERROR(VLOOKUP(MID(G107,H107,I107-H107),[5]skilldef!$A:$B,2,FALSE),"-")</f>
        <v>- / -</v>
      </c>
      <c r="M107" s="60" t="str">
        <f t="shared" si="37"/>
        <v>[effect:suicide, val:0.5, dead_type:suicide, target:myself],[effect:sp_boost, target:unit_blue, val:99, animation:sp_boost_one03]</v>
      </c>
      <c r="N107" s="44" t="str">
        <f t="shared" si="38"/>
        <v>[effect:suicide, val:0.5, dead_type:suicide, target:myself],[effect:sp_boost, target:unit_blue, val:99, animation:sp_boost_one03]</v>
      </c>
      <c r="O107" s="60">
        <f t="shared" si="28"/>
        <v>9</v>
      </c>
      <c r="P107" s="60">
        <f t="shared" si="29"/>
        <v>16</v>
      </c>
      <c r="Q107" s="60">
        <f t="shared" si="30"/>
        <v>53</v>
      </c>
      <c r="R107" s="60">
        <f t="shared" si="31"/>
        <v>25</v>
      </c>
      <c r="S107" s="60" t="str">
        <f>IFERROR(VLOOKUP(MID(N107,Q107,R107-Q107),[5]skilldef!$C:$D,2,FALSE),"-") &amp; " / " &amp; IFERROR(VLOOKUP(MID(N107,O107,P107-O107),[5]skilldef!$A:$B,2,FALSE),"-")</f>
        <v>- / -</v>
      </c>
      <c r="T107" s="44" t="str">
        <f t="shared" si="39"/>
        <v>[effect:sp_boost, target:unit_blue, val:99, animation:sp_boost_one03]</v>
      </c>
      <c r="U107" s="60">
        <f t="shared" si="32"/>
        <v>9</v>
      </c>
      <c r="V107" s="60">
        <f t="shared" si="33"/>
        <v>17</v>
      </c>
      <c r="W107" s="60">
        <f t="shared" si="34"/>
        <v>26</v>
      </c>
      <c r="X107" s="60">
        <f t="shared" si="35"/>
        <v>35</v>
      </c>
      <c r="Y107" s="60" t="str">
        <f>IFERROR(VLOOKUP(MID(T107,W107,X107-W107),[5]skilldef!$C:$D,2,FALSE),"-") &amp; " / " &amp; IFERROR(VLOOKUP(MID(T107,U107,V107-U107),[5]skilldef!$A:$B,2,FALSE),"-")</f>
        <v>青の味方に / -</v>
      </c>
      <c r="Z107" s="46"/>
      <c r="AA107" s="48"/>
      <c r="AB107" s="46"/>
    </row>
    <row r="108" spans="1:28" ht="21" customHeight="1" x14ac:dyDescent="0.15">
      <c r="A108" s="43">
        <v>47009107</v>
      </c>
      <c r="B108" s="43" t="s">
        <v>559</v>
      </c>
      <c r="C108" s="46">
        <v>3</v>
      </c>
      <c r="D108" s="46" t="s">
        <v>326</v>
      </c>
      <c r="E108" s="159" t="s">
        <v>354</v>
      </c>
      <c r="F108" s="157" t="s">
        <v>549</v>
      </c>
      <c r="G108" s="60" t="str">
        <f t="shared" si="36"/>
        <v>[effect:enemy_message, val1:3.1, val2:3.8]</v>
      </c>
      <c r="H108" s="60">
        <f t="shared" si="24"/>
        <v>9</v>
      </c>
      <c r="I108" s="60">
        <f t="shared" si="25"/>
        <v>22</v>
      </c>
      <c r="J108" s="60" t="e">
        <f t="shared" si="26"/>
        <v>#VALUE!</v>
      </c>
      <c r="K108" s="60">
        <f t="shared" si="27"/>
        <v>32</v>
      </c>
      <c r="L108" s="60" t="str">
        <f>IFERROR(VLOOKUP(MID(G108,J108,K108-J108),[5]skilldef!$C:$D,2,FALSE),"-") &amp; " / " &amp; IFERROR(VLOOKUP(MID(G108,H108,I108-H108),[5]skilldef!$A:$B,2,FALSE),"-")</f>
        <v>- / -</v>
      </c>
      <c r="M108" s="60" t="str">
        <f t="shared" si="37"/>
        <v>[effect:suicide, val:0.5, dead_type:suicide, target:myself],[effect:sp_boost, target:unit_blue, val:99, animation:sp_boost_one03]</v>
      </c>
      <c r="N108" s="44" t="str">
        <f t="shared" si="38"/>
        <v>[effect:suicide, val:0.5, dead_type:suicide, target:myself],[effect:sp_boost, target:unit_blue, val:99, animation:sp_boost_one03]</v>
      </c>
      <c r="O108" s="60">
        <f t="shared" si="28"/>
        <v>9</v>
      </c>
      <c r="P108" s="60">
        <f t="shared" si="29"/>
        <v>16</v>
      </c>
      <c r="Q108" s="60">
        <f t="shared" si="30"/>
        <v>53</v>
      </c>
      <c r="R108" s="60">
        <f t="shared" si="31"/>
        <v>25</v>
      </c>
      <c r="S108" s="60" t="str">
        <f>IFERROR(VLOOKUP(MID(N108,Q108,R108-Q108),[5]skilldef!$C:$D,2,FALSE),"-") &amp; " / " &amp; IFERROR(VLOOKUP(MID(N108,O108,P108-O108),[5]skilldef!$A:$B,2,FALSE),"-")</f>
        <v>- / -</v>
      </c>
      <c r="T108" s="44" t="str">
        <f t="shared" si="39"/>
        <v>[effect:sp_boost, target:unit_blue, val:99, animation:sp_boost_one03]</v>
      </c>
      <c r="U108" s="60">
        <f t="shared" si="32"/>
        <v>9</v>
      </c>
      <c r="V108" s="60">
        <f t="shared" si="33"/>
        <v>17</v>
      </c>
      <c r="W108" s="60">
        <f t="shared" si="34"/>
        <v>26</v>
      </c>
      <c r="X108" s="60">
        <f t="shared" si="35"/>
        <v>35</v>
      </c>
      <c r="Y108" s="60" t="str">
        <f>IFERROR(VLOOKUP(MID(T108,W108,X108-W108),[5]skilldef!$C:$D,2,FALSE),"-") &amp; " / " &amp; IFERROR(VLOOKUP(MID(T108,U108,V108-U108),[5]skilldef!$A:$B,2,FALSE),"-")</f>
        <v>青の味方に / -</v>
      </c>
      <c r="Z108" s="46"/>
      <c r="AA108" s="48"/>
      <c r="AB108" s="46"/>
    </row>
    <row r="109" spans="1:28" ht="21" customHeight="1" x14ac:dyDescent="0.15">
      <c r="A109" s="43">
        <v>47009108</v>
      </c>
      <c r="B109" s="43" t="s">
        <v>560</v>
      </c>
      <c r="C109" s="46">
        <v>3</v>
      </c>
      <c r="D109" s="46" t="s">
        <v>326</v>
      </c>
      <c r="E109" s="159" t="s">
        <v>590</v>
      </c>
      <c r="F109" s="157" t="s">
        <v>549</v>
      </c>
      <c r="G109" s="60" t="str">
        <f t="shared" si="36"/>
        <v>[effect:enemy_message, val1:2.8, val2:3.8]</v>
      </c>
      <c r="H109" s="60">
        <f t="shared" si="24"/>
        <v>9</v>
      </c>
      <c r="I109" s="60">
        <f t="shared" si="25"/>
        <v>22</v>
      </c>
      <c r="J109" s="60" t="e">
        <f t="shared" si="26"/>
        <v>#VALUE!</v>
      </c>
      <c r="K109" s="60">
        <f t="shared" si="27"/>
        <v>32</v>
      </c>
      <c r="L109" s="60" t="str">
        <f>IFERROR(VLOOKUP(MID(G109,J109,K109-J109),[5]skilldef!$C:$D,2,FALSE),"-") &amp; " / " &amp; IFERROR(VLOOKUP(MID(G109,H109,I109-H109),[5]skilldef!$A:$B,2,FALSE),"-")</f>
        <v>- / -</v>
      </c>
      <c r="M109" s="60" t="str">
        <f t="shared" si="37"/>
        <v>[effect:suicide, val:0.5, dead_type:suicide, target:myself],[effect:sp_boost, target:unit_blue, val:99, animation:sp_boost_one03]</v>
      </c>
      <c r="N109" s="44" t="str">
        <f t="shared" si="38"/>
        <v>[effect:suicide, val:0.5, dead_type:suicide, target:myself],[effect:sp_boost, target:unit_blue, val:99, animation:sp_boost_one03]</v>
      </c>
      <c r="O109" s="60">
        <f t="shared" si="28"/>
        <v>9</v>
      </c>
      <c r="P109" s="60">
        <f t="shared" si="29"/>
        <v>16</v>
      </c>
      <c r="Q109" s="60">
        <f t="shared" si="30"/>
        <v>53</v>
      </c>
      <c r="R109" s="60">
        <f t="shared" si="31"/>
        <v>25</v>
      </c>
      <c r="S109" s="60" t="str">
        <f>IFERROR(VLOOKUP(MID(N109,Q109,R109-Q109),[5]skilldef!$C:$D,2,FALSE),"-") &amp; " / " &amp; IFERROR(VLOOKUP(MID(N109,O109,P109-O109),[5]skilldef!$A:$B,2,FALSE),"-")</f>
        <v>- / -</v>
      </c>
      <c r="T109" s="44" t="str">
        <f t="shared" si="39"/>
        <v>[effect:sp_boost, target:unit_blue, val:99, animation:sp_boost_one03]</v>
      </c>
      <c r="U109" s="60">
        <f t="shared" si="32"/>
        <v>9</v>
      </c>
      <c r="V109" s="60">
        <f t="shared" si="33"/>
        <v>17</v>
      </c>
      <c r="W109" s="60">
        <f t="shared" si="34"/>
        <v>26</v>
      </c>
      <c r="X109" s="60">
        <f t="shared" si="35"/>
        <v>35</v>
      </c>
      <c r="Y109" s="60" t="str">
        <f>IFERROR(VLOOKUP(MID(T109,W109,X109-W109),[5]skilldef!$C:$D,2,FALSE),"-") &amp; " / " &amp; IFERROR(VLOOKUP(MID(T109,U109,V109-U109),[5]skilldef!$A:$B,2,FALSE),"-")</f>
        <v>青の味方に / -</v>
      </c>
      <c r="Z109" s="46"/>
      <c r="AA109" s="48"/>
      <c r="AB109" s="46"/>
    </row>
    <row r="110" spans="1:28" ht="21" customHeight="1" x14ac:dyDescent="0.15">
      <c r="A110" s="43">
        <v>47009109</v>
      </c>
      <c r="B110" s="43" t="s">
        <v>559</v>
      </c>
      <c r="C110" s="46">
        <v>3</v>
      </c>
      <c r="D110" s="46" t="s">
        <v>326</v>
      </c>
      <c r="E110" s="159" t="s">
        <v>496</v>
      </c>
      <c r="F110" s="157" t="s">
        <v>549</v>
      </c>
      <c r="G110" s="60" t="str">
        <f t="shared" si="36"/>
        <v>[effect:enemy_message, val1:3.1, val2:3.8]</v>
      </c>
      <c r="H110" s="60">
        <f t="shared" si="24"/>
        <v>9</v>
      </c>
      <c r="I110" s="60">
        <f t="shared" si="25"/>
        <v>22</v>
      </c>
      <c r="J110" s="60" t="e">
        <f t="shared" si="26"/>
        <v>#VALUE!</v>
      </c>
      <c r="K110" s="60">
        <f t="shared" si="27"/>
        <v>32</v>
      </c>
      <c r="L110" s="60" t="str">
        <f>IFERROR(VLOOKUP(MID(G110,J110,K110-J110),[5]skilldef!$C:$D,2,FALSE),"-") &amp; " / " &amp; IFERROR(VLOOKUP(MID(G110,H110,I110-H110),[5]skilldef!$A:$B,2,FALSE),"-")</f>
        <v>- / -</v>
      </c>
      <c r="M110" s="60" t="str">
        <f t="shared" si="37"/>
        <v>[effect:suicide, val:0.5, dead_type:suicide, target:myself],[effect:sp_boost, target:unit_blue, val:99, animation:sp_boost_one03]</v>
      </c>
      <c r="N110" s="44" t="str">
        <f t="shared" si="38"/>
        <v>[effect:suicide, val:0.5, dead_type:suicide, target:myself],[effect:sp_boost, target:unit_blue, val:99, animation:sp_boost_one03]</v>
      </c>
      <c r="O110" s="60">
        <f t="shared" si="28"/>
        <v>9</v>
      </c>
      <c r="P110" s="60">
        <f t="shared" si="29"/>
        <v>16</v>
      </c>
      <c r="Q110" s="60">
        <f t="shared" si="30"/>
        <v>53</v>
      </c>
      <c r="R110" s="60">
        <f t="shared" si="31"/>
        <v>25</v>
      </c>
      <c r="S110" s="60" t="str">
        <f>IFERROR(VLOOKUP(MID(N110,Q110,R110-Q110),[5]skilldef!$C:$D,2,FALSE),"-") &amp; " / " &amp; IFERROR(VLOOKUP(MID(N110,O110,P110-O110),[5]skilldef!$A:$B,2,FALSE),"-")</f>
        <v>- / -</v>
      </c>
      <c r="T110" s="44" t="str">
        <f t="shared" si="39"/>
        <v>[effect:sp_boost, target:unit_blue, val:99, animation:sp_boost_one03]</v>
      </c>
      <c r="U110" s="60">
        <f t="shared" si="32"/>
        <v>9</v>
      </c>
      <c r="V110" s="60">
        <f t="shared" si="33"/>
        <v>17</v>
      </c>
      <c r="W110" s="60">
        <f t="shared" si="34"/>
        <v>26</v>
      </c>
      <c r="X110" s="60">
        <f t="shared" si="35"/>
        <v>35</v>
      </c>
      <c r="Y110" s="60" t="str">
        <f>IFERROR(VLOOKUP(MID(T110,W110,X110-W110),[5]skilldef!$C:$D,2,FALSE),"-") &amp; " / " &amp; IFERROR(VLOOKUP(MID(T110,U110,V110-U110),[5]skilldef!$A:$B,2,FALSE),"-")</f>
        <v>青の味方に / -</v>
      </c>
      <c r="Z110" s="46"/>
      <c r="AA110" s="48"/>
      <c r="AB110" s="46"/>
    </row>
    <row r="111" spans="1:28" ht="21" customHeight="1" x14ac:dyDescent="0.15">
      <c r="A111" s="43">
        <v>47009110</v>
      </c>
      <c r="B111" s="43" t="s">
        <v>561</v>
      </c>
      <c r="C111" s="46">
        <v>3</v>
      </c>
      <c r="D111" s="46" t="s">
        <v>355</v>
      </c>
      <c r="E111" s="47" t="s">
        <v>266</v>
      </c>
      <c r="F111" s="47" t="s">
        <v>541</v>
      </c>
      <c r="G111" s="60" t="str">
        <f t="shared" si="36"/>
        <v>[effect:enemy_message, val1:1.2, val2:1.4]</v>
      </c>
      <c r="H111" s="60">
        <f t="shared" si="24"/>
        <v>9</v>
      </c>
      <c r="I111" s="60">
        <f t="shared" si="25"/>
        <v>22</v>
      </c>
      <c r="J111" s="60" t="e">
        <f t="shared" si="26"/>
        <v>#VALUE!</v>
      </c>
      <c r="K111" s="60">
        <f t="shared" si="27"/>
        <v>32</v>
      </c>
      <c r="L111" s="60" t="str">
        <f>IFERROR(VLOOKUP(MID(G111,J111,K111-J111),[5]skilldef!$C:$D,2,FALSE),"-") &amp; " / " &amp; IFERROR(VLOOKUP(MID(G111,H111,I111-H111),[5]skilldef!$A:$B,2,FALSE),"-")</f>
        <v>- / -</v>
      </c>
      <c r="M111" s="60" t="str">
        <f t="shared" si="37"/>
        <v>[effect:fix_speed, target:myself, turn:1],[effect:enhance_unit, target:unit_blue, turn:-1, status:attack, val:0.7, calc:mul]</v>
      </c>
      <c r="N111" s="44" t="str">
        <f t="shared" si="38"/>
        <v>[effect:fix_speed, target:myself, turn:1],[effect:enhance_unit, target:unit_blue, turn:-1, status:attack, val:0.7, calc:mul]</v>
      </c>
      <c r="O111" s="60">
        <f t="shared" si="28"/>
        <v>9</v>
      </c>
      <c r="P111" s="60">
        <f t="shared" si="29"/>
        <v>18</v>
      </c>
      <c r="Q111" s="60">
        <f t="shared" si="30"/>
        <v>27</v>
      </c>
      <c r="R111" s="60">
        <f t="shared" si="31"/>
        <v>33</v>
      </c>
      <c r="S111" s="60" t="str">
        <f>IFERROR(VLOOKUP(MID(N111,Q111,R111-Q111),[5]skilldef!$C:$D,2,FALSE),"-") &amp; " / " &amp; IFERROR(VLOOKUP(MID(N111,O111,P111-O111),[5]skilldef!$A:$B,2,FALSE),"-")</f>
        <v>自分自身に / 行動値設定</v>
      </c>
      <c r="T111" s="44" t="str">
        <f t="shared" si="39"/>
        <v>[effect:enhance_unit, target:unit_blue, turn:-1, status:attack, val:0.7, calc:mul]</v>
      </c>
      <c r="U111" s="60">
        <f t="shared" si="32"/>
        <v>9</v>
      </c>
      <c r="V111" s="60">
        <f t="shared" si="33"/>
        <v>21</v>
      </c>
      <c r="W111" s="60">
        <f t="shared" si="34"/>
        <v>30</v>
      </c>
      <c r="X111" s="60">
        <f t="shared" si="35"/>
        <v>39</v>
      </c>
      <c r="Y111" s="60" t="str">
        <f>IFERROR(VLOOKUP(MID(T111,W111,X111-W111),[5]skilldef!$C:$D,2,FALSE),"-") &amp; " / " &amp; IFERROR(VLOOKUP(MID(T111,U111,V111-U111),[5]skilldef!$A:$B,2,FALSE),"-")</f>
        <v>青の味方に / -</v>
      </c>
      <c r="Z111" s="46"/>
      <c r="AA111" s="48"/>
      <c r="AB111" s="46"/>
    </row>
    <row r="112" spans="1:28" ht="21" customHeight="1" x14ac:dyDescent="0.15">
      <c r="A112" s="43">
        <v>47009111</v>
      </c>
      <c r="B112" s="43" t="s">
        <v>562</v>
      </c>
      <c r="C112" s="46">
        <v>3</v>
      </c>
      <c r="D112" s="46" t="s">
        <v>356</v>
      </c>
      <c r="E112" s="47" t="s">
        <v>277</v>
      </c>
      <c r="F112" s="47" t="s">
        <v>539</v>
      </c>
      <c r="G112" s="60" t="str">
        <f t="shared" si="36"/>
        <v>[effect:enemy_message, val1:1.4, val2:1.4]</v>
      </c>
      <c r="H112" s="60">
        <f t="shared" si="24"/>
        <v>9</v>
      </c>
      <c r="I112" s="60">
        <f t="shared" si="25"/>
        <v>22</v>
      </c>
      <c r="J112" s="60" t="e">
        <f t="shared" si="26"/>
        <v>#VALUE!</v>
      </c>
      <c r="K112" s="60">
        <f t="shared" si="27"/>
        <v>32</v>
      </c>
      <c r="L112" s="60" t="str">
        <f>IFERROR(VLOOKUP(MID(G112,J112,K112-J112),[5]skilldef!$C:$D,2,FALSE),"-") &amp; " / " &amp; IFERROR(VLOOKUP(MID(G112,H112,I112-H112),[5]skilldef!$A:$B,2,FALSE),"-")</f>
        <v>- / -</v>
      </c>
      <c r="M112" s="60" t="str">
        <f t="shared" si="37"/>
        <v>[effect:fix_speed, target:myself, turn:1],[effect:enhance_unit, target:unit_blue, turn:-1, status:heal, val:0.4, calc:mul]</v>
      </c>
      <c r="N112" s="44" t="str">
        <f t="shared" si="38"/>
        <v>[effect:fix_speed, target:myself, turn:1],[effect:enhance_unit, target:unit_blue, turn:-1, status:heal, val:0.4, calc:mul]</v>
      </c>
      <c r="O112" s="60">
        <f t="shared" si="28"/>
        <v>9</v>
      </c>
      <c r="P112" s="60">
        <f t="shared" si="29"/>
        <v>18</v>
      </c>
      <c r="Q112" s="60">
        <f t="shared" si="30"/>
        <v>27</v>
      </c>
      <c r="R112" s="60">
        <f t="shared" si="31"/>
        <v>33</v>
      </c>
      <c r="S112" s="60" t="str">
        <f>IFERROR(VLOOKUP(MID(N112,Q112,R112-Q112),[5]skilldef!$C:$D,2,FALSE),"-") &amp; " / " &amp; IFERROR(VLOOKUP(MID(N112,O112,P112-O112),[5]skilldef!$A:$B,2,FALSE),"-")</f>
        <v>自分自身に / 行動値設定</v>
      </c>
      <c r="T112" s="44" t="str">
        <f t="shared" si="39"/>
        <v>[effect:enhance_unit, target:unit_blue, turn:-1, status:heal, val:0.4, calc:mul]</v>
      </c>
      <c r="U112" s="60">
        <f t="shared" si="32"/>
        <v>9</v>
      </c>
      <c r="V112" s="60">
        <f t="shared" si="33"/>
        <v>21</v>
      </c>
      <c r="W112" s="60">
        <f t="shared" si="34"/>
        <v>30</v>
      </c>
      <c r="X112" s="60">
        <f t="shared" si="35"/>
        <v>39</v>
      </c>
      <c r="Y112" s="60" t="str">
        <f>IFERROR(VLOOKUP(MID(T112,W112,X112-W112),[5]skilldef!$C:$D,2,FALSE),"-") &amp; " / " &amp; IFERROR(VLOOKUP(MID(T112,U112,V112-U112),[5]skilldef!$A:$B,2,FALSE),"-")</f>
        <v>青の味方に / -</v>
      </c>
      <c r="Z112" s="46"/>
      <c r="AA112" s="48"/>
      <c r="AB112" s="46"/>
    </row>
    <row r="113" spans="1:28" ht="21" customHeight="1" x14ac:dyDescent="0.15">
      <c r="A113" s="43">
        <v>47009112</v>
      </c>
      <c r="B113" s="43" t="s">
        <v>510</v>
      </c>
      <c r="C113" s="46">
        <v>3</v>
      </c>
      <c r="D113" s="46" t="s">
        <v>356</v>
      </c>
      <c r="E113" s="47" t="s">
        <v>288</v>
      </c>
      <c r="F113" s="47" t="s">
        <v>596</v>
      </c>
      <c r="G113" s="60" t="str">
        <f t="shared" si="36"/>
        <v>[effect:enemy_message, val1:1.6, val2:1.8]</v>
      </c>
      <c r="H113" s="60">
        <f t="shared" si="24"/>
        <v>9</v>
      </c>
      <c r="I113" s="60">
        <f t="shared" si="25"/>
        <v>22</v>
      </c>
      <c r="J113" s="60" t="e">
        <f t="shared" si="26"/>
        <v>#VALUE!</v>
      </c>
      <c r="K113" s="60">
        <f t="shared" si="27"/>
        <v>32</v>
      </c>
      <c r="L113" s="60" t="str">
        <f>IFERROR(VLOOKUP(MID(G113,J113,K113-J113),[5]skilldef!$C:$D,2,FALSE),"-") &amp; " / " &amp; IFERROR(VLOOKUP(MID(G113,H113,I113-H113),[5]skilldef!$A:$B,2,FALSE),"-")</f>
        <v>- / -</v>
      </c>
      <c r="M113" s="60" t="str">
        <f t="shared" si="37"/>
        <v>[effect:fix_speed, target:myself, turn:1],[effect:enhance_unit, target:unit_blue, turn:-1, status:action, val:1]</v>
      </c>
      <c r="N113" s="44" t="str">
        <f t="shared" si="38"/>
        <v>[effect:fix_speed, target:myself, turn:1],[effect:enhance_unit, target:unit_blue, turn:-1, status:action, val:1]</v>
      </c>
      <c r="O113" s="60">
        <f t="shared" si="28"/>
        <v>9</v>
      </c>
      <c r="P113" s="60">
        <f t="shared" si="29"/>
        <v>18</v>
      </c>
      <c r="Q113" s="60">
        <f t="shared" si="30"/>
        <v>27</v>
      </c>
      <c r="R113" s="60">
        <f t="shared" si="31"/>
        <v>33</v>
      </c>
      <c r="S113" s="60" t="str">
        <f>IFERROR(VLOOKUP(MID(N113,Q113,R113-Q113),[5]skilldef!$C:$D,2,FALSE),"-") &amp; " / " &amp; IFERROR(VLOOKUP(MID(N113,O113,P113-O113),[5]skilldef!$A:$B,2,FALSE),"-")</f>
        <v>自分自身に / 行動値設定</v>
      </c>
      <c r="T113" s="44" t="str">
        <f t="shared" si="39"/>
        <v>[effect:enhance_unit, target:unit_blue, turn:-1, status:action, val:1]</v>
      </c>
      <c r="U113" s="60">
        <f t="shared" si="32"/>
        <v>9</v>
      </c>
      <c r="V113" s="60">
        <f t="shared" si="33"/>
        <v>21</v>
      </c>
      <c r="W113" s="60">
        <f t="shared" si="34"/>
        <v>30</v>
      </c>
      <c r="X113" s="60">
        <f t="shared" si="35"/>
        <v>39</v>
      </c>
      <c r="Y113" s="60" t="str">
        <f>IFERROR(VLOOKUP(MID(T113,W113,X113-W113),[5]skilldef!$C:$D,2,FALSE),"-") &amp; " / " &amp; IFERROR(VLOOKUP(MID(T113,U113,V113-U113),[5]skilldef!$A:$B,2,FALSE),"-")</f>
        <v>青の味方に / -</v>
      </c>
      <c r="Z113" s="46"/>
      <c r="AA113" s="48"/>
      <c r="AB113" s="46"/>
    </row>
    <row r="114" spans="1:28" ht="21" customHeight="1" x14ac:dyDescent="0.15">
      <c r="A114" s="43">
        <v>47009113</v>
      </c>
      <c r="B114" s="43" t="s">
        <v>563</v>
      </c>
      <c r="C114" s="46">
        <v>3</v>
      </c>
      <c r="D114" s="46" t="s">
        <v>357</v>
      </c>
      <c r="E114" s="47" t="s">
        <v>298</v>
      </c>
      <c r="F114" s="47" t="s">
        <v>540</v>
      </c>
      <c r="G114" s="60" t="str">
        <f t="shared" si="36"/>
        <v>[effect:enemy_message, val1:1.7, val2:1.4]</v>
      </c>
      <c r="H114" s="60">
        <f t="shared" si="24"/>
        <v>9</v>
      </c>
      <c r="I114" s="60">
        <f t="shared" si="25"/>
        <v>22</v>
      </c>
      <c r="J114" s="60" t="e">
        <f t="shared" si="26"/>
        <v>#VALUE!</v>
      </c>
      <c r="K114" s="60">
        <f t="shared" si="27"/>
        <v>32</v>
      </c>
      <c r="L114" s="60" t="str">
        <f>IFERROR(VLOOKUP(MID(G114,J114,K114-J114),[5]skilldef!$C:$D,2,FALSE),"-") &amp; " / " &amp; IFERROR(VLOOKUP(MID(G114,H114,I114-H114),[5]skilldef!$A:$B,2,FALSE),"-")</f>
        <v>- / -</v>
      </c>
      <c r="M114" s="60" t="str">
        <f t="shared" si="37"/>
        <v>[effect:fix_speed, target:myself, turn:1],[effect:enhance_unit, target:unit_blue, turn:-1, status:defense, val:1080, calc:add]</v>
      </c>
      <c r="N114" s="44" t="str">
        <f t="shared" si="38"/>
        <v>[effect:fix_speed, target:myself, turn:1],[effect:enhance_unit, target:unit_blue, turn:-1, status:defense, val:1080, calc:add]</v>
      </c>
      <c r="O114" s="60">
        <f t="shared" si="28"/>
        <v>9</v>
      </c>
      <c r="P114" s="60">
        <f t="shared" si="29"/>
        <v>18</v>
      </c>
      <c r="Q114" s="60">
        <f t="shared" si="30"/>
        <v>27</v>
      </c>
      <c r="R114" s="60">
        <f t="shared" si="31"/>
        <v>33</v>
      </c>
      <c r="S114" s="60" t="str">
        <f>IFERROR(VLOOKUP(MID(N114,Q114,R114-Q114),[5]skilldef!$C:$D,2,FALSE),"-") &amp; " / " &amp; IFERROR(VLOOKUP(MID(N114,O114,P114-O114),[5]skilldef!$A:$B,2,FALSE),"-")</f>
        <v>自分自身に / 行動値設定</v>
      </c>
      <c r="T114" s="44" t="str">
        <f t="shared" si="39"/>
        <v>[effect:enhance_unit, target:unit_blue, turn:-1, status:defense, val:1080, calc:add]</v>
      </c>
      <c r="U114" s="60">
        <f t="shared" si="32"/>
        <v>9</v>
      </c>
      <c r="V114" s="60">
        <f t="shared" si="33"/>
        <v>21</v>
      </c>
      <c r="W114" s="60">
        <f t="shared" si="34"/>
        <v>30</v>
      </c>
      <c r="X114" s="60">
        <f t="shared" si="35"/>
        <v>39</v>
      </c>
      <c r="Y114" s="60" t="str">
        <f>IFERROR(VLOOKUP(MID(T114,W114,X114-W114),[5]skilldef!$C:$D,2,FALSE),"-") &amp; " / " &amp; IFERROR(VLOOKUP(MID(T114,U114,V114-U114),[5]skilldef!$A:$B,2,FALSE),"-")</f>
        <v>青の味方に / -</v>
      </c>
      <c r="Z114" s="46"/>
      <c r="AA114" s="48"/>
      <c r="AB114" s="46"/>
    </row>
    <row r="115" spans="1:28" ht="21" customHeight="1" x14ac:dyDescent="0.15">
      <c r="A115" s="43">
        <v>47009114</v>
      </c>
      <c r="B115" s="43" t="s">
        <v>564</v>
      </c>
      <c r="C115" s="46">
        <v>3</v>
      </c>
      <c r="D115" s="46" t="s">
        <v>356</v>
      </c>
      <c r="E115" s="47" t="s">
        <v>314</v>
      </c>
      <c r="F115" s="47" t="s">
        <v>547</v>
      </c>
      <c r="G115" s="60" t="str">
        <f t="shared" si="36"/>
        <v>[effect:enemy_message, val1:2.1, val2:4.8]</v>
      </c>
      <c r="H115" s="60">
        <f t="shared" si="24"/>
        <v>9</v>
      </c>
      <c r="I115" s="60">
        <f t="shared" si="25"/>
        <v>22</v>
      </c>
      <c r="J115" s="60" t="e">
        <f t="shared" si="26"/>
        <v>#VALUE!</v>
      </c>
      <c r="K115" s="60">
        <f t="shared" si="27"/>
        <v>32</v>
      </c>
      <c r="L115" s="60" t="str">
        <f>IFERROR(VLOOKUP(MID(G115,J115,K115-J115),[5]skilldef!$C:$D,2,FALSE),"-") &amp; " / " &amp; IFERROR(VLOOKUP(MID(G115,H115,I115-H115),[5]skilldef!$A:$B,2,FALSE),"-")</f>
        <v>- / -</v>
      </c>
      <c r="M115" s="60" t="str">
        <f t="shared" si="37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animation:fevergauge_down],[effect:sp_boost, target:unit_all, val:99, animation:sp_boost_one03]</v>
      </c>
      <c r="N115" s="44" t="str">
        <f>IFERROR(LEFT(M115,FIND("]",M115)+#REF!),M115)</f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animation:fevergauge_down],[effect:sp_boost, target:unit_all, val:99, animation:sp_boost_one03]</v>
      </c>
      <c r="O115" s="60">
        <f t="shared" si="28"/>
        <v>9</v>
      </c>
      <c r="P115" s="60">
        <f t="shared" si="29"/>
        <v>18</v>
      </c>
      <c r="Q115" s="60">
        <f t="shared" si="30"/>
        <v>27</v>
      </c>
      <c r="R115" s="60">
        <f t="shared" si="31"/>
        <v>33</v>
      </c>
      <c r="S115" s="60" t="str">
        <f>IFERROR(VLOOKUP(MID(N115,Q115,R115-Q115),[5]skilldef!$C:$D,2,FALSE),"-") &amp; " / " &amp; IFERROR(VLOOKUP(MID(N115,O115,P115-O115),[5]skilldef!$A:$B,2,FALSE),"-")</f>
        <v>自分自身に / 状態異常耐性</v>
      </c>
      <c r="T115" s="44" t="str">
        <f t="shared" si="39"/>
        <v>[effect:tolerance, target:myself, turn:-1, tolerance_effect:sleep, count:-1, animation:enemy_tolerance],[effect:fix_speed, target:myself, turn:1],[effect:damage_gravity, val:0.8, animation:fevergauge_down],[effect:sp_boost, target:unit_all, val:99, animation:sp_boost_one03]</v>
      </c>
      <c r="U115" s="60">
        <f t="shared" si="32"/>
        <v>9</v>
      </c>
      <c r="V115" s="60">
        <f t="shared" si="33"/>
        <v>18</v>
      </c>
      <c r="W115" s="60">
        <f t="shared" si="34"/>
        <v>27</v>
      </c>
      <c r="X115" s="60">
        <f t="shared" si="35"/>
        <v>33</v>
      </c>
      <c r="Y115" s="60" t="str">
        <f>IFERROR(VLOOKUP(MID(T115,W115,X115-W115),[5]skilldef!$C:$D,2,FALSE),"-") &amp; " / " &amp; IFERROR(VLOOKUP(MID(T115,U115,V115-U115),[5]skilldef!$A:$B,2,FALSE),"-")</f>
        <v>自分自身に / 状態異常耐性</v>
      </c>
      <c r="Z115" s="46"/>
      <c r="AA115" s="48"/>
      <c r="AB115" s="46"/>
    </row>
    <row r="116" spans="1:28" ht="21" customHeight="1" x14ac:dyDescent="0.15">
      <c r="A116" s="43">
        <v>47009115</v>
      </c>
      <c r="B116" s="43" t="s">
        <v>565</v>
      </c>
      <c r="C116" s="46">
        <v>3</v>
      </c>
      <c r="D116" s="46" t="s">
        <v>356</v>
      </c>
      <c r="E116" s="47" t="s">
        <v>490</v>
      </c>
      <c r="F116" s="47" t="s">
        <v>538</v>
      </c>
      <c r="G116" s="60" t="str">
        <f t="shared" si="36"/>
        <v>[effect:enemy_message, val1:1.8, val2:1.4]</v>
      </c>
      <c r="H116" s="60">
        <f t="shared" si="24"/>
        <v>9</v>
      </c>
      <c r="I116" s="60">
        <f t="shared" ref="I116:I124" si="40">IFERROR(FIND(",",G116),LEN(G116))</f>
        <v>22</v>
      </c>
      <c r="J116" s="60" t="e">
        <f t="shared" ref="J116:J124" si="41">FIND("target:",G116)+7</f>
        <v>#VALUE!</v>
      </c>
      <c r="K116" s="60">
        <f t="shared" ref="K116:K124" si="42">FIND(",",G116,I116+1)</f>
        <v>32</v>
      </c>
      <c r="L116" s="60" t="str">
        <f>IFERROR(VLOOKUP(MID(G116,J116,K116-J116),[5]skilldef!$C:$D,2,FALSE),"-") &amp; " / " &amp; IFERROR(VLOOKUP(MID(G116,H116,I116-H116),[5]skilldef!$A:$B,2,FALSE),"-")</f>
        <v>- / -</v>
      </c>
      <c r="M116" s="60" t="str">
        <f t="shared" si="37"/>
        <v>[effect:enhance_unit, target:unit_blue, turn:-1, status:attack, val:0.7, calc:mul]</v>
      </c>
      <c r="N116" s="44" t="str">
        <f t="shared" ref="N116:N124" si="43">IFERROR(LEFT(M116,FIND("]",M116)+S125),M116)</f>
        <v>[effect:enhance_unit, target:unit_blue, turn:-1, status:attack, val:0.7, calc:mul]</v>
      </c>
      <c r="O116" s="60">
        <f t="shared" si="28"/>
        <v>9</v>
      </c>
      <c r="P116" s="60">
        <f t="shared" ref="P116:P124" si="44">IFERROR(FIND(",",N116),LEN(N116))</f>
        <v>21</v>
      </c>
      <c r="Q116" s="60">
        <f t="shared" ref="Q116:Q124" si="45">FIND("target:",N116)+7</f>
        <v>30</v>
      </c>
      <c r="R116" s="60">
        <f t="shared" ref="R116:R124" si="46">FIND(",",N116,P116+1)</f>
        <v>39</v>
      </c>
      <c r="S116" s="60" t="str">
        <f>IFERROR(VLOOKUP(MID(N116,Q116,R116-Q116),[5]skilldef!$C:$D,2,FALSE),"-") &amp; " / " &amp; IFERROR(VLOOKUP(MID(N116,O116,P116-O116),[5]skilldef!$A:$B,2,FALSE),"-")</f>
        <v>青の味方に / -</v>
      </c>
      <c r="T116" s="44" t="str">
        <f t="shared" si="39"/>
        <v>none</v>
      </c>
      <c r="U116" s="60" t="e">
        <f t="shared" si="32"/>
        <v>#VALUE!</v>
      </c>
      <c r="V116" s="60">
        <f t="shared" ref="V116:V124" si="47">IFERROR(FIND(",",T116),LEN(T116))</f>
        <v>4</v>
      </c>
      <c r="W116" s="60" t="e">
        <f t="shared" ref="W116:W124" si="48">FIND("target:",T116)+7</f>
        <v>#VALUE!</v>
      </c>
      <c r="X116" s="60" t="e">
        <f t="shared" ref="X116:X124" si="49">FIND(",",T116,V116+1)</f>
        <v>#VALUE!</v>
      </c>
      <c r="Y116" s="60" t="str">
        <f>IFERROR(VLOOKUP(MID(T116,W116,X116-W116),[5]skilldef!$C:$D,2,FALSE),"-") &amp; " / " &amp; IFERROR(VLOOKUP(MID(T116,U116,V116-U116),[5]skilldef!$A:$B,2,FALSE),"-")</f>
        <v>- / -</v>
      </c>
      <c r="Z116" s="46"/>
      <c r="AA116" s="48"/>
      <c r="AB116" s="46"/>
    </row>
    <row r="117" spans="1:28" ht="21" customHeight="1" x14ac:dyDescent="0.15">
      <c r="A117" s="43">
        <v>47009116</v>
      </c>
      <c r="B117" s="43" t="s">
        <v>591</v>
      </c>
      <c r="C117" s="46">
        <v>3</v>
      </c>
      <c r="D117" s="46" t="s">
        <v>356</v>
      </c>
      <c r="E117" s="47" t="s">
        <v>491</v>
      </c>
      <c r="F117" s="47" t="s">
        <v>538</v>
      </c>
      <c r="G117" s="60" t="str">
        <f t="shared" si="36"/>
        <v>[effect:enemy_message, val1:2.0, val2:1.4]</v>
      </c>
      <c r="H117" s="60">
        <f t="shared" si="24"/>
        <v>9</v>
      </c>
      <c r="I117" s="60">
        <f t="shared" si="40"/>
        <v>22</v>
      </c>
      <c r="J117" s="60" t="e">
        <f t="shared" si="41"/>
        <v>#VALUE!</v>
      </c>
      <c r="K117" s="60">
        <f t="shared" si="42"/>
        <v>32</v>
      </c>
      <c r="L117" s="60" t="str">
        <f>IFERROR(VLOOKUP(MID(G117,J117,K117-J117),[5]skilldef!$C:$D,2,FALSE),"-") &amp; " / " &amp; IFERROR(VLOOKUP(MID(G117,H117,I117-H117),[5]skilldef!$A:$B,2,FALSE),"-")</f>
        <v>- / -</v>
      </c>
      <c r="M117" s="60" t="str">
        <f t="shared" si="37"/>
        <v>[effect:fix_speed, target:myself, turn:1],[effect:enhance_unit, target:unit_blue, turn:-1, status:attack, val:0.7, calc:mul]</v>
      </c>
      <c r="N117" s="44" t="str">
        <f t="shared" si="43"/>
        <v>[effect:fix_speed, target:myself, turn:1]</v>
      </c>
      <c r="O117" s="60">
        <f t="shared" si="28"/>
        <v>9</v>
      </c>
      <c r="P117" s="60">
        <f t="shared" si="44"/>
        <v>18</v>
      </c>
      <c r="Q117" s="60">
        <f t="shared" si="45"/>
        <v>27</v>
      </c>
      <c r="R117" s="60">
        <f t="shared" si="46"/>
        <v>33</v>
      </c>
      <c r="S117" s="60" t="str">
        <f>IFERROR(VLOOKUP(MID(N117,Q117,R117-Q117),[5]skilldef!$C:$D,2,FALSE),"-") &amp; " / " &amp; IFERROR(VLOOKUP(MID(N117,O117,P117-O117),[5]skilldef!$A:$B,2,FALSE),"-")</f>
        <v>自分自身に / 行動値設定</v>
      </c>
      <c r="T117" s="44" t="str">
        <f t="shared" si="39"/>
        <v>[effect:enhance_unit, target:unit_blue, turn:-1, status:attack, val:0.7, calc:mul]</v>
      </c>
      <c r="U117" s="60">
        <f t="shared" si="32"/>
        <v>9</v>
      </c>
      <c r="V117" s="60">
        <f t="shared" si="47"/>
        <v>21</v>
      </c>
      <c r="W117" s="60">
        <f t="shared" si="48"/>
        <v>30</v>
      </c>
      <c r="X117" s="60">
        <f t="shared" si="49"/>
        <v>39</v>
      </c>
      <c r="Y117" s="60" t="str">
        <f>IFERROR(VLOOKUP(MID(T117,W117,X117-W117),[5]skilldef!$C:$D,2,FALSE),"-") &amp; " / " &amp; IFERROR(VLOOKUP(MID(T117,U117,V117-U117),[5]skilldef!$A:$B,2,FALSE),"-")</f>
        <v>青の味方に / -</v>
      </c>
      <c r="Z117" s="46"/>
      <c r="AA117" s="48"/>
      <c r="AB117" s="46"/>
    </row>
    <row r="118" spans="1:28" ht="21" customHeight="1" x14ac:dyDescent="0.15">
      <c r="A118" s="43">
        <v>47009117</v>
      </c>
      <c r="B118" s="43" t="s">
        <v>525</v>
      </c>
      <c r="C118" s="46">
        <v>3</v>
      </c>
      <c r="D118" s="46" t="s">
        <v>356</v>
      </c>
      <c r="E118" s="47" t="s">
        <v>492</v>
      </c>
      <c r="F118" s="150" t="s">
        <v>603</v>
      </c>
      <c r="G118" s="60" t="str">
        <f t="shared" si="36"/>
        <v>[effect:enemy_message, val1:1.7, val2:0]</v>
      </c>
      <c r="H118" s="60">
        <f t="shared" si="24"/>
        <v>9</v>
      </c>
      <c r="I118" s="60">
        <f t="shared" si="40"/>
        <v>22</v>
      </c>
      <c r="J118" s="60" t="e">
        <f t="shared" si="41"/>
        <v>#VALUE!</v>
      </c>
      <c r="K118" s="60">
        <f t="shared" si="42"/>
        <v>32</v>
      </c>
      <c r="L118" s="60" t="str">
        <f>IFERROR(VLOOKUP(MID(G118,J118,K118-J118),[5]skilldef!$C:$D,2,FALSE),"-") &amp; " / " &amp; IFERROR(VLOOKUP(MID(G118,H118,I118-H118),[5]skilldef!$A:$B,2,FALSE),"-")</f>
        <v>- / -</v>
      </c>
      <c r="M118" s="60" t="str">
        <f t="shared" si="37"/>
        <v>none</v>
      </c>
      <c r="N118" s="44" t="str">
        <f t="shared" si="43"/>
        <v>none</v>
      </c>
      <c r="O118" s="60" t="e">
        <f t="shared" si="28"/>
        <v>#VALUE!</v>
      </c>
      <c r="P118" s="60">
        <f t="shared" si="44"/>
        <v>4</v>
      </c>
      <c r="Q118" s="60" t="e">
        <f t="shared" si="45"/>
        <v>#VALUE!</v>
      </c>
      <c r="R118" s="60" t="e">
        <f t="shared" si="46"/>
        <v>#VALUE!</v>
      </c>
      <c r="S118" s="60" t="str">
        <f>IFERROR(VLOOKUP(MID(N118,Q118,R118-Q118),[5]skilldef!$C:$D,2,FALSE),"-") &amp; " / " &amp; IFERROR(VLOOKUP(MID(N118,O118,P118-O118),[5]skilldef!$A:$B,2,FALSE),"-")</f>
        <v>- / -</v>
      </c>
      <c r="T118" s="44" t="str">
        <f t="shared" si="39"/>
        <v>none</v>
      </c>
      <c r="U118" s="60" t="e">
        <f t="shared" si="32"/>
        <v>#VALUE!</v>
      </c>
      <c r="V118" s="60">
        <f t="shared" si="47"/>
        <v>4</v>
      </c>
      <c r="W118" s="60" t="e">
        <f t="shared" si="48"/>
        <v>#VALUE!</v>
      </c>
      <c r="X118" s="60" t="e">
        <f t="shared" si="49"/>
        <v>#VALUE!</v>
      </c>
      <c r="Y118" s="60" t="str">
        <f>IFERROR(VLOOKUP(MID(T118,W118,X118-W118),[5]skilldef!$C:$D,2,FALSE),"-") &amp; " / " &amp; IFERROR(VLOOKUP(MID(T118,U118,V118-U118),[5]skilldef!$A:$B,2,FALSE),"-")</f>
        <v>- / -</v>
      </c>
      <c r="Z118" s="46"/>
      <c r="AA118" s="48"/>
      <c r="AB118" s="46"/>
    </row>
    <row r="119" spans="1:28" ht="21" customHeight="1" x14ac:dyDescent="0.15">
      <c r="A119" s="43">
        <v>47009118</v>
      </c>
      <c r="B119" s="43" t="s">
        <v>529</v>
      </c>
      <c r="C119" s="46">
        <v>3</v>
      </c>
      <c r="D119" s="46" t="s">
        <v>356</v>
      </c>
      <c r="E119" s="47" t="s">
        <v>493</v>
      </c>
      <c r="F119" s="150" t="s">
        <v>603</v>
      </c>
      <c r="G119" s="60" t="str">
        <f t="shared" si="36"/>
        <v>[effect:enemy_message, val1:2.0, val2:0]</v>
      </c>
      <c r="H119" s="60">
        <f t="shared" si="24"/>
        <v>9</v>
      </c>
      <c r="I119" s="60">
        <f t="shared" si="40"/>
        <v>22</v>
      </c>
      <c r="J119" s="60" t="e">
        <f t="shared" si="41"/>
        <v>#VALUE!</v>
      </c>
      <c r="K119" s="60">
        <f t="shared" si="42"/>
        <v>32</v>
      </c>
      <c r="L119" s="60" t="str">
        <f>IFERROR(VLOOKUP(MID(G119,J119,K119-J119),[5]skilldef!$C:$D,2,FALSE),"-") &amp; " / " &amp; IFERROR(VLOOKUP(MID(G119,H119,I119-H119),[5]skilldef!$A:$B,2,FALSE),"-")</f>
        <v>- / -</v>
      </c>
      <c r="M119" s="60" t="str">
        <f t="shared" si="37"/>
        <v>none</v>
      </c>
      <c r="N119" s="44" t="str">
        <f t="shared" si="43"/>
        <v>none</v>
      </c>
      <c r="O119" s="60" t="e">
        <f t="shared" si="28"/>
        <v>#VALUE!</v>
      </c>
      <c r="P119" s="60">
        <f t="shared" si="44"/>
        <v>4</v>
      </c>
      <c r="Q119" s="60" t="e">
        <f t="shared" si="45"/>
        <v>#VALUE!</v>
      </c>
      <c r="R119" s="60" t="e">
        <f t="shared" si="46"/>
        <v>#VALUE!</v>
      </c>
      <c r="S119" s="60" t="str">
        <f>IFERROR(VLOOKUP(MID(N119,Q119,R119-Q119),[5]skilldef!$C:$D,2,FALSE),"-") &amp; " / " &amp; IFERROR(VLOOKUP(MID(N119,O119,P119-O119),[5]skilldef!$A:$B,2,FALSE),"-")</f>
        <v>- / -</v>
      </c>
      <c r="T119" s="44" t="str">
        <f t="shared" si="39"/>
        <v>none</v>
      </c>
      <c r="U119" s="60" t="e">
        <f t="shared" si="32"/>
        <v>#VALUE!</v>
      </c>
      <c r="V119" s="60">
        <f t="shared" si="47"/>
        <v>4</v>
      </c>
      <c r="W119" s="60" t="e">
        <f t="shared" si="48"/>
        <v>#VALUE!</v>
      </c>
      <c r="X119" s="60" t="e">
        <f t="shared" si="49"/>
        <v>#VALUE!</v>
      </c>
      <c r="Y119" s="60" t="str">
        <f>IFERROR(VLOOKUP(MID(T119,W119,X119-W119),[5]skilldef!$C:$D,2,FALSE),"-") &amp; " / " &amp; IFERROR(VLOOKUP(MID(T119,U119,V119-U119),[5]skilldef!$A:$B,2,FALSE),"-")</f>
        <v>- / -</v>
      </c>
      <c r="Z119" s="46"/>
      <c r="AA119" s="48"/>
      <c r="AB119" s="46"/>
    </row>
    <row r="120" spans="1:28" ht="21" customHeight="1" x14ac:dyDescent="0.15">
      <c r="A120" s="43">
        <v>47009119</v>
      </c>
      <c r="B120" s="43" t="s">
        <v>527</v>
      </c>
      <c r="C120" s="46">
        <v>3</v>
      </c>
      <c r="D120" s="46" t="s">
        <v>356</v>
      </c>
      <c r="E120" s="47" t="s">
        <v>494</v>
      </c>
      <c r="F120" s="150" t="s">
        <v>603</v>
      </c>
      <c r="G120" s="60" t="str">
        <f t="shared" si="36"/>
        <v>[effect:enemy_message, val1:1.8, val2:0]</v>
      </c>
      <c r="H120" s="60">
        <f t="shared" si="24"/>
        <v>9</v>
      </c>
      <c r="I120" s="60">
        <f t="shared" si="40"/>
        <v>22</v>
      </c>
      <c r="J120" s="60" t="e">
        <f t="shared" si="41"/>
        <v>#VALUE!</v>
      </c>
      <c r="K120" s="60">
        <f t="shared" si="42"/>
        <v>32</v>
      </c>
      <c r="L120" s="60" t="str">
        <f>IFERROR(VLOOKUP(MID(G120,J120,K120-J120),[5]skilldef!$C:$D,2,FALSE),"-") &amp; " / " &amp; IFERROR(VLOOKUP(MID(G120,H120,I120-H120),[5]skilldef!$A:$B,2,FALSE),"-")</f>
        <v>- / -</v>
      </c>
      <c r="M120" s="60" t="str">
        <f t="shared" si="37"/>
        <v>none</v>
      </c>
      <c r="N120" s="44" t="str">
        <f t="shared" si="43"/>
        <v>none</v>
      </c>
      <c r="O120" s="60" t="e">
        <f t="shared" si="28"/>
        <v>#VALUE!</v>
      </c>
      <c r="P120" s="60">
        <f t="shared" si="44"/>
        <v>4</v>
      </c>
      <c r="Q120" s="60" t="e">
        <f t="shared" si="45"/>
        <v>#VALUE!</v>
      </c>
      <c r="R120" s="60" t="e">
        <f t="shared" si="46"/>
        <v>#VALUE!</v>
      </c>
      <c r="S120" s="60" t="str">
        <f>IFERROR(VLOOKUP(MID(N120,Q120,R120-Q120),[5]skilldef!$C:$D,2,FALSE),"-") &amp; " / " &amp; IFERROR(VLOOKUP(MID(N120,O120,P120-O120),[5]skilldef!$A:$B,2,FALSE),"-")</f>
        <v>- / -</v>
      </c>
      <c r="T120" s="44" t="str">
        <f t="shared" si="39"/>
        <v>none</v>
      </c>
      <c r="U120" s="60" t="e">
        <f t="shared" si="32"/>
        <v>#VALUE!</v>
      </c>
      <c r="V120" s="60">
        <f t="shared" si="47"/>
        <v>4</v>
      </c>
      <c r="W120" s="60" t="e">
        <f t="shared" si="48"/>
        <v>#VALUE!</v>
      </c>
      <c r="X120" s="60" t="e">
        <f t="shared" si="49"/>
        <v>#VALUE!</v>
      </c>
      <c r="Y120" s="60" t="str">
        <f>IFERROR(VLOOKUP(MID(T120,W120,X120-W120),[5]skilldef!$C:$D,2,FALSE),"-") &amp; " / " &amp; IFERROR(VLOOKUP(MID(T120,U120,V120-U120),[5]skilldef!$A:$B,2,FALSE),"-")</f>
        <v>- / -</v>
      </c>
      <c r="Z120" s="46"/>
      <c r="AA120" s="48"/>
      <c r="AB120" s="46"/>
    </row>
    <row r="121" spans="1:28" ht="21" customHeight="1" x14ac:dyDescent="0.15">
      <c r="A121" s="43">
        <v>47009120</v>
      </c>
      <c r="B121" s="43" t="s">
        <v>530</v>
      </c>
      <c r="C121" s="46">
        <v>3</v>
      </c>
      <c r="D121" s="46" t="s">
        <v>356</v>
      </c>
      <c r="E121" s="47" t="s">
        <v>495</v>
      </c>
      <c r="F121" s="150" t="s">
        <v>603</v>
      </c>
      <c r="G121" s="60" t="str">
        <f t="shared" si="36"/>
        <v>[effect:enemy_message, val1:2.4, val2:0]</v>
      </c>
      <c r="H121" s="60">
        <f t="shared" si="24"/>
        <v>9</v>
      </c>
      <c r="I121" s="60">
        <f t="shared" si="40"/>
        <v>22</v>
      </c>
      <c r="J121" s="60" t="e">
        <f t="shared" si="41"/>
        <v>#VALUE!</v>
      </c>
      <c r="K121" s="60">
        <f t="shared" si="42"/>
        <v>32</v>
      </c>
      <c r="L121" s="60" t="str">
        <f>IFERROR(VLOOKUP(MID(G121,J121,K121-J121),[5]skilldef!$C:$D,2,FALSE),"-") &amp; " / " &amp; IFERROR(VLOOKUP(MID(G121,H121,I121-H121),[5]skilldef!$A:$B,2,FALSE),"-")</f>
        <v>- / -</v>
      </c>
      <c r="M121" s="60" t="str">
        <f t="shared" si="37"/>
        <v>none</v>
      </c>
      <c r="N121" s="44" t="str">
        <f t="shared" si="43"/>
        <v>none</v>
      </c>
      <c r="O121" s="60" t="e">
        <f t="shared" si="28"/>
        <v>#VALUE!</v>
      </c>
      <c r="P121" s="60">
        <f t="shared" si="44"/>
        <v>4</v>
      </c>
      <c r="Q121" s="60" t="e">
        <f t="shared" si="45"/>
        <v>#VALUE!</v>
      </c>
      <c r="R121" s="60" t="e">
        <f t="shared" si="46"/>
        <v>#VALUE!</v>
      </c>
      <c r="S121" s="60" t="str">
        <f>IFERROR(VLOOKUP(MID(N121,Q121,R121-Q121),[5]skilldef!$C:$D,2,FALSE),"-") &amp; " / " &amp; IFERROR(VLOOKUP(MID(N121,O121,P121-O121),[5]skilldef!$A:$B,2,FALSE),"-")</f>
        <v>- / -</v>
      </c>
      <c r="T121" s="44" t="str">
        <f t="shared" si="39"/>
        <v>none</v>
      </c>
      <c r="U121" s="60" t="e">
        <f t="shared" si="32"/>
        <v>#VALUE!</v>
      </c>
      <c r="V121" s="60">
        <f t="shared" si="47"/>
        <v>4</v>
      </c>
      <c r="W121" s="60" t="e">
        <f t="shared" si="48"/>
        <v>#VALUE!</v>
      </c>
      <c r="X121" s="60" t="e">
        <f t="shared" si="49"/>
        <v>#VALUE!</v>
      </c>
      <c r="Y121" s="60" t="str">
        <f>IFERROR(VLOOKUP(MID(T121,W121,X121-W121),[5]skilldef!$C:$D,2,FALSE),"-") &amp; " / " &amp; IFERROR(VLOOKUP(MID(T121,U121,V121-U121),[5]skilldef!$A:$B,2,FALSE),"-")</f>
        <v>- / -</v>
      </c>
      <c r="Z121" s="46"/>
      <c r="AA121" s="48"/>
      <c r="AB121" s="46"/>
    </row>
    <row r="122" spans="1:28" ht="21" customHeight="1" x14ac:dyDescent="0.15">
      <c r="A122" s="43">
        <v>47009121</v>
      </c>
      <c r="B122" s="43" t="s">
        <v>592</v>
      </c>
      <c r="C122" s="46">
        <v>3</v>
      </c>
      <c r="D122" s="46" t="s">
        <v>356</v>
      </c>
      <c r="E122" s="47" t="s">
        <v>616</v>
      </c>
      <c r="F122" s="150" t="s">
        <v>603</v>
      </c>
      <c r="G122" s="60" t="str">
        <f t="shared" si="36"/>
        <v>[effect:enemy_message, val1:2.6, val2:0]</v>
      </c>
      <c r="H122" s="60">
        <f t="shared" si="24"/>
        <v>9</v>
      </c>
      <c r="I122" s="60">
        <f t="shared" si="40"/>
        <v>22</v>
      </c>
      <c r="J122" s="60" t="e">
        <f t="shared" si="41"/>
        <v>#VALUE!</v>
      </c>
      <c r="K122" s="60">
        <f t="shared" si="42"/>
        <v>32</v>
      </c>
      <c r="L122" s="60" t="str">
        <f>IFERROR(VLOOKUP(MID(G122,J122,K122-J122),[5]skilldef!$C:$D,2,FALSE),"-") &amp; " / " &amp; IFERROR(VLOOKUP(MID(G122,H122,I122-H122),[5]skilldef!$A:$B,2,FALSE),"-")</f>
        <v>- / -</v>
      </c>
      <c r="M122" s="60" t="str">
        <f t="shared" si="37"/>
        <v>none</v>
      </c>
      <c r="N122" s="44" t="str">
        <f t="shared" si="43"/>
        <v>none</v>
      </c>
      <c r="O122" s="60" t="e">
        <f t="shared" si="28"/>
        <v>#VALUE!</v>
      </c>
      <c r="P122" s="60">
        <f t="shared" si="44"/>
        <v>4</v>
      </c>
      <c r="Q122" s="60" t="e">
        <f t="shared" si="45"/>
        <v>#VALUE!</v>
      </c>
      <c r="R122" s="60" t="e">
        <f t="shared" si="46"/>
        <v>#VALUE!</v>
      </c>
      <c r="S122" s="60" t="str">
        <f>IFERROR(VLOOKUP(MID(N122,Q122,R122-Q122),[5]skilldef!$C:$D,2,FALSE),"-") &amp; " / " &amp; IFERROR(VLOOKUP(MID(N122,O122,P122-O122),[5]skilldef!$A:$B,2,FALSE),"-")</f>
        <v>- / -</v>
      </c>
      <c r="T122" s="44" t="str">
        <f t="shared" si="39"/>
        <v>none</v>
      </c>
      <c r="U122" s="60" t="e">
        <f t="shared" si="32"/>
        <v>#VALUE!</v>
      </c>
      <c r="V122" s="60">
        <f t="shared" si="47"/>
        <v>4</v>
      </c>
      <c r="W122" s="60" t="e">
        <f t="shared" si="48"/>
        <v>#VALUE!</v>
      </c>
      <c r="X122" s="60" t="e">
        <f t="shared" si="49"/>
        <v>#VALUE!</v>
      </c>
      <c r="Y122" s="60" t="str">
        <f>IFERROR(VLOOKUP(MID(T122,W122,X122-W122),[5]skilldef!$C:$D,2,FALSE),"-") &amp; " / " &amp; IFERROR(VLOOKUP(MID(T122,U122,V122-U122),[5]skilldef!$A:$B,2,FALSE),"-")</f>
        <v>- / -</v>
      </c>
      <c r="Z122" s="46"/>
      <c r="AA122" s="48"/>
      <c r="AB122" s="46"/>
    </row>
    <row r="123" spans="1:28" ht="21" customHeight="1" x14ac:dyDescent="0.15">
      <c r="A123" s="43">
        <v>47009122</v>
      </c>
      <c r="B123" s="43" t="s">
        <v>531</v>
      </c>
      <c r="C123" s="46">
        <v>3</v>
      </c>
      <c r="D123" s="46" t="s">
        <v>356</v>
      </c>
      <c r="E123" s="47" t="s">
        <v>617</v>
      </c>
      <c r="F123" s="150" t="s">
        <v>603</v>
      </c>
      <c r="G123" s="60" t="str">
        <f t="shared" si="36"/>
        <v>[effect:enemy_message, val1:2.2, val2:0]</v>
      </c>
      <c r="H123" s="60">
        <f t="shared" si="24"/>
        <v>9</v>
      </c>
      <c r="I123" s="60">
        <f t="shared" si="40"/>
        <v>22</v>
      </c>
      <c r="J123" s="60" t="e">
        <f t="shared" si="41"/>
        <v>#VALUE!</v>
      </c>
      <c r="K123" s="60">
        <f t="shared" si="42"/>
        <v>32</v>
      </c>
      <c r="L123" s="60" t="str">
        <f>IFERROR(VLOOKUP(MID(G123,J123,K123-J123),[5]skilldef!$C:$D,2,FALSE),"-") &amp; " / " &amp; IFERROR(VLOOKUP(MID(G123,H123,I123-H123),[5]skilldef!$A:$B,2,FALSE),"-")</f>
        <v>- / -</v>
      </c>
      <c r="M123" s="60" t="str">
        <f t="shared" si="37"/>
        <v>none</v>
      </c>
      <c r="N123" s="44" t="str">
        <f t="shared" si="43"/>
        <v>none</v>
      </c>
      <c r="O123" s="60" t="e">
        <f t="shared" si="28"/>
        <v>#VALUE!</v>
      </c>
      <c r="P123" s="60">
        <f t="shared" si="44"/>
        <v>4</v>
      </c>
      <c r="Q123" s="60" t="e">
        <f t="shared" si="45"/>
        <v>#VALUE!</v>
      </c>
      <c r="R123" s="60" t="e">
        <f t="shared" si="46"/>
        <v>#VALUE!</v>
      </c>
      <c r="S123" s="60" t="str">
        <f>IFERROR(VLOOKUP(MID(N123,Q123,R123-Q123),[5]skilldef!$C:$D,2,FALSE),"-") &amp; " / " &amp; IFERROR(VLOOKUP(MID(N123,O123,P123-O123),[5]skilldef!$A:$B,2,FALSE),"-")</f>
        <v>- / -</v>
      </c>
      <c r="T123" s="44" t="str">
        <f t="shared" si="39"/>
        <v>none</v>
      </c>
      <c r="U123" s="60" t="e">
        <f t="shared" si="32"/>
        <v>#VALUE!</v>
      </c>
      <c r="V123" s="60">
        <f t="shared" si="47"/>
        <v>4</v>
      </c>
      <c r="W123" s="60" t="e">
        <f t="shared" si="48"/>
        <v>#VALUE!</v>
      </c>
      <c r="X123" s="60" t="e">
        <f t="shared" si="49"/>
        <v>#VALUE!</v>
      </c>
      <c r="Y123" s="60" t="str">
        <f>IFERROR(VLOOKUP(MID(T123,W123,X123-W123),[5]skilldef!$C:$D,2,FALSE),"-") &amp; " / " &amp; IFERROR(VLOOKUP(MID(T123,U123,V123-U123),[5]skilldef!$A:$B,2,FALSE),"-")</f>
        <v>- / -</v>
      </c>
      <c r="Z123" s="46"/>
      <c r="AA123" s="48"/>
      <c r="AB123" s="46"/>
    </row>
    <row r="124" spans="1:28" ht="21" customHeight="1" x14ac:dyDescent="0.15">
      <c r="A124" s="43">
        <v>47009123</v>
      </c>
      <c r="B124" s="43" t="s">
        <v>618</v>
      </c>
      <c r="C124" s="46">
        <v>3</v>
      </c>
      <c r="D124" s="46" t="s">
        <v>356</v>
      </c>
      <c r="E124" s="47" t="s">
        <v>595</v>
      </c>
      <c r="F124" s="157" t="s">
        <v>549</v>
      </c>
      <c r="G124" s="60" t="str">
        <f t="shared" si="36"/>
        <v>[effect:enemy_message, val1:2.5, val2:3.8]</v>
      </c>
      <c r="H124" s="60">
        <f t="shared" si="24"/>
        <v>9</v>
      </c>
      <c r="I124" s="60">
        <f t="shared" si="40"/>
        <v>22</v>
      </c>
      <c r="J124" s="60" t="e">
        <f t="shared" si="41"/>
        <v>#VALUE!</v>
      </c>
      <c r="K124" s="60">
        <f t="shared" si="42"/>
        <v>32</v>
      </c>
      <c r="L124" s="60" t="str">
        <f>IFERROR(VLOOKUP(MID(G124,J124,K124-J124),[5]skilldef!$C:$D,2,FALSE),"-") &amp; " / " &amp; IFERROR(VLOOKUP(MID(G124,H124,I124-H124),[5]skilldef!$A:$B,2,FALSE),"-")</f>
        <v>- / -</v>
      </c>
      <c r="M124" s="60" t="str">
        <f t="shared" si="37"/>
        <v>[effect:suicide, val:0.5, dead_type:suicide, target:myself],[effect:sp_boost, target:unit_blue, val:99, animation:sp_boost_one03]</v>
      </c>
      <c r="N124" s="44" t="str">
        <f t="shared" si="43"/>
        <v>[effect:suicide, val:0.5, dead_type:suicide, target:myself]</v>
      </c>
      <c r="O124" s="60">
        <f t="shared" si="28"/>
        <v>9</v>
      </c>
      <c r="P124" s="60">
        <f t="shared" si="44"/>
        <v>16</v>
      </c>
      <c r="Q124" s="60">
        <f t="shared" si="45"/>
        <v>53</v>
      </c>
      <c r="R124" s="60">
        <f t="shared" si="46"/>
        <v>25</v>
      </c>
      <c r="S124" s="60" t="str">
        <f>IFERROR(VLOOKUP(MID(N124,Q124,R124-Q124),[5]skilldef!$C:$D,2,FALSE),"-") &amp; " / " &amp; IFERROR(VLOOKUP(MID(N124,O124,P124-O124),[5]skilldef!$A:$B,2,FALSE),"-")</f>
        <v>- / -</v>
      </c>
      <c r="T124" s="44" t="str">
        <f t="shared" si="39"/>
        <v>[effect:sp_boost, target:unit_blue, val:99, animation:sp_boost_one03]</v>
      </c>
      <c r="U124" s="60">
        <f t="shared" si="32"/>
        <v>9</v>
      </c>
      <c r="V124" s="60">
        <f t="shared" si="47"/>
        <v>17</v>
      </c>
      <c r="W124" s="60">
        <f t="shared" si="48"/>
        <v>26</v>
      </c>
      <c r="X124" s="60">
        <f t="shared" si="49"/>
        <v>35</v>
      </c>
      <c r="Y124" s="60" t="str">
        <f>IFERROR(VLOOKUP(MID(T124,W124,X124-W124),[5]skilldef!$C:$D,2,FALSE),"-") &amp; " / " &amp; IFERROR(VLOOKUP(MID(T124,U124,V124-U124),[5]skilldef!$A:$B,2,FALSE),"-")</f>
        <v>青の味方に / -</v>
      </c>
      <c r="Z124" s="46"/>
      <c r="AA124" s="48"/>
      <c r="AB124" s="46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8"/>
  <sheetViews>
    <sheetView showGridLines="0" workbookViewId="0">
      <pane ySplit="1" topLeftCell="A45" activePane="bottomLeft" state="frozenSplit"/>
      <selection pane="bottomLeft" activeCell="H70" sqref="H70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83</v>
      </c>
      <c r="B1" s="38" t="s">
        <v>84</v>
      </c>
      <c r="C1" s="38" t="s">
        <v>85</v>
      </c>
      <c r="D1" s="38" t="s">
        <v>86</v>
      </c>
      <c r="E1" s="38" t="s">
        <v>69</v>
      </c>
      <c r="F1" s="49" t="s">
        <v>70</v>
      </c>
      <c r="G1" s="49" t="s">
        <v>71</v>
      </c>
      <c r="H1" s="38" t="s">
        <v>72</v>
      </c>
      <c r="I1" s="38" t="s">
        <v>73</v>
      </c>
      <c r="J1" s="38" t="s">
        <v>74</v>
      </c>
      <c r="K1" s="50" t="s">
        <v>87</v>
      </c>
    </row>
    <row r="2" spans="1:11" ht="21" customHeight="1" x14ac:dyDescent="0.15">
      <c r="A2" s="43">
        <v>47009001</v>
      </c>
      <c r="B2" s="43">
        <v>1</v>
      </c>
      <c r="C2" s="43">
        <v>100</v>
      </c>
      <c r="D2" s="43">
        <v>100</v>
      </c>
      <c r="E2" s="43" t="s">
        <v>358</v>
      </c>
      <c r="F2" s="43" t="s">
        <v>358</v>
      </c>
      <c r="G2" s="43">
        <v>1</v>
      </c>
      <c r="H2" s="43" t="s">
        <v>358</v>
      </c>
      <c r="I2" s="43" t="s">
        <v>358</v>
      </c>
      <c r="J2" s="44">
        <f t="shared" ref="J2:J65" si="0">D2</f>
        <v>100</v>
      </c>
    </row>
    <row r="3" spans="1:11" ht="21" customHeight="1" x14ac:dyDescent="0.15">
      <c r="A3" s="43">
        <v>47009002</v>
      </c>
      <c r="B3" s="43">
        <v>0</v>
      </c>
      <c r="C3" s="43">
        <v>60</v>
      </c>
      <c r="D3" s="43">
        <v>100</v>
      </c>
      <c r="E3" s="43" t="s">
        <v>358</v>
      </c>
      <c r="F3" s="43" t="s">
        <v>358</v>
      </c>
      <c r="G3" s="43">
        <v>1</v>
      </c>
      <c r="H3" s="43" t="s">
        <v>359</v>
      </c>
      <c r="I3" s="43" t="s">
        <v>359</v>
      </c>
      <c r="J3" s="44">
        <f t="shared" si="0"/>
        <v>100</v>
      </c>
    </row>
    <row r="4" spans="1:11" ht="21" customHeight="1" x14ac:dyDescent="0.15">
      <c r="A4" s="43">
        <v>47009003</v>
      </c>
      <c r="B4" s="43">
        <v>0</v>
      </c>
      <c r="C4" s="43">
        <v>50</v>
      </c>
      <c r="D4" s="43">
        <v>70</v>
      </c>
      <c r="E4" s="43" t="s">
        <v>359</v>
      </c>
      <c r="F4" s="43" t="s">
        <v>359</v>
      </c>
      <c r="G4" s="43" t="s">
        <v>359</v>
      </c>
      <c r="H4" s="43" t="s">
        <v>359</v>
      </c>
      <c r="I4" s="43" t="s">
        <v>359</v>
      </c>
      <c r="J4" s="44">
        <f t="shared" si="0"/>
        <v>70</v>
      </c>
    </row>
    <row r="5" spans="1:11" ht="21" customHeight="1" x14ac:dyDescent="0.15">
      <c r="A5" s="43">
        <v>47009004</v>
      </c>
      <c r="B5" s="43">
        <v>0</v>
      </c>
      <c r="C5" s="43">
        <v>51</v>
      </c>
      <c r="D5" s="43">
        <v>100</v>
      </c>
      <c r="E5" s="43">
        <v>50</v>
      </c>
      <c r="F5" s="43" t="s">
        <v>359</v>
      </c>
      <c r="G5" s="43">
        <v>1</v>
      </c>
      <c r="H5" s="43" t="s">
        <v>359</v>
      </c>
      <c r="I5" s="43" t="s">
        <v>359</v>
      </c>
      <c r="J5" s="44">
        <f t="shared" si="0"/>
        <v>100</v>
      </c>
    </row>
    <row r="6" spans="1:11" ht="21" customHeight="1" x14ac:dyDescent="0.15">
      <c r="A6" s="43">
        <v>47009005</v>
      </c>
      <c r="B6" s="43">
        <v>1</v>
      </c>
      <c r="C6" s="43">
        <v>100</v>
      </c>
      <c r="D6" s="43">
        <v>100</v>
      </c>
      <c r="E6" s="43" t="s">
        <v>359</v>
      </c>
      <c r="F6" s="43" t="s">
        <v>359</v>
      </c>
      <c r="G6" s="43">
        <v>1</v>
      </c>
      <c r="H6" s="43" t="s">
        <v>359</v>
      </c>
      <c r="I6" s="43" t="s">
        <v>359</v>
      </c>
      <c r="J6" s="44">
        <f t="shared" si="0"/>
        <v>100</v>
      </c>
    </row>
    <row r="7" spans="1:11" ht="21" customHeight="1" x14ac:dyDescent="0.15">
      <c r="A7" s="43">
        <v>47009006</v>
      </c>
      <c r="B7" s="43">
        <v>0</v>
      </c>
      <c r="C7" s="43">
        <v>50</v>
      </c>
      <c r="D7" s="43">
        <v>100</v>
      </c>
      <c r="E7" s="43" t="s">
        <v>359</v>
      </c>
      <c r="F7" s="43" t="s">
        <v>359</v>
      </c>
      <c r="G7" s="43" t="s">
        <v>359</v>
      </c>
      <c r="H7" s="43" t="s">
        <v>359</v>
      </c>
      <c r="I7" s="43" t="s">
        <v>359</v>
      </c>
      <c r="J7" s="44">
        <f t="shared" si="0"/>
        <v>100</v>
      </c>
    </row>
    <row r="8" spans="1:11" ht="21" customHeight="1" x14ac:dyDescent="0.15">
      <c r="A8" s="43">
        <v>47009007</v>
      </c>
      <c r="B8" s="43">
        <v>1</v>
      </c>
      <c r="C8" s="43">
        <v>100</v>
      </c>
      <c r="D8" s="43">
        <v>100</v>
      </c>
      <c r="E8" s="43" t="s">
        <v>359</v>
      </c>
      <c r="F8" s="43" t="s">
        <v>359</v>
      </c>
      <c r="G8" s="43">
        <v>1</v>
      </c>
      <c r="H8" s="43" t="s">
        <v>359</v>
      </c>
      <c r="I8" s="43" t="s">
        <v>359</v>
      </c>
      <c r="J8" s="44">
        <f t="shared" si="0"/>
        <v>100</v>
      </c>
    </row>
    <row r="9" spans="1:11" ht="21" customHeight="1" x14ac:dyDescent="0.15">
      <c r="A9" s="43">
        <v>47009008</v>
      </c>
      <c r="B9" s="43">
        <v>0</v>
      </c>
      <c r="C9" s="43">
        <v>62</v>
      </c>
      <c r="D9" s="43">
        <v>100</v>
      </c>
      <c r="E9" s="43" t="s">
        <v>359</v>
      </c>
      <c r="F9" s="43" t="s">
        <v>359</v>
      </c>
      <c r="G9" s="43">
        <v>1</v>
      </c>
      <c r="H9" s="43">
        <v>1</v>
      </c>
      <c r="I9" s="43" t="s">
        <v>359</v>
      </c>
      <c r="J9" s="44">
        <f t="shared" si="0"/>
        <v>100</v>
      </c>
    </row>
    <row r="10" spans="1:11" ht="21" customHeight="1" x14ac:dyDescent="0.15">
      <c r="A10" s="43">
        <v>47009009</v>
      </c>
      <c r="B10" s="43">
        <v>0</v>
      </c>
      <c r="C10" s="43">
        <v>61</v>
      </c>
      <c r="D10" s="43">
        <v>100</v>
      </c>
      <c r="E10" s="43" t="s">
        <v>359</v>
      </c>
      <c r="F10" s="43" t="s">
        <v>359</v>
      </c>
      <c r="G10" s="43">
        <v>1</v>
      </c>
      <c r="H10" s="43">
        <v>1</v>
      </c>
      <c r="I10" s="43" t="s">
        <v>359</v>
      </c>
      <c r="J10" s="44">
        <f t="shared" si="0"/>
        <v>100</v>
      </c>
    </row>
    <row r="11" spans="1:11" ht="21" customHeight="1" x14ac:dyDescent="0.15">
      <c r="A11" s="43">
        <v>47009010</v>
      </c>
      <c r="B11" s="43">
        <v>0</v>
      </c>
      <c r="C11" s="43">
        <v>60</v>
      </c>
      <c r="D11" s="43">
        <v>100</v>
      </c>
      <c r="E11" s="43" t="s">
        <v>359</v>
      </c>
      <c r="F11" s="43" t="s">
        <v>359</v>
      </c>
      <c r="G11" s="43">
        <v>1</v>
      </c>
      <c r="H11" s="43">
        <v>1</v>
      </c>
      <c r="I11" s="43" t="s">
        <v>359</v>
      </c>
      <c r="J11" s="44">
        <f t="shared" si="0"/>
        <v>100</v>
      </c>
    </row>
    <row r="12" spans="1:11" ht="21" customHeight="1" x14ac:dyDescent="0.15">
      <c r="A12" s="43">
        <v>47009011</v>
      </c>
      <c r="B12" s="43">
        <v>0</v>
      </c>
      <c r="C12" s="43">
        <v>40</v>
      </c>
      <c r="D12" s="43">
        <v>60</v>
      </c>
      <c r="E12" s="43" t="s">
        <v>359</v>
      </c>
      <c r="F12" s="43" t="s">
        <v>359</v>
      </c>
      <c r="G12" s="43" t="s">
        <v>359</v>
      </c>
      <c r="H12" s="43" t="s">
        <v>359</v>
      </c>
      <c r="I12" s="43" t="s">
        <v>359</v>
      </c>
      <c r="J12" s="44">
        <f t="shared" si="0"/>
        <v>60</v>
      </c>
    </row>
    <row r="13" spans="1:11" ht="21" customHeight="1" x14ac:dyDescent="0.15">
      <c r="A13" s="43">
        <v>47009012</v>
      </c>
      <c r="B13" s="43">
        <v>0</v>
      </c>
      <c r="C13" s="43">
        <v>41</v>
      </c>
      <c r="D13" s="43">
        <v>80</v>
      </c>
      <c r="E13" s="43" t="s">
        <v>359</v>
      </c>
      <c r="F13" s="43" t="s">
        <v>359</v>
      </c>
      <c r="G13" s="43" t="s">
        <v>359</v>
      </c>
      <c r="H13" s="43">
        <v>2</v>
      </c>
      <c r="I13" s="43" t="s">
        <v>359</v>
      </c>
      <c r="J13" s="44">
        <f t="shared" si="0"/>
        <v>80</v>
      </c>
    </row>
    <row r="14" spans="1:11" ht="21" customHeight="1" x14ac:dyDescent="0.15">
      <c r="A14" s="43">
        <v>47009013</v>
      </c>
      <c r="B14" s="43">
        <v>1</v>
      </c>
      <c r="C14" s="43">
        <v>100</v>
      </c>
      <c r="D14" s="43">
        <v>100</v>
      </c>
      <c r="E14" s="43" t="s">
        <v>359</v>
      </c>
      <c r="F14" s="43" t="s">
        <v>359</v>
      </c>
      <c r="G14" s="43">
        <v>1</v>
      </c>
      <c r="H14" s="43" t="s">
        <v>359</v>
      </c>
      <c r="I14" s="43" t="s">
        <v>359</v>
      </c>
      <c r="J14" s="44">
        <f t="shared" si="0"/>
        <v>100</v>
      </c>
    </row>
    <row r="15" spans="1:11" ht="21" customHeight="1" x14ac:dyDescent="0.15">
      <c r="A15" s="43">
        <v>47009014</v>
      </c>
      <c r="B15" s="43">
        <v>0</v>
      </c>
      <c r="C15" s="43">
        <v>50</v>
      </c>
      <c r="D15" s="43">
        <v>100</v>
      </c>
      <c r="E15" s="43" t="s">
        <v>359</v>
      </c>
      <c r="F15" s="43" t="s">
        <v>359</v>
      </c>
      <c r="G15" s="43" t="s">
        <v>359</v>
      </c>
      <c r="H15" s="43" t="s">
        <v>359</v>
      </c>
      <c r="I15" s="43" t="s">
        <v>360</v>
      </c>
      <c r="J15" s="44">
        <f t="shared" si="0"/>
        <v>100</v>
      </c>
    </row>
    <row r="16" spans="1:11" ht="21" customHeight="1" x14ac:dyDescent="0.15">
      <c r="A16" s="43">
        <v>47009015</v>
      </c>
      <c r="B16" s="43">
        <v>1</v>
      </c>
      <c r="C16" s="43">
        <v>100</v>
      </c>
      <c r="D16" s="43">
        <v>100</v>
      </c>
      <c r="E16" s="43" t="s">
        <v>360</v>
      </c>
      <c r="F16" s="43" t="s">
        <v>360</v>
      </c>
      <c r="G16" s="43">
        <v>1</v>
      </c>
      <c r="H16" s="43" t="s">
        <v>359</v>
      </c>
      <c r="I16" s="43" t="s">
        <v>359</v>
      </c>
      <c r="J16" s="44">
        <f t="shared" si="0"/>
        <v>100</v>
      </c>
    </row>
    <row r="17" spans="1:10" ht="21" customHeight="1" x14ac:dyDescent="0.15">
      <c r="A17" s="43">
        <v>47009016</v>
      </c>
      <c r="B17" s="43">
        <v>0</v>
      </c>
      <c r="C17" s="43">
        <v>60</v>
      </c>
      <c r="D17" s="43">
        <v>100</v>
      </c>
      <c r="E17" s="43" t="s">
        <v>359</v>
      </c>
      <c r="F17" s="43" t="s">
        <v>359</v>
      </c>
      <c r="G17" s="43">
        <v>1</v>
      </c>
      <c r="H17" s="43" t="s">
        <v>359</v>
      </c>
      <c r="I17" s="43" t="s">
        <v>359</v>
      </c>
      <c r="J17" s="44">
        <f t="shared" si="0"/>
        <v>100</v>
      </c>
    </row>
    <row r="18" spans="1:10" ht="21" customHeight="1" x14ac:dyDescent="0.15">
      <c r="A18" s="43">
        <v>47009017</v>
      </c>
      <c r="B18" s="43">
        <v>0</v>
      </c>
      <c r="C18" s="43">
        <v>50</v>
      </c>
      <c r="D18" s="43">
        <v>80</v>
      </c>
      <c r="E18" s="43" t="s">
        <v>359</v>
      </c>
      <c r="F18" s="43" t="s">
        <v>359</v>
      </c>
      <c r="G18" s="43" t="s">
        <v>359</v>
      </c>
      <c r="H18" s="43" t="s">
        <v>359</v>
      </c>
      <c r="I18" s="43" t="s">
        <v>359</v>
      </c>
      <c r="J18" s="44">
        <f t="shared" si="0"/>
        <v>80</v>
      </c>
    </row>
    <row r="19" spans="1:10" ht="21" customHeight="1" x14ac:dyDescent="0.15">
      <c r="A19" s="43">
        <v>47009018</v>
      </c>
      <c r="B19" s="43">
        <v>0</v>
      </c>
      <c r="C19" s="43">
        <v>51</v>
      </c>
      <c r="D19" s="43">
        <v>100</v>
      </c>
      <c r="E19" s="43">
        <v>70</v>
      </c>
      <c r="F19" s="43" t="s">
        <v>359</v>
      </c>
      <c r="G19" s="43">
        <v>3</v>
      </c>
      <c r="H19" s="43">
        <v>3</v>
      </c>
      <c r="I19" s="43" t="s">
        <v>359</v>
      </c>
      <c r="J19" s="44">
        <f t="shared" si="0"/>
        <v>100</v>
      </c>
    </row>
    <row r="20" spans="1:10" ht="21" customHeight="1" x14ac:dyDescent="0.15">
      <c r="A20" s="43">
        <v>47009019</v>
      </c>
      <c r="B20" s="43">
        <v>1</v>
      </c>
      <c r="C20" s="43">
        <v>100</v>
      </c>
      <c r="D20" s="43">
        <v>100</v>
      </c>
      <c r="E20" s="43" t="s">
        <v>359</v>
      </c>
      <c r="F20" s="43" t="s">
        <v>359</v>
      </c>
      <c r="G20" s="43">
        <v>1</v>
      </c>
      <c r="H20" s="43" t="s">
        <v>359</v>
      </c>
      <c r="I20" s="43" t="s">
        <v>359</v>
      </c>
      <c r="J20" s="44">
        <f t="shared" si="0"/>
        <v>100</v>
      </c>
    </row>
    <row r="21" spans="1:10" ht="21" customHeight="1" x14ac:dyDescent="0.15">
      <c r="A21" s="43">
        <v>47009020</v>
      </c>
      <c r="B21" s="43">
        <v>0</v>
      </c>
      <c r="C21" s="43">
        <v>51</v>
      </c>
      <c r="D21" s="43">
        <v>100</v>
      </c>
      <c r="E21" s="43">
        <v>99</v>
      </c>
      <c r="F21" s="43" t="s">
        <v>359</v>
      </c>
      <c r="G21" s="43" t="s">
        <v>359</v>
      </c>
      <c r="H21" s="43" t="s">
        <v>359</v>
      </c>
      <c r="I21" s="43" t="s">
        <v>359</v>
      </c>
      <c r="J21" s="44">
        <f t="shared" si="0"/>
        <v>100</v>
      </c>
    </row>
    <row r="22" spans="1:10" ht="21" customHeight="1" x14ac:dyDescent="0.15">
      <c r="A22" s="43">
        <v>47009021</v>
      </c>
      <c r="B22" s="43">
        <v>0</v>
      </c>
      <c r="C22" s="43">
        <v>50</v>
      </c>
      <c r="D22" s="43">
        <v>100</v>
      </c>
      <c r="E22" s="43" t="s">
        <v>359</v>
      </c>
      <c r="F22" s="43" t="s">
        <v>359</v>
      </c>
      <c r="G22" s="43" t="s">
        <v>359</v>
      </c>
      <c r="H22" s="43" t="s">
        <v>359</v>
      </c>
      <c r="I22" s="43" t="s">
        <v>359</v>
      </c>
      <c r="J22" s="44">
        <f t="shared" si="0"/>
        <v>100</v>
      </c>
    </row>
    <row r="23" spans="1:10" ht="21" customHeight="1" x14ac:dyDescent="0.15">
      <c r="A23" s="43">
        <v>47009022</v>
      </c>
      <c r="B23" s="43">
        <v>1</v>
      </c>
      <c r="C23" s="43">
        <v>100</v>
      </c>
      <c r="D23" s="43">
        <v>100</v>
      </c>
      <c r="E23" s="43" t="s">
        <v>359</v>
      </c>
      <c r="F23" s="43" t="s">
        <v>359</v>
      </c>
      <c r="G23" s="43">
        <v>1</v>
      </c>
      <c r="H23" s="43" t="s">
        <v>359</v>
      </c>
      <c r="I23" s="43" t="s">
        <v>359</v>
      </c>
      <c r="J23" s="44">
        <f t="shared" si="0"/>
        <v>100</v>
      </c>
    </row>
    <row r="24" spans="1:10" ht="21" customHeight="1" x14ac:dyDescent="0.15">
      <c r="A24" s="43">
        <v>47009023</v>
      </c>
      <c r="B24" s="43">
        <v>0</v>
      </c>
      <c r="C24" s="43">
        <v>60</v>
      </c>
      <c r="D24" s="43">
        <v>100</v>
      </c>
      <c r="E24" s="43" t="s">
        <v>360</v>
      </c>
      <c r="F24" s="43" t="s">
        <v>360</v>
      </c>
      <c r="G24" s="43">
        <v>1</v>
      </c>
      <c r="H24" s="43" t="s">
        <v>360</v>
      </c>
      <c r="I24" s="43" t="s">
        <v>360</v>
      </c>
      <c r="J24" s="44">
        <f t="shared" si="0"/>
        <v>100</v>
      </c>
    </row>
    <row r="25" spans="1:10" ht="21" customHeight="1" x14ac:dyDescent="0.15">
      <c r="A25" s="43">
        <v>47009024</v>
      </c>
      <c r="B25" s="43">
        <v>0</v>
      </c>
      <c r="C25" s="43">
        <v>50</v>
      </c>
      <c r="D25" s="43">
        <v>90</v>
      </c>
      <c r="E25" s="43" t="s">
        <v>360</v>
      </c>
      <c r="F25" s="43" t="s">
        <v>360</v>
      </c>
      <c r="G25" s="43" t="s">
        <v>360</v>
      </c>
      <c r="H25" s="43" t="s">
        <v>360</v>
      </c>
      <c r="I25" s="43" t="s">
        <v>360</v>
      </c>
      <c r="J25" s="44">
        <f t="shared" si="0"/>
        <v>90</v>
      </c>
    </row>
    <row r="26" spans="1:10" ht="21" customHeight="1" x14ac:dyDescent="0.15">
      <c r="A26" s="43">
        <v>47009025</v>
      </c>
      <c r="B26" s="43">
        <v>0</v>
      </c>
      <c r="C26" s="43">
        <v>51</v>
      </c>
      <c r="D26" s="43">
        <v>40</v>
      </c>
      <c r="E26" s="43" t="s">
        <v>360</v>
      </c>
      <c r="F26" s="43" t="s">
        <v>360</v>
      </c>
      <c r="G26" s="43" t="s">
        <v>360</v>
      </c>
      <c r="H26" s="43" t="s">
        <v>360</v>
      </c>
      <c r="I26" s="43" t="s">
        <v>360</v>
      </c>
      <c r="J26" s="44">
        <f t="shared" si="0"/>
        <v>40</v>
      </c>
    </row>
    <row r="27" spans="1:10" ht="21" customHeight="1" x14ac:dyDescent="0.15">
      <c r="A27" s="43">
        <v>47009026</v>
      </c>
      <c r="B27" s="43">
        <v>0</v>
      </c>
      <c r="C27" s="43">
        <v>55</v>
      </c>
      <c r="D27" s="43">
        <v>100</v>
      </c>
      <c r="E27" s="43" t="s">
        <v>360</v>
      </c>
      <c r="F27" s="43" t="s">
        <v>360</v>
      </c>
      <c r="G27" s="43">
        <v>1</v>
      </c>
      <c r="H27" s="43">
        <v>5</v>
      </c>
      <c r="I27" s="43" t="s">
        <v>360</v>
      </c>
      <c r="J27" s="44">
        <f t="shared" si="0"/>
        <v>100</v>
      </c>
    </row>
    <row r="28" spans="1:10" ht="21" customHeight="1" x14ac:dyDescent="0.15">
      <c r="A28" s="43">
        <v>47009027</v>
      </c>
      <c r="B28" s="43">
        <v>1</v>
      </c>
      <c r="C28" s="43">
        <v>100</v>
      </c>
      <c r="D28" s="43">
        <v>100</v>
      </c>
      <c r="E28" s="43" t="s">
        <v>360</v>
      </c>
      <c r="F28" s="43" t="s">
        <v>360</v>
      </c>
      <c r="G28" s="43">
        <v>1</v>
      </c>
      <c r="H28" s="43" t="s">
        <v>360</v>
      </c>
      <c r="I28" s="43" t="s">
        <v>360</v>
      </c>
      <c r="J28" s="44">
        <f t="shared" si="0"/>
        <v>100</v>
      </c>
    </row>
    <row r="29" spans="1:10" ht="21" customHeight="1" x14ac:dyDescent="0.15">
      <c r="A29" s="43">
        <v>47009028</v>
      </c>
      <c r="B29" s="43">
        <v>0</v>
      </c>
      <c r="C29" s="43">
        <v>50</v>
      </c>
      <c r="D29" s="43">
        <v>100</v>
      </c>
      <c r="E29" s="43" t="s">
        <v>359</v>
      </c>
      <c r="F29" s="43" t="s">
        <v>359</v>
      </c>
      <c r="G29" s="43" t="s">
        <v>359</v>
      </c>
      <c r="H29" s="43" t="s">
        <v>359</v>
      </c>
      <c r="I29" s="43" t="s">
        <v>359</v>
      </c>
      <c r="J29" s="44">
        <f t="shared" si="0"/>
        <v>100</v>
      </c>
    </row>
    <row r="30" spans="1:10" ht="21" customHeight="1" x14ac:dyDescent="0.15">
      <c r="A30" s="43">
        <v>47009029</v>
      </c>
      <c r="B30" s="43">
        <v>1</v>
      </c>
      <c r="C30" s="43">
        <v>100</v>
      </c>
      <c r="D30" s="43">
        <v>100</v>
      </c>
      <c r="E30" s="43" t="s">
        <v>359</v>
      </c>
      <c r="F30" s="43" t="s">
        <v>359</v>
      </c>
      <c r="G30" s="43">
        <v>1</v>
      </c>
      <c r="H30" s="43" t="s">
        <v>359</v>
      </c>
      <c r="I30" s="43" t="s">
        <v>359</v>
      </c>
      <c r="J30" s="44">
        <f t="shared" si="0"/>
        <v>100</v>
      </c>
    </row>
    <row r="31" spans="1:10" ht="21" customHeight="1" x14ac:dyDescent="0.15">
      <c r="A31" s="43">
        <v>47009030</v>
      </c>
      <c r="B31" s="43">
        <v>0</v>
      </c>
      <c r="C31" s="43">
        <v>50</v>
      </c>
      <c r="D31" s="43">
        <v>100</v>
      </c>
      <c r="E31" s="43" t="s">
        <v>359</v>
      </c>
      <c r="F31" s="43" t="s">
        <v>359</v>
      </c>
      <c r="G31" s="43" t="s">
        <v>359</v>
      </c>
      <c r="H31" s="43" t="s">
        <v>359</v>
      </c>
      <c r="I31" s="43" t="s">
        <v>359</v>
      </c>
      <c r="J31" s="44">
        <f t="shared" si="0"/>
        <v>100</v>
      </c>
    </row>
    <row r="32" spans="1:10" ht="21" customHeight="1" x14ac:dyDescent="0.15">
      <c r="A32" s="43">
        <v>47009031</v>
      </c>
      <c r="B32" s="43">
        <v>0</v>
      </c>
      <c r="C32" s="43">
        <v>51</v>
      </c>
      <c r="D32" s="43">
        <v>50</v>
      </c>
      <c r="E32" s="43" t="s">
        <v>359</v>
      </c>
      <c r="F32" s="43" t="s">
        <v>359</v>
      </c>
      <c r="G32" s="43" t="s">
        <v>359</v>
      </c>
      <c r="H32" s="43" t="s">
        <v>359</v>
      </c>
      <c r="I32" s="43" t="s">
        <v>359</v>
      </c>
      <c r="J32" s="44">
        <f t="shared" si="0"/>
        <v>50</v>
      </c>
    </row>
    <row r="33" spans="1:10" ht="21" customHeight="1" x14ac:dyDescent="0.15">
      <c r="A33" s="43">
        <v>47009032</v>
      </c>
      <c r="B33" s="43">
        <v>0</v>
      </c>
      <c r="C33" s="43">
        <v>60</v>
      </c>
      <c r="D33" s="43">
        <v>100</v>
      </c>
      <c r="E33" s="43" t="s">
        <v>359</v>
      </c>
      <c r="F33" s="43" t="s">
        <v>359</v>
      </c>
      <c r="G33" s="43" t="s">
        <v>359</v>
      </c>
      <c r="H33" s="43">
        <v>3</v>
      </c>
      <c r="I33" s="43" t="s">
        <v>359</v>
      </c>
      <c r="J33" s="44">
        <f t="shared" si="0"/>
        <v>100</v>
      </c>
    </row>
    <row r="34" spans="1:10" ht="21" customHeight="1" x14ac:dyDescent="0.15">
      <c r="A34" s="43">
        <v>47009033</v>
      </c>
      <c r="B34" s="43">
        <v>1</v>
      </c>
      <c r="C34" s="43">
        <v>100</v>
      </c>
      <c r="D34" s="43">
        <v>100</v>
      </c>
      <c r="E34" s="43" t="s">
        <v>359</v>
      </c>
      <c r="F34" s="43" t="s">
        <v>359</v>
      </c>
      <c r="G34" s="43">
        <v>1</v>
      </c>
      <c r="H34" s="43" t="s">
        <v>359</v>
      </c>
      <c r="I34" s="43" t="s">
        <v>359</v>
      </c>
      <c r="J34" s="44">
        <f t="shared" si="0"/>
        <v>100</v>
      </c>
    </row>
    <row r="35" spans="1:10" ht="21" customHeight="1" x14ac:dyDescent="0.15">
      <c r="A35" s="43">
        <v>47009034</v>
      </c>
      <c r="B35" s="43">
        <v>0</v>
      </c>
      <c r="C35" s="43">
        <v>50</v>
      </c>
      <c r="D35" s="43">
        <v>100</v>
      </c>
      <c r="E35" s="43" t="s">
        <v>359</v>
      </c>
      <c r="F35" s="43" t="s">
        <v>359</v>
      </c>
      <c r="G35" s="43" t="s">
        <v>359</v>
      </c>
      <c r="H35" s="43" t="s">
        <v>359</v>
      </c>
      <c r="I35" s="43" t="s">
        <v>359</v>
      </c>
      <c r="J35" s="44">
        <f t="shared" si="0"/>
        <v>100</v>
      </c>
    </row>
    <row r="36" spans="1:10" ht="21" customHeight="1" x14ac:dyDescent="0.15">
      <c r="A36" s="43">
        <v>47009035</v>
      </c>
      <c r="B36" s="43">
        <v>0</v>
      </c>
      <c r="C36" s="43">
        <v>51</v>
      </c>
      <c r="D36" s="43">
        <v>50</v>
      </c>
      <c r="E36" s="43" t="s">
        <v>359</v>
      </c>
      <c r="F36" s="43" t="s">
        <v>359</v>
      </c>
      <c r="G36" s="43">
        <v>3</v>
      </c>
      <c r="H36" s="43" t="s">
        <v>359</v>
      </c>
      <c r="I36" s="43" t="s">
        <v>359</v>
      </c>
      <c r="J36" s="44">
        <f t="shared" si="0"/>
        <v>50</v>
      </c>
    </row>
    <row r="37" spans="1:10" ht="21" customHeight="1" x14ac:dyDescent="0.15">
      <c r="A37" s="43">
        <v>47009036</v>
      </c>
      <c r="B37" s="43">
        <v>0</v>
      </c>
      <c r="C37" s="43">
        <v>60</v>
      </c>
      <c r="D37" s="43">
        <v>100</v>
      </c>
      <c r="E37" s="43" t="s">
        <v>359</v>
      </c>
      <c r="F37" s="43" t="s">
        <v>359</v>
      </c>
      <c r="G37" s="43" t="s">
        <v>359</v>
      </c>
      <c r="H37" s="43">
        <v>4</v>
      </c>
      <c r="I37" s="43" t="s">
        <v>359</v>
      </c>
      <c r="J37" s="44">
        <f t="shared" si="0"/>
        <v>100</v>
      </c>
    </row>
    <row r="38" spans="1:10" ht="21" customHeight="1" x14ac:dyDescent="0.15">
      <c r="A38" s="43">
        <v>47009037</v>
      </c>
      <c r="B38" s="43">
        <v>0</v>
      </c>
      <c r="C38" s="43">
        <v>70</v>
      </c>
      <c r="D38" s="43">
        <v>100</v>
      </c>
      <c r="E38" s="43">
        <v>50</v>
      </c>
      <c r="F38" s="43" t="s">
        <v>359</v>
      </c>
      <c r="G38" s="43">
        <v>1</v>
      </c>
      <c r="H38" s="43">
        <v>1</v>
      </c>
      <c r="I38" s="43" t="s">
        <v>359</v>
      </c>
      <c r="J38" s="44">
        <f t="shared" si="0"/>
        <v>100</v>
      </c>
    </row>
    <row r="39" spans="1:10" ht="21" customHeight="1" x14ac:dyDescent="0.15">
      <c r="A39" s="43">
        <v>47009038</v>
      </c>
      <c r="B39" s="43">
        <v>1</v>
      </c>
      <c r="C39" s="43">
        <v>100</v>
      </c>
      <c r="D39" s="43">
        <v>100</v>
      </c>
      <c r="E39" s="43" t="s">
        <v>359</v>
      </c>
      <c r="F39" s="43" t="s">
        <v>359</v>
      </c>
      <c r="G39" s="43">
        <v>1</v>
      </c>
      <c r="H39" s="43" t="s">
        <v>359</v>
      </c>
      <c r="I39" s="43" t="s">
        <v>359</v>
      </c>
      <c r="J39" s="44">
        <f t="shared" si="0"/>
        <v>100</v>
      </c>
    </row>
    <row r="40" spans="1:10" ht="21" customHeight="1" x14ac:dyDescent="0.15">
      <c r="A40" s="43">
        <v>47009039</v>
      </c>
      <c r="B40" s="43">
        <v>0</v>
      </c>
      <c r="C40" s="43">
        <v>90</v>
      </c>
      <c r="D40" s="43">
        <v>100</v>
      </c>
      <c r="E40" s="43" t="s">
        <v>359</v>
      </c>
      <c r="F40" s="43" t="s">
        <v>359</v>
      </c>
      <c r="G40" s="43">
        <v>1</v>
      </c>
      <c r="H40" s="43" t="s">
        <v>359</v>
      </c>
      <c r="I40" s="43" t="s">
        <v>359</v>
      </c>
      <c r="J40" s="44">
        <f t="shared" si="0"/>
        <v>100</v>
      </c>
    </row>
    <row r="41" spans="1:10" ht="21" customHeight="1" x14ac:dyDescent="0.15">
      <c r="A41" s="43">
        <v>47009040</v>
      </c>
      <c r="B41" s="43">
        <v>0</v>
      </c>
      <c r="C41" s="43">
        <v>50</v>
      </c>
      <c r="D41" s="43">
        <v>100</v>
      </c>
      <c r="E41" s="43" t="s">
        <v>359</v>
      </c>
      <c r="F41" s="43" t="s">
        <v>359</v>
      </c>
      <c r="G41" s="43" t="s">
        <v>359</v>
      </c>
      <c r="H41" s="43" t="s">
        <v>359</v>
      </c>
      <c r="I41" s="43" t="s">
        <v>359</v>
      </c>
      <c r="J41" s="44">
        <f t="shared" si="0"/>
        <v>100</v>
      </c>
    </row>
    <row r="42" spans="1:10" ht="21" customHeight="1" x14ac:dyDescent="0.15">
      <c r="A42" s="43">
        <v>47009041</v>
      </c>
      <c r="B42" s="43">
        <v>0</v>
      </c>
      <c r="C42" s="43">
        <v>60</v>
      </c>
      <c r="D42" s="43">
        <v>100</v>
      </c>
      <c r="E42" s="43" t="s">
        <v>359</v>
      </c>
      <c r="F42" s="43" t="s">
        <v>359</v>
      </c>
      <c r="G42" s="43" t="s">
        <v>359</v>
      </c>
      <c r="H42" s="43">
        <v>3</v>
      </c>
      <c r="I42" s="43" t="s">
        <v>359</v>
      </c>
      <c r="J42" s="44">
        <f t="shared" si="0"/>
        <v>100</v>
      </c>
    </row>
    <row r="43" spans="1:10" ht="21" customHeight="1" x14ac:dyDescent="0.15">
      <c r="A43" s="43">
        <v>47009042</v>
      </c>
      <c r="B43" s="43">
        <v>0</v>
      </c>
      <c r="C43" s="43">
        <v>70</v>
      </c>
      <c r="D43" s="43">
        <v>100</v>
      </c>
      <c r="E43" s="43">
        <v>50</v>
      </c>
      <c r="F43" s="43" t="s">
        <v>359</v>
      </c>
      <c r="G43" s="43">
        <v>1</v>
      </c>
      <c r="H43" s="43">
        <v>1</v>
      </c>
      <c r="I43" s="43" t="s">
        <v>359</v>
      </c>
      <c r="J43" s="44">
        <f t="shared" si="0"/>
        <v>100</v>
      </c>
    </row>
    <row r="44" spans="1:10" ht="21" customHeight="1" x14ac:dyDescent="0.15">
      <c r="A44" s="43">
        <v>47009043</v>
      </c>
      <c r="B44" s="43">
        <v>0</v>
      </c>
      <c r="C44" s="43">
        <v>89</v>
      </c>
      <c r="D44" s="43">
        <v>100</v>
      </c>
      <c r="E44" s="43" t="s">
        <v>359</v>
      </c>
      <c r="F44" s="43" t="s">
        <v>359</v>
      </c>
      <c r="G44" s="43">
        <v>1</v>
      </c>
      <c r="H44" s="43">
        <v>9</v>
      </c>
      <c r="I44" s="43" t="s">
        <v>359</v>
      </c>
      <c r="J44" s="44">
        <f t="shared" si="0"/>
        <v>100</v>
      </c>
    </row>
    <row r="45" spans="1:10" ht="21" customHeight="1" x14ac:dyDescent="0.15">
      <c r="A45" s="43">
        <v>47009044</v>
      </c>
      <c r="B45" s="43">
        <v>0</v>
      </c>
      <c r="C45" s="43">
        <v>100</v>
      </c>
      <c r="D45" s="43">
        <v>100</v>
      </c>
      <c r="E45" s="43" t="s">
        <v>359</v>
      </c>
      <c r="F45" s="43" t="s">
        <v>359</v>
      </c>
      <c r="G45" s="43">
        <v>0</v>
      </c>
      <c r="H45" s="43" t="s">
        <v>359</v>
      </c>
      <c r="I45" s="43">
        <v>0</v>
      </c>
      <c r="J45" s="44">
        <f t="shared" si="0"/>
        <v>100</v>
      </c>
    </row>
    <row r="46" spans="1:10" ht="21" customHeight="1" x14ac:dyDescent="0.15">
      <c r="A46" s="147">
        <v>47009045</v>
      </c>
      <c r="B46" s="43">
        <v>1</v>
      </c>
      <c r="C46" s="43">
        <v>110</v>
      </c>
      <c r="D46" s="43">
        <v>100</v>
      </c>
      <c r="E46" s="43" t="s">
        <v>359</v>
      </c>
      <c r="F46" s="43" t="s">
        <v>359</v>
      </c>
      <c r="G46" s="43">
        <v>1</v>
      </c>
      <c r="H46" s="43" t="s">
        <v>359</v>
      </c>
      <c r="I46" s="43">
        <v>1047</v>
      </c>
      <c r="J46" s="44">
        <f t="shared" si="0"/>
        <v>100</v>
      </c>
    </row>
    <row r="47" spans="1:10" ht="21" customHeight="1" x14ac:dyDescent="0.15">
      <c r="A47" s="147">
        <v>47009046</v>
      </c>
      <c r="B47" s="43">
        <v>1</v>
      </c>
      <c r="C47" s="43">
        <v>120</v>
      </c>
      <c r="D47" s="43">
        <v>100</v>
      </c>
      <c r="E47" s="43" t="s">
        <v>359</v>
      </c>
      <c r="F47" s="43" t="s">
        <v>359</v>
      </c>
      <c r="G47" s="43">
        <v>1</v>
      </c>
      <c r="H47" s="43" t="s">
        <v>359</v>
      </c>
      <c r="I47" s="43">
        <v>1045</v>
      </c>
      <c r="J47" s="44">
        <f t="shared" si="0"/>
        <v>100</v>
      </c>
    </row>
    <row r="48" spans="1:10" ht="21" customHeight="1" x14ac:dyDescent="0.15">
      <c r="A48" s="147">
        <v>47009047</v>
      </c>
      <c r="B48" s="43">
        <v>1</v>
      </c>
      <c r="C48" s="43">
        <v>130</v>
      </c>
      <c r="D48" s="43">
        <v>100</v>
      </c>
      <c r="E48" s="43" t="s">
        <v>359</v>
      </c>
      <c r="F48" s="43" t="s">
        <v>359</v>
      </c>
      <c r="G48" s="43">
        <v>1</v>
      </c>
      <c r="H48" s="43" t="s">
        <v>359</v>
      </c>
      <c r="I48" s="43">
        <v>1051</v>
      </c>
      <c r="J48" s="44">
        <f t="shared" si="0"/>
        <v>100</v>
      </c>
    </row>
    <row r="49" spans="1:10" ht="21" customHeight="1" x14ac:dyDescent="0.15">
      <c r="A49" s="147">
        <v>47009048</v>
      </c>
      <c r="B49" s="43">
        <v>1</v>
      </c>
      <c r="C49" s="43">
        <v>140</v>
      </c>
      <c r="D49" s="43">
        <v>100</v>
      </c>
      <c r="E49" s="43" t="s">
        <v>359</v>
      </c>
      <c r="F49" s="43" t="s">
        <v>359</v>
      </c>
      <c r="G49" s="43">
        <v>1</v>
      </c>
      <c r="H49" s="43" t="s">
        <v>359</v>
      </c>
      <c r="I49" s="43">
        <v>1049</v>
      </c>
      <c r="J49" s="44">
        <f t="shared" si="0"/>
        <v>100</v>
      </c>
    </row>
    <row r="50" spans="1:10" ht="21" customHeight="1" x14ac:dyDescent="0.15">
      <c r="A50" s="147">
        <v>47009049</v>
      </c>
      <c r="B50" s="43">
        <v>0</v>
      </c>
      <c r="C50" s="43">
        <v>110</v>
      </c>
      <c r="D50" s="43">
        <v>100</v>
      </c>
      <c r="E50" s="43" t="s">
        <v>359</v>
      </c>
      <c r="F50" s="43" t="s">
        <v>359</v>
      </c>
      <c r="G50" s="43">
        <v>0</v>
      </c>
      <c r="H50" s="43" t="s">
        <v>359</v>
      </c>
      <c r="I50" s="43">
        <v>1047</v>
      </c>
      <c r="J50" s="44">
        <f t="shared" si="0"/>
        <v>100</v>
      </c>
    </row>
    <row r="51" spans="1:10" ht="21" customHeight="1" x14ac:dyDescent="0.15">
      <c r="A51" s="147">
        <v>47009050</v>
      </c>
      <c r="B51" s="43">
        <v>0</v>
      </c>
      <c r="C51" s="43">
        <v>120</v>
      </c>
      <c r="D51" s="43">
        <v>100</v>
      </c>
      <c r="E51" s="43" t="s">
        <v>359</v>
      </c>
      <c r="F51" s="43" t="s">
        <v>359</v>
      </c>
      <c r="G51" s="43">
        <v>0</v>
      </c>
      <c r="H51" s="43" t="s">
        <v>359</v>
      </c>
      <c r="I51" s="43">
        <v>1045</v>
      </c>
      <c r="J51" s="44">
        <f t="shared" si="0"/>
        <v>100</v>
      </c>
    </row>
    <row r="52" spans="1:10" ht="21" customHeight="1" x14ac:dyDescent="0.15">
      <c r="A52" s="147">
        <v>47009051</v>
      </c>
      <c r="B52" s="43">
        <v>0</v>
      </c>
      <c r="C52" s="43">
        <v>130</v>
      </c>
      <c r="D52" s="43">
        <v>100</v>
      </c>
      <c r="E52" s="43" t="s">
        <v>359</v>
      </c>
      <c r="F52" s="43" t="s">
        <v>359</v>
      </c>
      <c r="G52" s="43">
        <v>0</v>
      </c>
      <c r="H52" s="43" t="s">
        <v>359</v>
      </c>
      <c r="I52" s="43">
        <v>1051</v>
      </c>
      <c r="J52" s="44">
        <f t="shared" si="0"/>
        <v>100</v>
      </c>
    </row>
    <row r="53" spans="1:10" ht="21" customHeight="1" x14ac:dyDescent="0.15">
      <c r="A53" s="147">
        <v>47009052</v>
      </c>
      <c r="B53" s="43">
        <v>0</v>
      </c>
      <c r="C53" s="43">
        <v>140</v>
      </c>
      <c r="D53" s="43">
        <v>100</v>
      </c>
      <c r="E53" s="43" t="s">
        <v>359</v>
      </c>
      <c r="F53" s="43" t="s">
        <v>359</v>
      </c>
      <c r="G53" s="43">
        <v>0</v>
      </c>
      <c r="H53" s="43" t="s">
        <v>359</v>
      </c>
      <c r="I53" s="43">
        <v>1049</v>
      </c>
      <c r="J53" s="44">
        <f t="shared" si="0"/>
        <v>100</v>
      </c>
    </row>
    <row r="54" spans="1:10" ht="21" customHeight="1" x14ac:dyDescent="0.15">
      <c r="A54" s="43">
        <v>47009053</v>
      </c>
      <c r="B54" s="43">
        <v>0</v>
      </c>
      <c r="C54" s="43">
        <v>51</v>
      </c>
      <c r="D54" s="43">
        <v>40</v>
      </c>
      <c r="E54" s="43" t="s">
        <v>359</v>
      </c>
      <c r="F54" s="43" t="s">
        <v>359</v>
      </c>
      <c r="G54" s="43" t="s">
        <v>359</v>
      </c>
      <c r="H54" s="43" t="s">
        <v>359</v>
      </c>
      <c r="I54" s="43" t="s">
        <v>359</v>
      </c>
      <c r="J54" s="44">
        <f t="shared" si="0"/>
        <v>40</v>
      </c>
    </row>
    <row r="55" spans="1:10" ht="21" customHeight="1" x14ac:dyDescent="0.15">
      <c r="A55" s="148">
        <v>47009054</v>
      </c>
      <c r="B55" s="43">
        <v>1</v>
      </c>
      <c r="C55" s="43">
        <v>150</v>
      </c>
      <c r="D55" s="43">
        <v>100</v>
      </c>
      <c r="E55" s="43" t="s">
        <v>359</v>
      </c>
      <c r="F55" s="43" t="s">
        <v>359</v>
      </c>
      <c r="G55" s="43">
        <v>1</v>
      </c>
      <c r="H55" s="43" t="s">
        <v>359</v>
      </c>
      <c r="I55" s="43">
        <v>1047</v>
      </c>
      <c r="J55" s="44">
        <f t="shared" si="0"/>
        <v>100</v>
      </c>
    </row>
    <row r="56" spans="1:10" ht="21" customHeight="1" x14ac:dyDescent="0.15">
      <c r="A56" s="148">
        <v>47009055</v>
      </c>
      <c r="B56" s="43">
        <v>1</v>
      </c>
      <c r="C56" s="43">
        <v>150</v>
      </c>
      <c r="D56" s="43">
        <v>100</v>
      </c>
      <c r="E56" s="43" t="s">
        <v>359</v>
      </c>
      <c r="F56" s="43" t="s">
        <v>359</v>
      </c>
      <c r="G56" s="43">
        <v>1</v>
      </c>
      <c r="H56" s="43" t="s">
        <v>359</v>
      </c>
      <c r="I56" s="43">
        <v>1045</v>
      </c>
      <c r="J56" s="44">
        <f t="shared" si="0"/>
        <v>100</v>
      </c>
    </row>
    <row r="57" spans="1:10" ht="21" customHeight="1" x14ac:dyDescent="0.15">
      <c r="A57" s="148">
        <v>47009056</v>
      </c>
      <c r="B57" s="43">
        <v>1</v>
      </c>
      <c r="C57" s="43">
        <v>150</v>
      </c>
      <c r="D57" s="43">
        <v>100</v>
      </c>
      <c r="E57" s="43" t="s">
        <v>359</v>
      </c>
      <c r="F57" s="43" t="s">
        <v>359</v>
      </c>
      <c r="G57" s="43">
        <v>1</v>
      </c>
      <c r="H57" s="43" t="s">
        <v>359</v>
      </c>
      <c r="I57" s="43">
        <v>1051</v>
      </c>
      <c r="J57" s="44">
        <f t="shared" si="0"/>
        <v>100</v>
      </c>
    </row>
    <row r="58" spans="1:10" ht="21" customHeight="1" x14ac:dyDescent="0.15">
      <c r="A58" s="148">
        <v>47009057</v>
      </c>
      <c r="B58" s="43">
        <v>1</v>
      </c>
      <c r="C58" s="43">
        <v>150</v>
      </c>
      <c r="D58" s="43">
        <v>100</v>
      </c>
      <c r="E58" s="43" t="s">
        <v>359</v>
      </c>
      <c r="F58" s="43" t="s">
        <v>359</v>
      </c>
      <c r="G58" s="43">
        <v>1</v>
      </c>
      <c r="H58" s="43" t="s">
        <v>359</v>
      </c>
      <c r="I58" s="43">
        <v>1049</v>
      </c>
      <c r="J58" s="44">
        <f t="shared" si="0"/>
        <v>100</v>
      </c>
    </row>
    <row r="59" spans="1:10" ht="21" customHeight="1" x14ac:dyDescent="0.15">
      <c r="A59" s="148">
        <v>47009058</v>
      </c>
      <c r="B59" s="43">
        <v>0</v>
      </c>
      <c r="C59" s="43">
        <v>150</v>
      </c>
      <c r="D59" s="43">
        <v>100</v>
      </c>
      <c r="E59" s="43">
        <v>80</v>
      </c>
      <c r="F59" s="43" t="s">
        <v>359</v>
      </c>
      <c r="G59" s="43">
        <v>1</v>
      </c>
      <c r="H59" s="43" t="s">
        <v>359</v>
      </c>
      <c r="I59" s="43" t="s">
        <v>359</v>
      </c>
      <c r="J59" s="44">
        <f t="shared" si="0"/>
        <v>100</v>
      </c>
    </row>
    <row r="60" spans="1:10" ht="21" customHeight="1" x14ac:dyDescent="0.15">
      <c r="A60" s="187">
        <v>47009115</v>
      </c>
      <c r="B60" s="44">
        <v>1</v>
      </c>
      <c r="C60" s="44">
        <v>160</v>
      </c>
      <c r="D60" s="44">
        <v>100</v>
      </c>
      <c r="E60" s="44" t="s">
        <v>593</v>
      </c>
      <c r="F60" s="44" t="s">
        <v>593</v>
      </c>
      <c r="G60" s="44">
        <v>1</v>
      </c>
      <c r="H60" s="44" t="s">
        <v>593</v>
      </c>
      <c r="I60" s="44">
        <v>1424</v>
      </c>
      <c r="J60" s="44">
        <f t="shared" ref="J60" si="1">D60</f>
        <v>100</v>
      </c>
    </row>
    <row r="61" spans="1:10" ht="21" customHeight="1" x14ac:dyDescent="0.15">
      <c r="A61" s="187">
        <v>47009116</v>
      </c>
      <c r="B61" s="44">
        <v>1</v>
      </c>
      <c r="C61" s="44">
        <v>160</v>
      </c>
      <c r="D61" s="44">
        <v>100</v>
      </c>
      <c r="E61" s="44" t="s">
        <v>593</v>
      </c>
      <c r="F61" s="44" t="s">
        <v>593</v>
      </c>
      <c r="G61" s="44">
        <v>1</v>
      </c>
      <c r="H61" s="44" t="s">
        <v>593</v>
      </c>
      <c r="I61" s="44">
        <v>1424</v>
      </c>
      <c r="J61" s="44">
        <f t="shared" si="0"/>
        <v>100</v>
      </c>
    </row>
    <row r="62" spans="1:10" ht="21" customHeight="1" x14ac:dyDescent="0.15">
      <c r="A62" s="187">
        <v>47009117</v>
      </c>
      <c r="B62" s="44">
        <v>1</v>
      </c>
      <c r="C62" s="44">
        <v>140</v>
      </c>
      <c r="D62" s="44">
        <v>100</v>
      </c>
      <c r="E62" s="44" t="s">
        <v>593</v>
      </c>
      <c r="F62" s="44" t="s">
        <v>593</v>
      </c>
      <c r="G62" s="44">
        <v>1</v>
      </c>
      <c r="H62" s="44" t="s">
        <v>593</v>
      </c>
      <c r="I62" s="44">
        <v>1424</v>
      </c>
      <c r="J62" s="44">
        <f t="shared" si="0"/>
        <v>100</v>
      </c>
    </row>
    <row r="63" spans="1:10" ht="21" customHeight="1" x14ac:dyDescent="0.15">
      <c r="A63" s="187">
        <v>47009118</v>
      </c>
      <c r="B63" s="44">
        <v>1</v>
      </c>
      <c r="C63" s="44">
        <v>140</v>
      </c>
      <c r="D63" s="44">
        <v>100</v>
      </c>
      <c r="E63" s="44" t="s">
        <v>593</v>
      </c>
      <c r="F63" s="44" t="s">
        <v>593</v>
      </c>
      <c r="G63" s="44">
        <v>1</v>
      </c>
      <c r="H63" s="44" t="s">
        <v>593</v>
      </c>
      <c r="I63" s="44">
        <v>1424</v>
      </c>
      <c r="J63" s="44">
        <f t="shared" si="0"/>
        <v>100</v>
      </c>
    </row>
    <row r="64" spans="1:10" ht="21" customHeight="1" x14ac:dyDescent="0.15">
      <c r="A64" s="187">
        <v>47009119</v>
      </c>
      <c r="B64" s="44">
        <v>1</v>
      </c>
      <c r="C64" s="44">
        <v>145</v>
      </c>
      <c r="D64" s="44">
        <v>100</v>
      </c>
      <c r="E64" s="44" t="s">
        <v>593</v>
      </c>
      <c r="F64" s="44" t="s">
        <v>593</v>
      </c>
      <c r="G64" s="44">
        <v>1</v>
      </c>
      <c r="H64" s="44" t="s">
        <v>593</v>
      </c>
      <c r="I64" s="44">
        <v>1424</v>
      </c>
      <c r="J64" s="44">
        <f t="shared" si="0"/>
        <v>100</v>
      </c>
    </row>
    <row r="65" spans="1:10" ht="21" customHeight="1" x14ac:dyDescent="0.15">
      <c r="A65" s="187">
        <v>47009120</v>
      </c>
      <c r="B65" s="44">
        <v>1</v>
      </c>
      <c r="C65" s="44">
        <v>145</v>
      </c>
      <c r="D65" s="44">
        <v>100</v>
      </c>
      <c r="E65" s="44" t="s">
        <v>593</v>
      </c>
      <c r="F65" s="44" t="s">
        <v>593</v>
      </c>
      <c r="G65" s="44">
        <v>1</v>
      </c>
      <c r="H65" s="44" t="s">
        <v>593</v>
      </c>
      <c r="I65" s="44">
        <v>1424</v>
      </c>
      <c r="J65" s="44">
        <f t="shared" si="0"/>
        <v>100</v>
      </c>
    </row>
    <row r="66" spans="1:10" ht="21" customHeight="1" x14ac:dyDescent="0.15">
      <c r="A66" s="187">
        <v>47009121</v>
      </c>
      <c r="B66" s="44">
        <v>1</v>
      </c>
      <c r="C66" s="44">
        <v>145</v>
      </c>
      <c r="D66" s="44">
        <v>100</v>
      </c>
      <c r="E66" s="44" t="s">
        <v>593</v>
      </c>
      <c r="F66" s="44" t="s">
        <v>593</v>
      </c>
      <c r="G66" s="44">
        <v>1</v>
      </c>
      <c r="H66" s="44" t="s">
        <v>593</v>
      </c>
      <c r="I66" s="44">
        <v>1424</v>
      </c>
      <c r="J66" s="44">
        <f t="shared" ref="J66:J68" si="2">D66</f>
        <v>100</v>
      </c>
    </row>
    <row r="67" spans="1:10" ht="21" customHeight="1" x14ac:dyDescent="0.15">
      <c r="A67" s="187">
        <v>47009122</v>
      </c>
      <c r="B67" s="44">
        <v>1</v>
      </c>
      <c r="C67" s="44">
        <v>145</v>
      </c>
      <c r="D67" s="44">
        <v>100</v>
      </c>
      <c r="E67" s="44" t="s">
        <v>593</v>
      </c>
      <c r="F67" s="44" t="s">
        <v>593</v>
      </c>
      <c r="G67" s="44">
        <v>1</v>
      </c>
      <c r="H67" s="44" t="s">
        <v>593</v>
      </c>
      <c r="I67" s="44">
        <v>1424</v>
      </c>
      <c r="J67" s="44">
        <f t="shared" si="2"/>
        <v>100</v>
      </c>
    </row>
    <row r="68" spans="1:10" ht="21" customHeight="1" x14ac:dyDescent="0.15">
      <c r="A68" s="187">
        <v>47009123</v>
      </c>
      <c r="B68" s="44">
        <v>1</v>
      </c>
      <c r="C68" s="44">
        <v>145</v>
      </c>
      <c r="D68" s="44">
        <v>100</v>
      </c>
      <c r="E68" s="44" t="s">
        <v>593</v>
      </c>
      <c r="F68" s="44" t="s">
        <v>593</v>
      </c>
      <c r="G68" s="44">
        <v>1</v>
      </c>
      <c r="H68" s="44" t="s">
        <v>593</v>
      </c>
      <c r="I68" s="44">
        <v>1424</v>
      </c>
      <c r="J68" s="44">
        <f t="shared" si="2"/>
        <v>100</v>
      </c>
    </row>
  </sheetData>
  <autoFilter ref="A1:G1"/>
  <phoneticPr fontId="6"/>
  <conditionalFormatting sqref="K1:K59 K61:K1048576">
    <cfRule type="duplicateValues" dxfId="1" priority="2"/>
  </conditionalFormatting>
  <conditionalFormatting sqref="K6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2" sqref="G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147</v>
      </c>
      <c r="B1" s="61" t="s">
        <v>148</v>
      </c>
      <c r="C1" s="62" t="s">
        <v>149</v>
      </c>
      <c r="D1" s="68" t="s">
        <v>150</v>
      </c>
      <c r="E1" s="63" t="s">
        <v>151</v>
      </c>
      <c r="F1" s="61" t="s">
        <v>152</v>
      </c>
      <c r="G1" s="61" t="s">
        <v>153</v>
      </c>
      <c r="H1" s="61" t="s">
        <v>154</v>
      </c>
      <c r="I1" s="61" t="s">
        <v>155</v>
      </c>
      <c r="J1" s="61" t="s">
        <v>156</v>
      </c>
      <c r="K1" s="61" t="s">
        <v>157</v>
      </c>
      <c r="L1" s="61" t="s">
        <v>158</v>
      </c>
      <c r="M1" s="61" t="s">
        <v>159</v>
      </c>
      <c r="N1" s="61" t="s">
        <v>160</v>
      </c>
      <c r="O1" s="61" t="s">
        <v>161</v>
      </c>
      <c r="P1" s="61" t="s">
        <v>162</v>
      </c>
      <c r="Q1" s="61" t="s">
        <v>163</v>
      </c>
      <c r="R1" s="61" t="s">
        <v>164</v>
      </c>
    </row>
    <row r="2" spans="1:18" x14ac:dyDescent="0.15">
      <c r="A2" s="53">
        <v>47009</v>
      </c>
      <c r="B2" s="166">
        <v>1</v>
      </c>
      <c r="C2" s="167" t="str">
        <f>A2&amp; "_"&amp;B2</f>
        <v>47009_1</v>
      </c>
      <c r="D2" s="16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6">
        <v>1</v>
      </c>
      <c r="F2" s="166" t="s">
        <v>361</v>
      </c>
      <c r="G2" s="169">
        <v>700</v>
      </c>
      <c r="H2" s="166">
        <v>1</v>
      </c>
      <c r="I2" s="166">
        <v>1</v>
      </c>
      <c r="J2" s="166">
        <v>1</v>
      </c>
      <c r="K2" s="166">
        <v>0</v>
      </c>
      <c r="L2" s="166">
        <v>0</v>
      </c>
      <c r="M2" s="166">
        <v>0</v>
      </c>
      <c r="N2" s="166">
        <v>0</v>
      </c>
      <c r="O2" s="166">
        <v>1</v>
      </c>
      <c r="P2" s="166">
        <v>25</v>
      </c>
      <c r="Q2" s="166" t="s">
        <v>165</v>
      </c>
      <c r="R2" s="170" t="s">
        <v>166</v>
      </c>
    </row>
    <row r="3" spans="1:18" x14ac:dyDescent="0.15">
      <c r="A3" s="53">
        <v>47009</v>
      </c>
      <c r="B3" s="53">
        <v>1</v>
      </c>
      <c r="C3" s="67" t="str">
        <f t="shared" ref="C3:C13" si="0">A3&amp; "_"&amp;B3</f>
        <v>47009_1</v>
      </c>
      <c r="D3" s="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3">
        <v>2</v>
      </c>
      <c r="F3" s="53" t="s">
        <v>362</v>
      </c>
      <c r="G3" s="77">
        <v>334</v>
      </c>
      <c r="H3" s="53">
        <v>1</v>
      </c>
      <c r="I3" s="166">
        <v>1</v>
      </c>
      <c r="J3" s="53">
        <v>1</v>
      </c>
      <c r="K3" s="166">
        <v>0</v>
      </c>
      <c r="L3" s="53">
        <v>0</v>
      </c>
      <c r="M3" s="53">
        <v>0</v>
      </c>
      <c r="N3" s="53">
        <v>0</v>
      </c>
      <c r="O3" s="166">
        <v>1</v>
      </c>
      <c r="P3" s="53">
        <v>10</v>
      </c>
      <c r="Q3" s="53" t="s">
        <v>165</v>
      </c>
      <c r="R3" s="171" t="s">
        <v>166</v>
      </c>
    </row>
    <row r="4" spans="1:18" x14ac:dyDescent="0.15">
      <c r="A4" s="53">
        <v>47009</v>
      </c>
      <c r="B4" s="53">
        <v>1</v>
      </c>
      <c r="C4" s="67" t="str">
        <f t="shared" si="0"/>
        <v>47009_1</v>
      </c>
      <c r="D4" s="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3">
        <v>3</v>
      </c>
      <c r="F4" s="53" t="s">
        <v>363</v>
      </c>
      <c r="G4" s="77">
        <v>338</v>
      </c>
      <c r="H4" s="53">
        <v>1</v>
      </c>
      <c r="I4" s="166">
        <v>1</v>
      </c>
      <c r="J4" s="53">
        <v>1</v>
      </c>
      <c r="K4" s="166">
        <v>0</v>
      </c>
      <c r="L4" s="53">
        <v>0</v>
      </c>
      <c r="M4" s="53">
        <v>0</v>
      </c>
      <c r="N4" s="53">
        <v>0</v>
      </c>
      <c r="O4" s="166">
        <v>1</v>
      </c>
      <c r="P4" s="53">
        <v>10</v>
      </c>
      <c r="Q4" s="53" t="s">
        <v>165</v>
      </c>
      <c r="R4" s="171" t="s">
        <v>166</v>
      </c>
    </row>
    <row r="5" spans="1:18" x14ac:dyDescent="0.15">
      <c r="A5" s="53">
        <v>47009</v>
      </c>
      <c r="B5" s="53">
        <v>1</v>
      </c>
      <c r="C5" s="67" t="str">
        <f t="shared" si="0"/>
        <v>47009_1</v>
      </c>
      <c r="D5" s="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3">
        <v>4</v>
      </c>
      <c r="F5" s="53" t="s">
        <v>363</v>
      </c>
      <c r="G5" s="77">
        <v>342</v>
      </c>
      <c r="H5" s="53">
        <v>1</v>
      </c>
      <c r="I5" s="166">
        <v>1</v>
      </c>
      <c r="J5" s="53">
        <v>1</v>
      </c>
      <c r="K5" s="166">
        <v>0</v>
      </c>
      <c r="L5" s="53">
        <v>0</v>
      </c>
      <c r="M5" s="53">
        <v>0</v>
      </c>
      <c r="N5" s="53">
        <v>0</v>
      </c>
      <c r="O5" s="166">
        <v>1</v>
      </c>
      <c r="P5" s="53">
        <v>10</v>
      </c>
      <c r="Q5" s="53" t="s">
        <v>165</v>
      </c>
      <c r="R5" s="171" t="s">
        <v>166</v>
      </c>
    </row>
    <row r="6" spans="1:18" x14ac:dyDescent="0.15">
      <c r="A6" s="53">
        <v>47009</v>
      </c>
      <c r="B6" s="53">
        <v>1</v>
      </c>
      <c r="C6" s="67" t="str">
        <f t="shared" si="0"/>
        <v>47009_1</v>
      </c>
      <c r="D6" s="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3">
        <v>5</v>
      </c>
      <c r="F6" s="53" t="s">
        <v>363</v>
      </c>
      <c r="G6" s="77">
        <v>346</v>
      </c>
      <c r="H6" s="53">
        <v>1</v>
      </c>
      <c r="I6" s="166">
        <v>1</v>
      </c>
      <c r="J6" s="53">
        <v>1</v>
      </c>
      <c r="K6" s="166">
        <v>0</v>
      </c>
      <c r="L6" s="53">
        <v>0</v>
      </c>
      <c r="M6" s="53">
        <v>0</v>
      </c>
      <c r="N6" s="53">
        <v>0</v>
      </c>
      <c r="O6" s="166">
        <v>1</v>
      </c>
      <c r="P6" s="172">
        <v>10</v>
      </c>
      <c r="Q6" s="53" t="s">
        <v>165</v>
      </c>
      <c r="R6" s="171" t="s">
        <v>166</v>
      </c>
    </row>
    <row r="7" spans="1:18" x14ac:dyDescent="0.15">
      <c r="A7" s="53">
        <v>47009</v>
      </c>
      <c r="B7" s="53">
        <v>1</v>
      </c>
      <c r="C7" s="67" t="str">
        <f t="shared" si="0"/>
        <v>47009_1</v>
      </c>
      <c r="D7" s="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3">
        <v>6</v>
      </c>
      <c r="F7" s="53" t="s">
        <v>363</v>
      </c>
      <c r="G7" s="77">
        <v>121</v>
      </c>
      <c r="H7" s="53">
        <v>1</v>
      </c>
      <c r="I7" s="166">
        <v>1</v>
      </c>
      <c r="J7" s="53">
        <v>1</v>
      </c>
      <c r="K7" s="166">
        <v>0</v>
      </c>
      <c r="L7" s="53">
        <v>0</v>
      </c>
      <c r="M7" s="53">
        <v>0</v>
      </c>
      <c r="N7" s="53">
        <v>0</v>
      </c>
      <c r="O7" s="166">
        <v>1</v>
      </c>
      <c r="P7" s="172">
        <v>10</v>
      </c>
      <c r="Q7" s="53" t="s">
        <v>165</v>
      </c>
      <c r="R7" s="171" t="s">
        <v>166</v>
      </c>
    </row>
    <row r="8" spans="1:18" x14ac:dyDescent="0.15">
      <c r="A8" s="53">
        <v>47009</v>
      </c>
      <c r="B8" s="53">
        <v>1</v>
      </c>
      <c r="C8" s="67" t="str">
        <f t="shared" si="0"/>
        <v>47009_1</v>
      </c>
      <c r="D8" s="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3">
        <v>7</v>
      </c>
      <c r="F8" s="53" t="s">
        <v>363</v>
      </c>
      <c r="G8" s="77">
        <v>122</v>
      </c>
      <c r="H8" s="53">
        <v>1</v>
      </c>
      <c r="I8" s="166">
        <v>1</v>
      </c>
      <c r="J8" s="53">
        <v>1</v>
      </c>
      <c r="K8" s="166">
        <v>0</v>
      </c>
      <c r="L8" s="53">
        <v>0</v>
      </c>
      <c r="M8" s="53">
        <v>0</v>
      </c>
      <c r="N8" s="53">
        <v>0</v>
      </c>
      <c r="O8" s="166">
        <v>1</v>
      </c>
      <c r="P8" s="172">
        <v>10</v>
      </c>
      <c r="Q8" s="53" t="s">
        <v>165</v>
      </c>
      <c r="R8" s="171" t="s">
        <v>166</v>
      </c>
    </row>
    <row r="9" spans="1:18" x14ac:dyDescent="0.15">
      <c r="A9" s="53">
        <v>47009</v>
      </c>
      <c r="B9" s="53">
        <v>1</v>
      </c>
      <c r="C9" s="67" t="str">
        <f t="shared" si="0"/>
        <v>47009_1</v>
      </c>
      <c r="D9" s="1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3">
        <v>8</v>
      </c>
      <c r="F9" s="53" t="s">
        <v>363</v>
      </c>
      <c r="G9" s="77">
        <v>123</v>
      </c>
      <c r="H9" s="53">
        <v>1</v>
      </c>
      <c r="I9" s="166">
        <v>1</v>
      </c>
      <c r="J9" s="53">
        <v>1</v>
      </c>
      <c r="K9" s="166">
        <v>0</v>
      </c>
      <c r="L9" s="53">
        <v>0</v>
      </c>
      <c r="M9" s="53">
        <v>0</v>
      </c>
      <c r="N9" s="53">
        <v>0</v>
      </c>
      <c r="O9" s="166">
        <v>1</v>
      </c>
      <c r="P9" s="172">
        <v>10</v>
      </c>
      <c r="Q9" s="53" t="s">
        <v>165</v>
      </c>
      <c r="R9" s="171" t="s">
        <v>166</v>
      </c>
    </row>
    <row r="10" spans="1:18" x14ac:dyDescent="0.15">
      <c r="A10" s="53">
        <v>47009</v>
      </c>
      <c r="B10" s="53">
        <v>1</v>
      </c>
      <c r="C10" s="67" t="str">
        <f t="shared" si="0"/>
        <v>47009_1</v>
      </c>
      <c r="D10" s="1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3">
        <v>9</v>
      </c>
      <c r="F10" s="53" t="s">
        <v>363</v>
      </c>
      <c r="G10" s="77">
        <v>125</v>
      </c>
      <c r="H10" s="53">
        <v>1</v>
      </c>
      <c r="I10" s="166">
        <v>1</v>
      </c>
      <c r="J10" s="53">
        <v>1</v>
      </c>
      <c r="K10" s="166">
        <v>0</v>
      </c>
      <c r="L10" s="53">
        <v>0</v>
      </c>
      <c r="M10" s="53">
        <v>0</v>
      </c>
      <c r="N10" s="53">
        <v>0</v>
      </c>
      <c r="O10" s="166">
        <v>1</v>
      </c>
      <c r="P10" s="172">
        <v>2</v>
      </c>
      <c r="Q10" s="53" t="s">
        <v>165</v>
      </c>
      <c r="R10" s="171" t="s">
        <v>166</v>
      </c>
    </row>
    <row r="11" spans="1:18" x14ac:dyDescent="0.15">
      <c r="A11" s="53">
        <v>47009</v>
      </c>
      <c r="B11" s="53">
        <v>1</v>
      </c>
      <c r="C11" s="67" t="str">
        <f t="shared" si="0"/>
        <v>47009_1</v>
      </c>
      <c r="D11" s="1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3">
        <v>10</v>
      </c>
      <c r="F11" s="53" t="s">
        <v>363</v>
      </c>
      <c r="G11" s="77">
        <v>607</v>
      </c>
      <c r="H11" s="53">
        <v>1</v>
      </c>
      <c r="I11" s="166">
        <v>1</v>
      </c>
      <c r="J11" s="53">
        <v>1</v>
      </c>
      <c r="K11" s="166">
        <v>0</v>
      </c>
      <c r="L11" s="53">
        <v>0</v>
      </c>
      <c r="M11" s="53">
        <v>0</v>
      </c>
      <c r="N11" s="53">
        <v>0</v>
      </c>
      <c r="O11" s="166">
        <v>1</v>
      </c>
      <c r="P11" s="172">
        <v>1</v>
      </c>
      <c r="Q11" s="53" t="s">
        <v>165</v>
      </c>
      <c r="R11" s="171" t="s">
        <v>166</v>
      </c>
    </row>
    <row r="12" spans="1:18" x14ac:dyDescent="0.15">
      <c r="A12" s="53">
        <v>47009</v>
      </c>
      <c r="B12" s="53">
        <v>1</v>
      </c>
      <c r="C12" s="67" t="str">
        <f t="shared" si="0"/>
        <v>47009_1</v>
      </c>
      <c r="D12" s="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3">
        <v>11</v>
      </c>
      <c r="F12" s="53" t="s">
        <v>363</v>
      </c>
      <c r="G12" s="77">
        <v>608</v>
      </c>
      <c r="H12" s="53">
        <v>1</v>
      </c>
      <c r="I12" s="166">
        <v>1</v>
      </c>
      <c r="J12" s="53">
        <v>1</v>
      </c>
      <c r="K12" s="166">
        <v>0</v>
      </c>
      <c r="L12" s="53">
        <v>0</v>
      </c>
      <c r="M12" s="53">
        <v>0</v>
      </c>
      <c r="N12" s="53">
        <v>0</v>
      </c>
      <c r="O12" s="166">
        <v>1</v>
      </c>
      <c r="P12" s="172">
        <v>1</v>
      </c>
      <c r="Q12" s="53" t="s">
        <v>165</v>
      </c>
      <c r="R12" s="171" t="s">
        <v>166</v>
      </c>
    </row>
    <row r="13" spans="1:18" ht="16" thickBot="1" x14ac:dyDescent="0.2">
      <c r="A13" s="173">
        <v>47009</v>
      </c>
      <c r="B13" s="174">
        <v>1</v>
      </c>
      <c r="C13" s="175" t="str">
        <f t="shared" si="0"/>
        <v>47009_1</v>
      </c>
      <c r="D13" s="17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74">
        <v>12</v>
      </c>
      <c r="F13" s="174" t="s">
        <v>363</v>
      </c>
      <c r="G13" s="177">
        <v>609</v>
      </c>
      <c r="H13" s="174">
        <v>1</v>
      </c>
      <c r="I13" s="166">
        <v>1</v>
      </c>
      <c r="J13" s="174">
        <v>1</v>
      </c>
      <c r="K13" s="166">
        <v>0</v>
      </c>
      <c r="L13" s="174">
        <v>0</v>
      </c>
      <c r="M13" s="174">
        <v>0</v>
      </c>
      <c r="N13" s="174">
        <v>0</v>
      </c>
      <c r="O13" s="166">
        <v>1</v>
      </c>
      <c r="P13" s="174">
        <v>1</v>
      </c>
      <c r="Q13" s="174" t="s">
        <v>165</v>
      </c>
      <c r="R13" s="178" t="s">
        <v>166</v>
      </c>
    </row>
    <row r="14" spans="1:18" x14ac:dyDescent="0.15">
      <c r="A14" s="179">
        <v>47009</v>
      </c>
      <c r="B14" s="179">
        <v>2</v>
      </c>
      <c r="C14" s="180" t="str">
        <f>A14&amp; "_"&amp;B14</f>
        <v>47009_2</v>
      </c>
      <c r="D14" s="11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79">
        <v>1</v>
      </c>
      <c r="F14" s="166" t="s">
        <v>361</v>
      </c>
      <c r="G14" s="181">
        <v>700</v>
      </c>
      <c r="H14" s="179">
        <v>1</v>
      </c>
      <c r="I14" s="166">
        <v>1</v>
      </c>
      <c r="J14" s="179">
        <v>1</v>
      </c>
      <c r="K14" s="166">
        <v>0</v>
      </c>
      <c r="L14" s="179">
        <v>0</v>
      </c>
      <c r="M14" s="179">
        <v>0</v>
      </c>
      <c r="N14" s="179">
        <v>0</v>
      </c>
      <c r="O14" s="166">
        <v>1</v>
      </c>
      <c r="P14" s="179">
        <v>76</v>
      </c>
      <c r="Q14" s="179" t="s">
        <v>165</v>
      </c>
      <c r="R14" s="182" t="s">
        <v>166</v>
      </c>
    </row>
    <row r="15" spans="1:18" x14ac:dyDescent="0.15">
      <c r="A15" s="53">
        <v>47009</v>
      </c>
      <c r="B15" s="53">
        <v>2</v>
      </c>
      <c r="C15" s="67" t="str">
        <f t="shared" ref="C15:C18" si="1">A15&amp; "_"&amp;B15</f>
        <v>47009_2</v>
      </c>
      <c r="D15" s="1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3">
        <v>2</v>
      </c>
      <c r="F15" s="53" t="s">
        <v>363</v>
      </c>
      <c r="G15" s="77">
        <v>607</v>
      </c>
      <c r="H15" s="53">
        <v>1</v>
      </c>
      <c r="I15" s="166">
        <v>1</v>
      </c>
      <c r="J15" s="53">
        <v>1</v>
      </c>
      <c r="K15" s="166">
        <v>0</v>
      </c>
      <c r="L15" s="53">
        <v>0</v>
      </c>
      <c r="M15" s="53">
        <v>0</v>
      </c>
      <c r="N15" s="53">
        <v>0</v>
      </c>
      <c r="O15" s="166">
        <v>1</v>
      </c>
      <c r="P15" s="53">
        <v>7</v>
      </c>
      <c r="Q15" s="53" t="s">
        <v>165</v>
      </c>
      <c r="R15" s="171" t="s">
        <v>166</v>
      </c>
    </row>
    <row r="16" spans="1:18" x14ac:dyDescent="0.15">
      <c r="A16" s="53">
        <v>47009</v>
      </c>
      <c r="B16" s="53">
        <v>2</v>
      </c>
      <c r="C16" s="67" t="str">
        <f t="shared" si="1"/>
        <v>47009_2</v>
      </c>
      <c r="D16" s="1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3">
        <v>6</v>
      </c>
      <c r="F16" s="53" t="s">
        <v>363</v>
      </c>
      <c r="G16" s="77">
        <v>608</v>
      </c>
      <c r="H16" s="53">
        <v>1</v>
      </c>
      <c r="I16" s="166">
        <v>1</v>
      </c>
      <c r="J16" s="53">
        <v>1</v>
      </c>
      <c r="K16" s="166">
        <v>0</v>
      </c>
      <c r="L16" s="53">
        <v>0</v>
      </c>
      <c r="M16" s="53">
        <v>0</v>
      </c>
      <c r="N16" s="53">
        <v>0</v>
      </c>
      <c r="O16" s="166">
        <v>1</v>
      </c>
      <c r="P16" s="53">
        <v>7</v>
      </c>
      <c r="Q16" s="53" t="s">
        <v>165</v>
      </c>
      <c r="R16" s="171" t="s">
        <v>166</v>
      </c>
    </row>
    <row r="17" spans="1:18" x14ac:dyDescent="0.15">
      <c r="A17" s="53">
        <v>47009</v>
      </c>
      <c r="B17" s="53">
        <v>2</v>
      </c>
      <c r="C17" s="67" t="str">
        <f t="shared" si="1"/>
        <v>47009_2</v>
      </c>
      <c r="D17" s="1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3">
        <v>7</v>
      </c>
      <c r="F17" s="53" t="s">
        <v>363</v>
      </c>
      <c r="G17" s="77">
        <v>609</v>
      </c>
      <c r="H17" s="53">
        <v>1</v>
      </c>
      <c r="I17" s="166">
        <v>1</v>
      </c>
      <c r="J17" s="53">
        <v>1</v>
      </c>
      <c r="K17" s="166">
        <v>0</v>
      </c>
      <c r="L17" s="53">
        <v>0</v>
      </c>
      <c r="M17" s="53">
        <v>0</v>
      </c>
      <c r="N17" s="53">
        <v>0</v>
      </c>
      <c r="O17" s="166">
        <v>1</v>
      </c>
      <c r="P17" s="53">
        <v>7</v>
      </c>
      <c r="Q17" s="53" t="s">
        <v>165</v>
      </c>
      <c r="R17" s="171" t="s">
        <v>166</v>
      </c>
    </row>
    <row r="18" spans="1:18" ht="16" thickBot="1" x14ac:dyDescent="0.2">
      <c r="A18" s="173">
        <v>47009</v>
      </c>
      <c r="B18" s="173">
        <v>2</v>
      </c>
      <c r="C18" s="183" t="str">
        <f t="shared" si="1"/>
        <v>47009_2</v>
      </c>
      <c r="D18" s="10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73">
        <v>8</v>
      </c>
      <c r="F18" s="173" t="s">
        <v>363</v>
      </c>
      <c r="G18" s="184">
        <v>125</v>
      </c>
      <c r="H18" s="173">
        <v>1</v>
      </c>
      <c r="I18" s="166">
        <v>1</v>
      </c>
      <c r="J18" s="173">
        <v>1</v>
      </c>
      <c r="K18" s="166">
        <v>0</v>
      </c>
      <c r="L18" s="173">
        <v>0</v>
      </c>
      <c r="M18" s="173">
        <v>0</v>
      </c>
      <c r="N18" s="173">
        <v>0</v>
      </c>
      <c r="O18" s="166">
        <v>1</v>
      </c>
      <c r="P18" s="173">
        <v>3</v>
      </c>
      <c r="Q18" s="173" t="s">
        <v>165</v>
      </c>
      <c r="R18" s="185" t="s">
        <v>166</v>
      </c>
    </row>
  </sheetData>
  <phoneticPr fontId="6"/>
  <dataValidations count="1">
    <dataValidation type="list" allowBlank="1" showInputMessage="1" showErrorMessage="1" sqref="F2 F14">
      <formula1>"bit,link,polygon,unit,item"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B11" sqref="B11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184</v>
      </c>
      <c r="B1" s="69" t="s">
        <v>185</v>
      </c>
      <c r="C1" s="73" t="s">
        <v>186</v>
      </c>
      <c r="D1" s="73" t="s">
        <v>33</v>
      </c>
      <c r="E1" s="69" t="s">
        <v>187</v>
      </c>
      <c r="F1" s="73" t="s">
        <v>188</v>
      </c>
      <c r="G1" s="73" t="s">
        <v>33</v>
      </c>
      <c r="H1" s="69" t="s">
        <v>189</v>
      </c>
      <c r="I1" s="87" t="s">
        <v>191</v>
      </c>
      <c r="J1" s="75" t="s">
        <v>124</v>
      </c>
      <c r="K1" s="74" t="s">
        <v>182</v>
      </c>
      <c r="L1" s="88" t="s">
        <v>181</v>
      </c>
      <c r="M1" s="76" t="s">
        <v>192</v>
      </c>
    </row>
    <row r="2" spans="1:13" x14ac:dyDescent="0.15">
      <c r="A2" s="77"/>
      <c r="B2" s="78"/>
      <c r="C2" s="79"/>
      <c r="D2" s="79"/>
      <c r="E2" s="83"/>
      <c r="F2" s="79"/>
      <c r="G2" s="79"/>
      <c r="H2" s="81"/>
      <c r="J2" s="80"/>
      <c r="K2" s="89"/>
      <c r="L2" s="90"/>
      <c r="M2" s="53"/>
    </row>
    <row r="3" spans="1:13" x14ac:dyDescent="0.15">
      <c r="A3" s="77"/>
      <c r="B3" s="78"/>
      <c r="C3" s="79"/>
      <c r="D3" s="79"/>
      <c r="E3" s="83"/>
      <c r="F3" s="79"/>
      <c r="G3" s="79"/>
      <c r="H3" s="81"/>
      <c r="J3" s="80"/>
      <c r="K3" s="89"/>
      <c r="L3" s="90"/>
      <c r="M3" s="53"/>
    </row>
    <row r="4" spans="1:13" x14ac:dyDescent="0.15">
      <c r="A4" s="77"/>
      <c r="B4" s="78"/>
      <c r="C4" s="79"/>
      <c r="D4" s="79"/>
      <c r="E4" s="83"/>
      <c r="F4" s="79"/>
      <c r="G4" s="79"/>
      <c r="H4" s="81"/>
      <c r="J4" s="80"/>
      <c r="K4" s="89"/>
      <c r="L4" s="90"/>
      <c r="M4" s="53"/>
    </row>
    <row r="5" spans="1:13" x14ac:dyDescent="0.15">
      <c r="A5" s="77"/>
      <c r="B5" s="78"/>
      <c r="C5" s="79"/>
      <c r="D5" s="79"/>
      <c r="E5" s="83"/>
      <c r="F5" s="79"/>
      <c r="G5" s="79"/>
      <c r="H5" s="81"/>
      <c r="J5" s="80"/>
      <c r="K5" s="89"/>
      <c r="L5" s="90"/>
      <c r="M5" s="53"/>
    </row>
    <row r="6" spans="1:13" x14ac:dyDescent="0.15">
      <c r="A6" s="77"/>
      <c r="B6" s="78"/>
      <c r="C6" s="79"/>
      <c r="D6" s="79"/>
      <c r="E6" s="83"/>
      <c r="F6" s="79"/>
      <c r="G6" s="79"/>
      <c r="H6" s="81"/>
      <c r="J6" s="80"/>
      <c r="K6" s="89"/>
      <c r="L6" s="90"/>
      <c r="M6" s="53"/>
    </row>
    <row r="7" spans="1:13" x14ac:dyDescent="0.15">
      <c r="A7" s="77"/>
      <c r="B7" s="78"/>
      <c r="C7" s="79"/>
      <c r="D7" s="79"/>
      <c r="E7" s="83"/>
      <c r="F7" s="79"/>
      <c r="G7" s="79"/>
      <c r="H7" s="81"/>
      <c r="J7" s="80"/>
      <c r="K7" s="89"/>
      <c r="L7" s="90"/>
      <c r="M7" s="53"/>
    </row>
    <row r="8" spans="1:13" x14ac:dyDescent="0.15">
      <c r="A8" s="77"/>
      <c r="B8" s="78"/>
      <c r="C8" s="79"/>
      <c r="D8" s="79"/>
      <c r="E8" s="83"/>
      <c r="F8" s="79"/>
      <c r="G8" s="79"/>
      <c r="H8" s="81"/>
      <c r="J8" s="80"/>
      <c r="K8" s="89"/>
      <c r="L8" s="90"/>
      <c r="M8" s="53"/>
    </row>
    <row r="9" spans="1:13" x14ac:dyDescent="0.15">
      <c r="A9" s="77"/>
      <c r="B9" s="78"/>
      <c r="C9" s="79"/>
      <c r="D9" s="79"/>
      <c r="E9" s="83"/>
      <c r="F9" s="79"/>
      <c r="G9" s="79"/>
      <c r="H9" s="81"/>
      <c r="J9" s="80"/>
      <c r="K9" s="89"/>
      <c r="L9" s="90"/>
      <c r="M9" s="53"/>
    </row>
    <row r="10" spans="1:13" x14ac:dyDescent="0.15">
      <c r="A10" s="77"/>
      <c r="B10" s="78"/>
      <c r="C10" s="79"/>
      <c r="D10" s="79"/>
      <c r="E10" s="83"/>
      <c r="F10" s="79"/>
      <c r="G10" s="79"/>
      <c r="H10" s="81"/>
      <c r="J10" s="80"/>
      <c r="K10" s="89"/>
      <c r="L10" s="90"/>
      <c r="M10" s="53"/>
    </row>
    <row r="11" spans="1:13" x14ac:dyDescent="0.15">
      <c r="A11" s="77"/>
      <c r="B11" s="78"/>
      <c r="C11" s="79"/>
      <c r="D11" s="79"/>
      <c r="E11" s="83"/>
      <c r="F11" s="79"/>
      <c r="G11" s="79"/>
      <c r="H11" s="81"/>
      <c r="J11" s="80"/>
      <c r="K11" s="89"/>
      <c r="L11" s="90"/>
      <c r="M11" s="53"/>
    </row>
    <row r="12" spans="1:13" x14ac:dyDescent="0.15">
      <c r="A12" s="77"/>
      <c r="B12" s="78"/>
      <c r="C12" s="79"/>
      <c r="D12" s="79"/>
      <c r="E12" s="83"/>
      <c r="F12" s="79"/>
      <c r="G12" s="79"/>
      <c r="H12" s="81"/>
      <c r="J12" s="80"/>
      <c r="K12" s="89"/>
      <c r="L12" s="90"/>
      <c r="M12" s="53"/>
    </row>
    <row r="13" spans="1:13" x14ac:dyDescent="0.15">
      <c r="A13" s="77"/>
      <c r="B13" s="78"/>
      <c r="C13" s="79"/>
      <c r="D13" s="79"/>
      <c r="E13" s="83"/>
      <c r="F13" s="79"/>
      <c r="G13" s="79"/>
      <c r="H13" s="81"/>
      <c r="J13" s="80"/>
      <c r="K13" s="89"/>
      <c r="L13" s="90"/>
      <c r="M13" s="53"/>
    </row>
    <row r="14" spans="1:13" x14ac:dyDescent="0.15">
      <c r="A14" s="77"/>
      <c r="B14" s="78"/>
      <c r="C14" s="79"/>
      <c r="D14" s="79"/>
      <c r="E14" s="83"/>
      <c r="F14" s="79"/>
      <c r="G14" s="79"/>
      <c r="H14" s="81"/>
      <c r="J14" s="80"/>
      <c r="K14" s="89"/>
      <c r="L14" s="90"/>
      <c r="M14" s="53"/>
    </row>
    <row r="15" spans="1:13" x14ac:dyDescent="0.15">
      <c r="A15" s="77"/>
      <c r="B15" s="78"/>
      <c r="C15" s="79"/>
      <c r="D15" s="79"/>
      <c r="E15" s="83"/>
      <c r="F15" s="79"/>
      <c r="G15" s="79"/>
      <c r="H15" s="81"/>
      <c r="J15" s="80"/>
      <c r="K15" s="89"/>
      <c r="L15" s="90"/>
      <c r="M15" s="53"/>
    </row>
    <row r="16" spans="1:13" x14ac:dyDescent="0.15">
      <c r="A16" s="77"/>
      <c r="B16" s="78"/>
      <c r="C16" s="79"/>
      <c r="D16" s="79"/>
      <c r="E16" s="83"/>
      <c r="F16" s="79"/>
      <c r="G16" s="79"/>
      <c r="H16" s="81"/>
      <c r="J16" s="80"/>
      <c r="K16" s="89"/>
      <c r="L16" s="90"/>
      <c r="M16" s="53"/>
    </row>
    <row r="17" spans="1:13" x14ac:dyDescent="0.15">
      <c r="A17" s="77"/>
      <c r="B17" s="78"/>
      <c r="C17" s="79"/>
      <c r="D17" s="79"/>
      <c r="E17" s="83"/>
      <c r="F17" s="79"/>
      <c r="G17" s="79"/>
      <c r="H17" s="81"/>
      <c r="J17" s="80"/>
      <c r="K17" s="89"/>
      <c r="L17" s="90"/>
      <c r="M17" s="53"/>
    </row>
    <row r="18" spans="1:13" x14ac:dyDescent="0.15">
      <c r="A18" s="77"/>
      <c r="B18" s="78"/>
      <c r="C18" s="79"/>
      <c r="D18" s="79"/>
      <c r="E18" s="83"/>
      <c r="F18" s="79"/>
      <c r="G18" s="79"/>
      <c r="H18" s="81"/>
      <c r="J18" s="80"/>
      <c r="K18" s="89"/>
      <c r="L18" s="90"/>
      <c r="M18" s="53"/>
    </row>
    <row r="19" spans="1:13" x14ac:dyDescent="0.15">
      <c r="A19" s="77"/>
      <c r="B19" s="78"/>
      <c r="C19" s="79"/>
      <c r="D19" s="79"/>
      <c r="E19" s="83"/>
      <c r="F19" s="79"/>
      <c r="G19" s="79"/>
      <c r="H19" s="81"/>
      <c r="J19" s="80"/>
      <c r="K19" s="89"/>
      <c r="L19" s="90"/>
      <c r="M19" s="53"/>
    </row>
    <row r="20" spans="1:13" x14ac:dyDescent="0.15">
      <c r="A20" s="77"/>
      <c r="B20" s="78"/>
      <c r="C20" s="79"/>
      <c r="D20" s="79"/>
      <c r="E20" s="83"/>
      <c r="F20" s="79"/>
      <c r="G20" s="79"/>
      <c r="H20" s="81"/>
      <c r="J20" s="80"/>
      <c r="K20" s="89"/>
      <c r="L20" s="90"/>
      <c r="M20" s="53"/>
    </row>
    <row r="21" spans="1:13" x14ac:dyDescent="0.15">
      <c r="A21" s="77"/>
      <c r="B21" s="78"/>
      <c r="C21" s="79"/>
      <c r="D21" s="79"/>
      <c r="E21" s="83"/>
      <c r="F21" s="79"/>
      <c r="G21" s="79"/>
      <c r="H21" s="81"/>
      <c r="J21" s="80"/>
      <c r="K21" s="89"/>
      <c r="L21" s="90"/>
      <c r="M21" s="53"/>
    </row>
    <row r="22" spans="1:13" x14ac:dyDescent="0.15">
      <c r="A22" s="77"/>
      <c r="B22" s="78"/>
      <c r="C22" s="79"/>
      <c r="D22" s="79"/>
      <c r="E22" s="83"/>
      <c r="F22" s="79"/>
      <c r="G22" s="79"/>
      <c r="H22" s="81"/>
      <c r="J22" s="80"/>
      <c r="K22" s="89"/>
      <c r="L22" s="90"/>
      <c r="M22" s="53"/>
    </row>
    <row r="23" spans="1:13" x14ac:dyDescent="0.15">
      <c r="A23" s="77"/>
      <c r="B23" s="78"/>
      <c r="C23" s="79"/>
      <c r="D23" s="79"/>
      <c r="E23" s="83"/>
      <c r="F23" s="79"/>
      <c r="G23" s="79"/>
      <c r="H23" s="81"/>
      <c r="J23" s="80"/>
      <c r="K23" s="89"/>
      <c r="L23" s="90"/>
      <c r="M23" s="53"/>
    </row>
    <row r="24" spans="1:13" x14ac:dyDescent="0.15">
      <c r="A24" s="77"/>
      <c r="B24" s="78"/>
      <c r="C24" s="79"/>
      <c r="D24" s="79"/>
      <c r="E24" s="83"/>
      <c r="F24" s="79"/>
      <c r="G24" s="79"/>
      <c r="H24" s="81"/>
      <c r="J24" s="80"/>
      <c r="K24" s="89"/>
      <c r="L24" s="90"/>
      <c r="M24" s="53"/>
    </row>
    <row r="25" spans="1:13" x14ac:dyDescent="0.15">
      <c r="A25" s="77"/>
      <c r="B25" s="78"/>
      <c r="C25" s="79"/>
      <c r="D25" s="79"/>
      <c r="E25" s="83"/>
      <c r="F25" s="79"/>
      <c r="G25" s="79"/>
      <c r="H25" s="81"/>
      <c r="J25" s="80"/>
      <c r="K25" s="89"/>
      <c r="L25" s="90"/>
      <c r="M25" s="53"/>
    </row>
    <row r="26" spans="1:13" x14ac:dyDescent="0.15">
      <c r="A26" s="77"/>
      <c r="B26" s="78"/>
      <c r="C26" s="79"/>
      <c r="D26" s="79"/>
      <c r="E26" s="83"/>
      <c r="F26" s="79"/>
      <c r="G26" s="79"/>
      <c r="H26" s="81"/>
      <c r="J26" s="80"/>
      <c r="K26" s="89"/>
      <c r="L26" s="90"/>
      <c r="M26" s="53"/>
    </row>
    <row r="27" spans="1:13" x14ac:dyDescent="0.15">
      <c r="A27" s="77"/>
      <c r="B27" s="78"/>
      <c r="C27" s="79"/>
      <c r="D27" s="79"/>
      <c r="E27" s="83"/>
      <c r="F27" s="79"/>
      <c r="G27" s="79"/>
      <c r="H27" s="81"/>
      <c r="J27" s="80"/>
      <c r="K27" s="89"/>
      <c r="L27" s="90"/>
      <c r="M27" s="53"/>
    </row>
    <row r="28" spans="1:13" x14ac:dyDescent="0.15">
      <c r="A28" s="77"/>
      <c r="B28" s="78"/>
      <c r="C28" s="79"/>
      <c r="D28" s="79"/>
      <c r="E28" s="83"/>
      <c r="F28" s="79"/>
      <c r="G28" s="79"/>
      <c r="H28" s="81"/>
      <c r="J28" s="80"/>
      <c r="K28" s="89"/>
      <c r="L28" s="90"/>
      <c r="M28" s="53"/>
    </row>
    <row r="29" spans="1:13" x14ac:dyDescent="0.15">
      <c r="A29" s="77"/>
      <c r="B29" s="78"/>
      <c r="C29" s="79"/>
      <c r="D29" s="79"/>
      <c r="E29" s="83"/>
      <c r="F29" s="79"/>
      <c r="G29" s="79"/>
      <c r="H29" s="81"/>
      <c r="J29" s="80"/>
      <c r="K29" s="89"/>
      <c r="L29" s="90"/>
      <c r="M29" s="53"/>
    </row>
    <row r="30" spans="1:13" x14ac:dyDescent="0.15">
      <c r="A30" s="77"/>
      <c r="B30" s="78"/>
      <c r="C30" s="79"/>
      <c r="D30" s="79"/>
      <c r="E30" s="83"/>
      <c r="F30" s="79"/>
      <c r="G30" s="79"/>
      <c r="H30" s="81"/>
      <c r="J30" s="80"/>
      <c r="K30" s="89"/>
      <c r="L30" s="90"/>
      <c r="M30" s="53"/>
    </row>
    <row r="31" spans="1:13" x14ac:dyDescent="0.15">
      <c r="A31" s="77"/>
      <c r="B31" s="78"/>
      <c r="C31" s="79"/>
      <c r="D31" s="79"/>
      <c r="E31" s="83"/>
      <c r="F31" s="79"/>
      <c r="G31" s="79"/>
      <c r="H31" s="81"/>
      <c r="J31" s="80"/>
      <c r="K31" s="89"/>
      <c r="L31" s="90"/>
      <c r="M31" s="53"/>
    </row>
    <row r="32" spans="1:13" x14ac:dyDescent="0.15">
      <c r="A32" s="77"/>
      <c r="B32" s="78"/>
      <c r="C32" s="79"/>
      <c r="D32" s="79"/>
      <c r="E32" s="83"/>
      <c r="F32" s="79"/>
      <c r="G32" s="79"/>
      <c r="H32" s="81"/>
      <c r="J32" s="80"/>
      <c r="K32" s="89"/>
      <c r="L32" s="90"/>
      <c r="M32" s="53"/>
    </row>
    <row r="33" spans="1:13" x14ac:dyDescent="0.15">
      <c r="A33" s="77"/>
      <c r="B33" s="78"/>
      <c r="C33" s="79"/>
      <c r="D33" s="79"/>
      <c r="E33" s="83"/>
      <c r="F33" s="79"/>
      <c r="G33" s="79"/>
      <c r="H33" s="81"/>
      <c r="J33" s="80"/>
      <c r="K33" s="89"/>
      <c r="L33" s="90"/>
      <c r="M33" s="53"/>
    </row>
    <row r="34" spans="1:13" x14ac:dyDescent="0.15">
      <c r="A34" s="77"/>
      <c r="B34" s="78"/>
      <c r="C34" s="79"/>
      <c r="D34" s="79"/>
      <c r="E34" s="83"/>
      <c r="F34" s="79"/>
      <c r="G34" s="79"/>
      <c r="H34" s="81"/>
      <c r="J34" s="80"/>
      <c r="K34" s="89"/>
      <c r="L34" s="90"/>
      <c r="M34" s="53"/>
    </row>
    <row r="35" spans="1:13" x14ac:dyDescent="0.15">
      <c r="A35" s="77"/>
      <c r="B35" s="78"/>
      <c r="C35" s="79"/>
      <c r="D35" s="79"/>
      <c r="E35" s="83"/>
      <c r="F35" s="79"/>
      <c r="G35" s="79"/>
      <c r="H35" s="81"/>
      <c r="J35" s="80"/>
      <c r="K35" s="89"/>
      <c r="L35" s="90"/>
      <c r="M35" s="53"/>
    </row>
    <row r="36" spans="1:13" x14ac:dyDescent="0.15">
      <c r="A36" s="77"/>
      <c r="B36" s="78"/>
      <c r="C36" s="79"/>
      <c r="D36" s="79"/>
      <c r="E36" s="83"/>
      <c r="F36" s="79"/>
      <c r="G36" s="79"/>
      <c r="H36" s="81"/>
      <c r="J36" s="80"/>
      <c r="K36" s="89"/>
      <c r="L36" s="90"/>
      <c r="M36" s="53"/>
    </row>
    <row r="37" spans="1:13" x14ac:dyDescent="0.15">
      <c r="A37" s="77"/>
      <c r="B37" s="78"/>
      <c r="C37" s="79"/>
      <c r="D37" s="79"/>
      <c r="E37" s="83"/>
      <c r="F37" s="79"/>
      <c r="G37" s="79"/>
      <c r="H37" s="81"/>
      <c r="J37" s="80"/>
      <c r="K37" s="89"/>
      <c r="L37" s="90"/>
      <c r="M37" s="53"/>
    </row>
    <row r="38" spans="1:13" x14ac:dyDescent="0.15">
      <c r="A38" s="77"/>
      <c r="B38" s="78"/>
      <c r="C38" s="79"/>
      <c r="D38" s="79"/>
      <c r="E38" s="83"/>
      <c r="F38" s="79"/>
      <c r="G38" s="79"/>
      <c r="H38" s="81"/>
      <c r="J38" s="80"/>
      <c r="K38" s="89"/>
      <c r="L38" s="90"/>
      <c r="M38" s="53"/>
    </row>
    <row r="39" spans="1:13" x14ac:dyDescent="0.15">
      <c r="A39" s="77"/>
      <c r="B39" s="78"/>
      <c r="C39" s="79"/>
      <c r="D39" s="79"/>
      <c r="E39" s="83"/>
      <c r="F39" s="79"/>
      <c r="G39" s="79"/>
      <c r="H39" s="81"/>
      <c r="J39" s="80"/>
      <c r="K39" s="89"/>
      <c r="L39" s="90"/>
      <c r="M39" s="53"/>
    </row>
    <row r="40" spans="1:13" x14ac:dyDescent="0.15">
      <c r="A40" s="77"/>
      <c r="B40" s="78"/>
      <c r="C40" s="79"/>
      <c r="D40" s="79"/>
      <c r="E40" s="83"/>
      <c r="F40" s="79"/>
      <c r="G40" s="79"/>
      <c r="H40" s="81"/>
      <c r="J40" s="80"/>
      <c r="K40" s="89"/>
      <c r="L40" s="90"/>
      <c r="M40" s="53"/>
    </row>
    <row r="41" spans="1:13" x14ac:dyDescent="0.15">
      <c r="A41" s="77"/>
      <c r="B41" s="78"/>
      <c r="C41" s="79"/>
      <c r="D41" s="79"/>
      <c r="E41" s="83"/>
      <c r="F41" s="79"/>
      <c r="G41" s="79"/>
      <c r="H41" s="81"/>
      <c r="J41" s="80"/>
      <c r="K41" s="89"/>
      <c r="L41" s="90"/>
      <c r="M41" s="53"/>
    </row>
    <row r="42" spans="1:13" x14ac:dyDescent="0.15">
      <c r="A42" s="77"/>
      <c r="B42" s="78"/>
      <c r="C42" s="79"/>
      <c r="D42" s="79"/>
      <c r="E42" s="83"/>
      <c r="F42" s="79"/>
      <c r="G42" s="79"/>
      <c r="H42" s="81"/>
      <c r="J42" s="80"/>
      <c r="K42" s="89"/>
      <c r="L42" s="90"/>
      <c r="M42" s="53"/>
    </row>
    <row r="43" spans="1:13" x14ac:dyDescent="0.15">
      <c r="A43" s="77"/>
      <c r="B43" s="78"/>
      <c r="C43" s="79"/>
      <c r="D43" s="79"/>
      <c r="E43" s="83"/>
      <c r="F43" s="79"/>
      <c r="G43" s="79"/>
      <c r="H43" s="81"/>
      <c r="J43" s="80"/>
      <c r="K43" s="89"/>
      <c r="L43" s="90"/>
      <c r="M43" s="53"/>
    </row>
    <row r="44" spans="1:13" x14ac:dyDescent="0.15">
      <c r="A44" s="77"/>
      <c r="B44" s="78"/>
      <c r="C44" s="79"/>
      <c r="D44" s="79"/>
      <c r="E44" s="83"/>
      <c r="F44" s="79"/>
      <c r="G44" s="79"/>
      <c r="H44" s="81"/>
      <c r="J44" s="80"/>
      <c r="K44" s="89"/>
      <c r="L44" s="90"/>
      <c r="M44" s="53"/>
    </row>
    <row r="45" spans="1:13" x14ac:dyDescent="0.15">
      <c r="A45" s="77"/>
      <c r="B45" s="78"/>
      <c r="C45" s="79"/>
      <c r="D45" s="79"/>
      <c r="E45" s="83"/>
      <c r="F45" s="79"/>
      <c r="G45" s="79"/>
      <c r="H45" s="81"/>
      <c r="J45" s="80"/>
      <c r="K45" s="89"/>
      <c r="L45" s="90"/>
      <c r="M45" s="53"/>
    </row>
    <row r="46" spans="1:13" x14ac:dyDescent="0.15">
      <c r="A46" s="77"/>
      <c r="B46" s="78"/>
      <c r="C46" s="79"/>
      <c r="D46" s="79"/>
      <c r="E46" s="83"/>
      <c r="F46" s="79"/>
      <c r="G46" s="79"/>
      <c r="H46" s="81"/>
      <c r="J46" s="80"/>
      <c r="K46" s="89"/>
      <c r="L46" s="90"/>
      <c r="M46" s="53"/>
    </row>
    <row r="47" spans="1:13" x14ac:dyDescent="0.15">
      <c r="A47" s="77"/>
      <c r="B47" s="78"/>
      <c r="C47" s="79"/>
      <c r="D47" s="79"/>
      <c r="E47" s="83"/>
      <c r="F47" s="79"/>
      <c r="G47" s="79"/>
      <c r="H47" s="81"/>
      <c r="J47" s="80"/>
      <c r="K47" s="89"/>
      <c r="L47" s="90"/>
      <c r="M47" s="53"/>
    </row>
    <row r="48" spans="1:13" x14ac:dyDescent="0.15">
      <c r="A48" s="77"/>
      <c r="B48" s="78"/>
      <c r="C48" s="79"/>
      <c r="D48" s="79"/>
      <c r="E48" s="83"/>
      <c r="F48" s="79"/>
      <c r="G48" s="79"/>
      <c r="H48" s="81"/>
      <c r="J48" s="80"/>
      <c r="K48" s="89"/>
      <c r="L48" s="90"/>
      <c r="M48" s="53"/>
    </row>
    <row r="49" spans="1:13" x14ac:dyDescent="0.15">
      <c r="A49" s="77"/>
      <c r="B49" s="78"/>
      <c r="C49" s="79"/>
      <c r="D49" s="79"/>
      <c r="E49" s="83"/>
      <c r="F49" s="79"/>
      <c r="G49" s="79"/>
      <c r="H49" s="81"/>
      <c r="J49" s="80"/>
      <c r="K49" s="89"/>
      <c r="L49" s="90"/>
      <c r="M49" s="53"/>
    </row>
    <row r="50" spans="1:13" x14ac:dyDescent="0.15">
      <c r="A50" s="77"/>
      <c r="B50" s="78"/>
      <c r="C50" s="79"/>
      <c r="D50" s="79"/>
      <c r="E50" s="83"/>
      <c r="F50" s="79"/>
      <c r="G50" s="79"/>
      <c r="H50" s="81"/>
      <c r="J50" s="80"/>
      <c r="K50" s="89"/>
      <c r="L50" s="90"/>
      <c r="M50" s="53"/>
    </row>
    <row r="51" spans="1:13" x14ac:dyDescent="0.15">
      <c r="A51" s="77"/>
      <c r="B51" s="78"/>
      <c r="C51" s="79"/>
      <c r="D51" s="79"/>
      <c r="E51" s="83"/>
      <c r="F51" s="79"/>
      <c r="G51" s="79"/>
      <c r="H51" s="81"/>
      <c r="J51" s="80"/>
      <c r="K51" s="89"/>
      <c r="L51" s="90"/>
      <c r="M51" s="53"/>
    </row>
    <row r="52" spans="1:13" x14ac:dyDescent="0.15">
      <c r="A52" s="77"/>
      <c r="B52" s="78"/>
      <c r="C52" s="79"/>
      <c r="D52" s="79"/>
      <c r="E52" s="83"/>
      <c r="F52" s="79"/>
      <c r="G52" s="79"/>
      <c r="H52" s="81"/>
      <c r="J52" s="80"/>
      <c r="K52" s="89"/>
      <c r="L52" s="90"/>
      <c r="M52" s="53"/>
    </row>
    <row r="53" spans="1:13" x14ac:dyDescent="0.15">
      <c r="A53" s="77"/>
      <c r="B53" s="78"/>
      <c r="C53" s="79"/>
      <c r="D53" s="79"/>
      <c r="E53" s="83"/>
      <c r="F53" s="79"/>
      <c r="G53" s="79"/>
      <c r="H53" s="81"/>
      <c r="J53" s="80"/>
      <c r="K53" s="89"/>
      <c r="L53" s="90"/>
      <c r="M53" s="53"/>
    </row>
    <row r="54" spans="1:13" x14ac:dyDescent="0.15">
      <c r="A54" s="77"/>
      <c r="B54" s="78"/>
      <c r="C54" s="79"/>
      <c r="D54" s="79"/>
      <c r="E54" s="83"/>
      <c r="F54" s="79"/>
      <c r="G54" s="79"/>
      <c r="H54" s="81"/>
      <c r="J54" s="80"/>
      <c r="K54" s="89"/>
      <c r="L54" s="90"/>
      <c r="M54" s="53"/>
    </row>
    <row r="55" spans="1:13" x14ac:dyDescent="0.15">
      <c r="A55" s="77"/>
      <c r="B55" s="78"/>
      <c r="C55" s="79"/>
      <c r="D55" s="79"/>
      <c r="E55" s="83"/>
      <c r="F55" s="79"/>
      <c r="G55" s="79"/>
      <c r="H55" s="81"/>
      <c r="J55" s="80"/>
      <c r="K55" s="89"/>
      <c r="L55" s="90"/>
      <c r="M55" s="53"/>
    </row>
    <row r="56" spans="1:13" x14ac:dyDescent="0.15">
      <c r="A56" s="77"/>
      <c r="B56" s="78"/>
      <c r="C56" s="79"/>
      <c r="D56" s="79"/>
      <c r="E56" s="83"/>
      <c r="F56" s="79"/>
      <c r="G56" s="79"/>
      <c r="H56" s="81"/>
      <c r="J56" s="80"/>
      <c r="K56" s="89"/>
      <c r="L56" s="90"/>
      <c r="M56" s="53"/>
    </row>
    <row r="57" spans="1:13" x14ac:dyDescent="0.15">
      <c r="A57" s="77"/>
      <c r="B57" s="78"/>
      <c r="C57" s="79"/>
      <c r="D57" s="79"/>
      <c r="E57" s="83"/>
      <c r="F57" s="79"/>
      <c r="G57" s="79"/>
      <c r="H57" s="81"/>
      <c r="J57" s="80"/>
      <c r="K57" s="89"/>
      <c r="L57" s="90"/>
      <c r="M57" s="53"/>
    </row>
    <row r="58" spans="1:13" x14ac:dyDescent="0.15">
      <c r="A58" s="77"/>
      <c r="B58" s="78"/>
      <c r="C58" s="79"/>
      <c r="D58" s="79"/>
      <c r="E58" s="83"/>
      <c r="F58" s="79"/>
      <c r="G58" s="79"/>
      <c r="H58" s="81"/>
      <c r="J58" s="80"/>
      <c r="K58" s="89"/>
      <c r="L58" s="90"/>
      <c r="M58" s="53"/>
    </row>
    <row r="59" spans="1:13" x14ac:dyDescent="0.15">
      <c r="A59" s="77"/>
      <c r="B59" s="78"/>
      <c r="C59" s="79"/>
      <c r="D59" s="79"/>
      <c r="E59" s="83"/>
      <c r="F59" s="79"/>
      <c r="G59" s="79"/>
      <c r="H59" s="81"/>
      <c r="J59" s="80"/>
      <c r="K59" s="89"/>
      <c r="L59" s="90"/>
      <c r="M59" s="53"/>
    </row>
    <row r="60" spans="1:13" x14ac:dyDescent="0.15">
      <c r="A60" s="77"/>
      <c r="B60" s="78"/>
      <c r="C60" s="79"/>
      <c r="D60" s="79"/>
      <c r="E60" s="83"/>
      <c r="F60" s="79"/>
      <c r="G60" s="79"/>
      <c r="H60" s="81"/>
      <c r="I60" s="92"/>
      <c r="J60" s="80"/>
      <c r="K60" s="89"/>
      <c r="L60" s="90"/>
      <c r="M60" s="53"/>
    </row>
    <row r="61" spans="1:13" x14ac:dyDescent="0.15">
      <c r="A61" s="77"/>
      <c r="B61" s="78"/>
      <c r="C61" s="79"/>
      <c r="D61" s="79"/>
      <c r="E61" s="83"/>
      <c r="F61" s="79"/>
      <c r="G61" s="79"/>
      <c r="H61" s="81"/>
      <c r="I61" s="92"/>
      <c r="J61" s="80"/>
      <c r="K61" s="89"/>
      <c r="L61" s="90"/>
      <c r="M61" s="53"/>
    </row>
    <row r="62" spans="1:13" x14ac:dyDescent="0.15">
      <c r="A62" s="77"/>
      <c r="B62" s="78"/>
      <c r="C62" s="79"/>
      <c r="D62" s="79"/>
      <c r="E62" s="83"/>
      <c r="F62" s="79"/>
      <c r="G62" s="79"/>
      <c r="H62" s="81"/>
      <c r="I62" s="92"/>
      <c r="J62" s="80"/>
      <c r="K62" s="89"/>
      <c r="L62" s="90"/>
      <c r="M62" s="53"/>
    </row>
    <row r="63" spans="1:13" x14ac:dyDescent="0.15">
      <c r="A63" s="77"/>
      <c r="B63" s="78"/>
      <c r="C63" s="79"/>
      <c r="D63" s="79"/>
      <c r="E63" s="83"/>
      <c r="F63" s="79"/>
      <c r="G63" s="79"/>
      <c r="H63" s="81"/>
      <c r="I63" s="92"/>
      <c r="J63" s="80"/>
      <c r="K63" s="89"/>
      <c r="L63" s="90"/>
      <c r="M63" s="53"/>
    </row>
    <row r="64" spans="1:13" x14ac:dyDescent="0.15">
      <c r="A64" s="77"/>
      <c r="B64" s="78"/>
      <c r="C64" s="79"/>
      <c r="D64" s="79"/>
      <c r="E64" s="83"/>
      <c r="F64" s="79"/>
      <c r="G64" s="79"/>
      <c r="H64" s="81"/>
      <c r="I64" s="92"/>
      <c r="J64" s="80"/>
      <c r="K64" s="89"/>
      <c r="L64" s="90"/>
      <c r="M64" s="53"/>
    </row>
    <row r="65" spans="1:13" x14ac:dyDescent="0.15">
      <c r="A65" s="77"/>
      <c r="B65" s="78"/>
      <c r="C65" s="79"/>
      <c r="D65" s="79"/>
      <c r="E65" s="83"/>
      <c r="F65" s="79"/>
      <c r="G65" s="79"/>
      <c r="H65" s="81"/>
      <c r="I65" s="92"/>
      <c r="J65" s="80"/>
      <c r="K65" s="89"/>
      <c r="L65" s="90"/>
      <c r="M65" s="53"/>
    </row>
    <row r="66" spans="1:13" x14ac:dyDescent="0.15">
      <c r="A66" s="77"/>
      <c r="B66" s="78"/>
      <c r="C66" s="79"/>
      <c r="D66" s="79"/>
      <c r="E66" s="83"/>
      <c r="F66" s="79"/>
      <c r="G66" s="79"/>
      <c r="H66" s="81"/>
      <c r="I66" s="92"/>
      <c r="J66" s="80"/>
      <c r="K66" s="89"/>
      <c r="L66" s="90"/>
      <c r="M66" s="53"/>
    </row>
    <row r="67" spans="1:13" x14ac:dyDescent="0.15">
      <c r="A67" s="77"/>
      <c r="B67" s="78"/>
      <c r="C67" s="79"/>
      <c r="D67" s="79"/>
      <c r="E67" s="83"/>
      <c r="F67" s="79"/>
      <c r="G67" s="79"/>
      <c r="H67" s="81"/>
      <c r="I67" s="92"/>
      <c r="J67" s="80"/>
      <c r="K67" s="89"/>
      <c r="L67" s="90"/>
      <c r="M67" s="53"/>
    </row>
    <row r="68" spans="1:13" x14ac:dyDescent="0.15">
      <c r="A68" s="77"/>
      <c r="B68" s="78"/>
      <c r="C68" s="79"/>
      <c r="D68" s="79"/>
      <c r="E68" s="83"/>
      <c r="F68" s="79"/>
      <c r="G68" s="79"/>
      <c r="H68" s="81"/>
      <c r="I68" s="92"/>
      <c r="J68" s="80"/>
      <c r="K68" s="89"/>
      <c r="L68" s="90"/>
      <c r="M68" s="53"/>
    </row>
    <row r="69" spans="1:13" x14ac:dyDescent="0.15">
      <c r="A69" s="77"/>
      <c r="B69" s="78"/>
      <c r="C69" s="79"/>
      <c r="D69" s="79"/>
      <c r="E69" s="83"/>
      <c r="F69" s="79"/>
      <c r="G69" s="79"/>
      <c r="H69" s="81"/>
      <c r="I69" s="92"/>
      <c r="J69" s="80"/>
      <c r="K69" s="89"/>
      <c r="L69" s="90"/>
      <c r="M69" s="53"/>
    </row>
    <row r="70" spans="1:13" x14ac:dyDescent="0.15">
      <c r="A70" s="77"/>
      <c r="B70" s="78"/>
      <c r="C70" s="79"/>
      <c r="D70" s="79"/>
      <c r="E70" s="83"/>
      <c r="F70" s="79"/>
      <c r="G70" s="79"/>
      <c r="H70" s="81"/>
      <c r="I70" s="92"/>
      <c r="J70" s="80"/>
      <c r="K70" s="89"/>
      <c r="L70" s="90"/>
      <c r="M70" s="53"/>
    </row>
    <row r="71" spans="1:13" x14ac:dyDescent="0.15">
      <c r="A71" s="77"/>
      <c r="B71" s="78"/>
      <c r="C71" s="79"/>
      <c r="D71" s="79"/>
      <c r="E71" s="83"/>
      <c r="F71" s="79"/>
      <c r="G71" s="79"/>
      <c r="H71" s="81"/>
      <c r="I71" s="92"/>
      <c r="J71" s="80"/>
      <c r="K71" s="89"/>
      <c r="L71" s="90"/>
      <c r="M71" s="53"/>
    </row>
    <row r="72" spans="1:13" x14ac:dyDescent="0.15">
      <c r="A72" s="77"/>
      <c r="B72" s="78"/>
      <c r="C72" s="79"/>
      <c r="D72" s="79"/>
      <c r="E72" s="83"/>
      <c r="F72" s="79"/>
      <c r="G72" s="79"/>
      <c r="H72" s="81"/>
      <c r="I72" s="92"/>
      <c r="J72" s="80"/>
      <c r="K72" s="89"/>
      <c r="L72" s="90"/>
      <c r="M72" s="53"/>
    </row>
    <row r="73" spans="1:13" x14ac:dyDescent="0.15">
      <c r="A73" s="77"/>
      <c r="B73" s="78"/>
      <c r="C73" s="79"/>
      <c r="D73" s="79"/>
      <c r="E73" s="83"/>
      <c r="F73" s="79"/>
      <c r="G73" s="79"/>
      <c r="H73" s="81"/>
      <c r="I73" s="92"/>
      <c r="J73" s="80"/>
      <c r="K73" s="89"/>
      <c r="L73" s="90"/>
      <c r="M73" s="53"/>
    </row>
    <row r="74" spans="1:13" x14ac:dyDescent="0.15">
      <c r="A74" s="77"/>
      <c r="B74" s="78"/>
      <c r="C74" s="79"/>
      <c r="D74" s="79"/>
      <c r="E74" s="83"/>
      <c r="F74" s="79"/>
      <c r="G74" s="79"/>
      <c r="H74" s="81"/>
      <c r="I74" s="92"/>
      <c r="J74" s="80"/>
      <c r="K74" s="89"/>
      <c r="L74" s="90"/>
      <c r="M74" s="53"/>
    </row>
    <row r="75" spans="1:13" x14ac:dyDescent="0.15">
      <c r="A75" s="77"/>
      <c r="B75" s="78"/>
      <c r="C75" s="79"/>
      <c r="D75" s="79"/>
      <c r="E75" s="83"/>
      <c r="F75" s="79"/>
      <c r="G75" s="79"/>
      <c r="H75" s="81"/>
      <c r="I75" s="92"/>
      <c r="J75" s="80"/>
      <c r="K75" s="89"/>
      <c r="L75" s="90"/>
      <c r="M75" s="53"/>
    </row>
    <row r="76" spans="1:13" x14ac:dyDescent="0.15">
      <c r="A76" s="77"/>
      <c r="B76" s="78"/>
      <c r="C76" s="79"/>
      <c r="D76" s="79"/>
      <c r="E76" s="83"/>
      <c r="F76" s="79"/>
      <c r="G76" s="79"/>
      <c r="H76" s="81"/>
      <c r="I76" s="92"/>
      <c r="J76" s="80"/>
      <c r="K76" s="89"/>
      <c r="L76" s="90"/>
      <c r="M76" s="53"/>
    </row>
    <row r="77" spans="1:13" x14ac:dyDescent="0.15">
      <c r="A77" s="77"/>
      <c r="B77" s="78"/>
      <c r="C77" s="79"/>
      <c r="D77" s="79"/>
      <c r="E77" s="83"/>
      <c r="F77" s="79"/>
      <c r="G77" s="79"/>
      <c r="H77" s="81"/>
      <c r="I77" s="92"/>
      <c r="J77" s="80"/>
      <c r="K77" s="89"/>
      <c r="L77" s="90"/>
      <c r="M77" s="53"/>
    </row>
    <row r="78" spans="1:13" x14ac:dyDescent="0.15">
      <c r="A78" s="77"/>
      <c r="B78" s="78"/>
      <c r="C78" s="79"/>
      <c r="D78" s="79"/>
      <c r="E78" s="83"/>
      <c r="F78" s="79"/>
      <c r="G78" s="79"/>
      <c r="H78" s="81"/>
      <c r="I78" s="92"/>
      <c r="J78" s="80"/>
      <c r="K78" s="89"/>
      <c r="L78" s="90"/>
      <c r="M78" s="53"/>
    </row>
    <row r="79" spans="1:13" x14ac:dyDescent="0.15">
      <c r="A79" s="77"/>
      <c r="B79" s="78"/>
      <c r="C79" s="79"/>
      <c r="D79" s="79"/>
      <c r="E79" s="83"/>
      <c r="F79" s="79"/>
      <c r="G79" s="79"/>
      <c r="H79" s="81"/>
      <c r="I79" s="92"/>
      <c r="J79" s="80"/>
      <c r="K79" s="89"/>
      <c r="L79" s="90"/>
      <c r="M79" s="53"/>
    </row>
    <row r="80" spans="1:13" x14ac:dyDescent="0.15">
      <c r="A80" s="77"/>
      <c r="B80" s="78"/>
      <c r="C80" s="79"/>
      <c r="D80" s="79"/>
      <c r="E80" s="83"/>
      <c r="F80" s="79"/>
      <c r="G80" s="79"/>
      <c r="H80" s="81"/>
      <c r="I80" s="92"/>
      <c r="J80" s="80"/>
      <c r="K80" s="89"/>
      <c r="L80" s="90"/>
      <c r="M80" s="53"/>
    </row>
    <row r="81" spans="1:13" x14ac:dyDescent="0.15">
      <c r="A81" s="77"/>
      <c r="B81" s="78"/>
      <c r="C81" s="79"/>
      <c r="D81" s="79"/>
      <c r="E81" s="83"/>
      <c r="F81" s="79"/>
      <c r="G81" s="79"/>
      <c r="H81" s="81"/>
      <c r="I81" s="92"/>
      <c r="J81" s="80"/>
      <c r="K81" s="89"/>
      <c r="L81" s="90"/>
      <c r="M81" s="53"/>
    </row>
    <row r="82" spans="1:13" x14ac:dyDescent="0.15">
      <c r="A82" s="77"/>
      <c r="B82" s="78"/>
      <c r="C82" s="79"/>
      <c r="D82" s="79"/>
      <c r="E82" s="83"/>
      <c r="F82" s="79"/>
      <c r="G82" s="79"/>
      <c r="H82" s="81"/>
      <c r="I82" s="92"/>
      <c r="J82" s="80"/>
      <c r="K82" s="89"/>
      <c r="L82" s="90"/>
      <c r="M82" s="53"/>
    </row>
    <row r="83" spans="1:13" x14ac:dyDescent="0.15">
      <c r="A83" s="77"/>
      <c r="B83" s="78"/>
      <c r="C83" s="79"/>
      <c r="D83" s="79"/>
      <c r="E83" s="83"/>
      <c r="F83" s="79"/>
      <c r="G83" s="79"/>
      <c r="H83" s="81"/>
      <c r="I83" s="92"/>
      <c r="J83" s="80"/>
      <c r="K83" s="89"/>
      <c r="L83" s="90"/>
      <c r="M83" s="53"/>
    </row>
    <row r="84" spans="1:13" x14ac:dyDescent="0.15">
      <c r="A84" s="77"/>
      <c r="B84" s="78"/>
      <c r="C84" s="79"/>
      <c r="D84" s="79"/>
      <c r="E84" s="83"/>
      <c r="F84" s="79"/>
      <c r="G84" s="79"/>
      <c r="H84" s="81"/>
      <c r="I84" s="92"/>
      <c r="J84" s="80"/>
      <c r="K84" s="89"/>
      <c r="L84" s="90"/>
      <c r="M84" s="53"/>
    </row>
    <row r="85" spans="1:13" x14ac:dyDescent="0.15">
      <c r="A85" s="77"/>
      <c r="B85" s="78"/>
      <c r="C85" s="79"/>
      <c r="D85" s="79"/>
      <c r="E85" s="83"/>
      <c r="F85" s="79"/>
      <c r="G85" s="79"/>
      <c r="H85" s="81"/>
      <c r="I85" s="92"/>
      <c r="J85" s="80"/>
      <c r="K85" s="89"/>
      <c r="L85" s="90"/>
      <c r="M85" s="53"/>
    </row>
    <row r="86" spans="1:13" x14ac:dyDescent="0.15">
      <c r="A86" s="77"/>
      <c r="B86" s="78"/>
      <c r="C86" s="79"/>
      <c r="D86" s="79"/>
      <c r="E86" s="83"/>
      <c r="F86" s="79"/>
      <c r="G86" s="79"/>
      <c r="H86" s="81"/>
      <c r="I86" s="92"/>
      <c r="J86" s="80"/>
      <c r="K86" s="89"/>
      <c r="L86" s="90"/>
      <c r="M86" s="53"/>
    </row>
    <row r="87" spans="1:13" x14ac:dyDescent="0.15">
      <c r="A87" s="77"/>
      <c r="B87" s="78"/>
      <c r="C87" s="79"/>
      <c r="D87" s="79"/>
      <c r="E87" s="83"/>
      <c r="F87" s="79"/>
      <c r="G87" s="79"/>
      <c r="H87" s="81"/>
      <c r="I87" s="92"/>
      <c r="J87" s="80"/>
      <c r="K87" s="89"/>
      <c r="L87" s="90"/>
      <c r="M87" s="53"/>
    </row>
    <row r="88" spans="1:13" x14ac:dyDescent="0.15">
      <c r="A88" s="77"/>
      <c r="B88" s="78"/>
      <c r="C88" s="79"/>
      <c r="D88" s="79"/>
      <c r="E88" s="83"/>
      <c r="F88" s="79"/>
      <c r="G88" s="79"/>
      <c r="H88" s="81"/>
      <c r="I88" s="92"/>
      <c r="J88" s="80"/>
      <c r="K88" s="89"/>
      <c r="L88" s="90"/>
      <c r="M88" s="53"/>
    </row>
    <row r="89" spans="1:13" x14ac:dyDescent="0.15">
      <c r="A89" s="77"/>
      <c r="B89" s="78"/>
      <c r="C89" s="79"/>
      <c r="D89" s="79"/>
      <c r="E89" s="83"/>
      <c r="F89" s="79"/>
      <c r="G89" s="79"/>
      <c r="H89" s="81"/>
      <c r="I89" s="92"/>
      <c r="J89" s="80"/>
      <c r="K89" s="89"/>
      <c r="L89" s="90"/>
      <c r="M89" s="53"/>
    </row>
    <row r="90" spans="1:13" x14ac:dyDescent="0.15">
      <c r="A90" s="77"/>
      <c r="B90" s="78"/>
      <c r="C90" s="79"/>
      <c r="D90" s="79"/>
      <c r="E90" s="83"/>
      <c r="F90" s="79"/>
      <c r="G90" s="79"/>
      <c r="H90" s="81"/>
      <c r="I90" s="92"/>
      <c r="J90" s="80"/>
      <c r="K90" s="89"/>
      <c r="L90" s="90"/>
      <c r="M90" s="53"/>
    </row>
    <row r="91" spans="1:13" x14ac:dyDescent="0.15">
      <c r="A91" s="77"/>
      <c r="B91" s="78"/>
      <c r="C91" s="79"/>
      <c r="D91" s="79"/>
      <c r="E91" s="83"/>
      <c r="F91" s="79"/>
      <c r="G91" s="79"/>
      <c r="H91" s="81"/>
      <c r="I91" s="92"/>
      <c r="J91" s="80"/>
      <c r="K91" s="89"/>
      <c r="L91" s="90"/>
      <c r="M91" s="53"/>
    </row>
    <row r="92" spans="1:13" x14ac:dyDescent="0.15">
      <c r="A92" s="77"/>
      <c r="B92" s="78"/>
      <c r="C92" s="79"/>
      <c r="D92" s="79"/>
      <c r="E92" s="83"/>
      <c r="F92" s="79"/>
      <c r="G92" s="79"/>
      <c r="H92" s="81"/>
      <c r="I92" s="92"/>
      <c r="J92" s="80"/>
      <c r="K92" s="89"/>
      <c r="L92" s="90"/>
      <c r="M92" s="53"/>
    </row>
    <row r="93" spans="1:13" x14ac:dyDescent="0.15">
      <c r="A93" s="77"/>
      <c r="B93" s="78"/>
      <c r="C93" s="79"/>
      <c r="D93" s="79"/>
      <c r="E93" s="83"/>
      <c r="F93" s="79"/>
      <c r="G93" s="79"/>
      <c r="H93" s="81"/>
      <c r="I93" s="92"/>
      <c r="J93" s="80"/>
      <c r="K93" s="89"/>
      <c r="L93" s="90"/>
      <c r="M93" s="53"/>
    </row>
    <row r="94" spans="1:13" x14ac:dyDescent="0.15">
      <c r="A94" s="77"/>
      <c r="B94" s="78"/>
      <c r="C94" s="79"/>
      <c r="D94" s="79"/>
      <c r="E94" s="83"/>
      <c r="F94" s="79"/>
      <c r="G94" s="79"/>
      <c r="H94" s="81"/>
      <c r="J94" s="80"/>
      <c r="K94" s="89"/>
      <c r="L94" s="90"/>
      <c r="M94" s="53"/>
    </row>
    <row r="95" spans="1:13" x14ac:dyDescent="0.15">
      <c r="A95" s="77"/>
      <c r="B95" s="78"/>
      <c r="C95" s="79"/>
      <c r="D95" s="79"/>
      <c r="E95" s="83"/>
      <c r="F95" s="79"/>
      <c r="G95" s="79"/>
      <c r="H95" s="81"/>
      <c r="J95" s="80"/>
      <c r="K95" s="89"/>
      <c r="L95" s="90"/>
      <c r="M95" s="53"/>
    </row>
    <row r="96" spans="1:13" x14ac:dyDescent="0.15">
      <c r="A96" s="77"/>
      <c r="B96" s="78"/>
      <c r="C96" s="79"/>
      <c r="D96" s="79"/>
      <c r="E96" s="83"/>
      <c r="F96" s="79"/>
      <c r="G96" s="79"/>
      <c r="H96" s="81"/>
      <c r="J96" s="80"/>
      <c r="K96" s="89"/>
      <c r="L96" s="90"/>
      <c r="M96" s="53"/>
    </row>
    <row r="97" spans="1:13" x14ac:dyDescent="0.15">
      <c r="A97" s="77"/>
      <c r="B97" s="78"/>
      <c r="C97" s="79"/>
      <c r="D97" s="79"/>
      <c r="E97" s="83"/>
      <c r="F97" s="79"/>
      <c r="G97" s="79"/>
      <c r="H97" s="81"/>
      <c r="J97" s="80"/>
      <c r="K97" s="89"/>
      <c r="L97" s="90"/>
      <c r="M97" s="53"/>
    </row>
    <row r="98" spans="1:13" x14ac:dyDescent="0.15">
      <c r="A98" s="77"/>
      <c r="B98" s="78"/>
      <c r="C98" s="79"/>
      <c r="D98" s="79"/>
      <c r="E98" s="83"/>
      <c r="F98" s="79"/>
      <c r="G98" s="79"/>
      <c r="H98" s="81"/>
      <c r="J98" s="80"/>
      <c r="K98" s="89"/>
      <c r="L98" s="90"/>
      <c r="M98" s="53"/>
    </row>
    <row r="99" spans="1:13" x14ac:dyDescent="0.15">
      <c r="A99" s="77"/>
      <c r="B99" s="78"/>
      <c r="C99" s="79"/>
      <c r="D99" s="79"/>
      <c r="E99" s="83"/>
      <c r="F99" s="79"/>
      <c r="G99" s="79"/>
      <c r="H99" s="81"/>
      <c r="J99" s="80"/>
      <c r="K99" s="89"/>
      <c r="L99" s="90"/>
      <c r="M99" s="53"/>
    </row>
    <row r="100" spans="1:13" x14ac:dyDescent="0.15">
      <c r="A100" s="77"/>
      <c r="B100" s="78"/>
      <c r="C100" s="79"/>
      <c r="D100" s="79"/>
      <c r="E100" s="83"/>
      <c r="F100" s="79"/>
      <c r="G100" s="79"/>
      <c r="H100" s="81"/>
      <c r="J100" s="80"/>
      <c r="K100" s="89"/>
      <c r="L100" s="90"/>
      <c r="M100" s="53"/>
    </row>
    <row r="101" spans="1:13" x14ac:dyDescent="0.15">
      <c r="A101" s="77"/>
      <c r="B101" s="78"/>
      <c r="C101" s="79"/>
      <c r="D101" s="79"/>
      <c r="E101" s="83"/>
      <c r="F101" s="79"/>
      <c r="G101" s="79"/>
      <c r="H101" s="81"/>
      <c r="J101" s="80"/>
      <c r="K101" s="89"/>
      <c r="L101" s="90"/>
      <c r="M101" s="53"/>
    </row>
    <row r="102" spans="1:13" x14ac:dyDescent="0.15">
      <c r="A102" s="77"/>
      <c r="B102" s="78"/>
      <c r="C102" s="79"/>
      <c r="D102" s="79"/>
      <c r="E102" s="83"/>
      <c r="F102" s="79"/>
      <c r="G102" s="79"/>
      <c r="H102" s="81"/>
      <c r="J102" s="80"/>
      <c r="K102" s="89"/>
      <c r="L102" s="90"/>
      <c r="M102" s="53"/>
    </row>
    <row r="103" spans="1:13" x14ac:dyDescent="0.15">
      <c r="A103" s="77"/>
      <c r="B103" s="78"/>
      <c r="C103" s="79"/>
      <c r="D103" s="79"/>
      <c r="E103" s="83"/>
      <c r="F103" s="79"/>
      <c r="G103" s="79"/>
      <c r="H103" s="81"/>
      <c r="J103" s="80"/>
      <c r="K103" s="89"/>
      <c r="L103" s="90"/>
      <c r="M103" s="53"/>
    </row>
    <row r="104" spans="1:13" x14ac:dyDescent="0.15">
      <c r="A104" s="77"/>
      <c r="B104" s="78"/>
      <c r="C104" s="79"/>
      <c r="D104" s="79"/>
      <c r="E104" s="83"/>
      <c r="F104" s="79"/>
      <c r="G104" s="79"/>
      <c r="H104" s="81"/>
      <c r="J104" s="80"/>
      <c r="K104" s="89"/>
      <c r="L104" s="90"/>
      <c r="M104" s="53"/>
    </row>
    <row r="105" spans="1:13" x14ac:dyDescent="0.15">
      <c r="A105" s="77"/>
      <c r="B105" s="78"/>
      <c r="C105" s="79"/>
      <c r="D105" s="79"/>
      <c r="E105" s="83"/>
      <c r="F105" s="79"/>
      <c r="G105" s="79"/>
      <c r="H105" s="81"/>
      <c r="J105" s="80"/>
      <c r="K105" s="89"/>
      <c r="L105" s="90"/>
      <c r="M105" s="53"/>
    </row>
    <row r="106" spans="1:13" x14ac:dyDescent="0.15">
      <c r="A106" s="77"/>
      <c r="B106" s="78"/>
      <c r="C106" s="79"/>
      <c r="D106" s="79"/>
      <c r="E106" s="83"/>
      <c r="F106" s="79"/>
      <c r="G106" s="79"/>
      <c r="H106" s="81"/>
      <c r="J106" s="80"/>
      <c r="K106" s="89"/>
      <c r="L106" s="90"/>
      <c r="M106" s="53"/>
    </row>
    <row r="107" spans="1:13" x14ac:dyDescent="0.15">
      <c r="A107" s="77"/>
      <c r="B107" s="78"/>
      <c r="C107" s="79"/>
      <c r="D107" s="79"/>
      <c r="E107" s="83"/>
      <c r="F107" s="79"/>
      <c r="G107" s="79"/>
      <c r="H107" s="81"/>
      <c r="J107" s="80"/>
      <c r="K107" s="89"/>
      <c r="L107" s="90"/>
      <c r="M107" s="53"/>
    </row>
    <row r="108" spans="1:13" x14ac:dyDescent="0.15">
      <c r="A108" s="77"/>
      <c r="B108" s="78"/>
      <c r="C108" s="79"/>
      <c r="D108" s="79"/>
      <c r="E108" s="83"/>
      <c r="F108" s="79"/>
      <c r="G108" s="79"/>
      <c r="H108" s="81"/>
      <c r="J108" s="80"/>
      <c r="K108" s="89"/>
      <c r="L108" s="90"/>
      <c r="M108" s="53"/>
    </row>
    <row r="109" spans="1:13" x14ac:dyDescent="0.15">
      <c r="A109" s="77"/>
      <c r="B109" s="78"/>
      <c r="C109" s="79"/>
      <c r="D109" s="79"/>
      <c r="E109" s="83"/>
      <c r="F109" s="79"/>
      <c r="G109" s="79"/>
      <c r="H109" s="81"/>
      <c r="J109" s="80"/>
      <c r="K109" s="89"/>
      <c r="L109" s="90"/>
      <c r="M109" s="53"/>
    </row>
    <row r="110" spans="1:13" x14ac:dyDescent="0.15">
      <c r="A110" s="77"/>
      <c r="B110" s="78"/>
      <c r="C110" s="79"/>
      <c r="D110" s="79"/>
      <c r="E110" s="83"/>
      <c r="F110" s="79"/>
      <c r="G110" s="79"/>
      <c r="H110" s="81"/>
      <c r="J110" s="80"/>
      <c r="K110" s="89"/>
      <c r="L110" s="90"/>
      <c r="M110" s="53"/>
    </row>
    <row r="111" spans="1:13" x14ac:dyDescent="0.15">
      <c r="A111" s="77"/>
      <c r="B111" s="78"/>
      <c r="C111" s="79"/>
      <c r="D111" s="79"/>
      <c r="E111" s="83"/>
      <c r="F111" s="79"/>
      <c r="G111" s="79"/>
      <c r="H111" s="81"/>
      <c r="J111" s="80"/>
      <c r="K111" s="89"/>
      <c r="L111" s="90"/>
      <c r="M111" s="53"/>
    </row>
    <row r="112" spans="1:13" x14ac:dyDescent="0.15">
      <c r="A112" s="77"/>
      <c r="B112" s="78"/>
      <c r="C112" s="79"/>
      <c r="D112" s="79"/>
      <c r="E112" s="83"/>
      <c r="F112" s="79"/>
      <c r="G112" s="79"/>
      <c r="H112" s="81"/>
      <c r="J112" s="80"/>
      <c r="K112" s="89"/>
      <c r="L112" s="90"/>
      <c r="M112" s="53"/>
    </row>
    <row r="113" spans="1:13" x14ac:dyDescent="0.15">
      <c r="A113" s="77"/>
      <c r="B113" s="78"/>
      <c r="C113" s="79"/>
      <c r="D113" s="79"/>
      <c r="E113" s="83"/>
      <c r="F113" s="79"/>
      <c r="G113" s="79"/>
      <c r="H113" s="81"/>
      <c r="J113" s="80"/>
      <c r="K113" s="89"/>
      <c r="L113" s="90"/>
      <c r="M113" s="53"/>
    </row>
    <row r="114" spans="1:13" x14ac:dyDescent="0.15">
      <c r="A114" s="77"/>
      <c r="B114" s="78"/>
      <c r="C114" s="79"/>
      <c r="D114" s="79"/>
      <c r="E114" s="83"/>
      <c r="F114" s="79"/>
      <c r="G114" s="79"/>
      <c r="H114" s="81"/>
      <c r="J114" s="80"/>
      <c r="K114" s="89"/>
      <c r="L114" s="90"/>
      <c r="M114" s="53"/>
    </row>
    <row r="115" spans="1:13" x14ac:dyDescent="0.15">
      <c r="A115" s="77"/>
      <c r="B115" s="78"/>
      <c r="C115" s="79"/>
      <c r="D115" s="79"/>
      <c r="E115" s="83"/>
      <c r="F115" s="79"/>
      <c r="G115" s="79"/>
      <c r="H115" s="81"/>
      <c r="J115" s="80"/>
      <c r="K115" s="89"/>
      <c r="L115" s="90"/>
      <c r="M115" s="53"/>
    </row>
    <row r="116" spans="1:13" x14ac:dyDescent="0.15">
      <c r="A116" s="77"/>
      <c r="B116" s="78"/>
      <c r="C116" s="79"/>
      <c r="D116" s="79"/>
      <c r="E116" s="83"/>
      <c r="F116" s="79"/>
      <c r="G116" s="79"/>
      <c r="H116" s="81"/>
      <c r="J116" s="80"/>
      <c r="K116" s="89"/>
      <c r="L116" s="90"/>
      <c r="M116" s="53"/>
    </row>
    <row r="117" spans="1:13" x14ac:dyDescent="0.15">
      <c r="A117" s="77"/>
      <c r="B117" s="78"/>
      <c r="C117" s="79"/>
      <c r="D117" s="79"/>
      <c r="E117" s="83"/>
      <c r="F117" s="79"/>
      <c r="G117" s="79"/>
      <c r="H117" s="81"/>
      <c r="J117" s="80"/>
      <c r="K117" s="89"/>
      <c r="L117" s="90"/>
      <c r="M117" s="53"/>
    </row>
    <row r="118" spans="1:13" x14ac:dyDescent="0.15">
      <c r="A118" s="77"/>
      <c r="B118" s="78"/>
      <c r="C118" s="79"/>
      <c r="D118" s="79"/>
      <c r="E118" s="83"/>
      <c r="F118" s="79"/>
      <c r="G118" s="79"/>
      <c r="H118" s="81"/>
      <c r="J118" s="80"/>
      <c r="K118" s="89"/>
      <c r="L118" s="90"/>
      <c r="M118" s="53"/>
    </row>
    <row r="119" spans="1:13" x14ac:dyDescent="0.15">
      <c r="A119" s="77"/>
      <c r="B119" s="78"/>
      <c r="C119" s="79"/>
      <c r="D119" s="79"/>
      <c r="E119" s="83"/>
      <c r="F119" s="79"/>
      <c r="G119" s="79"/>
      <c r="H119" s="81"/>
      <c r="J119" s="80"/>
      <c r="K119" s="89"/>
      <c r="L119" s="90"/>
      <c r="M119" s="53"/>
    </row>
    <row r="120" spans="1:13" x14ac:dyDescent="0.15">
      <c r="A120" s="77"/>
      <c r="B120" s="78"/>
      <c r="C120" s="79"/>
      <c r="D120" s="79"/>
      <c r="E120" s="83"/>
      <c r="F120" s="79"/>
      <c r="G120" s="79"/>
      <c r="H120" s="81"/>
      <c r="J120" s="80"/>
      <c r="K120" s="89"/>
      <c r="L120" s="90"/>
      <c r="M120" s="53"/>
    </row>
    <row r="121" spans="1:13" x14ac:dyDescent="0.15">
      <c r="A121" s="77"/>
      <c r="B121" s="78"/>
      <c r="C121" s="79"/>
      <c r="D121" s="79"/>
      <c r="E121" s="83"/>
      <c r="F121" s="79"/>
      <c r="G121" s="79"/>
      <c r="H121" s="81"/>
      <c r="J121" s="80"/>
      <c r="K121" s="89"/>
      <c r="L121" s="90"/>
      <c r="M121" s="53"/>
    </row>
    <row r="122" spans="1:13" x14ac:dyDescent="0.15">
      <c r="A122" s="77"/>
      <c r="B122" s="78"/>
      <c r="C122" s="79"/>
      <c r="D122" s="79"/>
      <c r="E122" s="83"/>
      <c r="F122" s="79"/>
      <c r="G122" s="79"/>
      <c r="H122" s="81"/>
      <c r="J122" s="80"/>
      <c r="K122" s="89"/>
      <c r="L122" s="90"/>
      <c r="M122" s="53"/>
    </row>
    <row r="123" spans="1:13" x14ac:dyDescent="0.15">
      <c r="A123" s="77"/>
      <c r="B123" s="78"/>
      <c r="C123" s="79"/>
      <c r="D123" s="79"/>
      <c r="E123" s="83"/>
      <c r="F123" s="79"/>
      <c r="G123" s="79"/>
      <c r="H123" s="81"/>
      <c r="J123" s="80"/>
      <c r="K123" s="89"/>
      <c r="L123" s="90"/>
      <c r="M123" s="53"/>
    </row>
    <row r="124" spans="1:13" x14ac:dyDescent="0.15">
      <c r="A124" s="77"/>
      <c r="B124" s="78"/>
      <c r="C124" s="79"/>
      <c r="D124" s="79"/>
      <c r="E124" s="83"/>
      <c r="F124" s="79"/>
      <c r="G124" s="79"/>
      <c r="H124" s="81"/>
      <c r="J124" s="80"/>
      <c r="K124" s="89"/>
      <c r="L124" s="90"/>
      <c r="M124" s="53"/>
    </row>
    <row r="125" spans="1:13" x14ac:dyDescent="0.15">
      <c r="A125" s="77"/>
      <c r="B125" s="78"/>
      <c r="C125" s="79"/>
      <c r="D125" s="79"/>
      <c r="E125" s="83"/>
      <c r="F125" s="79"/>
      <c r="G125" s="79"/>
      <c r="H125" s="81"/>
      <c r="J125" s="80"/>
      <c r="K125" s="89"/>
      <c r="L125" s="90"/>
      <c r="M125" s="53"/>
    </row>
    <row r="126" spans="1:13" x14ac:dyDescent="0.15">
      <c r="A126" s="77"/>
      <c r="B126" s="78"/>
      <c r="C126" s="79"/>
      <c r="D126" s="79"/>
      <c r="E126" s="83"/>
      <c r="F126" s="79"/>
      <c r="G126" s="79"/>
      <c r="H126" s="81"/>
      <c r="J126" s="80"/>
      <c r="K126" s="89"/>
      <c r="L126" s="90"/>
      <c r="M126" s="53"/>
    </row>
    <row r="127" spans="1:13" x14ac:dyDescent="0.15">
      <c r="A127" s="77"/>
      <c r="B127" s="78"/>
      <c r="C127" s="79"/>
      <c r="D127" s="79"/>
      <c r="E127" s="83"/>
      <c r="F127" s="79"/>
      <c r="G127" s="79"/>
      <c r="H127" s="81"/>
      <c r="J127" s="80"/>
      <c r="K127" s="89"/>
      <c r="L127" s="90"/>
      <c r="M127" s="53"/>
    </row>
    <row r="128" spans="1:13" x14ac:dyDescent="0.15">
      <c r="A128" s="77"/>
      <c r="B128" s="78"/>
      <c r="C128" s="79"/>
      <c r="D128" s="79"/>
      <c r="E128" s="83"/>
      <c r="F128" s="79"/>
      <c r="G128" s="79"/>
      <c r="H128" s="81"/>
      <c r="J128" s="80"/>
      <c r="K128" s="89"/>
      <c r="L128" s="90"/>
      <c r="M128" s="53"/>
    </row>
    <row r="129" spans="1:13" x14ac:dyDescent="0.15">
      <c r="A129" s="77"/>
      <c r="B129" s="78"/>
      <c r="C129" s="79"/>
      <c r="D129" s="79"/>
      <c r="E129" s="83"/>
      <c r="F129" s="79"/>
      <c r="G129" s="79"/>
      <c r="H129" s="81"/>
      <c r="J129" s="80"/>
      <c r="K129" s="89"/>
      <c r="L129" s="90"/>
      <c r="M129" s="53"/>
    </row>
    <row r="130" spans="1:13" x14ac:dyDescent="0.15">
      <c r="A130" s="77"/>
      <c r="B130" s="78"/>
      <c r="C130" s="79"/>
      <c r="D130" s="79"/>
      <c r="E130" s="83"/>
      <c r="F130" s="79"/>
      <c r="G130" s="79"/>
      <c r="H130" s="81"/>
      <c r="J130" s="80"/>
      <c r="K130" s="89"/>
      <c r="L130" s="90"/>
      <c r="M130" s="53"/>
    </row>
    <row r="131" spans="1:13" x14ac:dyDescent="0.15">
      <c r="A131" s="77"/>
      <c r="B131" s="78"/>
      <c r="C131" s="79"/>
      <c r="D131" s="79"/>
      <c r="E131" s="83"/>
      <c r="F131" s="79"/>
      <c r="G131" s="79"/>
      <c r="H131" s="81"/>
      <c r="J131" s="80"/>
      <c r="K131" s="89"/>
      <c r="L131" s="90"/>
      <c r="M131" s="53"/>
    </row>
    <row r="132" spans="1:13" x14ac:dyDescent="0.15">
      <c r="A132" s="77"/>
      <c r="B132" s="78"/>
      <c r="C132" s="79"/>
      <c r="D132" s="79"/>
      <c r="E132" s="83"/>
      <c r="F132" s="79"/>
      <c r="G132" s="79"/>
      <c r="H132" s="81"/>
      <c r="J132" s="80"/>
      <c r="K132" s="89"/>
      <c r="L132" s="90"/>
      <c r="M132" s="53"/>
    </row>
    <row r="133" spans="1:13" x14ac:dyDescent="0.15">
      <c r="A133" s="77"/>
      <c r="B133" s="78"/>
      <c r="C133" s="79"/>
      <c r="D133" s="79"/>
      <c r="E133" s="83"/>
      <c r="F133" s="79"/>
      <c r="G133" s="79"/>
      <c r="H133" s="81"/>
      <c r="J133" s="80"/>
      <c r="K133" s="89"/>
      <c r="L133" s="90"/>
      <c r="M133" s="53"/>
    </row>
    <row r="134" spans="1:13" x14ac:dyDescent="0.15">
      <c r="A134" s="77"/>
      <c r="B134" s="78"/>
      <c r="C134" s="79"/>
      <c r="D134" s="79"/>
      <c r="E134" s="83"/>
      <c r="F134" s="79"/>
      <c r="G134" s="79"/>
      <c r="H134" s="81"/>
      <c r="J134" s="80"/>
      <c r="K134" s="89"/>
      <c r="L134" s="90"/>
      <c r="M134" s="53"/>
    </row>
  </sheetData>
  <phoneticPr fontId="6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7"/>
  <sheetViews>
    <sheetView showGridLines="0" workbookViewId="0">
      <pane ySplit="1" topLeftCell="A27" activePane="bottomLeft" state="frozen"/>
      <selection pane="bottomLeft" activeCell="M29" sqref="M29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6.5" customWidth="1"/>
    <col min="13" max="13" width="42.6640625" customWidth="1"/>
  </cols>
  <sheetData>
    <row r="1" spans="1:14" x14ac:dyDescent="0.15">
      <c r="A1" s="72" t="s">
        <v>184</v>
      </c>
      <c r="B1" s="69" t="s">
        <v>147</v>
      </c>
      <c r="C1" s="73" t="s">
        <v>186</v>
      </c>
      <c r="D1" s="73" t="s">
        <v>33</v>
      </c>
      <c r="E1" s="69" t="s">
        <v>187</v>
      </c>
      <c r="F1" s="73" t="s">
        <v>18</v>
      </c>
      <c r="G1" s="73" t="s">
        <v>33</v>
      </c>
      <c r="H1" s="69" t="s">
        <v>189</v>
      </c>
      <c r="I1" s="85" t="s">
        <v>190</v>
      </c>
      <c r="J1" s="87" t="s">
        <v>191</v>
      </c>
      <c r="K1" s="75" t="s">
        <v>124</v>
      </c>
      <c r="L1" s="74" t="s">
        <v>182</v>
      </c>
      <c r="M1" s="88" t="s">
        <v>181</v>
      </c>
      <c r="N1" s="76" t="s">
        <v>192</v>
      </c>
    </row>
    <row r="2" spans="1:14" ht="56" x14ac:dyDescent="0.15">
      <c r="A2" s="77" t="s">
        <v>193</v>
      </c>
      <c r="B2" s="78">
        <v>47009</v>
      </c>
      <c r="C2" s="79" t="str">
        <f ca="1">VLOOKUP($B2,OFFSET([2]quests!$A$1,0,0,COUNTA([2]quests!$A:$A),MATCH(C$1,[2]quests!$1:$1,0)-MATCH($B$1,[2]quests!$1:$1,0)+1),MATCH(C$1,[2]quests!$1:$1,0)-MATCH($B$1,[2]quests!$1:$1,0)+1,FALSE)</f>
        <v>夏☆襲来！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（復刻）季節イベント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【超絶級】夏☆襲来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（復刻）季節イベント</v>
      </c>
      <c r="H2" s="81">
        <v>1</v>
      </c>
      <c r="I2" s="86">
        <f t="shared" ref="I2:I37" si="0">ROW()-1</f>
        <v>1</v>
      </c>
      <c r="J2" s="82" t="str">
        <f t="shared" ref="J2:J30" si="1">B2&amp;TEXT(I2,"00")</f>
        <v>4700901</v>
      </c>
      <c r="K2" s="80" t="s">
        <v>364</v>
      </c>
      <c r="L2" s="83" t="s">
        <v>243</v>
      </c>
      <c r="M2" s="186" t="s">
        <v>365</v>
      </c>
      <c r="N2" s="53" t="s">
        <v>366</v>
      </c>
    </row>
    <row r="3" spans="1:14" ht="56" x14ac:dyDescent="0.15">
      <c r="A3" s="77" t="s">
        <v>193</v>
      </c>
      <c r="B3" s="78">
        <v>47009</v>
      </c>
      <c r="C3" s="79" t="str">
        <f ca="1">VLOOKUP($B3,OFFSET([2]quests!$A$1,0,0,COUNTA([2]quests!$A:$A),MATCH(C$1,[2]quests!$1:$1,0)-MATCH($B$1,[2]quests!$1:$1,0)+1),MATCH(C$1,[2]quests!$1:$1,0)-MATCH($B$1,[2]quests!$1:$1,0)+1,FALSE)</f>
        <v>夏☆襲来！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（復刻）季節イベント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【超絶級】夏☆襲来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（復刻）季節イベント</v>
      </c>
      <c r="H3" s="81">
        <v>2</v>
      </c>
      <c r="I3" s="86">
        <f t="shared" si="0"/>
        <v>2</v>
      </c>
      <c r="J3" s="82" t="str">
        <f t="shared" si="1"/>
        <v>4700902</v>
      </c>
      <c r="K3" s="80" t="s">
        <v>367</v>
      </c>
      <c r="L3" s="83" t="s">
        <v>243</v>
      </c>
      <c r="M3" s="186" t="s">
        <v>368</v>
      </c>
      <c r="N3" s="53" t="s">
        <v>369</v>
      </c>
    </row>
    <row r="4" spans="1:14" ht="56" x14ac:dyDescent="0.15">
      <c r="A4" s="77" t="s">
        <v>193</v>
      </c>
      <c r="B4" s="78">
        <v>47009</v>
      </c>
      <c r="C4" s="79" t="str">
        <f ca="1">VLOOKUP($B4,OFFSET([2]quests!$A$1,0,0,COUNTA([2]quests!$A:$A),MATCH(C$1,[2]quests!$1:$1,0)-MATCH($B$1,[2]quests!$1:$1,0)+1),MATCH(C$1,[2]quests!$1:$1,0)-MATCH($B$1,[2]quests!$1:$1,0)+1,FALSE)</f>
        <v>夏☆襲来！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（復刻）季節イベント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【超絶級】夏☆襲来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（復刻）季節イベント</v>
      </c>
      <c r="H4" s="81">
        <v>3</v>
      </c>
      <c r="I4" s="86">
        <f t="shared" si="0"/>
        <v>3</v>
      </c>
      <c r="J4" s="82" t="str">
        <f t="shared" si="1"/>
        <v>4700903</v>
      </c>
      <c r="K4" s="80" t="s">
        <v>370</v>
      </c>
      <c r="L4" s="83" t="s">
        <v>243</v>
      </c>
      <c r="M4" s="186" t="s">
        <v>371</v>
      </c>
      <c r="N4" s="53" t="s">
        <v>372</v>
      </c>
    </row>
    <row r="5" spans="1:14" ht="56" x14ac:dyDescent="0.15">
      <c r="A5" s="77" t="s">
        <v>193</v>
      </c>
      <c r="B5" s="78">
        <v>47009</v>
      </c>
      <c r="C5" s="79" t="str">
        <f ca="1">VLOOKUP($B5,OFFSET([2]quests!$A$1,0,0,COUNTA([2]quests!$A:$A),MATCH(C$1,[2]quests!$1:$1,0)-MATCH($B$1,[2]quests!$1:$1,0)+1),MATCH(C$1,[2]quests!$1:$1,0)-MATCH($B$1,[2]quests!$1:$1,0)+1,FALSE)</f>
        <v>夏☆襲来！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（復刻）季節イベント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【超絶級】夏☆襲来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（復刻）季節イベント</v>
      </c>
      <c r="H5" s="81">
        <v>4</v>
      </c>
      <c r="I5" s="86">
        <f t="shared" si="0"/>
        <v>4</v>
      </c>
      <c r="J5" s="82" t="str">
        <f t="shared" si="1"/>
        <v>4700904</v>
      </c>
      <c r="K5" s="80" t="s">
        <v>256</v>
      </c>
      <c r="L5" s="83" t="s">
        <v>243</v>
      </c>
      <c r="M5" s="186" t="s">
        <v>373</v>
      </c>
      <c r="N5" s="53" t="s">
        <v>374</v>
      </c>
    </row>
    <row r="6" spans="1:14" ht="56" x14ac:dyDescent="0.15">
      <c r="A6" s="77" t="s">
        <v>193</v>
      </c>
      <c r="B6" s="78">
        <v>47009</v>
      </c>
      <c r="C6" s="79" t="str">
        <f ca="1">VLOOKUP($B6,OFFSET([2]quests!$A$1,0,0,COUNTA([2]quests!$A:$A),MATCH(C$1,[2]quests!$1:$1,0)-MATCH($B$1,[2]quests!$1:$1,0)+1),MATCH(C$1,[2]quests!$1:$1,0)-MATCH($B$1,[2]quests!$1:$1,0)+1,FALSE)</f>
        <v>夏☆襲来！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（復刻）季節イベント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【超絶級】夏☆襲来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（復刻）季節イベント</v>
      </c>
      <c r="H6" s="81">
        <v>5</v>
      </c>
      <c r="I6" s="86">
        <f t="shared" si="0"/>
        <v>5</v>
      </c>
      <c r="J6" s="82" t="str">
        <f t="shared" si="1"/>
        <v>4700905</v>
      </c>
      <c r="K6" s="80" t="s">
        <v>364</v>
      </c>
      <c r="L6" s="83" t="s">
        <v>243</v>
      </c>
      <c r="M6" s="186" t="s">
        <v>375</v>
      </c>
      <c r="N6" s="53" t="s">
        <v>366</v>
      </c>
    </row>
    <row r="7" spans="1:14" ht="56" x14ac:dyDescent="0.15">
      <c r="A7" s="77" t="s">
        <v>193</v>
      </c>
      <c r="B7" s="78">
        <v>47009</v>
      </c>
      <c r="C7" s="79" t="str">
        <f ca="1">VLOOKUP($B7,OFFSET([2]quests!$A$1,0,0,COUNTA([2]quests!$A:$A),MATCH(C$1,[2]quests!$1:$1,0)-MATCH($B$1,[2]quests!$1:$1,0)+1),MATCH(C$1,[2]quests!$1:$1,0)-MATCH($B$1,[2]quests!$1:$1,0)+1,FALSE)</f>
        <v>夏☆襲来！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（復刻）季節イベント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【超絶級】夏☆襲来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（復刻）季節イベント</v>
      </c>
      <c r="H7" s="81">
        <v>5</v>
      </c>
      <c r="I7" s="86">
        <f t="shared" si="0"/>
        <v>6</v>
      </c>
      <c r="J7" s="82" t="str">
        <f t="shared" si="1"/>
        <v>4700906</v>
      </c>
      <c r="K7" s="80" t="s">
        <v>356</v>
      </c>
      <c r="L7" s="83" t="s">
        <v>243</v>
      </c>
      <c r="M7" s="186" t="s">
        <v>376</v>
      </c>
      <c r="N7" s="53" t="s">
        <v>377</v>
      </c>
    </row>
    <row r="8" spans="1:14" ht="28" x14ac:dyDescent="0.15">
      <c r="A8" s="77" t="s">
        <v>193</v>
      </c>
      <c r="B8" s="78">
        <v>47009</v>
      </c>
      <c r="C8" s="79" t="str">
        <f ca="1">VLOOKUP($B8,OFFSET([2]quests!$A$1,0,0,COUNTA([2]quests!$A:$A),MATCH(C$1,[2]quests!$1:$1,0)-MATCH($B$1,[2]quests!$1:$1,0)+1),MATCH(C$1,[2]quests!$1:$1,0)-MATCH($B$1,[2]quests!$1:$1,0)+1,FALSE)</f>
        <v>夏☆襲来！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（復刻）季節イベント</v>
      </c>
      <c r="E8" s="80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【超絶級】夏☆襲来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（復刻）季節イベント</v>
      </c>
      <c r="H8" s="81">
        <v>5</v>
      </c>
      <c r="I8" s="86">
        <f t="shared" si="0"/>
        <v>7</v>
      </c>
      <c r="J8" s="82" t="str">
        <f t="shared" si="1"/>
        <v>4700907</v>
      </c>
      <c r="K8" s="80" t="s">
        <v>378</v>
      </c>
      <c r="L8" s="83" t="s">
        <v>243</v>
      </c>
      <c r="M8" s="186" t="s">
        <v>379</v>
      </c>
      <c r="N8" s="53" t="s">
        <v>380</v>
      </c>
    </row>
    <row r="9" spans="1:14" ht="56" x14ac:dyDescent="0.15">
      <c r="A9" s="77" t="s">
        <v>194</v>
      </c>
      <c r="B9" s="78">
        <v>47009</v>
      </c>
      <c r="C9" s="79" t="str">
        <f ca="1">VLOOKUP($B9,OFFSET([2]quests!$A$1,0,0,COUNTA([2]quests!$A:$A),MATCH(C$1,[2]quests!$1:$1,0)-MATCH($B$1,[2]quests!$1:$1,0)+1),MATCH(C$1,[2]quests!$1:$1,0)-MATCH($B$1,[2]quests!$1:$1,0)+1,FALSE)</f>
        <v>夏☆襲来！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（復刻）季節イベント</v>
      </c>
      <c r="E9" s="80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【超絶級】夏☆襲来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（復刻）季節イベント</v>
      </c>
      <c r="H9" s="81">
        <v>0</v>
      </c>
      <c r="I9" s="86">
        <f t="shared" si="0"/>
        <v>8</v>
      </c>
      <c r="J9" s="82" t="str">
        <f>B9&amp;TEXT(I9,"00")</f>
        <v>4700908</v>
      </c>
      <c r="K9" s="80" t="s">
        <v>256</v>
      </c>
      <c r="L9" s="83" t="s">
        <v>381</v>
      </c>
      <c r="M9" s="186" t="s">
        <v>382</v>
      </c>
      <c r="N9" s="53" t="s">
        <v>374</v>
      </c>
    </row>
    <row r="10" spans="1:14" ht="56" x14ac:dyDescent="0.15">
      <c r="A10" s="77" t="s">
        <v>194</v>
      </c>
      <c r="B10" s="78">
        <v>47009</v>
      </c>
      <c r="C10" s="79" t="str">
        <f ca="1">VLOOKUP($B10,OFFSET([2]quests!$A$1,0,0,COUNTA([2]quests!$A:$A),MATCH(C$1,[2]quests!$1:$1,0)-MATCH($B$1,[2]quests!$1:$1,0)+1),MATCH(C$1,[2]quests!$1:$1,0)-MATCH($B$1,[2]quests!$1:$1,0)+1,FALSE)</f>
        <v>夏☆襲来！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（復刻）季節イベント</v>
      </c>
      <c r="E10" s="80">
        <v>1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【超絶級】夏☆襲来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（復刻）季節イベント</v>
      </c>
      <c r="H10" s="81">
        <v>0</v>
      </c>
      <c r="I10" s="86">
        <f t="shared" si="0"/>
        <v>9</v>
      </c>
      <c r="J10" s="82" t="str">
        <f t="shared" ref="J10:J12" si="2">B10&amp;TEXT(I10,"00")</f>
        <v>4700909</v>
      </c>
      <c r="K10" s="80" t="s">
        <v>383</v>
      </c>
      <c r="L10" s="83" t="s">
        <v>384</v>
      </c>
      <c r="M10" s="186" t="s">
        <v>385</v>
      </c>
      <c r="N10" s="53" t="s">
        <v>386</v>
      </c>
    </row>
    <row r="11" spans="1:14" ht="42" x14ac:dyDescent="0.15">
      <c r="A11" s="77" t="s">
        <v>194</v>
      </c>
      <c r="B11" s="78">
        <v>47009</v>
      </c>
      <c r="C11" s="79" t="str">
        <f ca="1">VLOOKUP($B11,OFFSET([2]quests!$A$1,0,0,COUNTA([2]quests!$A:$A),MATCH(C$1,[2]quests!$1:$1,0)-MATCH($B$1,[2]quests!$1:$1,0)+1),MATCH(C$1,[2]quests!$1:$1,0)-MATCH($B$1,[2]quests!$1:$1,0)+1,FALSE)</f>
        <v>夏☆襲来！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（復刻）季節イベント</v>
      </c>
      <c r="E11" s="80">
        <v>1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【超絶級】夏☆襲来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（復刻）季節イベント</v>
      </c>
      <c r="H11" s="81">
        <v>0</v>
      </c>
      <c r="I11" s="86">
        <f t="shared" si="0"/>
        <v>10</v>
      </c>
      <c r="J11" s="82" t="str">
        <f t="shared" si="2"/>
        <v>4700910</v>
      </c>
      <c r="K11" s="80" t="s">
        <v>387</v>
      </c>
      <c r="L11" s="83" t="s">
        <v>388</v>
      </c>
      <c r="M11" s="186" t="s">
        <v>389</v>
      </c>
      <c r="N11" s="53" t="s">
        <v>390</v>
      </c>
    </row>
    <row r="12" spans="1:14" ht="28" x14ac:dyDescent="0.15">
      <c r="A12" s="77" t="s">
        <v>194</v>
      </c>
      <c r="B12" s="78">
        <v>47009</v>
      </c>
      <c r="C12" s="79" t="str">
        <f ca="1">VLOOKUP($B12,OFFSET([2]quests!$A$1,0,0,COUNTA([2]quests!$A:$A),MATCH(C$1,[2]quests!$1:$1,0)-MATCH($B$1,[2]quests!$1:$1,0)+1),MATCH(C$1,[2]quests!$1:$1,0)-MATCH($B$1,[2]quests!$1:$1,0)+1,FALSE)</f>
        <v>夏☆襲来！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（復刻）季節イベント</v>
      </c>
      <c r="E12" s="80">
        <v>1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【超絶級】夏☆襲来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（復刻）季節イベント</v>
      </c>
      <c r="H12" s="81">
        <v>0</v>
      </c>
      <c r="I12" s="86">
        <f t="shared" si="0"/>
        <v>11</v>
      </c>
      <c r="J12" s="82" t="str">
        <f t="shared" si="2"/>
        <v>4700911</v>
      </c>
      <c r="K12" s="80" t="s">
        <v>391</v>
      </c>
      <c r="L12" s="83" t="s">
        <v>392</v>
      </c>
      <c r="M12" s="186" t="s">
        <v>393</v>
      </c>
      <c r="N12" s="53" t="s">
        <v>394</v>
      </c>
    </row>
    <row r="13" spans="1:14" ht="28" x14ac:dyDescent="0.15">
      <c r="A13" s="77" t="s">
        <v>194</v>
      </c>
      <c r="B13" s="78">
        <v>47009</v>
      </c>
      <c r="C13" s="79" t="str">
        <f ca="1">VLOOKUP($B13,OFFSET([2]quests!$A$1,0,0,COUNTA([2]quests!$A:$A),MATCH(C$1,[2]quests!$1:$1,0)-MATCH($B$1,[2]quests!$1:$1,0)+1),MATCH(C$1,[2]quests!$1:$1,0)-MATCH($B$1,[2]quests!$1:$1,0)+1,FALSE)</f>
        <v>夏☆襲来！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（復刻）季節イベント</v>
      </c>
      <c r="E13" s="80">
        <v>1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【超絶級】夏☆襲来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（復刻）季節イベント</v>
      </c>
      <c r="H13" s="81">
        <v>0</v>
      </c>
      <c r="I13" s="86">
        <f t="shared" si="0"/>
        <v>12</v>
      </c>
      <c r="J13" s="82" t="str">
        <f>B13&amp;TEXT(I13,"00")</f>
        <v>4700912</v>
      </c>
      <c r="K13" s="80" t="s">
        <v>395</v>
      </c>
      <c r="L13" s="83" t="s">
        <v>396</v>
      </c>
      <c r="M13" s="186" t="s">
        <v>397</v>
      </c>
      <c r="N13" s="53" t="s">
        <v>398</v>
      </c>
    </row>
    <row r="14" spans="1:14" ht="28" x14ac:dyDescent="0.15">
      <c r="A14" s="77" t="s">
        <v>194</v>
      </c>
      <c r="B14" s="78">
        <v>47009</v>
      </c>
      <c r="C14" s="79" t="str">
        <f ca="1">VLOOKUP($B14,OFFSET([2]quests!$A$1,0,0,COUNTA([2]quests!$A:$A),MATCH(C$1,[2]quests!$1:$1,0)-MATCH($B$1,[2]quests!$1:$1,0)+1),MATCH(C$1,[2]quests!$1:$1,0)-MATCH($B$1,[2]quests!$1:$1,0)+1,FALSE)</f>
        <v>夏☆襲来！</v>
      </c>
      <c r="D14" s="79" t="str">
        <f ca="1">VLOOKUP($B14,OFFSET([2]quests!$A$1,0,0,COUNTA([2]quests!$A:$A),MATCH(D$1,[2]quests!$1:$1,0)-MATCH($B$1,[2]quests!$1:$1,0)+1),MATCH(D$1,[2]quests!$1:$1,0)-MATCH($B$1,[2]quests!$1:$1,0)+1,FALSE)</f>
        <v>（復刻）季節イベント</v>
      </c>
      <c r="E14" s="80">
        <v>1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【超絶級】夏☆襲来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（復刻）季節イベント</v>
      </c>
      <c r="H14" s="81">
        <v>0</v>
      </c>
      <c r="I14" s="86">
        <f t="shared" si="0"/>
        <v>13</v>
      </c>
      <c r="J14" s="82" t="str">
        <f>B14&amp;TEXT(I14,"00")</f>
        <v>4700913</v>
      </c>
      <c r="K14" s="80" t="s">
        <v>395</v>
      </c>
      <c r="L14" s="83" t="s">
        <v>399</v>
      </c>
      <c r="M14" s="186" t="s">
        <v>400</v>
      </c>
      <c r="N14" s="53" t="s">
        <v>398</v>
      </c>
    </row>
    <row r="15" spans="1:14" ht="28" x14ac:dyDescent="0.15">
      <c r="A15" s="77" t="s">
        <v>194</v>
      </c>
      <c r="B15" s="78">
        <v>47009</v>
      </c>
      <c r="C15" s="79" t="str">
        <f ca="1">VLOOKUP($B15,OFFSET([2]quests!$A$1,0,0,COUNTA([2]quests!$A:$A),MATCH(C$1,[2]quests!$1:$1,0)-MATCH($B$1,[2]quests!$1:$1,0)+1),MATCH(C$1,[2]quests!$1:$1,0)-MATCH($B$1,[2]quests!$1:$1,0)+1,FALSE)</f>
        <v>夏☆襲来！</v>
      </c>
      <c r="D15" s="79" t="str">
        <f ca="1">VLOOKUP($B15,OFFSET([2]quests!$A$1,0,0,COUNTA([2]quests!$A:$A),MATCH(D$1,[2]quests!$1:$1,0)-MATCH($B$1,[2]quests!$1:$1,0)+1),MATCH(D$1,[2]quests!$1:$1,0)-MATCH($B$1,[2]quests!$1:$1,0)+1,FALSE)</f>
        <v>（復刻）季節イベント</v>
      </c>
      <c r="E15" s="80">
        <v>1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【超絶級】夏☆襲来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（復刻）季節イベント</v>
      </c>
      <c r="H15" s="81">
        <v>0</v>
      </c>
      <c r="I15" s="86">
        <f t="shared" si="0"/>
        <v>14</v>
      </c>
      <c r="J15" s="82" t="str">
        <f t="shared" ref="J15:J16" si="3">B15&amp;TEXT(I15,"00")</f>
        <v>4700914</v>
      </c>
      <c r="K15" s="80" t="s">
        <v>302</v>
      </c>
      <c r="L15" s="83" t="s">
        <v>401</v>
      </c>
      <c r="M15" s="186" t="s">
        <v>402</v>
      </c>
      <c r="N15" s="53" t="s">
        <v>403</v>
      </c>
    </row>
    <row r="16" spans="1:14" ht="42" x14ac:dyDescent="0.15">
      <c r="A16" s="77" t="s">
        <v>194</v>
      </c>
      <c r="B16" s="78">
        <v>47009</v>
      </c>
      <c r="C16" s="79" t="str">
        <f ca="1">VLOOKUP($B16,OFFSET([2]quests!$A$1,0,0,COUNTA([2]quests!$A:$A),MATCH(C$1,[2]quests!$1:$1,0)-MATCH($B$1,[2]quests!$1:$1,0)+1),MATCH(C$1,[2]quests!$1:$1,0)-MATCH($B$1,[2]quests!$1:$1,0)+1,FALSE)</f>
        <v>夏☆襲来！</v>
      </c>
      <c r="D16" s="79" t="str">
        <f ca="1">VLOOKUP($B16,OFFSET([2]quests!$A$1,0,0,COUNTA([2]quests!$A:$A),MATCH(D$1,[2]quests!$1:$1,0)-MATCH($B$1,[2]quests!$1:$1,0)+1),MATCH(D$1,[2]quests!$1:$1,0)-MATCH($B$1,[2]quests!$1:$1,0)+1,FALSE)</f>
        <v>（復刻）季節イベント</v>
      </c>
      <c r="E16" s="80">
        <v>1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【超絶級】夏☆襲来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（復刻）季節イベント</v>
      </c>
      <c r="H16" s="81">
        <v>0</v>
      </c>
      <c r="I16" s="86">
        <f t="shared" si="0"/>
        <v>15</v>
      </c>
      <c r="J16" s="82" t="str">
        <f t="shared" si="3"/>
        <v>4700915</v>
      </c>
      <c r="K16" s="80" t="s">
        <v>404</v>
      </c>
      <c r="L16" s="83" t="s">
        <v>405</v>
      </c>
      <c r="M16" s="186" t="s">
        <v>406</v>
      </c>
      <c r="N16" s="53" t="s">
        <v>407</v>
      </c>
    </row>
    <row r="17" spans="1:14" ht="28" x14ac:dyDescent="0.15">
      <c r="A17" s="77" t="s">
        <v>194</v>
      </c>
      <c r="B17" s="78">
        <v>47009</v>
      </c>
      <c r="C17" s="79" t="str">
        <f ca="1">VLOOKUP($B17,OFFSET([2]quests!$A$1,0,0,COUNTA([2]quests!$A:$A),MATCH(C$1,[2]quests!$1:$1,0)-MATCH($B$1,[2]quests!$1:$1,0)+1),MATCH(C$1,[2]quests!$1:$1,0)-MATCH($B$1,[2]quests!$1:$1,0)+1,FALSE)</f>
        <v>夏☆襲来！</v>
      </c>
      <c r="D17" s="79" t="str">
        <f ca="1">VLOOKUP($B17,OFFSET([2]quests!$A$1,0,0,COUNTA([2]quests!$A:$A),MATCH(D$1,[2]quests!$1:$1,0)-MATCH($B$1,[2]quests!$1:$1,0)+1),MATCH(D$1,[2]quests!$1:$1,0)-MATCH($B$1,[2]quests!$1:$1,0)+1,FALSE)</f>
        <v>（復刻）季節イベント</v>
      </c>
      <c r="E17" s="80">
        <v>1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【超絶級】夏☆襲来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（復刻）季節イベント</v>
      </c>
      <c r="H17" s="81">
        <v>0</v>
      </c>
      <c r="I17" s="86">
        <f t="shared" si="0"/>
        <v>16</v>
      </c>
      <c r="J17" s="82" t="str">
        <f>B17&amp;TEXT(I17,"00")</f>
        <v>4700916</v>
      </c>
      <c r="K17" s="80" t="s">
        <v>404</v>
      </c>
      <c r="L17" s="83" t="s">
        <v>408</v>
      </c>
      <c r="M17" s="186" t="s">
        <v>409</v>
      </c>
      <c r="N17" s="53" t="s">
        <v>407</v>
      </c>
    </row>
    <row r="18" spans="1:14" ht="42" x14ac:dyDescent="0.15">
      <c r="A18" s="77" t="s">
        <v>194</v>
      </c>
      <c r="B18" s="78">
        <v>47009</v>
      </c>
      <c r="C18" s="79" t="str">
        <f ca="1">VLOOKUP($B18,OFFSET([2]quests!$A$1,0,0,COUNTA([2]quests!$A:$A),MATCH(C$1,[2]quests!$1:$1,0)-MATCH($B$1,[2]quests!$1:$1,0)+1),MATCH(C$1,[2]quests!$1:$1,0)-MATCH($B$1,[2]quests!$1:$1,0)+1,FALSE)</f>
        <v>夏☆襲来！</v>
      </c>
      <c r="D18" s="79" t="str">
        <f ca="1">VLOOKUP($B18,OFFSET([2]quests!$A$1,0,0,COUNTA([2]quests!$A:$A),MATCH(D$1,[2]quests!$1:$1,0)-MATCH($B$1,[2]quests!$1:$1,0)+1),MATCH(D$1,[2]quests!$1:$1,0)-MATCH($B$1,[2]quests!$1:$1,0)+1,FALSE)</f>
        <v>（復刻）季節イベント</v>
      </c>
      <c r="E18" s="80">
        <v>1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【超絶級】夏☆襲来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（復刻）季節イベント</v>
      </c>
      <c r="H18" s="81">
        <v>0</v>
      </c>
      <c r="I18" s="86">
        <f t="shared" si="0"/>
        <v>17</v>
      </c>
      <c r="J18" s="82" t="str">
        <f>B18&amp;TEXT(I18,"00")</f>
        <v>4700917</v>
      </c>
      <c r="K18" s="80" t="s">
        <v>395</v>
      </c>
      <c r="L18" s="83" t="s">
        <v>410</v>
      </c>
      <c r="M18" s="186" t="s">
        <v>411</v>
      </c>
      <c r="N18" s="53" t="s">
        <v>398</v>
      </c>
    </row>
    <row r="19" spans="1:14" ht="42" x14ac:dyDescent="0.15">
      <c r="A19" s="77" t="s">
        <v>194</v>
      </c>
      <c r="B19" s="78">
        <v>47009</v>
      </c>
      <c r="C19" s="79" t="str">
        <f ca="1">VLOOKUP($B19,OFFSET([2]quests!$A$1,0,0,COUNTA([2]quests!$A:$A),MATCH(C$1,[2]quests!$1:$1,0)-MATCH($B$1,[2]quests!$1:$1,0)+1),MATCH(C$1,[2]quests!$1:$1,0)-MATCH($B$1,[2]quests!$1:$1,0)+1,FALSE)</f>
        <v>夏☆襲来！</v>
      </c>
      <c r="D19" s="79" t="str">
        <f ca="1">VLOOKUP($B19,OFFSET([2]quests!$A$1,0,0,COUNTA([2]quests!$A:$A),MATCH(D$1,[2]quests!$1:$1,0)-MATCH($B$1,[2]quests!$1:$1,0)+1),MATCH(D$1,[2]quests!$1:$1,0)-MATCH($B$1,[2]quests!$1:$1,0)+1,FALSE)</f>
        <v>（復刻）季節イベント</v>
      </c>
      <c r="E19" s="80">
        <v>1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【超絶級】夏☆襲来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（復刻）季節イベント</v>
      </c>
      <c r="H19" s="81">
        <v>0</v>
      </c>
      <c r="I19" s="86">
        <f t="shared" si="0"/>
        <v>18</v>
      </c>
      <c r="J19" s="82" t="str">
        <f>B19&amp;TEXT(I19,"00")</f>
        <v>4700918</v>
      </c>
      <c r="K19" s="80" t="s">
        <v>395</v>
      </c>
      <c r="L19" s="83" t="s">
        <v>412</v>
      </c>
      <c r="M19" s="186" t="s">
        <v>413</v>
      </c>
      <c r="N19" s="53" t="s">
        <v>398</v>
      </c>
    </row>
    <row r="20" spans="1:14" ht="56" x14ac:dyDescent="0.15">
      <c r="A20" s="77" t="s">
        <v>193</v>
      </c>
      <c r="B20" s="78">
        <v>47009</v>
      </c>
      <c r="C20" s="79" t="str">
        <f ca="1">VLOOKUP($B20,OFFSET([2]quests!$A$1,0,0,COUNTA([2]quests!$A:$A),MATCH(C$1,[2]quests!$1:$1,0)-MATCH($B$1,[2]quests!$1:$1,0)+1),MATCH(C$1,[2]quests!$1:$1,0)-MATCH($B$1,[2]quests!$1:$1,0)+1,FALSE)</f>
        <v>夏☆襲来！</v>
      </c>
      <c r="D20" s="79" t="str">
        <f ca="1">VLOOKUP($B20,OFFSET([2]quests!$A$1,0,0,COUNTA([2]quests!$A:$A),MATCH(D$1,[2]quests!$1:$1,0)-MATCH($B$1,[2]quests!$1:$1,0)+1),MATCH(D$1,[2]quests!$1:$1,0)-MATCH($B$1,[2]quests!$1:$1,0)+1,FALSE)</f>
        <v>（復刻）季節イベント</v>
      </c>
      <c r="E20" s="80">
        <v>2</v>
      </c>
      <c r="F20" s="79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【ウィザード級】夏☆襲来</v>
      </c>
      <c r="G20" s="79" t="str">
        <f ca="1">VLOOKUP($B20&amp;"_"&amp;$E20,OFFSET([2]stages!$A$1,0,0,COUNTA([2]stages!$A:$A),MATCH(G$1,[2]stages!$2:$2,0)-MATCH("temp_stage",[2]stages!$2:$2,0)+1),MATCH(G$1,[2]stages!$2:$2,0)-MATCH("temp_stage",[2]stages!$2:$2,0)+1,FALSE)</f>
        <v>（復刻）季節イベント</v>
      </c>
      <c r="H20" s="81">
        <v>1</v>
      </c>
      <c r="I20" s="86">
        <f t="shared" si="0"/>
        <v>19</v>
      </c>
      <c r="J20" s="82" t="str">
        <f t="shared" si="1"/>
        <v>4700919</v>
      </c>
      <c r="K20" s="80" t="s">
        <v>395</v>
      </c>
      <c r="L20" s="83" t="s">
        <v>243</v>
      </c>
      <c r="M20" s="186" t="s">
        <v>365</v>
      </c>
      <c r="N20" s="53" t="s">
        <v>398</v>
      </c>
    </row>
    <row r="21" spans="1:14" ht="56" x14ac:dyDescent="0.15">
      <c r="A21" s="77" t="s">
        <v>193</v>
      </c>
      <c r="B21" s="78">
        <v>47009</v>
      </c>
      <c r="C21" s="79" t="str">
        <f ca="1">VLOOKUP($B21,OFFSET([2]quests!$A$1,0,0,COUNTA([2]quests!$A:$A),MATCH(C$1,[2]quests!$1:$1,0)-MATCH($B$1,[2]quests!$1:$1,0)+1),MATCH(C$1,[2]quests!$1:$1,0)-MATCH($B$1,[2]quests!$1:$1,0)+1,FALSE)</f>
        <v>夏☆襲来！</v>
      </c>
      <c r="D21" s="79" t="str">
        <f ca="1">VLOOKUP($B21,OFFSET([2]quests!$A$1,0,0,COUNTA([2]quests!$A:$A),MATCH(D$1,[2]quests!$1:$1,0)-MATCH($B$1,[2]quests!$1:$1,0)+1),MATCH(D$1,[2]quests!$1:$1,0)-MATCH($B$1,[2]quests!$1:$1,0)+1,FALSE)</f>
        <v>（復刻）季節イベント</v>
      </c>
      <c r="E21" s="80">
        <v>2</v>
      </c>
      <c r="F21" s="79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【ウィザード級】夏☆襲来</v>
      </c>
      <c r="G21" s="79" t="str">
        <f ca="1">VLOOKUP($B21&amp;"_"&amp;$E21,OFFSET([2]stages!$A$1,0,0,COUNTA([2]stages!$A:$A),MATCH(G$1,[2]stages!$2:$2,0)-MATCH("temp_stage",[2]stages!$2:$2,0)+1),MATCH(G$1,[2]stages!$2:$2,0)-MATCH("temp_stage",[2]stages!$2:$2,0)+1,FALSE)</f>
        <v>（復刻）季節イベント</v>
      </c>
      <c r="H21" s="81">
        <v>2</v>
      </c>
      <c r="I21" s="86">
        <f t="shared" si="0"/>
        <v>20</v>
      </c>
      <c r="J21" s="82" t="str">
        <f t="shared" si="1"/>
        <v>4700920</v>
      </c>
      <c r="K21" s="80" t="s">
        <v>395</v>
      </c>
      <c r="L21" s="83" t="s">
        <v>243</v>
      </c>
      <c r="M21" s="186" t="s">
        <v>368</v>
      </c>
      <c r="N21" s="53" t="s">
        <v>398</v>
      </c>
    </row>
    <row r="22" spans="1:14" ht="56" x14ac:dyDescent="0.15">
      <c r="A22" s="77" t="s">
        <v>193</v>
      </c>
      <c r="B22" s="78">
        <v>47009</v>
      </c>
      <c r="C22" s="79" t="str">
        <f ca="1">VLOOKUP($B22,OFFSET([2]quests!$A$1,0,0,COUNTA([2]quests!$A:$A),MATCH(C$1,[2]quests!$1:$1,0)-MATCH($B$1,[2]quests!$1:$1,0)+1),MATCH(C$1,[2]quests!$1:$1,0)-MATCH($B$1,[2]quests!$1:$1,0)+1,FALSE)</f>
        <v>夏☆襲来！</v>
      </c>
      <c r="D22" s="79" t="str">
        <f ca="1">VLOOKUP($B22,OFFSET([2]quests!$A$1,0,0,COUNTA([2]quests!$A:$A),MATCH(D$1,[2]quests!$1:$1,0)-MATCH($B$1,[2]quests!$1:$1,0)+1),MATCH(D$1,[2]quests!$1:$1,0)-MATCH($B$1,[2]quests!$1:$1,0)+1,FALSE)</f>
        <v>（復刻）季節イベント</v>
      </c>
      <c r="E22" s="80">
        <v>2</v>
      </c>
      <c r="F22" s="79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【ウィザード級】夏☆襲来</v>
      </c>
      <c r="G22" s="79" t="str">
        <f ca="1">VLOOKUP($B22&amp;"_"&amp;$E22,OFFSET([2]stages!$A$1,0,0,COUNTA([2]stages!$A:$A),MATCH(G$1,[2]stages!$2:$2,0)-MATCH("temp_stage",[2]stages!$2:$2,0)+1),MATCH(G$1,[2]stages!$2:$2,0)-MATCH("temp_stage",[2]stages!$2:$2,0)+1,FALSE)</f>
        <v>（復刻）季節イベント</v>
      </c>
      <c r="H22" s="81">
        <v>3</v>
      </c>
      <c r="I22" s="86">
        <f t="shared" si="0"/>
        <v>21</v>
      </c>
      <c r="J22" s="82" t="str">
        <f t="shared" si="1"/>
        <v>4700921</v>
      </c>
      <c r="K22" s="80" t="s">
        <v>395</v>
      </c>
      <c r="L22" s="83" t="s">
        <v>243</v>
      </c>
      <c r="M22" s="186" t="s">
        <v>371</v>
      </c>
      <c r="N22" s="53" t="s">
        <v>398</v>
      </c>
    </row>
    <row r="23" spans="1:14" ht="56" x14ac:dyDescent="0.15">
      <c r="A23" s="77" t="s">
        <v>193</v>
      </c>
      <c r="B23" s="78">
        <v>47009</v>
      </c>
      <c r="C23" s="79" t="str">
        <f ca="1">VLOOKUP($B23,OFFSET([2]quests!$A$1,0,0,COUNTA([2]quests!$A:$A),MATCH(C$1,[2]quests!$1:$1,0)-MATCH($B$1,[2]quests!$1:$1,0)+1),MATCH(C$1,[2]quests!$1:$1,0)-MATCH($B$1,[2]quests!$1:$1,0)+1,FALSE)</f>
        <v>夏☆襲来！</v>
      </c>
      <c r="D23" s="79" t="str">
        <f ca="1">VLOOKUP($B23,OFFSET([2]quests!$A$1,0,0,COUNTA([2]quests!$A:$A),MATCH(D$1,[2]quests!$1:$1,0)-MATCH($B$1,[2]quests!$1:$1,0)+1),MATCH(D$1,[2]quests!$1:$1,0)-MATCH($B$1,[2]quests!$1:$1,0)+1,FALSE)</f>
        <v>（復刻）季節イベント</v>
      </c>
      <c r="E23" s="80">
        <v>2</v>
      </c>
      <c r="F23" s="79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【ウィザード級】夏☆襲来</v>
      </c>
      <c r="G23" s="79" t="str">
        <f ca="1">VLOOKUP($B23&amp;"_"&amp;$E23,OFFSET([2]stages!$A$1,0,0,COUNTA([2]stages!$A:$A),MATCH(G$1,[2]stages!$2:$2,0)-MATCH("temp_stage",[2]stages!$2:$2,0)+1),MATCH(G$1,[2]stages!$2:$2,0)-MATCH("temp_stage",[2]stages!$2:$2,0)+1,FALSE)</f>
        <v>（復刻）季節イベント</v>
      </c>
      <c r="H23" s="81">
        <v>4</v>
      </c>
      <c r="I23" s="86">
        <f t="shared" si="0"/>
        <v>22</v>
      </c>
      <c r="J23" s="82" t="str">
        <f t="shared" si="1"/>
        <v>4700922</v>
      </c>
      <c r="K23" s="80" t="s">
        <v>395</v>
      </c>
      <c r="L23" s="83" t="s">
        <v>243</v>
      </c>
      <c r="M23" s="186" t="s">
        <v>373</v>
      </c>
      <c r="N23" s="53" t="s">
        <v>398</v>
      </c>
    </row>
    <row r="24" spans="1:14" ht="56" x14ac:dyDescent="0.15">
      <c r="A24" s="77" t="s">
        <v>193</v>
      </c>
      <c r="B24" s="78">
        <v>47009</v>
      </c>
      <c r="C24" s="79" t="str">
        <f ca="1">VLOOKUP($B24,OFFSET([2]quests!$A$1,0,0,COUNTA([2]quests!$A:$A),MATCH(C$1,[2]quests!$1:$1,0)-MATCH($B$1,[2]quests!$1:$1,0)+1),MATCH(C$1,[2]quests!$1:$1,0)-MATCH($B$1,[2]quests!$1:$1,0)+1,FALSE)</f>
        <v>夏☆襲来！</v>
      </c>
      <c r="D24" s="79" t="str">
        <f ca="1">VLOOKUP($B24,OFFSET([2]quests!$A$1,0,0,COUNTA([2]quests!$A:$A),MATCH(D$1,[2]quests!$1:$1,0)-MATCH($B$1,[2]quests!$1:$1,0)+1),MATCH(D$1,[2]quests!$1:$1,0)-MATCH($B$1,[2]quests!$1:$1,0)+1,FALSE)</f>
        <v>（復刻）季節イベント</v>
      </c>
      <c r="E24" s="80">
        <v>2</v>
      </c>
      <c r="F24" s="79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【ウィザード級】夏☆襲来</v>
      </c>
      <c r="G24" s="79" t="str">
        <f ca="1">VLOOKUP($B24&amp;"_"&amp;$E24,OFFSET([2]stages!$A$1,0,0,COUNTA([2]stages!$A:$A),MATCH(G$1,[2]stages!$2:$2,0)-MATCH("temp_stage",[2]stages!$2:$2,0)+1),MATCH(G$1,[2]stages!$2:$2,0)-MATCH("temp_stage",[2]stages!$2:$2,0)+1,FALSE)</f>
        <v>（復刻）季節イベント</v>
      </c>
      <c r="H24" s="81">
        <v>5</v>
      </c>
      <c r="I24" s="86">
        <f t="shared" si="0"/>
        <v>23</v>
      </c>
      <c r="J24" s="82" t="str">
        <f t="shared" si="1"/>
        <v>4700923</v>
      </c>
      <c r="K24" s="80" t="s">
        <v>395</v>
      </c>
      <c r="L24" s="83" t="s">
        <v>243</v>
      </c>
      <c r="M24" s="186" t="s">
        <v>375</v>
      </c>
      <c r="N24" s="53" t="s">
        <v>398</v>
      </c>
    </row>
    <row r="25" spans="1:14" ht="56" x14ac:dyDescent="0.15">
      <c r="A25" s="77" t="s">
        <v>193</v>
      </c>
      <c r="B25" s="78">
        <v>47009</v>
      </c>
      <c r="C25" s="79" t="str">
        <f ca="1">VLOOKUP($B25,OFFSET([2]quests!$A$1,0,0,COUNTA([2]quests!$A:$A),MATCH(C$1,[2]quests!$1:$1,0)-MATCH($B$1,[2]quests!$1:$1,0)+1),MATCH(C$1,[2]quests!$1:$1,0)-MATCH($B$1,[2]quests!$1:$1,0)+1,FALSE)</f>
        <v>夏☆襲来！</v>
      </c>
      <c r="D25" s="79" t="str">
        <f ca="1">VLOOKUP($B25,OFFSET([2]quests!$A$1,0,0,COUNTA([2]quests!$A:$A),MATCH(D$1,[2]quests!$1:$1,0)-MATCH($B$1,[2]quests!$1:$1,0)+1),MATCH(D$1,[2]quests!$1:$1,0)-MATCH($B$1,[2]quests!$1:$1,0)+1,FALSE)</f>
        <v>（復刻）季節イベント</v>
      </c>
      <c r="E25" s="80">
        <v>2</v>
      </c>
      <c r="F25" s="79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【ウィザード級】夏☆襲来</v>
      </c>
      <c r="G25" s="79" t="str">
        <f ca="1">VLOOKUP($B25&amp;"_"&amp;$E25,OFFSET([2]stages!$A$1,0,0,COUNTA([2]stages!$A:$A),MATCH(G$1,[2]stages!$2:$2,0)-MATCH("temp_stage",[2]stages!$2:$2,0)+1),MATCH(G$1,[2]stages!$2:$2,0)-MATCH("temp_stage",[2]stages!$2:$2,0)+1,FALSE)</f>
        <v>（復刻）季節イベント</v>
      </c>
      <c r="H25" s="81">
        <v>5</v>
      </c>
      <c r="I25" s="86">
        <f t="shared" si="0"/>
        <v>24</v>
      </c>
      <c r="J25" s="82" t="str">
        <f t="shared" si="1"/>
        <v>4700924</v>
      </c>
      <c r="K25" s="80" t="s">
        <v>395</v>
      </c>
      <c r="L25" s="83" t="s">
        <v>243</v>
      </c>
      <c r="M25" s="186" t="s">
        <v>376</v>
      </c>
      <c r="N25" s="53" t="s">
        <v>398</v>
      </c>
    </row>
    <row r="26" spans="1:14" ht="28" x14ac:dyDescent="0.15">
      <c r="A26" s="77" t="s">
        <v>193</v>
      </c>
      <c r="B26" s="78">
        <v>47009</v>
      </c>
      <c r="C26" s="79" t="str">
        <f ca="1">VLOOKUP($B26,OFFSET([2]quests!$A$1,0,0,COUNTA([2]quests!$A:$A),MATCH(C$1,[2]quests!$1:$1,0)-MATCH($B$1,[2]quests!$1:$1,0)+1),MATCH(C$1,[2]quests!$1:$1,0)-MATCH($B$1,[2]quests!$1:$1,0)+1,FALSE)</f>
        <v>夏☆襲来！</v>
      </c>
      <c r="D26" s="79" t="str">
        <f ca="1">VLOOKUP($B26,OFFSET([2]quests!$A$1,0,0,COUNTA([2]quests!$A:$A),MATCH(D$1,[2]quests!$1:$1,0)-MATCH($B$1,[2]quests!$1:$1,0)+1),MATCH(D$1,[2]quests!$1:$1,0)-MATCH($B$1,[2]quests!$1:$1,0)+1,FALSE)</f>
        <v>（復刻）季節イベント</v>
      </c>
      <c r="E26" s="80">
        <v>2</v>
      </c>
      <c r="F26" s="79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【ウィザード級】夏☆襲来</v>
      </c>
      <c r="G26" s="79" t="str">
        <f ca="1">VLOOKUP($B26&amp;"_"&amp;$E26,OFFSET([2]stages!$A$1,0,0,COUNTA([2]stages!$A:$A),MATCH(G$1,[2]stages!$2:$2,0)-MATCH("temp_stage",[2]stages!$2:$2,0)+1),MATCH(G$1,[2]stages!$2:$2,0)-MATCH("temp_stage",[2]stages!$2:$2,0)+1,FALSE)</f>
        <v>（復刻）季節イベント</v>
      </c>
      <c r="H26" s="81">
        <v>5</v>
      </c>
      <c r="I26" s="86">
        <f t="shared" si="0"/>
        <v>25</v>
      </c>
      <c r="J26" s="82" t="str">
        <f t="shared" si="1"/>
        <v>4700925</v>
      </c>
      <c r="K26" s="80" t="s">
        <v>395</v>
      </c>
      <c r="L26" s="83" t="s">
        <v>243</v>
      </c>
      <c r="M26" s="186" t="s">
        <v>379</v>
      </c>
      <c r="N26" s="53" t="s">
        <v>398</v>
      </c>
    </row>
    <row r="27" spans="1:14" ht="56" x14ac:dyDescent="0.15">
      <c r="A27" s="77" t="s">
        <v>194</v>
      </c>
      <c r="B27" s="78">
        <v>47009</v>
      </c>
      <c r="C27" s="79" t="str">
        <f ca="1">VLOOKUP($B27,OFFSET([2]quests!$A$1,0,0,COUNTA([2]quests!$A:$A),MATCH(C$1,[2]quests!$1:$1,0)-MATCH($B$1,[2]quests!$1:$1,0)+1),MATCH(C$1,[2]quests!$1:$1,0)-MATCH($B$1,[2]quests!$1:$1,0)+1,FALSE)</f>
        <v>夏☆襲来！</v>
      </c>
      <c r="D27" s="79" t="str">
        <f ca="1">VLOOKUP($B27,OFFSET([2]quests!$A$1,0,0,COUNTA([2]quests!$A:$A),MATCH(D$1,[2]quests!$1:$1,0)-MATCH($B$1,[2]quests!$1:$1,0)+1),MATCH(D$1,[2]quests!$1:$1,0)-MATCH($B$1,[2]quests!$1:$1,0)+1,FALSE)</f>
        <v>（復刻）季節イベント</v>
      </c>
      <c r="E27" s="80">
        <v>2</v>
      </c>
      <c r="F27" s="79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【ウィザード級】夏☆襲来</v>
      </c>
      <c r="G27" s="79" t="str">
        <f ca="1">VLOOKUP($B27&amp;"_"&amp;$E27,OFFSET([2]stages!$A$1,0,0,COUNTA([2]stages!$A:$A),MATCH(G$1,[2]stages!$2:$2,0)-MATCH("temp_stage",[2]stages!$2:$2,0)+1),MATCH(G$1,[2]stages!$2:$2,0)-MATCH("temp_stage",[2]stages!$2:$2,0)+1,FALSE)</f>
        <v>（復刻）季節イベント</v>
      </c>
      <c r="H27" s="81">
        <v>0</v>
      </c>
      <c r="I27" s="86">
        <f t="shared" si="0"/>
        <v>26</v>
      </c>
      <c r="J27" s="82" t="str">
        <f>B27&amp;TEXT(I27,"00")</f>
        <v>4700926</v>
      </c>
      <c r="K27" s="80" t="s">
        <v>414</v>
      </c>
      <c r="L27" s="83" t="s">
        <v>415</v>
      </c>
      <c r="M27" s="186" t="s">
        <v>416</v>
      </c>
      <c r="N27" s="53" t="s">
        <v>417</v>
      </c>
    </row>
    <row r="28" spans="1:14" ht="56" x14ac:dyDescent="0.15">
      <c r="A28" s="77" t="s">
        <v>194</v>
      </c>
      <c r="B28" s="78">
        <v>47009</v>
      </c>
      <c r="C28" s="79" t="str">
        <f ca="1">VLOOKUP($B28,OFFSET([2]quests!$A$1,0,0,COUNTA([2]quests!$A:$A),MATCH(C$1,[2]quests!$1:$1,0)-MATCH($B$1,[2]quests!$1:$1,0)+1),MATCH(C$1,[2]quests!$1:$1,0)-MATCH($B$1,[2]quests!$1:$1,0)+1,FALSE)</f>
        <v>夏☆襲来！</v>
      </c>
      <c r="D28" s="79" t="str">
        <f ca="1">VLOOKUP($B28,OFFSET([2]quests!$A$1,0,0,COUNTA([2]quests!$A:$A),MATCH(D$1,[2]quests!$1:$1,0)-MATCH($B$1,[2]quests!$1:$1,0)+1),MATCH(D$1,[2]quests!$1:$1,0)-MATCH($B$1,[2]quests!$1:$1,0)+1,FALSE)</f>
        <v>（復刻）季節イベント</v>
      </c>
      <c r="E28" s="80">
        <v>2</v>
      </c>
      <c r="F28" s="79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【ウィザード級】夏☆襲来</v>
      </c>
      <c r="G28" s="79" t="str">
        <f ca="1">VLOOKUP($B28&amp;"_"&amp;$E28,OFFSET([2]stages!$A$1,0,0,COUNTA([2]stages!$A:$A),MATCH(G$1,[2]stages!$2:$2,0)-MATCH("temp_stage",[2]stages!$2:$2,0)+1),MATCH(G$1,[2]stages!$2:$2,0)-MATCH("temp_stage",[2]stages!$2:$2,0)+1,FALSE)</f>
        <v>（復刻）季節イベント</v>
      </c>
      <c r="H28" s="81">
        <v>0</v>
      </c>
      <c r="I28" s="86">
        <f t="shared" si="0"/>
        <v>27</v>
      </c>
      <c r="J28" s="82" t="str">
        <f t="shared" si="1"/>
        <v>4700927</v>
      </c>
      <c r="K28" s="80" t="s">
        <v>387</v>
      </c>
      <c r="L28" s="83" t="s">
        <v>384</v>
      </c>
      <c r="M28" s="186" t="s">
        <v>385</v>
      </c>
      <c r="N28" s="53" t="s">
        <v>390</v>
      </c>
    </row>
    <row r="29" spans="1:14" ht="42" x14ac:dyDescent="0.15">
      <c r="A29" s="77" t="s">
        <v>194</v>
      </c>
      <c r="B29" s="78">
        <v>47009</v>
      </c>
      <c r="C29" s="79" t="str">
        <f ca="1">VLOOKUP($B29,OFFSET([2]quests!$A$1,0,0,COUNTA([2]quests!$A:$A),MATCH(C$1,[2]quests!$1:$1,0)-MATCH($B$1,[2]quests!$1:$1,0)+1),MATCH(C$1,[2]quests!$1:$1,0)-MATCH($B$1,[2]quests!$1:$1,0)+1,FALSE)</f>
        <v>夏☆襲来！</v>
      </c>
      <c r="D29" s="79" t="str">
        <f ca="1">VLOOKUP($B29,OFFSET([2]quests!$A$1,0,0,COUNTA([2]quests!$A:$A),MATCH(D$1,[2]quests!$1:$1,0)-MATCH($B$1,[2]quests!$1:$1,0)+1),MATCH(D$1,[2]quests!$1:$1,0)-MATCH($B$1,[2]quests!$1:$1,0)+1,FALSE)</f>
        <v>（復刻）季節イベント</v>
      </c>
      <c r="E29" s="80">
        <v>2</v>
      </c>
      <c r="F29" s="79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【ウィザード級】夏☆襲来</v>
      </c>
      <c r="G29" s="79" t="str">
        <f ca="1">VLOOKUP($B29&amp;"_"&amp;$E29,OFFSET([2]stages!$A$1,0,0,COUNTA([2]stages!$A:$A),MATCH(G$1,[2]stages!$2:$2,0)-MATCH("temp_stage",[2]stages!$2:$2,0)+1),MATCH(G$1,[2]stages!$2:$2,0)-MATCH("temp_stage",[2]stages!$2:$2,0)+1,FALSE)</f>
        <v>（復刻）季節イベント</v>
      </c>
      <c r="H29" s="81">
        <v>0</v>
      </c>
      <c r="I29" s="86">
        <f t="shared" si="0"/>
        <v>28</v>
      </c>
      <c r="J29" s="82" t="str">
        <f t="shared" si="1"/>
        <v>4700928</v>
      </c>
      <c r="K29" s="80" t="s">
        <v>418</v>
      </c>
      <c r="L29" s="83" t="s">
        <v>388</v>
      </c>
      <c r="M29" s="186" t="s">
        <v>389</v>
      </c>
      <c r="N29" s="53" t="s">
        <v>419</v>
      </c>
    </row>
    <row r="30" spans="1:14" ht="28" x14ac:dyDescent="0.15">
      <c r="A30" s="77" t="s">
        <v>194</v>
      </c>
      <c r="B30" s="78">
        <v>47009</v>
      </c>
      <c r="C30" s="79" t="str">
        <f ca="1">VLOOKUP($B30,OFFSET([2]quests!$A$1,0,0,COUNTA([2]quests!$A:$A),MATCH(C$1,[2]quests!$1:$1,0)-MATCH($B$1,[2]quests!$1:$1,0)+1),MATCH(C$1,[2]quests!$1:$1,0)-MATCH($B$1,[2]quests!$1:$1,0)+1,FALSE)</f>
        <v>夏☆襲来！</v>
      </c>
      <c r="D30" s="79" t="str">
        <f ca="1">VLOOKUP($B30,OFFSET([2]quests!$A$1,0,0,COUNTA([2]quests!$A:$A),MATCH(D$1,[2]quests!$1:$1,0)-MATCH($B$1,[2]quests!$1:$1,0)+1),MATCH(D$1,[2]quests!$1:$1,0)-MATCH($B$1,[2]quests!$1:$1,0)+1,FALSE)</f>
        <v>（復刻）季節イベント</v>
      </c>
      <c r="E30" s="80">
        <v>2</v>
      </c>
      <c r="F30" s="79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【ウィザード級】夏☆襲来</v>
      </c>
      <c r="G30" s="79" t="str">
        <f ca="1">VLOOKUP($B30&amp;"_"&amp;$E30,OFFSET([2]stages!$A$1,0,0,COUNTA([2]stages!$A:$A),MATCH(G$1,[2]stages!$2:$2,0)-MATCH("temp_stage",[2]stages!$2:$2,0)+1),MATCH(G$1,[2]stages!$2:$2,0)-MATCH("temp_stage",[2]stages!$2:$2,0)+1,FALSE)</f>
        <v>（復刻）季節イベント</v>
      </c>
      <c r="H30" s="81">
        <v>0</v>
      </c>
      <c r="I30" s="86">
        <f t="shared" si="0"/>
        <v>29</v>
      </c>
      <c r="J30" s="82" t="str">
        <f t="shared" si="1"/>
        <v>4700929</v>
      </c>
      <c r="K30" s="80" t="s">
        <v>367</v>
      </c>
      <c r="L30" s="83" t="s">
        <v>420</v>
      </c>
      <c r="M30" s="186" t="s">
        <v>421</v>
      </c>
      <c r="N30" s="53" t="s">
        <v>369</v>
      </c>
    </row>
    <row r="31" spans="1:14" ht="28" x14ac:dyDescent="0.15">
      <c r="A31" s="77" t="s">
        <v>194</v>
      </c>
      <c r="B31" s="78">
        <v>47009</v>
      </c>
      <c r="C31" s="79" t="str">
        <f ca="1">VLOOKUP($B31,OFFSET([2]quests!$A$1,0,0,COUNTA([2]quests!$A:$A),MATCH(C$1,[2]quests!$1:$1,0)-MATCH($B$1,[2]quests!$1:$1,0)+1),MATCH(C$1,[2]quests!$1:$1,0)-MATCH($B$1,[2]quests!$1:$1,0)+1,FALSE)</f>
        <v>夏☆襲来！</v>
      </c>
      <c r="D31" s="79" t="str">
        <f ca="1">VLOOKUP($B31,OFFSET([2]quests!$A$1,0,0,COUNTA([2]quests!$A:$A),MATCH(D$1,[2]quests!$1:$1,0)-MATCH($B$1,[2]quests!$1:$1,0)+1),MATCH(D$1,[2]quests!$1:$1,0)-MATCH($B$1,[2]quests!$1:$1,0)+1,FALSE)</f>
        <v>（復刻）季節イベント</v>
      </c>
      <c r="E31" s="80">
        <v>2</v>
      </c>
      <c r="F31" s="79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【ウィザード級】夏☆襲来</v>
      </c>
      <c r="G31" s="79" t="str">
        <f ca="1">VLOOKUP($B31&amp;"_"&amp;$E31,OFFSET([2]stages!$A$1,0,0,COUNTA([2]stages!$A:$A),MATCH(G$1,[2]stages!$2:$2,0)-MATCH("temp_stage",[2]stages!$2:$2,0)+1),MATCH(G$1,[2]stages!$2:$2,0)-MATCH("temp_stage",[2]stages!$2:$2,0)+1,FALSE)</f>
        <v>（復刻）季節イベント</v>
      </c>
      <c r="H31" s="81">
        <v>0</v>
      </c>
      <c r="I31" s="86">
        <f t="shared" si="0"/>
        <v>30</v>
      </c>
      <c r="J31" s="82" t="str">
        <f>B31&amp;TEXT(I31,"00")</f>
        <v>4700930</v>
      </c>
      <c r="K31" s="80" t="s">
        <v>422</v>
      </c>
      <c r="L31" s="83" t="s">
        <v>396</v>
      </c>
      <c r="M31" s="186" t="s">
        <v>423</v>
      </c>
      <c r="N31" s="53" t="s">
        <v>424</v>
      </c>
    </row>
    <row r="32" spans="1:14" ht="28" x14ac:dyDescent="0.15">
      <c r="A32" s="77" t="s">
        <v>194</v>
      </c>
      <c r="B32" s="78">
        <v>47009</v>
      </c>
      <c r="C32" s="79" t="str">
        <f ca="1">VLOOKUP($B32,OFFSET([2]quests!$A$1,0,0,COUNTA([2]quests!$A:$A),MATCH(C$1,[2]quests!$1:$1,0)-MATCH($B$1,[2]quests!$1:$1,0)+1),MATCH(C$1,[2]quests!$1:$1,0)-MATCH($B$1,[2]quests!$1:$1,0)+1,FALSE)</f>
        <v>夏☆襲来！</v>
      </c>
      <c r="D32" s="79" t="str">
        <f ca="1">VLOOKUP($B32,OFFSET([2]quests!$A$1,0,0,COUNTA([2]quests!$A:$A),MATCH(D$1,[2]quests!$1:$1,0)-MATCH($B$1,[2]quests!$1:$1,0)+1),MATCH(D$1,[2]quests!$1:$1,0)-MATCH($B$1,[2]quests!$1:$1,0)+1,FALSE)</f>
        <v>（復刻）季節イベント</v>
      </c>
      <c r="E32" s="80">
        <v>2</v>
      </c>
      <c r="F32" s="79" t="str">
        <f ca="1">VLOOKUP($B32&amp;"_"&amp;$E32,OFFSET([2]stages!$A$1,0,0,COUNTA([2]stages!$A:$A),MATCH(F$1,[2]stages!$2:$2,0)-MATCH("temp_stage",[2]stages!$2:$2,0)+1),MATCH(F$1,[2]stages!$2:$2,0)-MATCH("temp_stage",[2]stages!$2:$2,0)+1,FALSE)</f>
        <v>【ウィザード級】夏☆襲来</v>
      </c>
      <c r="G32" s="79" t="str">
        <f ca="1">VLOOKUP($B32&amp;"_"&amp;$E32,OFFSET([2]stages!$A$1,0,0,COUNTA([2]stages!$A:$A),MATCH(G$1,[2]stages!$2:$2,0)-MATCH("temp_stage",[2]stages!$2:$2,0)+1),MATCH(G$1,[2]stages!$2:$2,0)-MATCH("temp_stage",[2]stages!$2:$2,0)+1,FALSE)</f>
        <v>（復刻）季節イベント</v>
      </c>
      <c r="H32" s="81">
        <v>0</v>
      </c>
      <c r="I32" s="86">
        <f t="shared" si="0"/>
        <v>31</v>
      </c>
      <c r="J32" s="82" t="str">
        <f>B32&amp;TEXT(I32,"00")</f>
        <v>4700931</v>
      </c>
      <c r="K32" s="80" t="s">
        <v>425</v>
      </c>
      <c r="L32" s="83" t="s">
        <v>399</v>
      </c>
      <c r="M32" s="186" t="s">
        <v>426</v>
      </c>
      <c r="N32" s="53" t="s">
        <v>427</v>
      </c>
    </row>
    <row r="33" spans="1:14" ht="28" x14ac:dyDescent="0.15">
      <c r="A33" s="77" t="s">
        <v>194</v>
      </c>
      <c r="B33" s="78">
        <v>47009</v>
      </c>
      <c r="C33" s="79" t="str">
        <f ca="1">VLOOKUP($B33,OFFSET([2]quests!$A$1,0,0,COUNTA([2]quests!$A:$A),MATCH(C$1,[2]quests!$1:$1,0)-MATCH($B$1,[2]quests!$1:$1,0)+1),MATCH(C$1,[2]quests!$1:$1,0)-MATCH($B$1,[2]quests!$1:$1,0)+1,FALSE)</f>
        <v>夏☆襲来！</v>
      </c>
      <c r="D33" s="79" t="str">
        <f ca="1">VLOOKUP($B33,OFFSET([2]quests!$A$1,0,0,COUNTA([2]quests!$A:$A),MATCH(D$1,[2]quests!$1:$1,0)-MATCH($B$1,[2]quests!$1:$1,0)+1),MATCH(D$1,[2]quests!$1:$1,0)-MATCH($B$1,[2]quests!$1:$1,0)+1,FALSE)</f>
        <v>（復刻）季節イベント</v>
      </c>
      <c r="E33" s="80">
        <v>2</v>
      </c>
      <c r="F33" s="79" t="str">
        <f ca="1">VLOOKUP($B33&amp;"_"&amp;$E33,OFFSET([2]stages!$A$1,0,0,COUNTA([2]stages!$A:$A),MATCH(F$1,[2]stages!$2:$2,0)-MATCH("temp_stage",[2]stages!$2:$2,0)+1),MATCH(F$1,[2]stages!$2:$2,0)-MATCH("temp_stage",[2]stages!$2:$2,0)+1,FALSE)</f>
        <v>【ウィザード級】夏☆襲来</v>
      </c>
      <c r="G33" s="79" t="str">
        <f ca="1">VLOOKUP($B33&amp;"_"&amp;$E33,OFFSET([2]stages!$A$1,0,0,COUNTA([2]stages!$A:$A),MATCH(G$1,[2]stages!$2:$2,0)-MATCH("temp_stage",[2]stages!$2:$2,0)+1),MATCH(G$1,[2]stages!$2:$2,0)-MATCH("temp_stage",[2]stages!$2:$2,0)+1,FALSE)</f>
        <v>（復刻）季節イベント</v>
      </c>
      <c r="H33" s="81">
        <v>0</v>
      </c>
      <c r="I33" s="86">
        <f t="shared" si="0"/>
        <v>32</v>
      </c>
      <c r="J33" s="82" t="str">
        <f t="shared" ref="J33:J34" si="4">B33&amp;TEXT(I33,"00")</f>
        <v>4700932</v>
      </c>
      <c r="K33" s="80" t="s">
        <v>428</v>
      </c>
      <c r="L33" s="83" t="s">
        <v>401</v>
      </c>
      <c r="M33" s="186" t="s">
        <v>429</v>
      </c>
      <c r="N33" s="53" t="s">
        <v>430</v>
      </c>
    </row>
    <row r="34" spans="1:14" ht="42" x14ac:dyDescent="0.15">
      <c r="A34" s="77" t="s">
        <v>194</v>
      </c>
      <c r="B34" s="78">
        <v>47009</v>
      </c>
      <c r="C34" s="79" t="str">
        <f ca="1">VLOOKUP($B34,OFFSET([2]quests!$A$1,0,0,COUNTA([2]quests!$A:$A),MATCH(C$1,[2]quests!$1:$1,0)-MATCH($B$1,[2]quests!$1:$1,0)+1),MATCH(C$1,[2]quests!$1:$1,0)-MATCH($B$1,[2]quests!$1:$1,0)+1,FALSE)</f>
        <v>夏☆襲来！</v>
      </c>
      <c r="D34" s="79" t="str">
        <f ca="1">VLOOKUP($B34,OFFSET([2]quests!$A$1,0,0,COUNTA([2]quests!$A:$A),MATCH(D$1,[2]quests!$1:$1,0)-MATCH($B$1,[2]quests!$1:$1,0)+1),MATCH(D$1,[2]quests!$1:$1,0)-MATCH($B$1,[2]quests!$1:$1,0)+1,FALSE)</f>
        <v>（復刻）季節イベント</v>
      </c>
      <c r="E34" s="80">
        <v>2</v>
      </c>
      <c r="F34" s="79" t="str">
        <f ca="1">VLOOKUP($B34&amp;"_"&amp;$E34,OFFSET([2]stages!$A$1,0,0,COUNTA([2]stages!$A:$A),MATCH(F$1,[2]stages!$2:$2,0)-MATCH("temp_stage",[2]stages!$2:$2,0)+1),MATCH(F$1,[2]stages!$2:$2,0)-MATCH("temp_stage",[2]stages!$2:$2,0)+1,FALSE)</f>
        <v>【ウィザード級】夏☆襲来</v>
      </c>
      <c r="G34" s="79" t="str">
        <f ca="1">VLOOKUP($B34&amp;"_"&amp;$E34,OFFSET([2]stages!$A$1,0,0,COUNTA([2]stages!$A:$A),MATCH(G$1,[2]stages!$2:$2,0)-MATCH("temp_stage",[2]stages!$2:$2,0)+1),MATCH(G$1,[2]stages!$2:$2,0)-MATCH("temp_stage",[2]stages!$2:$2,0)+1,FALSE)</f>
        <v>（復刻）季節イベント</v>
      </c>
      <c r="H34" s="81">
        <v>0</v>
      </c>
      <c r="I34" s="86">
        <f t="shared" si="0"/>
        <v>33</v>
      </c>
      <c r="J34" s="82" t="str">
        <f t="shared" si="4"/>
        <v>4700933</v>
      </c>
      <c r="K34" s="80" t="s">
        <v>256</v>
      </c>
      <c r="L34" s="83" t="s">
        <v>431</v>
      </c>
      <c r="M34" s="186" t="s">
        <v>432</v>
      </c>
      <c r="N34" s="53" t="s">
        <v>374</v>
      </c>
    </row>
    <row r="35" spans="1:14" ht="28" x14ac:dyDescent="0.15">
      <c r="A35" s="77" t="s">
        <v>194</v>
      </c>
      <c r="B35" s="78">
        <v>47009</v>
      </c>
      <c r="C35" s="79" t="str">
        <f ca="1">VLOOKUP($B35,OFFSET([2]quests!$A$1,0,0,COUNTA([2]quests!$A:$A),MATCH(C$1,[2]quests!$1:$1,0)-MATCH($B$1,[2]quests!$1:$1,0)+1),MATCH(C$1,[2]quests!$1:$1,0)-MATCH($B$1,[2]quests!$1:$1,0)+1,FALSE)</f>
        <v>夏☆襲来！</v>
      </c>
      <c r="D35" s="79" t="str">
        <f ca="1">VLOOKUP($B35,OFFSET([2]quests!$A$1,0,0,COUNTA([2]quests!$A:$A),MATCH(D$1,[2]quests!$1:$1,0)-MATCH($B$1,[2]quests!$1:$1,0)+1),MATCH(D$1,[2]quests!$1:$1,0)-MATCH($B$1,[2]quests!$1:$1,0)+1,FALSE)</f>
        <v>（復刻）季節イベント</v>
      </c>
      <c r="E35" s="80">
        <v>2</v>
      </c>
      <c r="F35" s="79" t="str">
        <f ca="1">VLOOKUP($B35&amp;"_"&amp;$E35,OFFSET([2]stages!$A$1,0,0,COUNTA([2]stages!$A:$A),MATCH(F$1,[2]stages!$2:$2,0)-MATCH("temp_stage",[2]stages!$2:$2,0)+1),MATCH(F$1,[2]stages!$2:$2,0)-MATCH("temp_stage",[2]stages!$2:$2,0)+1,FALSE)</f>
        <v>【ウィザード級】夏☆襲来</v>
      </c>
      <c r="G35" s="79" t="str">
        <f ca="1">VLOOKUP($B35&amp;"_"&amp;$E35,OFFSET([2]stages!$A$1,0,0,COUNTA([2]stages!$A:$A),MATCH(G$1,[2]stages!$2:$2,0)-MATCH("temp_stage",[2]stages!$2:$2,0)+1),MATCH(G$1,[2]stages!$2:$2,0)-MATCH("temp_stage",[2]stages!$2:$2,0)+1,FALSE)</f>
        <v>（復刻）季節イベント</v>
      </c>
      <c r="H35" s="81">
        <v>0</v>
      </c>
      <c r="I35" s="86">
        <f t="shared" si="0"/>
        <v>34</v>
      </c>
      <c r="J35" s="82" t="str">
        <f>B35&amp;TEXT(I35,"00")</f>
        <v>4700934</v>
      </c>
      <c r="K35" s="80" t="s">
        <v>356</v>
      </c>
      <c r="L35" s="83" t="s">
        <v>433</v>
      </c>
      <c r="M35" s="186" t="s">
        <v>434</v>
      </c>
      <c r="N35" s="53" t="s">
        <v>377</v>
      </c>
    </row>
    <row r="36" spans="1:14" ht="42" x14ac:dyDescent="0.15">
      <c r="A36" s="77" t="s">
        <v>194</v>
      </c>
      <c r="B36" s="78">
        <v>47009</v>
      </c>
      <c r="C36" s="79" t="str">
        <f ca="1">VLOOKUP($B36,OFFSET([2]quests!$A$1,0,0,COUNTA([2]quests!$A:$A),MATCH(C$1,[2]quests!$1:$1,0)-MATCH($B$1,[2]quests!$1:$1,0)+1),MATCH(C$1,[2]quests!$1:$1,0)-MATCH($B$1,[2]quests!$1:$1,0)+1,FALSE)</f>
        <v>夏☆襲来！</v>
      </c>
      <c r="D36" s="79" t="str">
        <f ca="1">VLOOKUP($B36,OFFSET([2]quests!$A$1,0,0,COUNTA([2]quests!$A:$A),MATCH(D$1,[2]quests!$1:$1,0)-MATCH($B$1,[2]quests!$1:$1,0)+1),MATCH(D$1,[2]quests!$1:$1,0)-MATCH($B$1,[2]quests!$1:$1,0)+1,FALSE)</f>
        <v>（復刻）季節イベント</v>
      </c>
      <c r="E36" s="80">
        <v>2</v>
      </c>
      <c r="F36" s="79" t="str">
        <f ca="1">VLOOKUP($B36&amp;"_"&amp;$E36,OFFSET([2]stages!$A$1,0,0,COUNTA([2]stages!$A:$A),MATCH(F$1,[2]stages!$2:$2,0)-MATCH("temp_stage",[2]stages!$2:$2,0)+1),MATCH(F$1,[2]stages!$2:$2,0)-MATCH("temp_stage",[2]stages!$2:$2,0)+1,FALSE)</f>
        <v>【ウィザード級】夏☆襲来</v>
      </c>
      <c r="G36" s="79" t="str">
        <f ca="1">VLOOKUP($B36&amp;"_"&amp;$E36,OFFSET([2]stages!$A$1,0,0,COUNTA([2]stages!$A:$A),MATCH(G$1,[2]stages!$2:$2,0)-MATCH("temp_stage",[2]stages!$2:$2,0)+1),MATCH(G$1,[2]stages!$2:$2,0)-MATCH("temp_stage",[2]stages!$2:$2,0)+1,FALSE)</f>
        <v>（復刻）季節イベント</v>
      </c>
      <c r="H36" s="81">
        <v>0</v>
      </c>
      <c r="I36" s="86">
        <f t="shared" si="0"/>
        <v>35</v>
      </c>
      <c r="J36" s="82" t="str">
        <f>B36&amp;TEXT(I36,"00")</f>
        <v>4700935</v>
      </c>
      <c r="K36" s="80" t="s">
        <v>256</v>
      </c>
      <c r="L36" s="83" t="s">
        <v>435</v>
      </c>
      <c r="M36" s="186" t="s">
        <v>436</v>
      </c>
      <c r="N36" s="53" t="s">
        <v>374</v>
      </c>
    </row>
    <row r="37" spans="1:14" ht="42" x14ac:dyDescent="0.15">
      <c r="A37" s="77" t="s">
        <v>194</v>
      </c>
      <c r="B37" s="78">
        <v>47009</v>
      </c>
      <c r="C37" s="79" t="str">
        <f ca="1">VLOOKUP($B37,OFFSET([2]quests!$A$1,0,0,COUNTA([2]quests!$A:$A),MATCH(C$1,[2]quests!$1:$1,0)-MATCH($B$1,[2]quests!$1:$1,0)+1),MATCH(C$1,[2]quests!$1:$1,0)-MATCH($B$1,[2]quests!$1:$1,0)+1,FALSE)</f>
        <v>夏☆襲来！</v>
      </c>
      <c r="D37" s="79" t="str">
        <f ca="1">VLOOKUP($B37,OFFSET([2]quests!$A$1,0,0,COUNTA([2]quests!$A:$A),MATCH(D$1,[2]quests!$1:$1,0)-MATCH($B$1,[2]quests!$1:$1,0)+1),MATCH(D$1,[2]quests!$1:$1,0)-MATCH($B$1,[2]quests!$1:$1,0)+1,FALSE)</f>
        <v>（復刻）季節イベント</v>
      </c>
      <c r="E37" s="80">
        <v>2</v>
      </c>
      <c r="F37" s="79" t="str">
        <f ca="1">VLOOKUP($B37&amp;"_"&amp;$E37,OFFSET([2]stages!$A$1,0,0,COUNTA([2]stages!$A:$A),MATCH(F$1,[2]stages!$2:$2,0)-MATCH("temp_stage",[2]stages!$2:$2,0)+1),MATCH(F$1,[2]stages!$2:$2,0)-MATCH("temp_stage",[2]stages!$2:$2,0)+1,FALSE)</f>
        <v>【ウィザード級】夏☆襲来</v>
      </c>
      <c r="G37" s="79" t="str">
        <f ca="1">VLOOKUP($B37&amp;"_"&amp;$E37,OFFSET([2]stages!$A$1,0,0,COUNTA([2]stages!$A:$A),MATCH(G$1,[2]stages!$2:$2,0)-MATCH("temp_stage",[2]stages!$2:$2,0)+1),MATCH(G$1,[2]stages!$2:$2,0)-MATCH("temp_stage",[2]stages!$2:$2,0)+1,FALSE)</f>
        <v>（復刻）季節イベント</v>
      </c>
      <c r="H37" s="81">
        <v>0</v>
      </c>
      <c r="I37" s="86">
        <f t="shared" si="0"/>
        <v>36</v>
      </c>
      <c r="J37" s="82" t="str">
        <f>B37&amp;TEXT(I37,"00")</f>
        <v>4700936</v>
      </c>
      <c r="K37" s="80" t="s">
        <v>437</v>
      </c>
      <c r="L37" s="83" t="s">
        <v>438</v>
      </c>
      <c r="M37" s="186" t="s">
        <v>439</v>
      </c>
      <c r="N37" s="53" t="s">
        <v>440</v>
      </c>
    </row>
  </sheetData>
  <phoneticPr fontId="6"/>
  <dataValidations count="1">
    <dataValidation type="list" allowBlank="1" showInputMessage="1" showErrorMessage="1" sqref="A2:A3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3"/>
  <sheetViews>
    <sheetView showGridLines="0" workbookViewId="0">
      <pane ySplit="1" topLeftCell="A2" activePane="bottomLeft" state="frozen"/>
      <selection pane="bottomLeft" activeCell="G13" sqref="G1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206</v>
      </c>
      <c r="B1" s="94" t="s">
        <v>207</v>
      </c>
      <c r="C1" s="73" t="s">
        <v>208</v>
      </c>
      <c r="D1" s="73" t="s">
        <v>33</v>
      </c>
      <c r="E1" s="94" t="s">
        <v>209</v>
      </c>
      <c r="F1" s="73" t="s">
        <v>210</v>
      </c>
      <c r="G1" s="73" t="s">
        <v>33</v>
      </c>
      <c r="H1" s="94" t="s">
        <v>211</v>
      </c>
      <c r="I1" s="94" t="s">
        <v>212</v>
      </c>
      <c r="J1" s="94" t="s">
        <v>213</v>
      </c>
      <c r="K1" s="69" t="s">
        <v>214</v>
      </c>
      <c r="L1" s="69" t="s">
        <v>215</v>
      </c>
      <c r="M1" s="69" t="s">
        <v>153</v>
      </c>
      <c r="N1" s="73" t="s">
        <v>16</v>
      </c>
      <c r="O1" s="69" t="s">
        <v>216</v>
      </c>
      <c r="P1" s="69" t="s">
        <v>56</v>
      </c>
      <c r="Q1" s="69" t="s">
        <v>217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218</v>
      </c>
      <c r="X1" s="69" t="s">
        <v>219</v>
      </c>
    </row>
    <row r="2" spans="1:24" x14ac:dyDescent="0.15">
      <c r="A2" s="95" t="str">
        <f>B2&amp;"_"&amp;E2&amp;"_"&amp;H2&amp;"_"&amp;I2&amp;"_"&amp;J2</f>
        <v>47009_1_everyone_clear_1</v>
      </c>
      <c r="B2" s="104">
        <v>47009</v>
      </c>
      <c r="C2" s="79" t="str">
        <f ca="1">VLOOKUP($B2,OFFSET([2]quests!$A$1,0,0,COUNTA([2]quests!$A:$A),MATCH(C$1,[2]quests!$1:$1,0)-MATCH($B$1,[2]quests!$1:$1,0)+1),MATCH(C$1,[2]quests!$1:$1,0)-MATCH($B$1,[2]quests!$1:$1,0)+1,FALSE)</f>
        <v>夏☆襲来！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（復刻）季節イベント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【超絶級】夏☆襲来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（復刻）季節イベント</v>
      </c>
      <c r="H2" s="81" t="s">
        <v>441</v>
      </c>
      <c r="I2" s="80" t="s">
        <v>442</v>
      </c>
      <c r="J2" s="80">
        <v>1</v>
      </c>
      <c r="K2" s="80">
        <v>50</v>
      </c>
      <c r="L2" s="80" t="s">
        <v>443</v>
      </c>
      <c r="M2" s="80">
        <v>700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7" t="s">
        <v>444</v>
      </c>
      <c r="X2" s="98" t="s">
        <v>445</v>
      </c>
    </row>
    <row r="3" spans="1:24" x14ac:dyDescent="0.15">
      <c r="A3" s="95" t="str">
        <f t="shared" ref="A3:A9" si="0">B3&amp;"_"&amp;E3&amp;"_"&amp;H3&amp;"_"&amp;I3&amp;"_"&amp;J3</f>
        <v>47009_1_everyone_clear_2</v>
      </c>
      <c r="B3" s="104">
        <v>47009</v>
      </c>
      <c r="C3" s="79" t="str">
        <f ca="1">VLOOKUP($B3,OFFSET([2]quests!$A$1,0,0,COUNTA([2]quests!$A:$A),MATCH(C$1,[2]quests!$1:$1,0)-MATCH($B$1,[2]quests!$1:$1,0)+1),MATCH(C$1,[2]quests!$1:$1,0)-MATCH($B$1,[2]quests!$1:$1,0)+1,FALSE)</f>
        <v>夏☆襲来！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（復刻）季節イベント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【超絶級】夏☆襲来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（復刻）季節イベント</v>
      </c>
      <c r="H3" s="81" t="s">
        <v>446</v>
      </c>
      <c r="I3" s="80" t="s">
        <v>447</v>
      </c>
      <c r="J3" s="80">
        <v>2</v>
      </c>
      <c r="K3" s="80">
        <v>10</v>
      </c>
      <c r="L3" s="80" t="s">
        <v>448</v>
      </c>
      <c r="M3" s="80">
        <v>121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3" s="80">
        <v>1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7" t="s">
        <v>449</v>
      </c>
      <c r="X3" s="98" t="s">
        <v>450</v>
      </c>
    </row>
    <row r="4" spans="1:24" x14ac:dyDescent="0.15">
      <c r="A4" s="95" t="str">
        <f t="shared" si="0"/>
        <v>47009_1_everyone_clear_3</v>
      </c>
      <c r="B4" s="104">
        <v>47009</v>
      </c>
      <c r="C4" s="79" t="str">
        <f ca="1">VLOOKUP($B4,OFFSET([2]quests!$A$1,0,0,COUNTA([2]quests!$A:$A),MATCH(C$1,[2]quests!$1:$1,0)-MATCH($B$1,[2]quests!$1:$1,0)+1),MATCH(C$1,[2]quests!$1:$1,0)-MATCH($B$1,[2]quests!$1:$1,0)+1,FALSE)</f>
        <v>夏☆襲来！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（復刻）季節イベント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【超絶級】夏☆襲来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（復刻）季節イベント</v>
      </c>
      <c r="H4" s="81" t="s">
        <v>451</v>
      </c>
      <c r="I4" s="80" t="s">
        <v>452</v>
      </c>
      <c r="J4" s="80">
        <v>3</v>
      </c>
      <c r="K4" s="80">
        <v>10</v>
      </c>
      <c r="L4" s="80" t="s">
        <v>453</v>
      </c>
      <c r="M4" s="80">
        <v>122</v>
      </c>
      <c r="N4" s="96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4" s="80">
        <v>1</v>
      </c>
      <c r="P4" s="80">
        <v>1</v>
      </c>
      <c r="Q4" s="80">
        <v>1</v>
      </c>
      <c r="R4" s="80">
        <v>0</v>
      </c>
      <c r="S4" s="80">
        <v>0</v>
      </c>
      <c r="T4" s="80">
        <v>0</v>
      </c>
      <c r="U4" s="80">
        <v>0</v>
      </c>
      <c r="V4" s="80">
        <v>1</v>
      </c>
      <c r="W4" s="97" t="s">
        <v>454</v>
      </c>
      <c r="X4" s="98" t="s">
        <v>455</v>
      </c>
    </row>
    <row r="5" spans="1:24" x14ac:dyDescent="0.15">
      <c r="A5" s="95" t="str">
        <f t="shared" si="0"/>
        <v>47009_1_everyone_clear_4</v>
      </c>
      <c r="B5" s="104">
        <v>47009</v>
      </c>
      <c r="C5" s="79" t="str">
        <f ca="1">VLOOKUP($B5,OFFSET([2]quests!$A$1,0,0,COUNTA([2]quests!$A:$A),MATCH(C$1,[2]quests!$1:$1,0)-MATCH($B$1,[2]quests!$1:$1,0)+1),MATCH(C$1,[2]quests!$1:$1,0)-MATCH($B$1,[2]quests!$1:$1,0)+1,FALSE)</f>
        <v>夏☆襲来！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（復刻）季節イベント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【超絶級】夏☆襲来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（復刻）季節イベント</v>
      </c>
      <c r="H5" s="81" t="s">
        <v>456</v>
      </c>
      <c r="I5" s="80" t="s">
        <v>457</v>
      </c>
      <c r="J5" s="80">
        <v>4</v>
      </c>
      <c r="K5" s="80">
        <v>10</v>
      </c>
      <c r="L5" s="80" t="s">
        <v>458</v>
      </c>
      <c r="M5" s="80">
        <v>123</v>
      </c>
      <c r="N5" s="96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5" s="80">
        <v>1</v>
      </c>
      <c r="P5" s="80">
        <v>1</v>
      </c>
      <c r="Q5" s="80">
        <v>1</v>
      </c>
      <c r="R5" s="80">
        <v>0</v>
      </c>
      <c r="S5" s="80">
        <v>0</v>
      </c>
      <c r="T5" s="80">
        <v>0</v>
      </c>
      <c r="U5" s="80">
        <v>0</v>
      </c>
      <c r="V5" s="80">
        <v>1</v>
      </c>
      <c r="W5" s="97" t="s">
        <v>459</v>
      </c>
      <c r="X5" s="98" t="s">
        <v>460</v>
      </c>
    </row>
    <row r="6" spans="1:24" x14ac:dyDescent="0.15">
      <c r="A6" s="95" t="str">
        <f t="shared" si="0"/>
        <v>47009_1_everyone_clear_5</v>
      </c>
      <c r="B6" s="104">
        <v>47009</v>
      </c>
      <c r="C6" s="79" t="str">
        <f ca="1">VLOOKUP($B6,OFFSET([2]quests!$A$1,0,0,COUNTA([2]quests!$A:$A),MATCH(C$1,[2]quests!$1:$1,0)-MATCH($B$1,[2]quests!$1:$1,0)+1),MATCH(C$1,[2]quests!$1:$1,0)-MATCH($B$1,[2]quests!$1:$1,0)+1,FALSE)</f>
        <v>夏☆襲来！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（復刻）季節イベント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【超絶級】夏☆襲来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（復刻）季節イベント</v>
      </c>
      <c r="H6" s="81" t="s">
        <v>461</v>
      </c>
      <c r="I6" s="80" t="s">
        <v>462</v>
      </c>
      <c r="J6" s="80">
        <v>5</v>
      </c>
      <c r="K6" s="80">
        <v>5</v>
      </c>
      <c r="L6" s="80" t="s">
        <v>463</v>
      </c>
      <c r="M6" s="80">
        <v>334</v>
      </c>
      <c r="N6" s="96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6" s="80">
        <v>1</v>
      </c>
      <c r="P6" s="80">
        <v>1</v>
      </c>
      <c r="Q6" s="80">
        <v>1</v>
      </c>
      <c r="R6" s="80">
        <v>0</v>
      </c>
      <c r="S6" s="80">
        <v>0</v>
      </c>
      <c r="T6" s="80">
        <v>0</v>
      </c>
      <c r="U6" s="80">
        <v>0</v>
      </c>
      <c r="V6" s="80">
        <v>1</v>
      </c>
      <c r="W6" s="97" t="s">
        <v>464</v>
      </c>
      <c r="X6" s="98" t="s">
        <v>465</v>
      </c>
    </row>
    <row r="7" spans="1:24" x14ac:dyDescent="0.15">
      <c r="A7" s="95" t="str">
        <f t="shared" si="0"/>
        <v>47009_1_everyone_clear_6</v>
      </c>
      <c r="B7" s="104">
        <v>47009</v>
      </c>
      <c r="C7" s="79" t="str">
        <f ca="1">VLOOKUP($B7,OFFSET([2]quests!$A$1,0,0,COUNTA([2]quests!$A:$A),MATCH(C$1,[2]quests!$1:$1,0)-MATCH($B$1,[2]quests!$1:$1,0)+1),MATCH(C$1,[2]quests!$1:$1,0)-MATCH($B$1,[2]quests!$1:$1,0)+1,FALSE)</f>
        <v>夏☆襲来！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（復刻）季節イベント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【超絶級】夏☆襲来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（復刻）季節イベント</v>
      </c>
      <c r="H7" s="81" t="s">
        <v>466</v>
      </c>
      <c r="I7" s="80" t="s">
        <v>467</v>
      </c>
      <c r="J7" s="80">
        <v>6</v>
      </c>
      <c r="K7" s="80">
        <v>5</v>
      </c>
      <c r="L7" s="80" t="s">
        <v>468</v>
      </c>
      <c r="M7" s="80">
        <v>338</v>
      </c>
      <c r="N7" s="96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7" s="80">
        <v>1</v>
      </c>
      <c r="P7" s="80">
        <v>1</v>
      </c>
      <c r="Q7" s="80">
        <v>1</v>
      </c>
      <c r="R7" s="80">
        <v>0</v>
      </c>
      <c r="S7" s="80">
        <v>0</v>
      </c>
      <c r="T7" s="80">
        <v>0</v>
      </c>
      <c r="U7" s="80">
        <v>0</v>
      </c>
      <c r="V7" s="80">
        <v>1</v>
      </c>
      <c r="W7" s="97" t="s">
        <v>469</v>
      </c>
      <c r="X7" s="98" t="s">
        <v>470</v>
      </c>
    </row>
    <row r="8" spans="1:24" x14ac:dyDescent="0.15">
      <c r="A8" s="95" t="str">
        <f t="shared" si="0"/>
        <v>47009_1_everyone_clear_7</v>
      </c>
      <c r="B8" s="104">
        <v>47009</v>
      </c>
      <c r="C8" s="79" t="str">
        <f ca="1">VLOOKUP($B8,OFFSET([2]quests!$A$1,0,0,COUNTA([2]quests!$A:$A),MATCH(C$1,[2]quests!$1:$1,0)-MATCH($B$1,[2]quests!$1:$1,0)+1),MATCH(C$1,[2]quests!$1:$1,0)-MATCH($B$1,[2]quests!$1:$1,0)+1,FALSE)</f>
        <v>夏☆襲来！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（復刻）季節イベント</v>
      </c>
      <c r="E8" s="80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【超絶級】夏☆襲来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（復刻）季節イベント</v>
      </c>
      <c r="H8" s="81" t="s">
        <v>461</v>
      </c>
      <c r="I8" s="80" t="s">
        <v>462</v>
      </c>
      <c r="J8" s="80">
        <v>7</v>
      </c>
      <c r="K8" s="80">
        <v>5</v>
      </c>
      <c r="L8" s="80" t="s">
        <v>463</v>
      </c>
      <c r="M8" s="80">
        <v>342</v>
      </c>
      <c r="N8" s="96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水のメタルダック</v>
      </c>
      <c r="O8" s="80">
        <v>1</v>
      </c>
      <c r="P8" s="80">
        <v>1</v>
      </c>
      <c r="Q8" s="80">
        <v>1</v>
      </c>
      <c r="R8" s="80">
        <v>0</v>
      </c>
      <c r="S8" s="80">
        <v>0</v>
      </c>
      <c r="T8" s="80">
        <v>0</v>
      </c>
      <c r="U8" s="80">
        <v>0</v>
      </c>
      <c r="V8" s="80">
        <v>1</v>
      </c>
      <c r="W8" s="97" t="s">
        <v>464</v>
      </c>
      <c r="X8" s="98" t="s">
        <v>465</v>
      </c>
    </row>
    <row r="9" spans="1:24" x14ac:dyDescent="0.15">
      <c r="A9" s="95" t="str">
        <f t="shared" si="0"/>
        <v>47009_1_everyone_clear_8</v>
      </c>
      <c r="B9" s="104">
        <v>47009</v>
      </c>
      <c r="C9" s="79" t="str">
        <f ca="1">VLOOKUP($B9,OFFSET([2]quests!$A$1,0,0,COUNTA([2]quests!$A:$A),MATCH(C$1,[2]quests!$1:$1,0)-MATCH($B$1,[2]quests!$1:$1,0)+1),MATCH(C$1,[2]quests!$1:$1,0)-MATCH($B$1,[2]quests!$1:$1,0)+1,FALSE)</f>
        <v>夏☆襲来！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（復刻）季節イベント</v>
      </c>
      <c r="E9" s="80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【超絶級】夏☆襲来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（復刻）季節イベント</v>
      </c>
      <c r="H9" s="81" t="s">
        <v>471</v>
      </c>
      <c r="I9" s="80" t="s">
        <v>472</v>
      </c>
      <c r="J9" s="80">
        <v>8</v>
      </c>
      <c r="K9" s="80">
        <v>5</v>
      </c>
      <c r="L9" s="80" t="s">
        <v>473</v>
      </c>
      <c r="M9" s="80">
        <v>346</v>
      </c>
      <c r="N9" s="96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>雷のメタルダック</v>
      </c>
      <c r="O9" s="80">
        <v>1</v>
      </c>
      <c r="P9" s="80">
        <v>1</v>
      </c>
      <c r="Q9" s="80">
        <v>1</v>
      </c>
      <c r="R9" s="80">
        <v>0</v>
      </c>
      <c r="S9" s="80">
        <v>0</v>
      </c>
      <c r="T9" s="80">
        <v>0</v>
      </c>
      <c r="U9" s="80">
        <v>0</v>
      </c>
      <c r="V9" s="80">
        <v>1</v>
      </c>
      <c r="W9" s="97" t="s">
        <v>474</v>
      </c>
      <c r="X9" s="98" t="s">
        <v>475</v>
      </c>
    </row>
    <row r="10" spans="1:24" x14ac:dyDescent="0.15">
      <c r="A10" s="95" t="str">
        <f>B10&amp;"_"&amp;E10&amp;"_"&amp;H10&amp;"_"&amp;I10&amp;"_"&amp;J10</f>
        <v>47009_2_everyone_clear_1</v>
      </c>
      <c r="B10" s="104">
        <v>47009</v>
      </c>
      <c r="C10" s="79" t="str">
        <f ca="1">VLOOKUP($B10,OFFSET([2]quests!$A$1,0,0,COUNTA([2]quests!$A:$A),MATCH(C$1,[2]quests!$1:$1,0)-MATCH($B$1,[2]quests!$1:$1,0)+1),MATCH(C$1,[2]quests!$1:$1,0)-MATCH($B$1,[2]quests!$1:$1,0)+1,FALSE)</f>
        <v>夏☆襲来！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（復刻）季節イベント</v>
      </c>
      <c r="E10" s="80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【ウィザード級】夏☆襲来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（復刻）季節イベント</v>
      </c>
      <c r="H10" s="81" t="s">
        <v>476</v>
      </c>
      <c r="I10" s="80" t="s">
        <v>477</v>
      </c>
      <c r="J10" s="80">
        <v>1</v>
      </c>
      <c r="K10" s="80">
        <v>100</v>
      </c>
      <c r="L10" s="80" t="s">
        <v>478</v>
      </c>
      <c r="M10" s="80">
        <v>700</v>
      </c>
      <c r="N10" s="96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/>
      </c>
      <c r="O10" s="80">
        <v>1</v>
      </c>
      <c r="P10" s="80">
        <v>1</v>
      </c>
      <c r="Q10" s="80">
        <v>1</v>
      </c>
      <c r="R10" s="80">
        <v>0</v>
      </c>
      <c r="S10" s="80">
        <v>0</v>
      </c>
      <c r="T10" s="80">
        <v>0</v>
      </c>
      <c r="U10" s="80">
        <v>0</v>
      </c>
      <c r="V10" s="80">
        <v>1</v>
      </c>
      <c r="W10" s="97" t="s">
        <v>479</v>
      </c>
      <c r="X10" s="98" t="s">
        <v>480</v>
      </c>
    </row>
    <row r="11" spans="1:24" x14ac:dyDescent="0.15">
      <c r="A11" s="95" t="str">
        <f t="shared" ref="A11:A12" si="1">B11&amp;"_"&amp;E11&amp;"_"&amp;H11&amp;"_"&amp;I11&amp;"_"&amp;J11</f>
        <v>47009_2_everyone_no_continue_2</v>
      </c>
      <c r="B11" s="104">
        <v>47009</v>
      </c>
      <c r="C11" s="79" t="str">
        <f ca="1">VLOOKUP($B11,OFFSET([2]quests!$A$1,0,0,COUNTA([2]quests!$A:$A),MATCH(C$1,[2]quests!$1:$1,0)-MATCH($B$1,[2]quests!$1:$1,0)+1),MATCH(C$1,[2]quests!$1:$1,0)-MATCH($B$1,[2]quests!$1:$1,0)+1,FALSE)</f>
        <v>夏☆襲来！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（復刻）季節イベント</v>
      </c>
      <c r="E11" s="80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【ウィザード級】夏☆襲来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（復刻）季節イベント</v>
      </c>
      <c r="H11" s="81" t="s">
        <v>481</v>
      </c>
      <c r="I11" s="80" t="s">
        <v>482</v>
      </c>
      <c r="J11" s="80">
        <v>2</v>
      </c>
      <c r="K11" s="80">
        <v>50</v>
      </c>
      <c r="L11" s="80" t="s">
        <v>483</v>
      </c>
      <c r="M11" s="80">
        <v>700</v>
      </c>
      <c r="N11" s="96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/>
      </c>
      <c r="O11" s="80">
        <v>1</v>
      </c>
      <c r="P11" s="80">
        <v>1</v>
      </c>
      <c r="Q11" s="80">
        <v>1</v>
      </c>
      <c r="R11" s="80">
        <v>0</v>
      </c>
      <c r="S11" s="80">
        <v>0</v>
      </c>
      <c r="T11" s="80">
        <v>0</v>
      </c>
      <c r="U11" s="80">
        <v>0</v>
      </c>
      <c r="V11" s="80">
        <v>1</v>
      </c>
      <c r="W11" s="97" t="s">
        <v>449</v>
      </c>
      <c r="X11" s="98" t="s">
        <v>450</v>
      </c>
    </row>
    <row r="12" spans="1:24" x14ac:dyDescent="0.15">
      <c r="A12" s="95" t="str">
        <f t="shared" si="1"/>
        <v>47009_2_everyone_no_continue_3</v>
      </c>
      <c r="B12" s="104">
        <v>47009</v>
      </c>
      <c r="C12" s="79" t="str">
        <f ca="1">VLOOKUP($B12,OFFSET([2]quests!$A$1,0,0,COUNTA([2]quests!$A:$A),MATCH(C$1,[2]quests!$1:$1,0)-MATCH($B$1,[2]quests!$1:$1,0)+1),MATCH(C$1,[2]quests!$1:$1,0)-MATCH($B$1,[2]quests!$1:$1,0)+1,FALSE)</f>
        <v>夏☆襲来！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（復刻）季節イベント</v>
      </c>
      <c r="E12" s="80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【ウィザード級】夏☆襲来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（復刻）季節イベント</v>
      </c>
      <c r="H12" s="81" t="s">
        <v>484</v>
      </c>
      <c r="I12" s="80" t="s">
        <v>485</v>
      </c>
      <c r="J12" s="80">
        <v>3</v>
      </c>
      <c r="K12" s="80">
        <v>50</v>
      </c>
      <c r="L12" s="80" t="s">
        <v>486</v>
      </c>
      <c r="M12" s="80">
        <v>700</v>
      </c>
      <c r="N12" s="96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/>
      </c>
      <c r="O12" s="80">
        <v>2</v>
      </c>
      <c r="P12" s="80">
        <v>1</v>
      </c>
      <c r="Q12" s="80">
        <v>1</v>
      </c>
      <c r="R12" s="80">
        <v>0</v>
      </c>
      <c r="S12" s="80">
        <v>0</v>
      </c>
      <c r="T12" s="80">
        <v>0</v>
      </c>
      <c r="U12" s="80">
        <v>0</v>
      </c>
      <c r="V12" s="80">
        <v>1</v>
      </c>
      <c r="W12" s="97" t="s">
        <v>487</v>
      </c>
      <c r="X12" s="98" t="s">
        <v>488</v>
      </c>
    </row>
    <row r="13" spans="1:24" x14ac:dyDescent="0.15">
      <c r="A13" s="95" t="str">
        <f t="shared" ref="A13" si="2">B13&amp;"_"&amp;E13&amp;"_"&amp;H13&amp;"_"&amp;I13&amp;"_"&amp;J13</f>
        <v>47009_2_everyone_full_member_4</v>
      </c>
      <c r="B13" s="104">
        <v>47009</v>
      </c>
      <c r="C13" s="79" t="str">
        <f ca="1">VLOOKUP($B13,OFFSET([2]quests!$A$1,0,0,COUNTA([2]quests!$A:$A),MATCH(C$1,[2]quests!$1:$1,0)-MATCH($B$1,[2]quests!$1:$1,0)+1),MATCH(C$1,[2]quests!$1:$1,0)-MATCH($B$1,[2]quests!$1:$1,0)+1,FALSE)</f>
        <v>夏☆襲来！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（復刻）季節イベント</v>
      </c>
      <c r="E13" s="80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【ウィザード級】夏☆襲来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（復刻）季節イベント</v>
      </c>
      <c r="H13" s="81" t="s">
        <v>484</v>
      </c>
      <c r="I13" s="80" t="s">
        <v>594</v>
      </c>
      <c r="J13" s="80">
        <v>4</v>
      </c>
      <c r="K13" s="80">
        <v>100</v>
      </c>
      <c r="L13" s="80" t="s">
        <v>448</v>
      </c>
      <c r="M13" s="80">
        <v>1053</v>
      </c>
      <c r="N13" s="96" t="str">
        <f ca="1">IF(L13="unit",VLOOKUP($M13,OFFSET([4]characters!$A$1,0,0,COUNTA([4]characters!$A:$A),MATCH(N$1,[4]characters!$1:$1,0)-MATCH("character_id",[4]characters!$1:$1,0)+1),MATCH(N$1,[4]characters!$1:$1,0)-MATCH("character_id",[4]characters!$1:$1,0)+1,FALSE),"")</f>
        <v>常夏の眩獣 麒麟</v>
      </c>
      <c r="O13" s="80">
        <v>1</v>
      </c>
      <c r="P13" s="80">
        <v>1</v>
      </c>
      <c r="Q13" s="80">
        <v>1</v>
      </c>
      <c r="R13" s="80">
        <v>0</v>
      </c>
      <c r="S13" s="80">
        <v>0</v>
      </c>
      <c r="T13" s="80">
        <v>0</v>
      </c>
      <c r="U13" s="80">
        <v>0</v>
      </c>
      <c r="V13" s="80">
        <v>1</v>
      </c>
      <c r="W13" s="97" t="s">
        <v>487</v>
      </c>
      <c r="X13" s="98" t="s">
        <v>488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2017-02-17T08:27:36Z</dcterms:modified>
</cp:coreProperties>
</file>