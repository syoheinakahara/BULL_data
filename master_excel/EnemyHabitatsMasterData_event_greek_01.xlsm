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340" yWindow="1100" windowWidth="35960" windowHeight="1844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9" l="1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19" i="21"/>
  <c r="I19" i="21"/>
  <c r="J19" i="21"/>
  <c r="G19" i="21"/>
  <c r="F19" i="21"/>
  <c r="D19" i="21"/>
  <c r="C19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3" i="21"/>
  <c r="I13" i="21"/>
  <c r="J13" i="21"/>
  <c r="G13" i="21"/>
  <c r="F13" i="21"/>
  <c r="D13" i="21"/>
  <c r="C13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14" i="21"/>
  <c r="C14" i="21"/>
  <c r="D14" i="21"/>
  <c r="F14" i="21"/>
  <c r="G14" i="21"/>
  <c r="I14" i="21"/>
  <c r="J14" i="21"/>
  <c r="B7" i="21"/>
  <c r="I7" i="21"/>
  <c r="J7" i="21"/>
  <c r="G7" i="21"/>
  <c r="F7" i="21"/>
  <c r="D7" i="21"/>
  <c r="C7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AB8" i="1"/>
  <c r="AD8" i="1"/>
  <c r="AG8" i="1"/>
  <c r="AE8" i="1"/>
  <c r="AC8" i="1"/>
  <c r="E4" i="9"/>
  <c r="V8" i="1"/>
  <c r="Q8" i="1"/>
  <c r="P8" i="1"/>
  <c r="O8" i="1"/>
  <c r="N8" i="1"/>
  <c r="M8" i="1"/>
  <c r="H8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8" i="1"/>
  <c r="I8" i="1"/>
  <c r="AD7" i="1"/>
  <c r="AG7" i="1"/>
  <c r="AE7" i="1"/>
  <c r="AC7" i="1"/>
  <c r="E3" i="9"/>
  <c r="V7" i="1"/>
  <c r="Q7" i="1"/>
  <c r="P7" i="1"/>
  <c r="O7" i="1"/>
  <c r="N7" i="1"/>
  <c r="M7" i="1"/>
  <c r="H7" i="1"/>
  <c r="J7" i="1"/>
  <c r="I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AB5" i="1"/>
  <c r="AD5" i="1"/>
  <c r="AG5" i="1"/>
  <c r="AE5" i="1"/>
  <c r="AC5" i="1"/>
  <c r="AA5" i="1"/>
  <c r="V5" i="1"/>
  <c r="Q5" i="1"/>
  <c r="P5" i="1"/>
  <c r="O5" i="1"/>
  <c r="N5" i="1"/>
  <c r="M5" i="1"/>
  <c r="H5" i="1"/>
  <c r="J5" i="1"/>
  <c r="I5" i="1"/>
  <c r="AB4" i="1"/>
  <c r="AD4" i="1"/>
  <c r="AG4" i="1"/>
  <c r="AE4" i="1"/>
  <c r="AC4" i="1"/>
  <c r="E2" i="9"/>
  <c r="V4" i="1"/>
  <c r="Q4" i="1"/>
  <c r="P4" i="1"/>
  <c r="O4" i="1"/>
  <c r="N4" i="1"/>
  <c r="M4" i="1"/>
  <c r="H4" i="1"/>
  <c r="J4" i="1"/>
  <c r="I4" i="1"/>
  <c r="AB3" i="1"/>
  <c r="AD3" i="1"/>
  <c r="AG3" i="1"/>
  <c r="AE3" i="1"/>
  <c r="AC3" i="1"/>
  <c r="V3" i="1"/>
  <c r="Q3" i="1"/>
  <c r="P3" i="1"/>
  <c r="O3" i="1"/>
  <c r="N3" i="1"/>
  <c r="M3" i="1"/>
  <c r="H3" i="1"/>
  <c r="J3" i="1"/>
  <c r="I3" i="1"/>
  <c r="AB2" i="1"/>
  <c r="AD2" i="1"/>
  <c r="AG2" i="1"/>
  <c r="AE2" i="1"/>
  <c r="AC2" i="1"/>
  <c r="AA2" i="1"/>
  <c r="V2" i="1"/>
  <c r="Q2" i="1"/>
  <c r="P2" i="1"/>
  <c r="O2" i="1"/>
  <c r="N2" i="1"/>
  <c r="M2" i="1"/>
  <c r="H2" i="1"/>
  <c r="J2" i="1"/>
  <c r="I2" i="1"/>
  <c r="AB15" i="1"/>
  <c r="AD15" i="1"/>
  <c r="AG15" i="1"/>
  <c r="AE15" i="1"/>
  <c r="AC15" i="1"/>
  <c r="V15" i="1"/>
  <c r="Q15" i="1"/>
  <c r="P15" i="1"/>
  <c r="O15" i="1"/>
  <c r="N15" i="1"/>
  <c r="M15" i="1"/>
  <c r="H15" i="1"/>
  <c r="J15" i="1"/>
  <c r="I15" i="1"/>
  <c r="AD14" i="1"/>
  <c r="AG14" i="1"/>
  <c r="AE14" i="1"/>
  <c r="AC14" i="1"/>
  <c r="V14" i="1"/>
  <c r="Q14" i="1"/>
  <c r="P14" i="1"/>
  <c r="O14" i="1"/>
  <c r="N14" i="1"/>
  <c r="M14" i="1"/>
  <c r="H14" i="1"/>
  <c r="J14" i="1"/>
  <c r="I14" i="1"/>
  <c r="AB13" i="1"/>
  <c r="AD13" i="1"/>
  <c r="AG13" i="1"/>
  <c r="AE13" i="1"/>
  <c r="AC13" i="1"/>
  <c r="V13" i="1"/>
  <c r="Q13" i="1"/>
  <c r="P13" i="1"/>
  <c r="O13" i="1"/>
  <c r="N13" i="1"/>
  <c r="M13" i="1"/>
  <c r="H13" i="1"/>
  <c r="J13" i="1"/>
  <c r="I13" i="1"/>
  <c r="AB12" i="1"/>
  <c r="AD12" i="1"/>
  <c r="AG12" i="1"/>
  <c r="AE12" i="1"/>
  <c r="AC12" i="1"/>
  <c r="AA12" i="1"/>
  <c r="V12" i="1"/>
  <c r="Q12" i="1"/>
  <c r="P12" i="1"/>
  <c r="O12" i="1"/>
  <c r="N12" i="1"/>
  <c r="M12" i="1"/>
  <c r="H12" i="1"/>
  <c r="J12" i="1"/>
  <c r="I12" i="1"/>
  <c r="AB11" i="1"/>
  <c r="AD11" i="1"/>
  <c r="AG11" i="1"/>
  <c r="AE11" i="1"/>
  <c r="AC11" i="1"/>
  <c r="V11" i="1"/>
  <c r="Q11" i="1"/>
  <c r="P11" i="1"/>
  <c r="O11" i="1"/>
  <c r="N11" i="1"/>
  <c r="M11" i="1"/>
  <c r="H11" i="1"/>
  <c r="J11" i="1"/>
  <c r="I11" i="1"/>
  <c r="AB10" i="1"/>
  <c r="AD10" i="1"/>
  <c r="AG10" i="1"/>
  <c r="AE10" i="1"/>
  <c r="AC10" i="1"/>
  <c r="V10" i="1"/>
  <c r="Q10" i="1"/>
  <c r="P10" i="1"/>
  <c r="O10" i="1"/>
  <c r="N10" i="1"/>
  <c r="M10" i="1"/>
  <c r="H10" i="1"/>
  <c r="J10" i="1"/>
  <c r="I10" i="1"/>
  <c r="AB9" i="1"/>
  <c r="AD9" i="1"/>
  <c r="AG9" i="1"/>
  <c r="AE9" i="1"/>
  <c r="AC9" i="1"/>
  <c r="AA9" i="1"/>
  <c r="V9" i="1"/>
  <c r="Q9" i="1"/>
  <c r="P9" i="1"/>
  <c r="O9" i="1"/>
  <c r="N9" i="1"/>
  <c r="M9" i="1"/>
  <c r="H9" i="1"/>
  <c r="J9" i="1"/>
  <c r="I9" i="1"/>
  <c r="E7" i="9"/>
  <c r="W4" i="7"/>
  <c r="R4" i="7"/>
  <c r="Q4" i="7"/>
  <c r="P4" i="7"/>
  <c r="O4" i="7"/>
  <c r="N4" i="7"/>
  <c r="H4" i="7"/>
  <c r="J4" i="7"/>
  <c r="I4" i="7"/>
  <c r="D4" i="7"/>
  <c r="F4" i="7"/>
  <c r="E4" i="7"/>
  <c r="A4" i="7"/>
  <c r="AB22" i="1"/>
  <c r="AD22" i="1"/>
  <c r="AG22" i="1"/>
  <c r="AE22" i="1"/>
  <c r="AC22" i="1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AD21" i="1"/>
  <c r="AG21" i="1"/>
  <c r="AE21" i="1"/>
  <c r="AC21" i="1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AB20" i="1"/>
  <c r="AD20" i="1"/>
  <c r="AG20" i="1"/>
  <c r="AE20" i="1"/>
  <c r="AC20" i="1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AB19" i="1"/>
  <c r="AD19" i="1"/>
  <c r="AG19" i="1"/>
  <c r="AE19" i="1"/>
  <c r="AC19" i="1"/>
  <c r="AA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AA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B8" i="21"/>
  <c r="I8" i="21"/>
  <c r="J8" i="21"/>
  <c r="G8" i="21"/>
  <c r="F8" i="21"/>
  <c r="D8" i="21"/>
  <c r="C8" i="21"/>
  <c r="W3" i="7"/>
  <c r="R3" i="7"/>
  <c r="Q3" i="7"/>
  <c r="P3" i="7"/>
  <c r="O3" i="7"/>
  <c r="N3" i="7"/>
  <c r="H3" i="7"/>
  <c r="J3" i="7"/>
  <c r="I3" i="7"/>
  <c r="D3" i="7"/>
  <c r="F3" i="7"/>
  <c r="E3" i="7"/>
  <c r="A3" i="7"/>
  <c r="D15" i="1"/>
  <c r="F15" i="1"/>
  <c r="E15" i="1"/>
  <c r="A15" i="1"/>
  <c r="D14" i="1"/>
  <c r="F14" i="1"/>
  <c r="E14" i="1"/>
  <c r="A14" i="1"/>
  <c r="D13" i="1"/>
  <c r="F13" i="1"/>
  <c r="E13" i="1"/>
  <c r="A13" i="1"/>
  <c r="D12" i="1"/>
  <c r="F12" i="1"/>
  <c r="E12" i="1"/>
  <c r="A12" i="1"/>
  <c r="D11" i="1"/>
  <c r="F11" i="1"/>
  <c r="E11" i="1"/>
  <c r="A11" i="1"/>
  <c r="D10" i="1"/>
  <c r="F10" i="1"/>
  <c r="E10" i="1"/>
  <c r="A10" i="1"/>
  <c r="D9" i="1"/>
  <c r="F9" i="1"/>
  <c r="E9" i="1"/>
  <c r="A9" i="1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2" i="2"/>
  <c r="J9" i="11"/>
  <c r="O5" i="9"/>
  <c r="N5" i="9"/>
  <c r="M5" i="9"/>
  <c r="L5" i="9"/>
  <c r="K5" i="9"/>
  <c r="J5" i="9"/>
  <c r="I5" i="9"/>
  <c r="H5" i="9"/>
  <c r="G5" i="9"/>
  <c r="E5" i="9"/>
  <c r="D5" i="9"/>
  <c r="A5" i="9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J8" i="11"/>
  <c r="O9" i="9"/>
  <c r="N9" i="9"/>
  <c r="M9" i="9"/>
  <c r="L9" i="9"/>
  <c r="K9" i="9"/>
  <c r="J9" i="9"/>
  <c r="I9" i="9"/>
  <c r="H9" i="9"/>
  <c r="G9" i="9"/>
  <c r="E9" i="9"/>
  <c r="D9" i="9"/>
  <c r="A9" i="9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J7" i="11"/>
  <c r="O8" i="9"/>
  <c r="N8" i="9"/>
  <c r="M8" i="9"/>
  <c r="L8" i="9"/>
  <c r="K8" i="9"/>
  <c r="J8" i="9"/>
  <c r="I8" i="9"/>
  <c r="H8" i="9"/>
  <c r="G8" i="9"/>
  <c r="E8" i="9"/>
  <c r="D8" i="9"/>
  <c r="A8" i="9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J6" i="11"/>
  <c r="O7" i="9"/>
  <c r="N7" i="9"/>
  <c r="M7" i="9"/>
  <c r="L7" i="9"/>
  <c r="K7" i="9"/>
  <c r="J7" i="9"/>
  <c r="I7" i="9"/>
  <c r="H7" i="9"/>
  <c r="G7" i="9"/>
  <c r="D7" i="9"/>
  <c r="A7" i="9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W2" i="7"/>
  <c r="J5" i="11"/>
  <c r="O6" i="9"/>
  <c r="N6" i="9"/>
  <c r="M6" i="9"/>
  <c r="L6" i="9"/>
  <c r="K6" i="9"/>
  <c r="J6" i="9"/>
  <c r="I6" i="9"/>
  <c r="H6" i="9"/>
  <c r="G6" i="9"/>
  <c r="E6" i="9"/>
  <c r="D6" i="9"/>
  <c r="A6" i="9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J4" i="11"/>
  <c r="O4" i="9"/>
  <c r="N4" i="9"/>
  <c r="M4" i="9"/>
  <c r="L4" i="9"/>
  <c r="K4" i="9"/>
  <c r="J4" i="9"/>
  <c r="I4" i="9"/>
  <c r="H4" i="9"/>
  <c r="G4" i="9"/>
  <c r="D4" i="9"/>
  <c r="A4" i="9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J3" i="11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3" i="9"/>
  <c r="N3" i="9"/>
  <c r="M3" i="9"/>
  <c r="L3" i="9"/>
  <c r="K3" i="9"/>
  <c r="J3" i="9"/>
  <c r="I3" i="9"/>
  <c r="H3" i="9"/>
  <c r="G3" i="9"/>
  <c r="D3" i="9"/>
  <c r="A3" i="9"/>
  <c r="D8" i="1"/>
  <c r="F8" i="1"/>
  <c r="E8" i="1"/>
  <c r="A8" i="1"/>
  <c r="D7" i="1"/>
  <c r="F7" i="1"/>
  <c r="E7" i="1"/>
  <c r="A7" i="1"/>
  <c r="D6" i="1"/>
  <c r="F6" i="1"/>
  <c r="E6" i="1"/>
  <c r="A6" i="1"/>
  <c r="D5" i="1"/>
  <c r="F5" i="1"/>
  <c r="E5" i="1"/>
  <c r="A5" i="1"/>
  <c r="D4" i="1"/>
  <c r="F4" i="1"/>
  <c r="E4" i="1"/>
  <c r="A4" i="1"/>
  <c r="H5" i="2"/>
  <c r="E5" i="2"/>
  <c r="D5" i="2"/>
  <c r="B5" i="2"/>
  <c r="H4" i="2"/>
  <c r="E4" i="2"/>
  <c r="D4" i="2"/>
  <c r="B4" i="2"/>
  <c r="H3" i="2"/>
  <c r="E3" i="2"/>
  <c r="D3" i="2"/>
  <c r="B3" i="2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2" i="16"/>
  <c r="E11" i="16"/>
  <c r="B2" i="19"/>
  <c r="G2" i="19"/>
  <c r="F2" i="19"/>
  <c r="D2" i="19"/>
  <c r="C2" i="19"/>
  <c r="E10" i="16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3" i="1"/>
  <c r="A2" i="1"/>
  <c r="A2" i="9"/>
  <c r="D3" i="1"/>
  <c r="F3" i="1"/>
  <c r="E3" i="1"/>
  <c r="A2" i="7"/>
  <c r="I2" i="7"/>
  <c r="D2" i="7"/>
  <c r="F2" i="7"/>
  <c r="E2" i="7"/>
  <c r="D2" i="2"/>
  <c r="E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<sst xmlns="http://schemas.openxmlformats.org/spreadsheetml/2006/main" count="873" uniqueCount="258">
  <si>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</si>
  <si>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</si>
  <si>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</si>
  <si>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</si>
  <si>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</si>
  <si>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</si>
  <si>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</si>
  <si>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</si>
  <si>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</si>
  <si>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</si>
  <si>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</si>
  <si>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</si>
  <si>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</si>
  <si>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</si>
  <si>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</si>
  <si>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</si>
  <si>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</si>
  <si>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</si>
  <si>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</si>
  <si>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</si>
  <si>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</si>
  <si>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</si>
  <si>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</si>
  <si>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</si>
  <si>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</si>
  <si>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</si>
  <si>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</si>
  <si>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</si>
  <si>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</si>
  <si>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</si>
  <si>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</si>
  <si>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</si>
  <si>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</si>
  <si>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</si>
  <si>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</si>
  <si>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</si>
  <si>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</si>
  <si>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</si>
  <si>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</si>
  <si>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</si>
  <si>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</si>
  <si>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</si>
  <si>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</si>
  <si>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</si>
  <si>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</si>
  <si>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</si>
  <si>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</si>
  <si>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</si>
  <si>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</si>
  <si>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</si>
  <si>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</si>
  <si>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</si>
  <si>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</si>
  <si>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</si>
  <si>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</si>
  <si>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</si>
  <si>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</si>
  <si>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</si>
  <si>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</si>
  <si>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</si>
  <si>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</si>
  <si>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</si>
  <si>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</si>
  <si>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</si>
  <si>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</si>
  <si>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</si>
  <si>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</si>
  <si>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</si>
  <si>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</si>
  <si>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</si>
  <si>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</si>
  <si>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</si>
  <si>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</si>
  <si>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</si>
  <si>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</si>
  <si>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</si>
  <si>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</si>
  <si>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</si>
  <si>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</si>
  <si>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</si>
  <si>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</si>
  <si>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</si>
  <si>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</si>
  <si>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</si>
  <si>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</si>
  <si>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</si>
  <si>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</si>
  <si>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</si>
  <si>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</si>
  <si>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</si>
  <si>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</si>
  <si>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</si>
  <si>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</si>
  <si>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</si>
  <si>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</si>
  <si>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</si>
  <si>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</si>
  <si>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</si>
  <si>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</si>
  <si>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</si>
  <si>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</si>
  <si>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</si>
  <si>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</si>
  <si>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</si>
  <si>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</si>
  <si>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</si>
  <si>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</si>
  <si>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</si>
  <si>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</si>
  <si>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</si>
  <si>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</si>
  <si>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</si>
  <si>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</si>
  <si>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</si>
  <si>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</si>
  <si>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</si>
  <si>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</si>
  <si>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</si>
  <si>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</si>
  <si>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</si>
  <si>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</si>
  <si>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</si>
  <si>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</si>
  <si>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</si>
  <si>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</si>
  <si>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</si>
  <si>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</si>
  <si>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</si>
  <si>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</si>
  <si>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</si>
  <si>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</si>
  <si>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</si>
  <si>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</si>
  <si>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</si>
  <si>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</si>
  <si>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</si>
  <si>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</si>
  <si>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</si>
  <si>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</si>
  <si>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</si>
  <si>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</si>
  <si>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</si>
  <si>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</si>
  <si>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</si>
  <si>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</si>
  <si>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</si>
  <si>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</si>
  <si>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</si>
  <si>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</si>
  <si>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</si>
  <si>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</si>
  <si>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</si>
  <si>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</si>
  <si>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</si>
  <si>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</si>
  <si>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</si>
  <si>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</si>
  <si>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</si>
  <si>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</si>
  <si>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</si>
  <si>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</si>
  <si>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</si>
  <si>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</si>
  <si>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</si>
  <si>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</si>
  <si>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</si>
  <si>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</si>
  <si>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</si>
  <si>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</si>
  <si>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</si>
  <si>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</si>
  <si>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</si>
  <si>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</si>
  <si>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</si>
  <si>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</si>
  <si>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</si>
  <si>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</si>
  <si>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</si>
  <si>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</si>
  <si>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</si>
  <si>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</si>
  <si>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</si>
  <si>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</si>
  <si>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</si>
  <si>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</si>
  <si>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</si>
  <si>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</si>
  <si>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</si>
  <si>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</si>
  <si>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</si>
  <si>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</si>
  <si>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</si>
  <si>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</si>
  <si>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</si>
  <si>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</si>
  <si>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</si>
  <si>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</si>
  <si>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</si>
  <si>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</si>
  <si>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</si>
  <si>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</si>
  <si>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</si>
  <si>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</si>
  <si>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</si>
  <si>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</si>
  <si>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</si>
  <si>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</si>
  <si>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</si>
  <si>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</si>
  <si>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</si>
  <si>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</si>
  <si>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</si>
  <si>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</si>
  <si>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</si>
  <si>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[effect:spread, val:0.3]</t>
    <phoneticPr fontId="5"/>
  </si>
  <si>
    <t>全体攻撃</t>
    <phoneticPr fontId="5"/>
  </si>
  <si>
    <t>攻撃力UP</t>
    <rPh sb="0" eb="3">
      <t>コウゲキリョク</t>
    </rPh>
    <phoneticPr fontId="5"/>
  </si>
  <si>
    <t>全体攻撃</t>
    <rPh sb="0" eb="4">
      <t>ゼンタイコウゲキ</t>
    </rPh>
    <phoneticPr fontId="5"/>
  </si>
  <si>
    <t>null</t>
    <phoneticPr fontId="5"/>
  </si>
  <si>
    <t>link</t>
    <phoneticPr fontId="5"/>
  </si>
  <si>
    <t>unit</t>
    <phoneticPr fontId="5"/>
  </si>
  <si>
    <t>unit</t>
    <phoneticPr fontId="5"/>
  </si>
  <si>
    <t>old</t>
  </si>
  <si>
    <t>[effect:nothing]</t>
    <phoneticPr fontId="5"/>
  </si>
  <si>
    <t>乱舞</t>
    <rPh sb="0" eb="2">
      <t>ランブ</t>
    </rPh>
    <phoneticPr fontId="5"/>
  </si>
  <si>
    <t>バーストラッシュ</t>
    <phoneticPr fontId="5"/>
  </si>
  <si>
    <t>スプラッシュ・バーン</t>
    <phoneticPr fontId="5"/>
  </si>
  <si>
    <t>null</t>
    <phoneticPr fontId="5"/>
  </si>
  <si>
    <t>null</t>
    <phoneticPr fontId="5"/>
  </si>
  <si>
    <t>[effect:spread, val:0.3]</t>
    <phoneticPr fontId="5"/>
  </si>
  <si>
    <t>[effect:enhance_enemy, target:enemy_one, turn:-1, status:attack, val:0.1, calc:mul, animation:enemy_enhance_attack]</t>
    <phoneticPr fontId="5"/>
  </si>
  <si>
    <t>[effect:tolerance, target:myself, turn:-1, tolerance_effect:sleep, count:-1, animation:enemy_tolerance]</t>
    <phoneticPr fontId="5"/>
  </si>
  <si>
    <t>[effect:rush, count:5, val:0.29]</t>
    <phoneticPr fontId="5"/>
  </si>
  <si>
    <t>[effect:degrade_unit, target:unit_all, turn:2, status:attack, val:0.3, calc:mul]</t>
    <phoneticPr fontId="5"/>
  </si>
  <si>
    <t>…敵対確認</t>
    <rPh sb="1" eb="5">
      <t>テキタイカクニン</t>
    </rPh>
    <phoneticPr fontId="5"/>
  </si>
  <si>
    <t>次のターン強力な攻撃</t>
    <rPh sb="0" eb="1">
      <t>ツギ</t>
    </rPh>
    <rPh sb="5" eb="7">
      <t>kyouryoku</t>
    </rPh>
    <rPh sb="8" eb="10">
      <t>コウゲキ</t>
    </rPh>
    <phoneticPr fontId="5"/>
  </si>
  <si>
    <t>５回連続攻撃</t>
    <rPh sb="2" eb="4">
      <t>レンゾク</t>
    </rPh>
    <rPh sb="4" eb="6">
      <t>コウゲキ</t>
    </rPh>
    <phoneticPr fontId="5"/>
  </si>
  <si>
    <t>……倒ス</t>
    <rPh sb="2" eb="3">
      <t>タオス</t>
    </rPh>
    <phoneticPr fontId="5"/>
  </si>
  <si>
    <t>ディス・パワー</t>
    <phoneticPr fontId="5"/>
  </si>
  <si>
    <t>自身にスリープ耐性</t>
    <rPh sb="0" eb="2">
      <t>ジシン</t>
    </rPh>
    <rPh sb="7" eb="9">
      <t>タイセイ</t>
    </rPh>
    <phoneticPr fontId="5"/>
  </si>
  <si>
    <t>自身にスリープ耐性
+解除するまでダメージを与えるウィルス</t>
    <rPh sb="0" eb="2">
      <t>jisinnni</t>
    </rPh>
    <rPh sb="7" eb="9">
      <t>タイセイ</t>
    </rPh>
    <rPh sb="11" eb="13">
      <t>カイジョ</t>
    </rPh>
    <rPh sb="22" eb="23">
      <t>アタエル</t>
    </rPh>
    <phoneticPr fontId="5"/>
  </si>
  <si>
    <t>……近ヅクナ</t>
    <phoneticPr fontId="5"/>
  </si>
  <si>
    <t>…渡サナイ</t>
    <rPh sb="1" eb="2">
      <t>ワタサナイ</t>
    </rPh>
    <phoneticPr fontId="5"/>
  </si>
  <si>
    <t>[effect:virus, turn:-1, target:unit_all, rate:1, val:0.06, animation:enemy_virus],[effect:tolerance, target:myself, turn:-1, tolerance_effect:sleep, count:-1, animation:enemy_tolerance]</t>
    <phoneticPr fontId="5"/>
  </si>
  <si>
    <t>failure</t>
    <phoneticPr fontId="5"/>
  </si>
  <si>
    <t>攻撃頻度の高いエネミーを
優先して狙いましょう</t>
    <phoneticPr fontId="5"/>
  </si>
  <si>
    <t>青龍は2ターン目に全体攻撃をしてきます
通常攻撃よりも威力が高いので
受けるダメージに注意しましょう</t>
    <phoneticPr fontId="5"/>
  </si>
  <si>
    <t>ラドンは最初にウィルスを仕掛けてきます
長期戦になるほど不利に陥るので
攻撃力の高いユニットで一気に攻めましょう</t>
    <phoneticPr fontId="5"/>
  </si>
  <si>
    <t>ラドンが強力なスキル発動の予告をしたら
次のターンは大ダメージに注意しましょう</t>
    <phoneticPr fontId="5"/>
  </si>
  <si>
    <t>old</t>
    <phoneticPr fontId="7"/>
  </si>
  <si>
    <t>２ターンの間全ユニットの攻撃力30%DOWN</t>
    <rPh sb="6" eb="7">
      <t>ゼンユニット</t>
    </rPh>
    <rPh sb="12" eb="15">
      <t>コウゲキリョク</t>
    </rPh>
    <phoneticPr fontId="5"/>
  </si>
  <si>
    <t>スケアクロウは2ターン目に
攻撃力DOWNで妨害してきます
真っ先に撃破してしまいましょう</t>
    <phoneticPr fontId="5"/>
  </si>
  <si>
    <t>ラドンは追いつめられると攻撃力をUPして
全体攻撃を常用するようになります
スキルやフィーバーを惜しまず使いましょう</t>
    <phoneticPr fontId="5"/>
  </si>
  <si>
    <t>スケアクロウは2ターン目に
攻撃力DOWNで妨害してきます
真っ先に撃破してしまいましょう</t>
    <phoneticPr fontId="5"/>
  </si>
  <si>
    <t>スケアクロウは2ターン目に
攻撃力DOWNで妨害してきます
真っ先に撃破してしまいましょう</t>
    <phoneticPr fontId="5"/>
  </si>
  <si>
    <t>ラドンは追いつめられると攻撃力をUPして
全体攻撃を常用するようになります
スキルやフィーバーを惜しまず使いましょう</t>
    <phoneticPr fontId="5"/>
  </si>
  <si>
    <t>ラドンは追いつめられると攻撃力をUPして
全体攻撃を常用するようになります
スキルやフィーバーを惜しまず使いましょう</t>
    <phoneticPr fontId="5"/>
  </si>
  <si>
    <t>[effect:virus, turn:-1, target:unit_all, rate:1, val:0.05, animation:enemy_virus],[effect:tolerance, target:myself, turn:-1, tolerance_effect:sleep, count:-1, animation:enemy_tolerance]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</si>
</sst>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rgb="FFFFFF00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6" fillId="31" borderId="3" xfId="0" applyFont="1" applyFill="1" applyBorder="1" applyAlignment="1">
      <alignment vertical="center"/>
    </xf>
    <xf numFmtId="0" fontId="4" fillId="13" borderId="1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27" fillId="33" borderId="0" xfId="0" applyFont="1" applyFill="1" applyBorder="1"/>
    <xf numFmtId="0" fontId="28" fillId="33" borderId="0" xfId="0" applyFont="1" applyFill="1" applyBorder="1"/>
    <xf numFmtId="0" fontId="29" fillId="33" borderId="0" xfId="0" applyFont="1" applyFill="1" applyBorder="1" applyAlignment="1">
      <alignment vertical="center"/>
    </xf>
    <xf numFmtId="0" fontId="31" fillId="33" borderId="0" xfId="0" applyFont="1" applyFill="1" applyBorder="1"/>
    <xf numFmtId="0" fontId="0" fillId="33" borderId="0" xfId="0" applyFill="1" applyBorder="1"/>
    <xf numFmtId="0" fontId="30" fillId="33" borderId="0" xfId="0" applyFont="1" applyFill="1" applyBorder="1"/>
    <xf numFmtId="38" fontId="16" fillId="33" borderId="0" xfId="628" applyFont="1" applyFill="1" applyBorder="1" applyAlignment="1"/>
    <xf numFmtId="0" fontId="26" fillId="0" borderId="23" xfId="0" applyFont="1" applyBorder="1"/>
    <xf numFmtId="0" fontId="0" fillId="0" borderId="24" xfId="0" applyBorder="1"/>
    <xf numFmtId="0" fontId="0" fillId="0" borderId="25" xfId="0" applyBorder="1"/>
    <xf numFmtId="0" fontId="0" fillId="3" borderId="25" xfId="0" applyFill="1" applyBorder="1"/>
    <xf numFmtId="0" fontId="6" fillId="5" borderId="25" xfId="0" applyFont="1" applyFill="1" applyBorder="1" applyAlignment="1">
      <alignment vertical="center"/>
    </xf>
    <xf numFmtId="0" fontId="27" fillId="34" borderId="25" xfId="0" applyFont="1" applyFill="1" applyBorder="1"/>
    <xf numFmtId="0" fontId="27" fillId="34" borderId="26" xfId="0" applyFont="1" applyFill="1" applyBorder="1"/>
    <xf numFmtId="0" fontId="27" fillId="34" borderId="7" xfId="0" applyFont="1" applyFill="1" applyBorder="1"/>
    <xf numFmtId="0" fontId="27" fillId="34" borderId="27" xfId="0" applyFont="1" applyFill="1" applyBorder="1"/>
    <xf numFmtId="0" fontId="0" fillId="0" borderId="28" xfId="0" applyBorder="1"/>
    <xf numFmtId="0" fontId="0" fillId="3" borderId="28" xfId="0" applyFill="1" applyBorder="1"/>
    <xf numFmtId="0" fontId="6" fillId="5" borderId="28" xfId="0" applyFont="1" applyFill="1" applyBorder="1" applyAlignment="1">
      <alignment vertical="center"/>
    </xf>
    <xf numFmtId="0" fontId="27" fillId="34" borderId="28" xfId="0" applyFont="1" applyFill="1" applyBorder="1"/>
    <xf numFmtId="0" fontId="27" fillId="34" borderId="29" xfId="0" applyFont="1" applyFill="1" applyBorder="1"/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27" fillId="34" borderId="12" xfId="0" applyFont="1" applyFill="1" applyBorder="1"/>
    <xf numFmtId="0" fontId="27" fillId="35" borderId="7" xfId="0" applyFont="1" applyFill="1" applyBorder="1"/>
    <xf numFmtId="38" fontId="16" fillId="0" borderId="7" xfId="628" applyFont="1" applyFill="1" applyBorder="1" applyAlignment="1">
      <alignment wrapText="1"/>
    </xf>
    <xf numFmtId="0" fontId="27" fillId="0" borderId="25" xfId="0" applyFont="1" applyFill="1" applyBorder="1"/>
    <xf numFmtId="0" fontId="27" fillId="0" borderId="28" xfId="0" applyFont="1" applyFill="1" applyBorder="1"/>
    <xf numFmtId="0" fontId="27" fillId="0" borderId="12" xfId="0" applyFont="1" applyFill="1" applyBorder="1"/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13" sqref="A13"/>
    </sheetView>
  </sheetViews>
  <sheetFormatPr baseColWidth="12" defaultRowHeight="15" x14ac:dyDescent="0.15"/>
  <cols>
    <col min="2" max="2" width="19.5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222</v>
      </c>
      <c r="B2" s="57" t="s">
        <v>107</v>
      </c>
      <c r="C2" s="63">
        <v>20016</v>
      </c>
      <c r="D2" s="57" t="s">
        <v>108</v>
      </c>
      <c r="E2" s="56" t="str">
        <f>B2&amp;C2&amp;D2</f>
        <v>floors_20016.tmp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222</v>
      </c>
      <c r="B3" s="57" t="s">
        <v>110</v>
      </c>
      <c r="C3" s="63">
        <v>20016</v>
      </c>
      <c r="D3" s="57" t="s">
        <v>108</v>
      </c>
      <c r="E3" s="56" t="str">
        <f>B3&amp;C3&amp;D3</f>
        <v>enemy_habitats_20016.tmp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222</v>
      </c>
      <c r="B4" s="57" t="s">
        <v>112</v>
      </c>
      <c r="C4" s="63">
        <v>20016</v>
      </c>
      <c r="D4" s="57" t="s">
        <v>108</v>
      </c>
      <c r="E4" s="56" t="str">
        <f>B4&amp;C4&amp;D4</f>
        <v>enemy_habitat_S_20016.tmp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222</v>
      </c>
      <c r="B5" s="57" t="s">
        <v>114</v>
      </c>
      <c r="C5" s="63">
        <v>20016</v>
      </c>
      <c r="D5" s="57" t="s">
        <v>108</v>
      </c>
      <c r="E5" s="56" t="str">
        <f>B5&amp;C5&amp;D5</f>
        <v>enemy_skill_sets_20016.tmp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222</v>
      </c>
      <c r="B6" s="57" t="s">
        <v>116</v>
      </c>
      <c r="C6" s="63">
        <v>20016</v>
      </c>
      <c r="D6" s="57" t="s">
        <v>117</v>
      </c>
      <c r="E6" s="56" t="str">
        <f t="shared" ref="E6:E10" si="0">B6&amp;C6&amp;D6</f>
        <v>enemy_skills_tmp_20016.tmp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222</v>
      </c>
      <c r="B7" s="57" t="s">
        <v>118</v>
      </c>
      <c r="C7" s="63">
        <v>20016</v>
      </c>
      <c r="D7" s="57" t="s">
        <v>108</v>
      </c>
      <c r="E7" s="56" t="str">
        <f>B7&amp;C7&amp;D7</f>
        <v>enemy_skills_i18n_20016.tmp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222</v>
      </c>
      <c r="B8" s="57" t="s">
        <v>120</v>
      </c>
      <c r="C8" s="63">
        <v>20016</v>
      </c>
      <c r="D8" s="57" t="s">
        <v>121</v>
      </c>
      <c r="E8" s="56" t="str">
        <f t="shared" si="0"/>
        <v>enemy_skill_triggers_20016.tmp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222</v>
      </c>
      <c r="B9" s="68" t="s">
        <v>178</v>
      </c>
      <c r="C9" s="63">
        <v>20016</v>
      </c>
      <c r="D9" s="68" t="s">
        <v>172</v>
      </c>
      <c r="E9" s="69" t="str">
        <f t="shared" si="0"/>
        <v>stage_bug_bonuses_20016.tmp</v>
      </c>
      <c r="F9" s="68" t="s">
        <v>173</v>
      </c>
      <c r="G9" s="65" t="s">
        <v>151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</row>
    <row r="10" spans="1:30" s="76" customFormat="1" x14ac:dyDescent="0.15">
      <c r="A10" s="61" t="s">
        <v>222</v>
      </c>
      <c r="B10" s="68" t="s">
        <v>202</v>
      </c>
      <c r="C10" s="63">
        <v>20016</v>
      </c>
      <c r="D10" s="68" t="s">
        <v>181</v>
      </c>
      <c r="E10" s="69" t="str">
        <f t="shared" si="0"/>
        <v>stage_hints_data_c_20016.tmp</v>
      </c>
      <c r="F10" s="68" t="s">
        <v>210</v>
      </c>
      <c r="G10" s="73" t="s">
        <v>182</v>
      </c>
      <c r="H10" s="73" t="s">
        <v>174</v>
      </c>
      <c r="I10" s="74" t="s">
        <v>183</v>
      </c>
      <c r="J10" s="67" t="s">
        <v>184</v>
      </c>
      <c r="K10" s="75" t="s">
        <v>185</v>
      </c>
    </row>
    <row r="11" spans="1:30" s="76" customFormat="1" x14ac:dyDescent="0.15">
      <c r="A11" s="61" t="s">
        <v>222</v>
      </c>
      <c r="B11" s="68" t="s">
        <v>203</v>
      </c>
      <c r="C11" s="63">
        <v>20016</v>
      </c>
      <c r="D11" s="68" t="s">
        <v>172</v>
      </c>
      <c r="E11" s="69" t="str">
        <f t="shared" ref="E11:E12" si="1">B11&amp;C11&amp;D11</f>
        <v>stage_hints_data_f_20016.tmp</v>
      </c>
      <c r="F11" s="68" t="s">
        <v>212</v>
      </c>
      <c r="G11" s="73" t="s">
        <v>182</v>
      </c>
      <c r="H11" s="73" t="s">
        <v>174</v>
      </c>
      <c r="I11" s="74" t="s">
        <v>183</v>
      </c>
      <c r="J11" s="67" t="s">
        <v>184</v>
      </c>
      <c r="K11" s="75" t="s">
        <v>185</v>
      </c>
    </row>
    <row r="12" spans="1:30" s="76" customFormat="1" x14ac:dyDescent="0.15">
      <c r="A12" s="68" t="s">
        <v>249</v>
      </c>
      <c r="B12" s="68" t="s">
        <v>204</v>
      </c>
      <c r="C12" s="63">
        <v>20016</v>
      </c>
      <c r="D12" s="68" t="s">
        <v>172</v>
      </c>
      <c r="E12" s="69" t="str">
        <f t="shared" si="1"/>
        <v>stage_hints_i18n_20016.tmp</v>
      </c>
      <c r="F12" s="68" t="s">
        <v>213</v>
      </c>
      <c r="G12" s="74" t="s">
        <v>205</v>
      </c>
      <c r="H12" s="96" t="s">
        <v>206</v>
      </c>
      <c r="I12" s="73" t="s">
        <v>207</v>
      </c>
      <c r="J12" s="97" t="s">
        <v>208</v>
      </c>
      <c r="K12" s="75" t="s">
        <v>209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F10" sqref="F10:F1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10.33203125" style="3" customWidth="1" outlineLevel="1"/>
    <col min="5" max="5" width="13.66406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3" si="0">G2&amp;"-"&amp;I2</f>
        <v>20016_1-1</v>
      </c>
      <c r="B2" s="16" t="str">
        <f>IF(COUNTIF(enemy_habitats!$H:$H,A2),"OK","NG")</f>
        <v>OK</v>
      </c>
      <c r="C2" s="7">
        <v>20016</v>
      </c>
      <c r="D2" s="11" t="str">
        <f ca="1">VLOOKUP($C2,OFFSET([2]quests!$A$1,0,0,COUNTA([2]quests!$A:$A),MATCH(D$1,[2]quests!$1:$1,0)-MATCH($C$1,[2]quests!$1:$1,0)+1),MATCH(D$1,[2]quests!$1:$1,0)-MATCH($C$1,[2]quests!$1:$1,0)+1,FALSE)</f>
        <v>寡黙な翼竜の侵攻</v>
      </c>
      <c r="E2" s="18" t="str">
        <f ca="1">VLOOKUP($C2,OFFSET([2]quests!$A$1,0,0,COUNTA([2]quests!$A:$A),MATCH(E$1,[2]quests!$1:$1,0)-MATCH($C$1,[2]quests!$1:$1,0)+1),MATCH(E$1,[2]quests!$1:$1,0)-MATCH($C$1,[2]quests!$1:$1,0)+1,FALSE)</f>
        <v>ギリシャ神話01</v>
      </c>
      <c r="F2" s="21">
        <v>1</v>
      </c>
      <c r="G2" s="23" t="str">
        <f t="shared" ref="G2:G13" si="1">C2&amp;"_"&amp;F2</f>
        <v>20016_1</v>
      </c>
      <c r="H2" s="15" t="str">
        <f ca="1">VLOOKUP($G2,OFFSET([2]stages!$A$1,0,0,COUNTA([2]stages!$A:$A),MATCH(H$1,[2]stages!$2:$2,0)-MATCH($G$1,[2]stages!$2:$2,0)+1),MATCH(H$1,[2]stages!$2:$2,0)-MATCH($G$1,[2]stages!$2:$2,0)+1,FALSE)</f>
        <v>【初級】寡黙な翼竜の侵攻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20016_1-2</v>
      </c>
      <c r="B3" s="16" t="str">
        <f>IF(COUNTIF(enemy_habitats!$H:$H,A3),"OK","NG")</f>
        <v>OK</v>
      </c>
      <c r="C3" s="7">
        <v>20016</v>
      </c>
      <c r="D3" s="11" t="str">
        <f ca="1">VLOOKUP($C3,OFFSET([2]quests!$A$1,0,0,COUNTA([2]quests!$A:$A),MATCH(D$1,[2]quests!$1:$1,0)-MATCH($C$1,[2]quests!$1:$1,0)+1),MATCH(D$1,[2]quests!$1:$1,0)-MATCH($C$1,[2]quests!$1:$1,0)+1,FALSE)</f>
        <v>寡黙な翼竜の侵攻</v>
      </c>
      <c r="E3" s="18" t="str">
        <f ca="1">VLOOKUP($C3,OFFSET([2]quests!$A$1,0,0,COUNTA([2]quests!$A:$A),MATCH(E$1,[2]quests!$1:$1,0)-MATCH($C$1,[2]quests!$1:$1,0)+1),MATCH(E$1,[2]quests!$1:$1,0)-MATCH($C$1,[2]quests!$1:$1,0)+1,FALSE)</f>
        <v>ギリシャ神話01</v>
      </c>
      <c r="F3" s="21">
        <v>1</v>
      </c>
      <c r="G3" s="23" t="str">
        <f t="shared" si="1"/>
        <v>20016_1</v>
      </c>
      <c r="H3" s="15" t="str">
        <f ca="1">VLOOKUP($G3,OFFSET([2]stages!$A$1,0,0,COUNTA([2]stages!$A:$A),MATCH(H$1,[2]stages!$2:$2,0)-MATCH($G$1,[2]stages!$2:$2,0)+1),MATCH(H$1,[2]stages!$2:$2,0)-MATCH($G$1,[2]stages!$2:$2,0)+1,FALSE)</f>
        <v>【初級】寡黙な翼竜の侵攻</v>
      </c>
      <c r="I3" s="21">
        <v>2</v>
      </c>
      <c r="J3" s="12">
        <v>35</v>
      </c>
      <c r="K3" s="12">
        <v>35</v>
      </c>
    </row>
    <row r="4" spans="1:11" ht="21" customHeight="1" x14ac:dyDescent="0.15">
      <c r="A4" s="16" t="str">
        <f t="shared" si="0"/>
        <v>20016_1-3</v>
      </c>
      <c r="B4" s="16" t="str">
        <f>IF(COUNTIF(enemy_habitats!$H:$H,A4),"OK","NG")</f>
        <v>OK</v>
      </c>
      <c r="C4" s="7">
        <v>20016</v>
      </c>
      <c r="D4" s="11" t="str">
        <f ca="1">VLOOKUP($C4,OFFSET([2]quests!$A$1,0,0,COUNTA([2]quests!$A:$A),MATCH(D$1,[2]quests!$1:$1,0)-MATCH($C$1,[2]quests!$1:$1,0)+1),MATCH(D$1,[2]quests!$1:$1,0)-MATCH($C$1,[2]quests!$1:$1,0)+1,FALSE)</f>
        <v>寡黙な翼竜の侵攻</v>
      </c>
      <c r="E4" s="18" t="str">
        <f ca="1">VLOOKUP($C4,OFFSET([2]quests!$A$1,0,0,COUNTA([2]quests!$A:$A),MATCH(E$1,[2]quests!$1:$1,0)-MATCH($C$1,[2]quests!$1:$1,0)+1),MATCH(E$1,[2]quests!$1:$1,0)-MATCH($C$1,[2]quests!$1:$1,0)+1,FALSE)</f>
        <v>ギリシャ神話01</v>
      </c>
      <c r="F4" s="21">
        <v>1</v>
      </c>
      <c r="G4" s="23" t="str">
        <f t="shared" si="1"/>
        <v>20016_1</v>
      </c>
      <c r="H4" s="15" t="str">
        <f ca="1">VLOOKUP($G4,OFFSET([2]stages!$A$1,0,0,COUNTA([2]stages!$A:$A),MATCH(H$1,[2]stages!$2:$2,0)-MATCH($G$1,[2]stages!$2:$2,0)+1),MATCH(H$1,[2]stages!$2:$2,0)-MATCH($G$1,[2]stages!$2:$2,0)+1,FALSE)</f>
        <v>【初級】寡黙な翼竜の侵攻</v>
      </c>
      <c r="I4" s="21">
        <v>3</v>
      </c>
      <c r="J4" s="12">
        <v>45</v>
      </c>
      <c r="K4" s="12">
        <v>45</v>
      </c>
    </row>
    <row r="5" spans="1:11" ht="21" customHeight="1" x14ac:dyDescent="0.15">
      <c r="A5" s="16" t="str">
        <f t="shared" si="0"/>
        <v>20016_1-4</v>
      </c>
      <c r="B5" s="16" t="str">
        <f>IF(COUNTIF(enemy_habitats!$H:$H,A5),"OK","NG")</f>
        <v>OK</v>
      </c>
      <c r="C5" s="7">
        <v>20016</v>
      </c>
      <c r="D5" s="11" t="str">
        <f ca="1">VLOOKUP($C5,OFFSET([2]quests!$A$1,0,0,COUNTA([2]quests!$A:$A),MATCH(D$1,[2]quests!$1:$1,0)-MATCH($C$1,[2]quests!$1:$1,0)+1),MATCH(D$1,[2]quests!$1:$1,0)-MATCH($C$1,[2]quests!$1:$1,0)+1,FALSE)</f>
        <v>寡黙な翼竜の侵攻</v>
      </c>
      <c r="E5" s="18" t="str">
        <f ca="1">VLOOKUP($C5,OFFSET([2]quests!$A$1,0,0,COUNTA([2]quests!$A:$A),MATCH(E$1,[2]quests!$1:$1,0)-MATCH($C$1,[2]quests!$1:$1,0)+1),MATCH(E$1,[2]quests!$1:$1,0)-MATCH($C$1,[2]quests!$1:$1,0)+1,FALSE)</f>
        <v>ギリシャ神話01</v>
      </c>
      <c r="F5" s="21">
        <v>1</v>
      </c>
      <c r="G5" s="23" t="str">
        <f t="shared" si="1"/>
        <v>20016_1</v>
      </c>
      <c r="H5" s="15" t="str">
        <f ca="1">VLOOKUP($G5,OFFSET([2]stages!$A$1,0,0,COUNTA([2]stages!$A:$A),MATCH(H$1,[2]stages!$2:$2,0)-MATCH($G$1,[2]stages!$2:$2,0)+1),MATCH(H$1,[2]stages!$2:$2,0)-MATCH($G$1,[2]stages!$2:$2,0)+1,FALSE)</f>
        <v>【初級】寡黙な翼竜の侵攻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20016_2-1</v>
      </c>
      <c r="B6" s="16" t="str">
        <f>IF(COUNTIF(enemy_habitats!$H:$H,A6),"OK","NG")</f>
        <v>OK</v>
      </c>
      <c r="C6" s="7">
        <v>20016</v>
      </c>
      <c r="D6" s="11" t="str">
        <f ca="1">VLOOKUP($C6,OFFSET([2]quests!$A$1,0,0,COUNTA([2]quests!$A:$A),MATCH(D$1,[2]quests!$1:$1,0)-MATCH($C$1,[2]quests!$1:$1,0)+1),MATCH(D$1,[2]quests!$1:$1,0)-MATCH($C$1,[2]quests!$1:$1,0)+1,FALSE)</f>
        <v>寡黙な翼竜の侵攻</v>
      </c>
      <c r="E6" s="18" t="str">
        <f ca="1">VLOOKUP($C6,OFFSET([2]quests!$A$1,0,0,COUNTA([2]quests!$A:$A),MATCH(E$1,[2]quests!$1:$1,0)-MATCH($C$1,[2]quests!$1:$1,0)+1),MATCH(E$1,[2]quests!$1:$1,0)-MATCH($C$1,[2]quests!$1:$1,0)+1,FALSE)</f>
        <v>ギリシャ神話01</v>
      </c>
      <c r="F6" s="21">
        <v>2</v>
      </c>
      <c r="G6" s="23" t="str">
        <f t="shared" si="1"/>
        <v>20016_2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【中級】寡黙な翼竜の侵攻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20016_2-2</v>
      </c>
      <c r="B7" s="16" t="str">
        <f>IF(COUNTIF(enemy_habitats!$H:$H,A7),"OK","NG")</f>
        <v>OK</v>
      </c>
      <c r="C7" s="7">
        <v>20016</v>
      </c>
      <c r="D7" s="11" t="str">
        <f ca="1">VLOOKUP($C7,OFFSET([2]quests!$A$1,0,0,COUNTA([2]quests!$A:$A),MATCH(D$1,[2]quests!$1:$1,0)-MATCH($C$1,[2]quests!$1:$1,0)+1),MATCH(D$1,[2]quests!$1:$1,0)-MATCH($C$1,[2]quests!$1:$1,0)+1,FALSE)</f>
        <v>寡黙な翼竜の侵攻</v>
      </c>
      <c r="E7" s="18" t="str">
        <f ca="1">VLOOKUP($C7,OFFSET([2]quests!$A$1,0,0,COUNTA([2]quests!$A:$A),MATCH(E$1,[2]quests!$1:$1,0)-MATCH($C$1,[2]quests!$1:$1,0)+1),MATCH(E$1,[2]quests!$1:$1,0)-MATCH($C$1,[2]quests!$1:$1,0)+1,FALSE)</f>
        <v>ギリシャ神話01</v>
      </c>
      <c r="F7" s="21">
        <v>2</v>
      </c>
      <c r="G7" s="23" t="str">
        <f t="shared" si="1"/>
        <v>20016_2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【中級】寡黙な翼竜の侵攻</v>
      </c>
      <c r="I7" s="21">
        <v>2</v>
      </c>
      <c r="J7" s="12">
        <v>35</v>
      </c>
      <c r="K7" s="12">
        <v>35</v>
      </c>
    </row>
    <row r="8" spans="1:11" ht="21" customHeight="1" x14ac:dyDescent="0.15">
      <c r="A8" s="16" t="str">
        <f t="shared" si="0"/>
        <v>20016_2-3</v>
      </c>
      <c r="B8" s="16" t="str">
        <f>IF(COUNTIF(enemy_habitats!$H:$H,A8),"OK","NG")</f>
        <v>OK</v>
      </c>
      <c r="C8" s="7">
        <v>20016</v>
      </c>
      <c r="D8" s="11" t="str">
        <f ca="1">VLOOKUP($C8,OFFSET([2]quests!$A$1,0,0,COUNTA([2]quests!$A:$A),MATCH(D$1,[2]quests!$1:$1,0)-MATCH($C$1,[2]quests!$1:$1,0)+1),MATCH(D$1,[2]quests!$1:$1,0)-MATCH($C$1,[2]quests!$1:$1,0)+1,FALSE)</f>
        <v>寡黙な翼竜の侵攻</v>
      </c>
      <c r="E8" s="18" t="str">
        <f ca="1">VLOOKUP($C8,OFFSET([2]quests!$A$1,0,0,COUNTA([2]quests!$A:$A),MATCH(E$1,[2]quests!$1:$1,0)-MATCH($C$1,[2]quests!$1:$1,0)+1),MATCH(E$1,[2]quests!$1:$1,0)-MATCH($C$1,[2]quests!$1:$1,0)+1,FALSE)</f>
        <v>ギリシャ神話01</v>
      </c>
      <c r="F8" s="21">
        <v>2</v>
      </c>
      <c r="G8" s="23" t="str">
        <f t="shared" si="1"/>
        <v>20016_2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【中級】寡黙な翼竜の侵攻</v>
      </c>
      <c r="I8" s="21">
        <v>3</v>
      </c>
      <c r="J8" s="12">
        <v>45</v>
      </c>
      <c r="K8" s="12">
        <v>45</v>
      </c>
    </row>
    <row r="9" spans="1:11" ht="21" customHeight="1" x14ac:dyDescent="0.15">
      <c r="A9" s="16" t="str">
        <f t="shared" si="0"/>
        <v>20016_2-4</v>
      </c>
      <c r="B9" s="16" t="str">
        <f>IF(COUNTIF(enemy_habitats!$H:$H,A9),"OK","NG")</f>
        <v>OK</v>
      </c>
      <c r="C9" s="7">
        <v>20016</v>
      </c>
      <c r="D9" s="11" t="str">
        <f ca="1">VLOOKUP($C9,OFFSET([2]quests!$A$1,0,0,COUNTA([2]quests!$A:$A),MATCH(D$1,[2]quests!$1:$1,0)-MATCH($C$1,[2]quests!$1:$1,0)+1),MATCH(D$1,[2]quests!$1:$1,0)-MATCH($C$1,[2]quests!$1:$1,0)+1,FALSE)</f>
        <v>寡黙な翼竜の侵攻</v>
      </c>
      <c r="E9" s="18" t="str">
        <f ca="1">VLOOKUP($C9,OFFSET([2]quests!$A$1,0,0,COUNTA([2]quests!$A:$A),MATCH(E$1,[2]quests!$1:$1,0)-MATCH($C$1,[2]quests!$1:$1,0)+1),MATCH(E$1,[2]quests!$1:$1,0)-MATCH($C$1,[2]quests!$1:$1,0)+1,FALSE)</f>
        <v>ギリシャ神話01</v>
      </c>
      <c r="F9" s="21">
        <v>2</v>
      </c>
      <c r="G9" s="23" t="str">
        <f t="shared" si="1"/>
        <v>20016_2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【中級】寡黙な翼竜の侵攻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20016_3-1</v>
      </c>
      <c r="B10" s="16" t="str">
        <f>IF(COUNTIF(enemy_habitats!$H:$H,A10),"OK","NG")</f>
        <v>OK</v>
      </c>
      <c r="C10" s="7">
        <v>20016</v>
      </c>
      <c r="D10" s="11" t="str">
        <f ca="1">VLOOKUP($C10,OFFSET([2]quests!$A$1,0,0,COUNTA([2]quests!$A:$A),MATCH(D$1,[2]quests!$1:$1,0)-MATCH($C$1,[2]quests!$1:$1,0)+1),MATCH(D$1,[2]quests!$1:$1,0)-MATCH($C$1,[2]quests!$1:$1,0)+1,FALSE)</f>
        <v>寡黙な翼竜の侵攻</v>
      </c>
      <c r="E10" s="18" t="str">
        <f ca="1">VLOOKUP($C10,OFFSET([2]quests!$A$1,0,0,COUNTA([2]quests!$A:$A),MATCH(E$1,[2]quests!$1:$1,0)-MATCH($C$1,[2]quests!$1:$1,0)+1),MATCH(E$1,[2]quests!$1:$1,0)-MATCH($C$1,[2]quests!$1:$1,0)+1,FALSE)</f>
        <v>ギリシャ神話01</v>
      </c>
      <c r="F10" s="21">
        <v>3</v>
      </c>
      <c r="G10" s="23" t="str">
        <f t="shared" si="1"/>
        <v>20016_3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【上級】寡黙な翼竜の侵攻</v>
      </c>
      <c r="I10" s="21">
        <v>1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20016_3-2</v>
      </c>
      <c r="B11" s="16" t="str">
        <f>IF(COUNTIF(enemy_habitats!$H:$H,A11),"OK","NG")</f>
        <v>OK</v>
      </c>
      <c r="C11" s="7">
        <v>20016</v>
      </c>
      <c r="D11" s="11" t="str">
        <f ca="1">VLOOKUP($C11,OFFSET([2]quests!$A$1,0,0,COUNTA([2]quests!$A:$A),MATCH(D$1,[2]quests!$1:$1,0)-MATCH($C$1,[2]quests!$1:$1,0)+1),MATCH(D$1,[2]quests!$1:$1,0)-MATCH($C$1,[2]quests!$1:$1,0)+1,FALSE)</f>
        <v>寡黙な翼竜の侵攻</v>
      </c>
      <c r="E11" s="18" t="str">
        <f ca="1">VLOOKUP($C11,OFFSET([2]quests!$A$1,0,0,COUNTA([2]quests!$A:$A),MATCH(E$1,[2]quests!$1:$1,0)-MATCH($C$1,[2]quests!$1:$1,0)+1),MATCH(E$1,[2]quests!$1:$1,0)-MATCH($C$1,[2]quests!$1:$1,0)+1,FALSE)</f>
        <v>ギリシャ神話01</v>
      </c>
      <c r="F11" s="21">
        <v>3</v>
      </c>
      <c r="G11" s="23" t="str">
        <f t="shared" si="1"/>
        <v>20016_3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【上級】寡黙な翼竜の侵攻</v>
      </c>
      <c r="I11" s="21">
        <v>2</v>
      </c>
      <c r="J11" s="12">
        <v>35</v>
      </c>
      <c r="K11" s="12">
        <v>35</v>
      </c>
    </row>
    <row r="12" spans="1:11" ht="21" customHeight="1" x14ac:dyDescent="0.15">
      <c r="A12" s="16" t="str">
        <f t="shared" si="0"/>
        <v>20016_3-3</v>
      </c>
      <c r="B12" s="16" t="str">
        <f>IF(COUNTIF(enemy_habitats!$H:$H,A12),"OK","NG")</f>
        <v>OK</v>
      </c>
      <c r="C12" s="7">
        <v>20016</v>
      </c>
      <c r="D12" s="11" t="str">
        <f ca="1">VLOOKUP($C12,OFFSET([2]quests!$A$1,0,0,COUNTA([2]quests!$A:$A),MATCH(D$1,[2]quests!$1:$1,0)-MATCH($C$1,[2]quests!$1:$1,0)+1),MATCH(D$1,[2]quests!$1:$1,0)-MATCH($C$1,[2]quests!$1:$1,0)+1,FALSE)</f>
        <v>寡黙な翼竜の侵攻</v>
      </c>
      <c r="E12" s="18" t="str">
        <f ca="1">VLOOKUP($C12,OFFSET([2]quests!$A$1,0,0,COUNTA([2]quests!$A:$A),MATCH(E$1,[2]quests!$1:$1,0)-MATCH($C$1,[2]quests!$1:$1,0)+1),MATCH(E$1,[2]quests!$1:$1,0)-MATCH($C$1,[2]quests!$1:$1,0)+1,FALSE)</f>
        <v>ギリシャ神話01</v>
      </c>
      <c r="F12" s="21">
        <v>3</v>
      </c>
      <c r="G12" s="23" t="str">
        <f t="shared" si="1"/>
        <v>20016_3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【上級】寡黙な翼竜の侵攻</v>
      </c>
      <c r="I12" s="21">
        <v>3</v>
      </c>
      <c r="J12" s="12">
        <v>45</v>
      </c>
      <c r="K12" s="12">
        <v>45</v>
      </c>
    </row>
    <row r="13" spans="1:11" ht="21" customHeight="1" x14ac:dyDescent="0.15">
      <c r="A13" s="16" t="str">
        <f t="shared" si="0"/>
        <v>20016_3-4</v>
      </c>
      <c r="B13" s="16" t="str">
        <f>IF(COUNTIF(enemy_habitats!$H:$H,A13),"OK","NG")</f>
        <v>OK</v>
      </c>
      <c r="C13" s="7">
        <v>20016</v>
      </c>
      <c r="D13" s="11" t="str">
        <f ca="1">VLOOKUP($C13,OFFSET([2]quests!$A$1,0,0,COUNTA([2]quests!$A:$A),MATCH(D$1,[2]quests!$1:$1,0)-MATCH($C$1,[2]quests!$1:$1,0)+1),MATCH(D$1,[2]quests!$1:$1,0)-MATCH($C$1,[2]quests!$1:$1,0)+1,FALSE)</f>
        <v>寡黙な翼竜の侵攻</v>
      </c>
      <c r="E13" s="18" t="str">
        <f ca="1">VLOOKUP($C13,OFFSET([2]quests!$A$1,0,0,COUNTA([2]quests!$A:$A),MATCH(E$1,[2]quests!$1:$1,0)-MATCH($C$1,[2]quests!$1:$1,0)+1),MATCH(E$1,[2]quests!$1:$1,0)-MATCH($C$1,[2]quests!$1:$1,0)+1,FALSE)</f>
        <v>ギリシャ神話01</v>
      </c>
      <c r="F13" s="21">
        <v>3</v>
      </c>
      <c r="G13" s="23" t="str">
        <f t="shared" si="1"/>
        <v>20016_3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【上級】寡黙な翼竜の侵攻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2"/>
  <sheetViews>
    <sheetView showGridLines="0" workbookViewId="0">
      <pane xSplit="17" ySplit="1" topLeftCell="Y3" activePane="bottomRight" state="frozen"/>
      <selection pane="topRight" activeCell="N1" sqref="N1"/>
      <selection pane="bottomLeft" activeCell="A2" sqref="A2"/>
      <selection pane="bottomRight" activeCell="AI25" sqref="AI25"/>
    </sheetView>
  </sheetViews>
  <sheetFormatPr baseColWidth="12" defaultColWidth="13" defaultRowHeight="21" customHeight="1" outlineLevelCol="1" x14ac:dyDescent="0.15"/>
  <cols>
    <col min="1" max="1" width="19.83203125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1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9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 collapsed="1"/>
    <col min="29" max="29" width="13.5" style="13" hidden="1" customWidth="1" outlineLevel="1"/>
    <col min="30" max="30" width="10" style="14" hidden="1" customWidth="1" outlineLevel="1"/>
    <col min="31" max="31" width="12" style="14" hidden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 x14ac:dyDescent="0.15">
      <c r="A2" s="16" t="str">
        <f t="shared" ref="A2:A8" ca="1" si="0">B2&amp;"_"&amp;C2&amp;"-"&amp;G2&amp;"/"&amp;L2&amp;"&lt;lv"&amp;R2&amp;"&gt;s"&amp;AA2</f>
        <v>20016_1-1/5&lt;lv15&gt;s3</v>
      </c>
      <c r="B2" s="22">
        <v>20016</v>
      </c>
      <c r="C2" s="21">
        <v>1</v>
      </c>
      <c r="D2" s="2" t="str">
        <f t="shared" ref="D2:D8" si="1">B2&amp;"_"&amp;C2</f>
        <v>20016_1</v>
      </c>
      <c r="E2" s="4" t="str">
        <f ca="1">VLOOKUP($B2,OFFSET([2]quests!$A$1,0,0,COUNTA([2]quests!$A:$A),MATCH(E$1,[2]quests!$1:$1,0)-MATCH($B$1,[2]quests!$1:$1,0)+1),MATCH(E$1,[2]quests!$1:$1,0)-MATCH($B$1,[2]quests!$1:$1,0)+1,FALSE)</f>
        <v>寡黙な翼竜の侵攻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【初級】寡黙な翼竜の侵攻</v>
      </c>
      <c r="G2" s="21">
        <v>1</v>
      </c>
      <c r="H2" s="15" t="str">
        <f t="shared" ref="H2:H8" si="2">B2&amp;"_"&amp;C2&amp;"-"&amp;G2</f>
        <v>20016_1-1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パトドッグ ポチ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15</v>
      </c>
      <c r="S2" s="25">
        <v>1.5</v>
      </c>
      <c r="T2" s="25">
        <v>0.8</v>
      </c>
      <c r="U2" s="5">
        <v>0</v>
      </c>
      <c r="V2" s="4" t="e">
        <f ca="1">VLOOKUP($W2,OFFSET(enemy_skill_sets!$B$1,0,0,COUNTA(enemy_skill_sets!$B:$B),MATCH(M$1,enemy_skill_sets!$1:$1,0)-MATCH($W$1,enemy_skill_sets!$1:$1,0)+2),MATCH(M$1,enemy_skill_sets!$1:$1,0)-MATCH($W$1,enemy_skill_sets!$1:$1,0)+2,FALSE)</f>
        <v>#N/A</v>
      </c>
      <c r="W2" s="99">
        <v>0</v>
      </c>
      <c r="X2" s="6">
        <v>2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3</v>
      </c>
      <c r="AB2" s="24">
        <f t="shared" ref="AB2:AB6" si="3">L2</f>
        <v>5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t="shared" ref="AG2:AG8" ca="1" si="4">AD2</f>
        <v>1</v>
      </c>
      <c r="AH2" s="8">
        <v>20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70">
        <v>1</v>
      </c>
    </row>
    <row r="3" spans="1:40" ht="21" customHeight="1" x14ac:dyDescent="0.15">
      <c r="A3" s="16" t="str">
        <f t="shared" si="0"/>
        <v>20016_1-1/25&lt;lv15&gt;s2</v>
      </c>
      <c r="B3" s="22">
        <v>20016</v>
      </c>
      <c r="C3" s="21">
        <v>1</v>
      </c>
      <c r="D3" s="2" t="str">
        <f t="shared" si="1"/>
        <v>20016_1</v>
      </c>
      <c r="E3" s="4" t="str">
        <f ca="1">VLOOKUP($B3,OFFSET([2]quests!$A$1,0,0,COUNTA([2]quests!$A:$A),MATCH(E$1,[2]quests!$1:$1,0)-MATCH($B$1,[2]quests!$1:$1,0)+1),MATCH(E$1,[2]quests!$1:$1,0)-MATCH($B$1,[2]quests!$1:$1,0)+1,FALSE)</f>
        <v>寡黙な翼竜の侵攻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【初級】寡黙な翼竜の侵攻</v>
      </c>
      <c r="G3" s="21">
        <v>1</v>
      </c>
      <c r="H3" s="15" t="str">
        <f t="shared" si="2"/>
        <v>20016_1-1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25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ハチ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15</v>
      </c>
      <c r="S3" s="25">
        <v>0.9</v>
      </c>
      <c r="T3" s="25">
        <v>0.7</v>
      </c>
      <c r="U3" s="5">
        <v>0</v>
      </c>
      <c r="V3" s="4" t="e">
        <f ca="1">VLOOKUP($W3,OFFSET(enemy_skill_sets!$B$1,0,0,COUNTA(enemy_skill_sets!$B:$B),MATCH(M$1,enemy_skill_sets!$1:$1,0)-MATCH($W$1,enemy_skill_sets!$1:$1,0)+2),MATCH(M$1,enemy_skill_sets!$1:$1,0)-MATCH($W$1,enemy_skill_sets!$1:$1,0)+2,FALSE)</f>
        <v>#N/A</v>
      </c>
      <c r="W3" s="62">
        <v>0</v>
      </c>
      <c r="X3" s="6">
        <v>2</v>
      </c>
      <c r="Y3" s="6">
        <v>100</v>
      </c>
      <c r="Z3" s="6">
        <v>0</v>
      </c>
      <c r="AA3" s="101">
        <v>2</v>
      </c>
      <c r="AB3" s="24">
        <f t="shared" si="3"/>
        <v>25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ハチ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t="shared" ca="1" si="4"/>
        <v>1</v>
      </c>
      <c r="AH3" s="8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70">
        <v>1</v>
      </c>
    </row>
    <row r="4" spans="1:40" ht="21" customHeight="1" x14ac:dyDescent="0.15">
      <c r="A4" s="16" t="str">
        <f t="shared" si="0"/>
        <v>20016_1-2/91&lt;lv13&gt;s2</v>
      </c>
      <c r="B4" s="22">
        <v>20016</v>
      </c>
      <c r="C4" s="21">
        <v>1</v>
      </c>
      <c r="D4" s="2" t="str">
        <f t="shared" si="1"/>
        <v>20016_1</v>
      </c>
      <c r="E4" s="4" t="str">
        <f ca="1">VLOOKUP($B4,OFFSET([2]quests!$A$1,0,0,COUNTA([2]quests!$A:$A),MATCH(E$1,[2]quests!$1:$1,0)-MATCH($B$1,[2]quests!$1:$1,0)+1),MATCH(E$1,[2]quests!$1:$1,0)-MATCH($B$1,[2]quests!$1:$1,0)+1,FALSE)</f>
        <v>寡黙な翼竜の侵攻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【初級】寡黙な翼竜の侵攻</v>
      </c>
      <c r="G4" s="21">
        <v>2</v>
      </c>
      <c r="H4" s="15" t="str">
        <f t="shared" si="2"/>
        <v>20016_1-2</v>
      </c>
      <c r="I4" s="4">
        <f ca="1">VLOOKUP($H4,OFFSET(floors!$A$1,0,0,COUNTA(floors!$A:$A),MATCH(I$1,floors!$1:$1,0)-MATCH($H$1,floors!$1:$1,0)+1),MATCH(I$1,floors!$1:$1,0)-MATCH($H$1,floors!$1:$1,0)+1,FALSE)</f>
        <v>35</v>
      </c>
      <c r="J4" s="4">
        <f ca="1">VLOOKUP($H4,OFFSET(floors!$A$1,0,0,COUNTA(floors!$A:$A),MATCH(J$1,floors!$1:$1,0)-MATCH($H$1,floors!$1:$1,0)+1),MATCH(J$1,floors!$1:$1,0)-MATCH($H$1,floors!$1:$1,0)+1,FALSE)</f>
        <v>35</v>
      </c>
      <c r="K4" s="38" t="s">
        <v>53</v>
      </c>
      <c r="L4" s="20">
        <v>91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青龍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13</v>
      </c>
      <c r="S4" s="25">
        <v>1.2</v>
      </c>
      <c r="T4" s="25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全体攻撃</v>
      </c>
      <c r="W4" s="62">
        <v>20016001</v>
      </c>
      <c r="X4" s="6">
        <v>1</v>
      </c>
      <c r="Y4" s="6">
        <v>100</v>
      </c>
      <c r="Z4" s="6">
        <v>1</v>
      </c>
      <c r="AA4" s="101">
        <v>2</v>
      </c>
      <c r="AB4" s="24">
        <f t="shared" si="3"/>
        <v>91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青龍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Drop2N</v>
      </c>
      <c r="AF4" s="7">
        <v>1</v>
      </c>
      <c r="AG4" s="24">
        <f t="shared" ca="1" si="4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70">
        <v>1</v>
      </c>
    </row>
    <row r="5" spans="1:40" ht="21" customHeight="1" x14ac:dyDescent="0.15">
      <c r="A5" s="16" t="str">
        <f t="shared" ca="1" si="0"/>
        <v>20016_1-2/45&lt;lv15&gt;s3</v>
      </c>
      <c r="B5" s="22">
        <v>20016</v>
      </c>
      <c r="C5" s="21">
        <v>1</v>
      </c>
      <c r="D5" s="2" t="str">
        <f t="shared" si="1"/>
        <v>20016_1</v>
      </c>
      <c r="E5" s="4" t="str">
        <f ca="1">VLOOKUP($B5,OFFSET([2]quests!$A$1,0,0,COUNTA([2]quests!$A:$A),MATCH(E$1,[2]quests!$1:$1,0)-MATCH($B$1,[2]quests!$1:$1,0)+1),MATCH(E$1,[2]quests!$1:$1,0)-MATCH($B$1,[2]quests!$1:$1,0)+1,FALSE)</f>
        <v>寡黙な翼竜の侵攻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【初級】寡黙な翼竜の侵攻</v>
      </c>
      <c r="G5" s="21">
        <v>2</v>
      </c>
      <c r="H5" s="15" t="str">
        <f t="shared" si="2"/>
        <v>20016_1-2</v>
      </c>
      <c r="I5" s="4">
        <f ca="1">VLOOKUP($H5,OFFSET(floors!$A$1,0,0,COUNTA(floors!$A:$A),MATCH(I$1,floors!$1:$1,0)-MATCH($H$1,floors!$1:$1,0)+1),MATCH(I$1,floors!$1:$1,0)-MATCH($H$1,floors!$1:$1,0)+1,FALSE)</f>
        <v>35</v>
      </c>
      <c r="J5" s="4">
        <f ca="1">VLOOKUP($H5,OFFSET(floors!$A$1,0,0,COUNTA(floors!$A:$A),MATCH(J$1,floors!$1:$1,0)-MATCH($H$1,floors!$1:$1,0)+1),MATCH(J$1,floors!$1:$1,0)-MATCH($H$1,floors!$1:$1,0)+1,FALSE)</f>
        <v>35</v>
      </c>
      <c r="K5" s="38" t="s">
        <v>53</v>
      </c>
      <c r="L5" s="20">
        <v>45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ショウイン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15</v>
      </c>
      <c r="S5" s="25">
        <v>1.8</v>
      </c>
      <c r="T5" s="25">
        <v>0.9</v>
      </c>
      <c r="U5" s="5">
        <v>0</v>
      </c>
      <c r="V5" s="4" t="e">
        <f ca="1">VLOOKUP($W5,OFFSET(enemy_skill_sets!$B$1,0,0,COUNTA(enemy_skill_sets!$B:$B),MATCH(M$1,enemy_skill_sets!$1:$1,0)-MATCH($W$1,enemy_skill_sets!$1:$1,0)+2),MATCH(M$1,enemy_skill_sets!$1:$1,0)-MATCH($W$1,enemy_skill_sets!$1:$1,0)+2,FALSE)</f>
        <v>#N/A</v>
      </c>
      <c r="W5" s="62">
        <v>0</v>
      </c>
      <c r="X5" s="6">
        <v>1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3</v>
      </c>
      <c r="AB5" s="24">
        <f t="shared" si="3"/>
        <v>45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7">
        <v>1</v>
      </c>
      <c r="AG5" s="24">
        <f t="shared" ca="1" si="4"/>
        <v>2</v>
      </c>
      <c r="AH5" s="8">
        <v>20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70">
        <v>1</v>
      </c>
    </row>
    <row r="6" spans="1:40" ht="21" customHeight="1" x14ac:dyDescent="0.15">
      <c r="A6" s="16" t="str">
        <f t="shared" si="0"/>
        <v>20016_1-3/29&lt;lv15&gt;s2</v>
      </c>
      <c r="B6" s="22">
        <v>20016</v>
      </c>
      <c r="C6" s="21">
        <v>1</v>
      </c>
      <c r="D6" s="2" t="str">
        <f t="shared" si="1"/>
        <v>20016_1</v>
      </c>
      <c r="E6" s="4" t="str">
        <f ca="1">VLOOKUP($B6,OFFSET([2]quests!$A$1,0,0,COUNTA([2]quests!$A:$A),MATCH(E$1,[2]quests!$1:$1,0)-MATCH($B$1,[2]quests!$1:$1,0)+1),MATCH(E$1,[2]quests!$1:$1,0)-MATCH($B$1,[2]quests!$1:$1,0)+1,FALSE)</f>
        <v>寡黙な翼竜の侵攻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【初級】寡黙な翼竜の侵攻</v>
      </c>
      <c r="G6" s="21">
        <v>3</v>
      </c>
      <c r="H6" s="15" t="str">
        <f t="shared" si="2"/>
        <v>20016_1-3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45</v>
      </c>
      <c r="K6" s="38" t="s">
        <v>53</v>
      </c>
      <c r="L6" s="20">
        <v>29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スケアクロウ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15</v>
      </c>
      <c r="S6" s="25">
        <v>2.5</v>
      </c>
      <c r="T6" s="25">
        <v>1.2</v>
      </c>
      <c r="U6" s="5">
        <v>0</v>
      </c>
      <c r="V6" s="4" t="e">
        <f ca="1">VLOOKUP($W6,OFFSET(enemy_skill_sets!$B$1,0,0,COUNTA(enemy_skill_sets!$B:$B),MATCH(M$1,enemy_skill_sets!$1:$1,0)-MATCH($W$1,enemy_skill_sets!$1:$1,0)+2),MATCH(M$1,enemy_skill_sets!$1:$1,0)-MATCH($W$1,enemy_skill_sets!$1:$1,0)+2,FALSE)</f>
        <v>#N/A</v>
      </c>
      <c r="W6" s="62">
        <v>0</v>
      </c>
      <c r="X6" s="6">
        <v>2</v>
      </c>
      <c r="Y6" s="6">
        <v>100</v>
      </c>
      <c r="Z6" s="6">
        <v>0</v>
      </c>
      <c r="AA6" s="101">
        <v>2</v>
      </c>
      <c r="AB6" s="24">
        <f t="shared" si="3"/>
        <v>29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スケアクロウ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1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7">
        <v>1</v>
      </c>
      <c r="AG6" s="24">
        <f t="shared" ca="1" si="4"/>
        <v>1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70">
        <v>1</v>
      </c>
    </row>
    <row r="7" spans="1:40" ht="21" customHeight="1" x14ac:dyDescent="0.15">
      <c r="A7" s="16" t="str">
        <f t="shared" si="0"/>
        <v>20016_1-3/30&lt;lv15&gt;s3</v>
      </c>
      <c r="B7" s="22">
        <v>20016</v>
      </c>
      <c r="C7" s="21">
        <v>1</v>
      </c>
      <c r="D7" s="2" t="str">
        <f t="shared" si="1"/>
        <v>20016_1</v>
      </c>
      <c r="E7" s="4" t="str">
        <f ca="1">VLOOKUP($B7,OFFSET([2]quests!$A$1,0,0,COUNTA([2]quests!$A:$A),MATCH(E$1,[2]quests!$1:$1,0)-MATCH($B$1,[2]quests!$1:$1,0)+1),MATCH(E$1,[2]quests!$1:$1,0)-MATCH($B$1,[2]quests!$1:$1,0)+1,FALSE)</f>
        <v>寡黙な翼竜の侵攻</v>
      </c>
      <c r="F7" s="4" t="str">
        <f ca="1">VLOOKUP($D7,OFFSET([2]stages!$A$1,0,0,COUNTA([2]stages!$A:$A),MATCH(F$1,[2]stages!$2:$2,0)-MATCH($D$1,[2]stages!$2:$2,0)+1),MATCH(F$1,[2]stages!$2:$2,0)-MATCH($D$1,[2]stages!$2:$2,0)+1,FALSE)</f>
        <v>【初級】寡黙な翼竜の侵攻</v>
      </c>
      <c r="G7" s="21">
        <v>3</v>
      </c>
      <c r="H7" s="15" t="str">
        <f t="shared" si="2"/>
        <v>20016_1-3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38" t="s">
        <v>53</v>
      </c>
      <c r="L7" s="20">
        <v>30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護衛機人 スケアクロウ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15</v>
      </c>
      <c r="S7" s="25">
        <v>4</v>
      </c>
      <c r="T7" s="25">
        <v>1.5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２ターンの間全ユニットの攻撃力30%DOWN</v>
      </c>
      <c r="W7" s="62">
        <v>20016002</v>
      </c>
      <c r="X7" s="6">
        <v>1</v>
      </c>
      <c r="Y7" s="6">
        <v>100</v>
      </c>
      <c r="Z7" s="6">
        <v>1</v>
      </c>
      <c r="AA7" s="17">
        <v>3</v>
      </c>
      <c r="AB7" s="100">
        <v>29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スケアクロウ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1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7">
        <v>1</v>
      </c>
      <c r="AG7" s="24">
        <f t="shared" ca="1" si="4"/>
        <v>1</v>
      </c>
      <c r="AH7" s="8">
        <v>20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70">
        <v>1</v>
      </c>
    </row>
    <row r="8" spans="1:40" ht="21" customHeight="1" x14ac:dyDescent="0.15">
      <c r="A8" s="16" t="str">
        <f t="shared" si="0"/>
        <v>20016_1-4/738&lt;lv13&gt;s2</v>
      </c>
      <c r="B8" s="22">
        <v>20016</v>
      </c>
      <c r="C8" s="21">
        <v>1</v>
      </c>
      <c r="D8" s="2" t="str">
        <f t="shared" si="1"/>
        <v>20016_1</v>
      </c>
      <c r="E8" s="4" t="str">
        <f ca="1">VLOOKUP($B8,OFFSET([2]quests!$A$1,0,0,COUNTA([2]quests!$A:$A),MATCH(E$1,[2]quests!$1:$1,0)-MATCH($B$1,[2]quests!$1:$1,0)+1),MATCH(E$1,[2]quests!$1:$1,0)-MATCH($B$1,[2]quests!$1:$1,0)+1,FALSE)</f>
        <v>寡黙な翼竜の侵攻</v>
      </c>
      <c r="F8" s="4" t="str">
        <f ca="1">VLOOKUP($D8,OFFSET([2]stages!$A$1,0,0,COUNTA([2]stages!$A:$A),MATCH(F$1,[2]stages!$2:$2,0)-MATCH($D$1,[2]stages!$2:$2,0)+1),MATCH(F$1,[2]stages!$2:$2,0)-MATCH($D$1,[2]stages!$2:$2,0)+1,FALSE)</f>
        <v>【初級】寡黙な翼竜の侵攻</v>
      </c>
      <c r="G8" s="21">
        <v>4</v>
      </c>
      <c r="H8" s="15" t="str">
        <f t="shared" si="2"/>
        <v>20016_1-4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738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ラドン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13</v>
      </c>
      <c r="S8" s="25">
        <v>1.6</v>
      </c>
      <c r="T8" s="25">
        <v>1.4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自身にスリープ耐性_x000D_+解除するまでダメージを与えるウィルス</v>
      </c>
      <c r="W8" s="62">
        <v>20016005</v>
      </c>
      <c r="X8" s="6">
        <v>1</v>
      </c>
      <c r="Y8" s="6">
        <v>100</v>
      </c>
      <c r="Z8" s="6">
        <v>1</v>
      </c>
      <c r="AA8" s="101">
        <v>2</v>
      </c>
      <c r="AB8" s="24">
        <f>L8</f>
        <v>738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ラドン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Drop2N</v>
      </c>
      <c r="AF8" s="7">
        <v>1</v>
      </c>
      <c r="AG8" s="24">
        <f t="shared" ca="1" si="4"/>
        <v>4</v>
      </c>
      <c r="AH8" s="8">
        <v>20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70">
        <v>1</v>
      </c>
    </row>
    <row r="9" spans="1:40" ht="21" customHeight="1" x14ac:dyDescent="0.15">
      <c r="A9" s="16" t="str">
        <f t="shared" ref="A9:A15" ca="1" si="5">B9&amp;"_"&amp;C9&amp;"-"&amp;G9&amp;"/"&amp;L9&amp;"&lt;lv"&amp;R9&amp;"&gt;s"&amp;AA9</f>
        <v>20016_2-1/5&lt;lv30&gt;s3</v>
      </c>
      <c r="B9" s="22">
        <v>20016</v>
      </c>
      <c r="C9" s="21">
        <v>2</v>
      </c>
      <c r="D9" s="2" t="str">
        <f t="shared" ref="D9:D15" si="6">B9&amp;"_"&amp;C9</f>
        <v>20016_2</v>
      </c>
      <c r="E9" s="4" t="str">
        <f ca="1">VLOOKUP($B9,OFFSET([2]quests!$A$1,0,0,COUNTA([2]quests!$A:$A),MATCH(E$1,[2]quests!$1:$1,0)-MATCH($B$1,[2]quests!$1:$1,0)+1),MATCH(E$1,[2]quests!$1:$1,0)-MATCH($B$1,[2]quests!$1:$1,0)+1,FALSE)</f>
        <v>寡黙な翼竜の侵攻</v>
      </c>
      <c r="F9" s="4" t="str">
        <f ca="1">VLOOKUP($D9,OFFSET([2]stages!$A$1,0,0,COUNTA([2]stages!$A:$A),MATCH(F$1,[2]stages!$2:$2,0)-MATCH($D$1,[2]stages!$2:$2,0)+1),MATCH(F$1,[2]stages!$2:$2,0)-MATCH($D$1,[2]stages!$2:$2,0)+1,FALSE)</f>
        <v>【中級】寡黙な翼竜の侵攻</v>
      </c>
      <c r="G9" s="21">
        <v>1</v>
      </c>
      <c r="H9" s="15" t="str">
        <f t="shared" ref="H9:H15" si="7">B9&amp;"_"&amp;C9&amp;"-"&amp;G9</f>
        <v>20016_2-1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5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パトドッグ ポチ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Drop1T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30</v>
      </c>
      <c r="S9" s="25">
        <v>1.5</v>
      </c>
      <c r="T9" s="25">
        <v>0.8</v>
      </c>
      <c r="U9" s="5">
        <v>0</v>
      </c>
      <c r="V9" s="4" t="e">
        <f ca="1">VLOOKUP($W9,OFFSET(enemy_skill_sets!$B$1,0,0,COUNTA(enemy_skill_sets!$B:$B),MATCH(M$1,enemy_skill_sets!$1:$1,0)-MATCH($W$1,enemy_skill_sets!$1:$1,0)+2),MATCH(M$1,enemy_skill_sets!$1:$1,0)-MATCH($W$1,enemy_skill_sets!$1:$1,0)+2,FALSE)</f>
        <v>#N/A</v>
      </c>
      <c r="W9" s="99">
        <v>0</v>
      </c>
      <c r="X9" s="6">
        <v>2</v>
      </c>
      <c r="Y9" s="6">
        <v>100</v>
      </c>
      <c r="Z9" s="6">
        <v>0</v>
      </c>
      <c r="AA9" s="17">
        <f ca="1">VLOOKUP($L9,OFFSET([3]enemies!$A$1,0,0,COUNTA([3]enemies!$A:$A),MATCH(AA$1,[3]enemies!$1:$1,0)-MATCH($L$1,[3]enemies!$1:$1,0)+1),MATCH(AA$1,[3]enemies!$1:$1,0)-MATCH($L$1,[3]enemies!$1:$1,0)+1,FALSE)</f>
        <v>3</v>
      </c>
      <c r="AB9" s="24">
        <f t="shared" ref="AB9:AB13" si="8">L9</f>
        <v>5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1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Drop1T</v>
      </c>
      <c r="AF9" s="7">
        <v>1</v>
      </c>
      <c r="AG9" s="24">
        <f t="shared" ref="AG9:AG15" ca="1" si="9">AD9</f>
        <v>1</v>
      </c>
      <c r="AH9" s="8">
        <v>20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70">
        <v>1</v>
      </c>
    </row>
    <row r="10" spans="1:40" ht="21" customHeight="1" x14ac:dyDescent="0.15">
      <c r="A10" s="16" t="str">
        <f t="shared" si="5"/>
        <v>20016_2-1/25&lt;lv30&gt;s2</v>
      </c>
      <c r="B10" s="22">
        <v>20016</v>
      </c>
      <c r="C10" s="21">
        <v>2</v>
      </c>
      <c r="D10" s="2" t="str">
        <f t="shared" si="6"/>
        <v>20016_2</v>
      </c>
      <c r="E10" s="4" t="str">
        <f ca="1">VLOOKUP($B10,OFFSET([2]quests!$A$1,0,0,COUNTA([2]quests!$A:$A),MATCH(E$1,[2]quests!$1:$1,0)-MATCH($B$1,[2]quests!$1:$1,0)+1),MATCH(E$1,[2]quests!$1:$1,0)-MATCH($B$1,[2]quests!$1:$1,0)+1,FALSE)</f>
        <v>寡黙な翼竜の侵攻</v>
      </c>
      <c r="F10" s="4" t="str">
        <f ca="1">VLOOKUP($D10,OFFSET([2]stages!$A$1,0,0,COUNTA([2]stages!$A:$A),MATCH(F$1,[2]stages!$2:$2,0)-MATCH($D$1,[2]stages!$2:$2,0)+1),MATCH(F$1,[2]stages!$2:$2,0)-MATCH($D$1,[2]stages!$2:$2,0)+1,FALSE)</f>
        <v>【中級】寡黙な翼竜の侵攻</v>
      </c>
      <c r="G10" s="21">
        <v>1</v>
      </c>
      <c r="H10" s="15" t="str">
        <f t="shared" si="7"/>
        <v>20016_2-1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25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ハチ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30</v>
      </c>
      <c r="S10" s="25">
        <v>0.9</v>
      </c>
      <c r="T10" s="25">
        <v>0.7</v>
      </c>
      <c r="U10" s="5">
        <v>0</v>
      </c>
      <c r="V10" s="4" t="e">
        <f ca="1">VLOOKUP($W10,OFFSET(enemy_skill_sets!$B$1,0,0,COUNTA(enemy_skill_sets!$B:$B),MATCH(M$1,enemy_skill_sets!$1:$1,0)-MATCH($W$1,enemy_skill_sets!$1:$1,0)+2),MATCH(M$1,enemy_skill_sets!$1:$1,0)-MATCH($W$1,enemy_skill_sets!$1:$1,0)+2,FALSE)</f>
        <v>#N/A</v>
      </c>
      <c r="W10" s="62">
        <v>0</v>
      </c>
      <c r="X10" s="6">
        <v>2</v>
      </c>
      <c r="Y10" s="6">
        <v>100</v>
      </c>
      <c r="Z10" s="6">
        <v>0</v>
      </c>
      <c r="AA10" s="101">
        <v>2</v>
      </c>
      <c r="AB10" s="24">
        <f t="shared" si="8"/>
        <v>25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ハチ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1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Drop1N</v>
      </c>
      <c r="AF10" s="7">
        <v>1</v>
      </c>
      <c r="AG10" s="24">
        <f t="shared" ca="1" si="9"/>
        <v>1</v>
      </c>
      <c r="AH10" s="8">
        <v>20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70">
        <v>1</v>
      </c>
    </row>
    <row r="11" spans="1:40" ht="21" customHeight="1" x14ac:dyDescent="0.15">
      <c r="A11" s="16" t="str">
        <f t="shared" si="5"/>
        <v>20016_2-2/91&lt;lv30&gt;s2</v>
      </c>
      <c r="B11" s="22">
        <v>20016</v>
      </c>
      <c r="C11" s="21">
        <v>2</v>
      </c>
      <c r="D11" s="2" t="str">
        <f t="shared" si="6"/>
        <v>20016_2</v>
      </c>
      <c r="E11" s="4" t="str">
        <f ca="1">VLOOKUP($B11,OFFSET([2]quests!$A$1,0,0,COUNTA([2]quests!$A:$A),MATCH(E$1,[2]quests!$1:$1,0)-MATCH($B$1,[2]quests!$1:$1,0)+1),MATCH(E$1,[2]quests!$1:$1,0)-MATCH($B$1,[2]quests!$1:$1,0)+1,FALSE)</f>
        <v>寡黙な翼竜の侵攻</v>
      </c>
      <c r="F11" s="4" t="str">
        <f ca="1">VLOOKUP($D11,OFFSET([2]stages!$A$1,0,0,COUNTA([2]stages!$A:$A),MATCH(F$1,[2]stages!$2:$2,0)-MATCH($D$1,[2]stages!$2:$2,0)+1),MATCH(F$1,[2]stages!$2:$2,0)-MATCH($D$1,[2]stages!$2:$2,0)+1,FALSE)</f>
        <v>【中級】寡黙な翼竜の侵攻</v>
      </c>
      <c r="G11" s="21">
        <v>2</v>
      </c>
      <c r="H11" s="15" t="str">
        <f t="shared" si="7"/>
        <v>20016_2-2</v>
      </c>
      <c r="I11" s="4">
        <f ca="1">VLOOKUP($H11,OFFSET(floors!$A$1,0,0,COUNTA(floors!$A:$A),MATCH(I$1,floors!$1:$1,0)-MATCH($H$1,floors!$1:$1,0)+1),MATCH(I$1,floors!$1:$1,0)-MATCH($H$1,floors!$1:$1,0)+1,FALSE)</f>
        <v>35</v>
      </c>
      <c r="J11" s="4">
        <f ca="1">VLOOKUP($H11,OFFSET(floors!$A$1,0,0,COUNTA(floors!$A:$A),MATCH(J$1,floors!$1:$1,0)-MATCH($H$1,floors!$1:$1,0)+1),MATCH(J$1,floors!$1:$1,0)-MATCH($H$1,floors!$1:$1,0)+1,FALSE)</f>
        <v>35</v>
      </c>
      <c r="K11" s="38" t="s">
        <v>53</v>
      </c>
      <c r="L11" s="20">
        <v>91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青龍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dragon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30</v>
      </c>
      <c r="S11" s="25">
        <v>1.2</v>
      </c>
      <c r="T11" s="25">
        <v>1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1" s="62">
        <v>20016001</v>
      </c>
      <c r="X11" s="6">
        <v>1</v>
      </c>
      <c r="Y11" s="6">
        <v>100</v>
      </c>
      <c r="Z11" s="6">
        <v>1</v>
      </c>
      <c r="AA11" s="101">
        <v>2</v>
      </c>
      <c r="AB11" s="24">
        <f t="shared" si="8"/>
        <v>91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青龍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3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Drop2N</v>
      </c>
      <c r="AF11" s="7">
        <v>1</v>
      </c>
      <c r="AG11" s="24">
        <f t="shared" ca="1" si="9"/>
        <v>3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70">
        <v>1</v>
      </c>
    </row>
    <row r="12" spans="1:40" ht="21" customHeight="1" x14ac:dyDescent="0.15">
      <c r="A12" s="16" t="str">
        <f t="shared" ca="1" si="5"/>
        <v>20016_2-2/45&lt;lv30&gt;s3</v>
      </c>
      <c r="B12" s="22">
        <v>20016</v>
      </c>
      <c r="C12" s="21">
        <v>2</v>
      </c>
      <c r="D12" s="2" t="str">
        <f t="shared" si="6"/>
        <v>20016_2</v>
      </c>
      <c r="E12" s="4" t="str">
        <f ca="1">VLOOKUP($B12,OFFSET([2]quests!$A$1,0,0,COUNTA([2]quests!$A:$A),MATCH(E$1,[2]quests!$1:$1,0)-MATCH($B$1,[2]quests!$1:$1,0)+1),MATCH(E$1,[2]quests!$1:$1,0)-MATCH($B$1,[2]quests!$1:$1,0)+1,FALSE)</f>
        <v>寡黙な翼竜の侵攻</v>
      </c>
      <c r="F12" s="4" t="str">
        <f ca="1">VLOOKUP($D12,OFFSET([2]stages!$A$1,0,0,COUNTA([2]stages!$A:$A),MATCH(F$1,[2]stages!$2:$2,0)-MATCH($D$1,[2]stages!$2:$2,0)+1),MATCH(F$1,[2]stages!$2:$2,0)-MATCH($D$1,[2]stages!$2:$2,0)+1,FALSE)</f>
        <v>【中級】寡黙な翼竜の侵攻</v>
      </c>
      <c r="G12" s="21">
        <v>2</v>
      </c>
      <c r="H12" s="15" t="str">
        <f t="shared" si="7"/>
        <v>20016_2-2</v>
      </c>
      <c r="I12" s="4">
        <f ca="1">VLOOKUP($H12,OFFSET(floors!$A$1,0,0,COUNTA(floors!$A:$A),MATCH(I$1,floors!$1:$1,0)-MATCH($H$1,floors!$1:$1,0)+1),MATCH(I$1,floors!$1:$1,0)-MATCH($H$1,floors!$1:$1,0)+1,FALSE)</f>
        <v>35</v>
      </c>
      <c r="J12" s="4">
        <f ca="1">VLOOKUP($H12,OFFSET(floors!$A$1,0,0,COUNTA(floors!$A:$A),MATCH(J$1,floors!$1:$1,0)-MATCH($H$1,floors!$1:$1,0)+1),MATCH(J$1,floors!$1:$1,0)-MATCH($H$1,floors!$1:$1,0)+1,FALSE)</f>
        <v>35</v>
      </c>
      <c r="K12" s="38" t="s">
        <v>53</v>
      </c>
      <c r="L12" s="20">
        <v>45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ショウイン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30</v>
      </c>
      <c r="S12" s="25">
        <v>1.8</v>
      </c>
      <c r="T12" s="25">
        <v>0.9</v>
      </c>
      <c r="U12" s="5">
        <v>0</v>
      </c>
      <c r="V12" s="4" t="e">
        <f ca="1">VLOOKUP($W12,OFFSET(enemy_skill_sets!$B$1,0,0,COUNTA(enemy_skill_sets!$B:$B),MATCH(M$1,enemy_skill_sets!$1:$1,0)-MATCH($W$1,enemy_skill_sets!$1:$1,0)+2),MATCH(M$1,enemy_skill_sets!$1:$1,0)-MATCH($W$1,enemy_skill_sets!$1:$1,0)+2,FALSE)</f>
        <v>#N/A</v>
      </c>
      <c r="W12" s="62">
        <v>0</v>
      </c>
      <c r="X12" s="6">
        <v>1</v>
      </c>
      <c r="Y12" s="6">
        <v>100</v>
      </c>
      <c r="Z12" s="6">
        <v>0</v>
      </c>
      <c r="AA12" s="17">
        <f ca="1">VLOOKUP($L12,OFFSET([3]enemies!$A$1,0,0,COUNTA([3]enemies!$A:$A),MATCH(AA$1,[3]enemies!$1:$1,0)-MATCH($L$1,[3]enemies!$1:$1,0)+1),MATCH(AA$1,[3]enemies!$1:$1,0)-MATCH($L$1,[3]enemies!$1:$1,0)+1,FALSE)</f>
        <v>3</v>
      </c>
      <c r="AB12" s="24">
        <f t="shared" si="8"/>
        <v>45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7">
        <v>1</v>
      </c>
      <c r="AG12" s="24">
        <f t="shared" ca="1" si="9"/>
        <v>2</v>
      </c>
      <c r="AH12" s="8">
        <v>20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70">
        <v>1</v>
      </c>
    </row>
    <row r="13" spans="1:40" ht="21" customHeight="1" x14ac:dyDescent="0.15">
      <c r="A13" s="16" t="str">
        <f t="shared" si="5"/>
        <v>20016_2-3/29&lt;lv30&gt;s2</v>
      </c>
      <c r="B13" s="22">
        <v>20016</v>
      </c>
      <c r="C13" s="21">
        <v>2</v>
      </c>
      <c r="D13" s="2" t="str">
        <f t="shared" si="6"/>
        <v>20016_2</v>
      </c>
      <c r="E13" s="4" t="str">
        <f ca="1">VLOOKUP($B13,OFFSET([2]quests!$A$1,0,0,COUNTA([2]quests!$A:$A),MATCH(E$1,[2]quests!$1:$1,0)-MATCH($B$1,[2]quests!$1:$1,0)+1),MATCH(E$1,[2]quests!$1:$1,0)-MATCH($B$1,[2]quests!$1:$1,0)+1,FALSE)</f>
        <v>寡黙な翼竜の侵攻</v>
      </c>
      <c r="F13" s="4" t="str">
        <f ca="1">VLOOKUP($D13,OFFSET([2]stages!$A$1,0,0,COUNTA([2]stages!$A:$A),MATCH(F$1,[2]stages!$2:$2,0)-MATCH($D$1,[2]stages!$2:$2,0)+1),MATCH(F$1,[2]stages!$2:$2,0)-MATCH($D$1,[2]stages!$2:$2,0)+1,FALSE)</f>
        <v>【中級】寡黙な翼竜の侵攻</v>
      </c>
      <c r="G13" s="21">
        <v>3</v>
      </c>
      <c r="H13" s="15" t="str">
        <f t="shared" si="7"/>
        <v>20016_2-3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45</v>
      </c>
      <c r="K13" s="38" t="s">
        <v>53</v>
      </c>
      <c r="L13" s="20">
        <v>29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スケアクロウ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machine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30</v>
      </c>
      <c r="S13" s="25">
        <v>2.5</v>
      </c>
      <c r="T13" s="25">
        <v>1.2</v>
      </c>
      <c r="U13" s="5">
        <v>0</v>
      </c>
      <c r="V13" s="4" t="e">
        <f ca="1">VLOOKUP($W13,OFFSET(enemy_skill_sets!$B$1,0,0,COUNTA(enemy_skill_sets!$B:$B),MATCH(M$1,enemy_skill_sets!$1:$1,0)-MATCH($W$1,enemy_skill_sets!$1:$1,0)+2),MATCH(M$1,enemy_skill_sets!$1:$1,0)-MATCH($W$1,enemy_skill_sets!$1:$1,0)+2,FALSE)</f>
        <v>#N/A</v>
      </c>
      <c r="W13" s="62">
        <v>0</v>
      </c>
      <c r="X13" s="6">
        <v>2</v>
      </c>
      <c r="Y13" s="6">
        <v>100</v>
      </c>
      <c r="Z13" s="6">
        <v>0</v>
      </c>
      <c r="AA13" s="101">
        <v>2</v>
      </c>
      <c r="AB13" s="24">
        <f t="shared" si="8"/>
        <v>29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スケアクロウ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1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Drop1N</v>
      </c>
      <c r="AF13" s="7">
        <v>1</v>
      </c>
      <c r="AG13" s="24">
        <f t="shared" ca="1" si="9"/>
        <v>1</v>
      </c>
      <c r="AH13" s="8">
        <v>20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70">
        <v>1</v>
      </c>
    </row>
    <row r="14" spans="1:40" ht="21" customHeight="1" x14ac:dyDescent="0.15">
      <c r="A14" s="16" t="str">
        <f t="shared" si="5"/>
        <v>20016_2-3/30&lt;lv30&gt;s3</v>
      </c>
      <c r="B14" s="22">
        <v>20016</v>
      </c>
      <c r="C14" s="21">
        <v>2</v>
      </c>
      <c r="D14" s="2" t="str">
        <f t="shared" si="6"/>
        <v>20016_2</v>
      </c>
      <c r="E14" s="4" t="str">
        <f ca="1">VLOOKUP($B14,OFFSET([2]quests!$A$1,0,0,COUNTA([2]quests!$A:$A),MATCH(E$1,[2]quests!$1:$1,0)-MATCH($B$1,[2]quests!$1:$1,0)+1),MATCH(E$1,[2]quests!$1:$1,0)-MATCH($B$1,[2]quests!$1:$1,0)+1,FALSE)</f>
        <v>寡黙な翼竜の侵攻</v>
      </c>
      <c r="F14" s="4" t="str">
        <f ca="1">VLOOKUP($D14,OFFSET([2]stages!$A$1,0,0,COUNTA([2]stages!$A:$A),MATCH(F$1,[2]stages!$2:$2,0)-MATCH($D$1,[2]stages!$2:$2,0)+1),MATCH(F$1,[2]stages!$2:$2,0)-MATCH($D$1,[2]stages!$2:$2,0)+1,FALSE)</f>
        <v>【中級】寡黙な翼竜の侵攻</v>
      </c>
      <c r="G14" s="21">
        <v>3</v>
      </c>
      <c r="H14" s="15" t="str">
        <f t="shared" si="7"/>
        <v>20016_2-3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45</v>
      </c>
      <c r="K14" s="38" t="s">
        <v>53</v>
      </c>
      <c r="L14" s="20">
        <v>30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護衛機人 スケアクロウ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machine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30</v>
      </c>
      <c r="S14" s="25">
        <v>4</v>
      </c>
      <c r="T14" s="25">
        <v>1.5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２ターンの間全ユニットの攻撃力30%DOWN</v>
      </c>
      <c r="W14" s="62">
        <v>20016002</v>
      </c>
      <c r="X14" s="6">
        <v>1</v>
      </c>
      <c r="Y14" s="6">
        <v>100</v>
      </c>
      <c r="Z14" s="6">
        <v>1</v>
      </c>
      <c r="AA14" s="17">
        <v>3</v>
      </c>
      <c r="AB14" s="100">
        <v>29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スケアクロウ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1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7">
        <v>1</v>
      </c>
      <c r="AG14" s="24">
        <f t="shared" ca="1" si="9"/>
        <v>1</v>
      </c>
      <c r="AH14" s="8">
        <v>20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70">
        <v>1</v>
      </c>
    </row>
    <row r="15" spans="1:40" ht="21" customHeight="1" x14ac:dyDescent="0.15">
      <c r="A15" s="16" t="str">
        <f t="shared" si="5"/>
        <v>20016_2-4/738&lt;lv30&gt;s2</v>
      </c>
      <c r="B15" s="22">
        <v>20016</v>
      </c>
      <c r="C15" s="21">
        <v>2</v>
      </c>
      <c r="D15" s="2" t="str">
        <f t="shared" si="6"/>
        <v>20016_2</v>
      </c>
      <c r="E15" s="4" t="str">
        <f ca="1">VLOOKUP($B15,OFFSET([2]quests!$A$1,0,0,COUNTA([2]quests!$A:$A),MATCH(E$1,[2]quests!$1:$1,0)-MATCH($B$1,[2]quests!$1:$1,0)+1),MATCH(E$1,[2]quests!$1:$1,0)-MATCH($B$1,[2]quests!$1:$1,0)+1,FALSE)</f>
        <v>寡黙な翼竜の侵攻</v>
      </c>
      <c r="F15" s="4" t="str">
        <f ca="1">VLOOKUP($D15,OFFSET([2]stages!$A$1,0,0,COUNTA([2]stages!$A:$A),MATCH(F$1,[2]stages!$2:$2,0)-MATCH($D$1,[2]stages!$2:$2,0)+1),MATCH(F$1,[2]stages!$2:$2,0)-MATCH($D$1,[2]stages!$2:$2,0)+1,FALSE)</f>
        <v>【中級】寡黙な翼竜の侵攻</v>
      </c>
      <c r="G15" s="21">
        <v>4</v>
      </c>
      <c r="H15" s="15" t="str">
        <f t="shared" si="7"/>
        <v>20016_2-4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1</v>
      </c>
      <c r="L15" s="20">
        <v>738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ラドン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Drop2N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dragon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30</v>
      </c>
      <c r="S15" s="25">
        <v>1.6</v>
      </c>
      <c r="T15" s="25">
        <v>1.1000000000000001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自身にスリープ耐性_x000D_+解除するまでダメージを与えるウィルス</v>
      </c>
      <c r="W15" s="62">
        <v>20016005</v>
      </c>
      <c r="X15" s="6">
        <v>1</v>
      </c>
      <c r="Y15" s="6">
        <v>100</v>
      </c>
      <c r="Z15" s="6">
        <v>1</v>
      </c>
      <c r="AA15" s="101">
        <v>2</v>
      </c>
      <c r="AB15" s="24">
        <f>L15</f>
        <v>738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ラドン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Drop2N</v>
      </c>
      <c r="AF15" s="7">
        <v>1</v>
      </c>
      <c r="AG15" s="24">
        <f t="shared" ca="1" si="9"/>
        <v>4</v>
      </c>
      <c r="AH15" s="8">
        <v>50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70">
        <v>1</v>
      </c>
    </row>
    <row r="16" spans="1:40" ht="21" customHeight="1" x14ac:dyDescent="0.15">
      <c r="A16" s="16" t="str">
        <f t="shared" ref="A16:A22" ca="1" si="10">B16&amp;"_"&amp;C16&amp;"-"&amp;G16&amp;"/"&amp;L16&amp;"&lt;lv"&amp;R16&amp;"&gt;s"&amp;AA16</f>
        <v>20016_3-1/5&lt;lv40&gt;s3</v>
      </c>
      <c r="B16" s="22">
        <v>20016</v>
      </c>
      <c r="C16" s="21">
        <v>3</v>
      </c>
      <c r="D16" s="2" t="str">
        <f t="shared" ref="D16:D22" si="11">B16&amp;"_"&amp;C16</f>
        <v>20016_3</v>
      </c>
      <c r="E16" s="4" t="str">
        <f ca="1">VLOOKUP($B16,OFFSET([2]quests!$A$1,0,0,COUNTA([2]quests!$A:$A),MATCH(E$1,[2]quests!$1:$1,0)-MATCH($B$1,[2]quests!$1:$1,0)+1),MATCH(E$1,[2]quests!$1:$1,0)-MATCH($B$1,[2]quests!$1:$1,0)+1,FALSE)</f>
        <v>寡黙な翼竜の侵攻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【上級】寡黙な翼竜の侵攻</v>
      </c>
      <c r="G16" s="21">
        <v>1</v>
      </c>
      <c r="H16" s="15" t="str">
        <f t="shared" ref="H16:H22" si="12">B16&amp;"_"&amp;C16&amp;"-"&amp;G16</f>
        <v>20016_3-1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5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パトドッグ ポチ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Drop1T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40</v>
      </c>
      <c r="S16" s="25">
        <v>1.5</v>
      </c>
      <c r="T16" s="25">
        <v>0.8</v>
      </c>
      <c r="U16" s="5">
        <v>0</v>
      </c>
      <c r="V16" s="4" t="e">
        <f ca="1">VLOOKUP($W16,OFFSET(enemy_skill_sets!$B$1,0,0,COUNTA(enemy_skill_sets!$B:$B),MATCH(M$1,enemy_skill_sets!$1:$1,0)-MATCH($W$1,enemy_skill_sets!$1:$1,0)+2),MATCH(M$1,enemy_skill_sets!$1:$1,0)-MATCH($W$1,enemy_skill_sets!$1:$1,0)+2,FALSE)</f>
        <v>#N/A</v>
      </c>
      <c r="W16" s="99">
        <v>0</v>
      </c>
      <c r="X16" s="6">
        <v>2</v>
      </c>
      <c r="Y16" s="6">
        <v>100</v>
      </c>
      <c r="Z16" s="6">
        <v>0</v>
      </c>
      <c r="AA16" s="17">
        <f ca="1">VLOOKUP($L16,OFFSET([3]enemies!$A$1,0,0,COUNTA([3]enemies!$A:$A),MATCH(AA$1,[3]enemies!$1:$1,0)-MATCH($L$1,[3]enemies!$1:$1,0)+1),MATCH(AA$1,[3]enemies!$1:$1,0)-MATCH($L$1,[3]enemies!$1:$1,0)+1,FALSE)</f>
        <v>3</v>
      </c>
      <c r="AB16" s="24">
        <f t="shared" ref="AB16:AB20" si="13">L16</f>
        <v>5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1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Drop1T</v>
      </c>
      <c r="AF16" s="7">
        <v>1</v>
      </c>
      <c r="AG16" s="24">
        <f t="shared" ref="AG16:AG22" ca="1" si="14">AD16</f>
        <v>1</v>
      </c>
      <c r="AH16" s="8">
        <v>20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70">
        <v>1</v>
      </c>
    </row>
    <row r="17" spans="1:40" ht="21" customHeight="1" x14ac:dyDescent="0.15">
      <c r="A17" s="16" t="str">
        <f t="shared" si="10"/>
        <v>20016_3-1/25&lt;lv40&gt;s2</v>
      </c>
      <c r="B17" s="22">
        <v>20016</v>
      </c>
      <c r="C17" s="21">
        <v>3</v>
      </c>
      <c r="D17" s="2" t="str">
        <f t="shared" si="11"/>
        <v>20016_3</v>
      </c>
      <c r="E17" s="4" t="str">
        <f ca="1">VLOOKUP($B17,OFFSET([2]quests!$A$1,0,0,COUNTA([2]quests!$A:$A),MATCH(E$1,[2]quests!$1:$1,0)-MATCH($B$1,[2]quests!$1:$1,0)+1),MATCH(E$1,[2]quests!$1:$1,0)-MATCH($B$1,[2]quests!$1:$1,0)+1,FALSE)</f>
        <v>寡黙な翼竜の侵攻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【上級】寡黙な翼竜の侵攻</v>
      </c>
      <c r="G17" s="21">
        <v>1</v>
      </c>
      <c r="H17" s="15" t="str">
        <f t="shared" si="12"/>
        <v>20016_3-1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25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ハチ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40</v>
      </c>
      <c r="S17" s="25">
        <v>0.9</v>
      </c>
      <c r="T17" s="25">
        <v>0.7</v>
      </c>
      <c r="U17" s="5">
        <v>0</v>
      </c>
      <c r="V17" s="4" t="e">
        <f ca="1">VLOOKUP($W17,OFFSET(enemy_skill_sets!$B$1,0,0,COUNTA(enemy_skill_sets!$B:$B),MATCH(M$1,enemy_skill_sets!$1:$1,0)-MATCH($W$1,enemy_skill_sets!$1:$1,0)+2),MATCH(M$1,enemy_skill_sets!$1:$1,0)-MATCH($W$1,enemy_skill_sets!$1:$1,0)+2,FALSE)</f>
        <v>#N/A</v>
      </c>
      <c r="W17" s="62">
        <v>0</v>
      </c>
      <c r="X17" s="6">
        <v>2</v>
      </c>
      <c r="Y17" s="6">
        <v>100</v>
      </c>
      <c r="Z17" s="6">
        <v>0</v>
      </c>
      <c r="AA17" s="101">
        <v>2</v>
      </c>
      <c r="AB17" s="24">
        <f t="shared" si="13"/>
        <v>25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ハチ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1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Drop1N</v>
      </c>
      <c r="AF17" s="7">
        <v>1</v>
      </c>
      <c r="AG17" s="24">
        <f t="shared" ca="1" si="14"/>
        <v>1</v>
      </c>
      <c r="AH17" s="8">
        <v>20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70">
        <v>1</v>
      </c>
    </row>
    <row r="18" spans="1:40" ht="21" customHeight="1" x14ac:dyDescent="0.15">
      <c r="A18" s="16" t="str">
        <f t="shared" si="10"/>
        <v>20016_3-2/91&lt;lv40&gt;s2</v>
      </c>
      <c r="B18" s="22">
        <v>20016</v>
      </c>
      <c r="C18" s="21">
        <v>3</v>
      </c>
      <c r="D18" s="2" t="str">
        <f t="shared" si="11"/>
        <v>20016_3</v>
      </c>
      <c r="E18" s="4" t="str">
        <f ca="1">VLOOKUP($B18,OFFSET([2]quests!$A$1,0,0,COUNTA([2]quests!$A:$A),MATCH(E$1,[2]quests!$1:$1,0)-MATCH($B$1,[2]quests!$1:$1,0)+1),MATCH(E$1,[2]quests!$1:$1,0)-MATCH($B$1,[2]quests!$1:$1,0)+1,FALSE)</f>
        <v>寡黙な翼竜の侵攻</v>
      </c>
      <c r="F18" s="4" t="str">
        <f ca="1">VLOOKUP($D18,OFFSET([2]stages!$A$1,0,0,COUNTA([2]stages!$A:$A),MATCH(F$1,[2]stages!$2:$2,0)-MATCH($D$1,[2]stages!$2:$2,0)+1),MATCH(F$1,[2]stages!$2:$2,0)-MATCH($D$1,[2]stages!$2:$2,0)+1,FALSE)</f>
        <v>【上級】寡黙な翼竜の侵攻</v>
      </c>
      <c r="G18" s="21">
        <v>2</v>
      </c>
      <c r="H18" s="15" t="str">
        <f t="shared" si="12"/>
        <v>20016_3-2</v>
      </c>
      <c r="I18" s="4">
        <f ca="1">VLOOKUP($H18,OFFSET(floors!$A$1,0,0,COUNTA(floors!$A:$A),MATCH(I$1,floors!$1:$1,0)-MATCH($H$1,floors!$1:$1,0)+1),MATCH(I$1,floors!$1:$1,0)-MATCH($H$1,floors!$1:$1,0)+1,FALSE)</f>
        <v>35</v>
      </c>
      <c r="J18" s="4">
        <f ca="1">VLOOKUP($H18,OFFSET(floors!$A$1,0,0,COUNTA(floors!$A:$A),MATCH(J$1,floors!$1:$1,0)-MATCH($H$1,floors!$1:$1,0)+1),MATCH(J$1,floors!$1:$1,0)-MATCH($H$1,floors!$1:$1,0)+1,FALSE)</f>
        <v>35</v>
      </c>
      <c r="K18" s="38" t="s">
        <v>53</v>
      </c>
      <c r="L18" s="20">
        <v>91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青龍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Drop2N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dragon</v>
      </c>
      <c r="Q18" s="17">
        <f ca="1">VLOOKUP($L18,OFFSET([3]enemies!$A$1,0,0,COUNTA([3]enemies!$A:$A),MATCH(Q$1,[3]enemies!$1:$1,0)-MATCH($L$1,[3]enemies!$1:$1,0)+1),MATCH(Q$1,[3]enemies!$1:$1,0)-MATCH($L$1,[3]enemies!$1:$1,0)+1,FALSE)</f>
        <v>20</v>
      </c>
      <c r="R18" s="5">
        <v>40</v>
      </c>
      <c r="S18" s="25">
        <v>1.2</v>
      </c>
      <c r="T18" s="25">
        <v>1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8" s="62">
        <v>20016001</v>
      </c>
      <c r="X18" s="6">
        <v>1</v>
      </c>
      <c r="Y18" s="6">
        <v>100</v>
      </c>
      <c r="Z18" s="6">
        <v>1</v>
      </c>
      <c r="AA18" s="101">
        <v>2</v>
      </c>
      <c r="AB18" s="24">
        <f t="shared" si="13"/>
        <v>91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青龍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3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Drop2N</v>
      </c>
      <c r="AF18" s="7">
        <v>1</v>
      </c>
      <c r="AG18" s="24">
        <f t="shared" ca="1" si="14"/>
        <v>3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70">
        <v>1</v>
      </c>
    </row>
    <row r="19" spans="1:40" ht="21" customHeight="1" x14ac:dyDescent="0.15">
      <c r="A19" s="16" t="str">
        <f t="shared" ca="1" si="10"/>
        <v>20016_3-2/45&lt;lv40&gt;s3</v>
      </c>
      <c r="B19" s="22">
        <v>20016</v>
      </c>
      <c r="C19" s="21">
        <v>3</v>
      </c>
      <c r="D19" s="2" t="str">
        <f t="shared" si="11"/>
        <v>20016_3</v>
      </c>
      <c r="E19" s="4" t="str">
        <f ca="1">VLOOKUP($B19,OFFSET([2]quests!$A$1,0,0,COUNTA([2]quests!$A:$A),MATCH(E$1,[2]quests!$1:$1,0)-MATCH($B$1,[2]quests!$1:$1,0)+1),MATCH(E$1,[2]quests!$1:$1,0)-MATCH($B$1,[2]quests!$1:$1,0)+1,FALSE)</f>
        <v>寡黙な翼竜の侵攻</v>
      </c>
      <c r="F19" s="4" t="str">
        <f ca="1">VLOOKUP($D19,OFFSET([2]stages!$A$1,0,0,COUNTA([2]stages!$A:$A),MATCH(F$1,[2]stages!$2:$2,0)-MATCH($D$1,[2]stages!$2:$2,0)+1),MATCH(F$1,[2]stages!$2:$2,0)-MATCH($D$1,[2]stages!$2:$2,0)+1,FALSE)</f>
        <v>【上級】寡黙な翼竜の侵攻</v>
      </c>
      <c r="G19" s="21">
        <v>2</v>
      </c>
      <c r="H19" s="15" t="str">
        <f t="shared" si="12"/>
        <v>20016_3-2</v>
      </c>
      <c r="I19" s="4">
        <f ca="1">VLOOKUP($H19,OFFSET(floors!$A$1,0,0,COUNTA(floors!$A:$A),MATCH(I$1,floors!$1:$1,0)-MATCH($H$1,floors!$1:$1,0)+1),MATCH(I$1,floors!$1:$1,0)-MATCH($H$1,floors!$1:$1,0)+1,FALSE)</f>
        <v>35</v>
      </c>
      <c r="J19" s="4">
        <f ca="1">VLOOKUP($H19,OFFSET(floors!$A$1,0,0,COUNTA(floors!$A:$A),MATCH(J$1,floors!$1:$1,0)-MATCH($H$1,floors!$1:$1,0)+1),MATCH(J$1,floors!$1:$1,0)-MATCH($H$1,floors!$1:$1,0)+1,FALSE)</f>
        <v>35</v>
      </c>
      <c r="K19" s="38" t="s">
        <v>53</v>
      </c>
      <c r="L19" s="20">
        <v>45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ショウイン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40</v>
      </c>
      <c r="S19" s="25">
        <v>1.8</v>
      </c>
      <c r="T19" s="25">
        <v>0.9</v>
      </c>
      <c r="U19" s="5">
        <v>0</v>
      </c>
      <c r="V19" s="4" t="e">
        <f ca="1">VLOOKUP($W19,OFFSET(enemy_skill_sets!$B$1,0,0,COUNTA(enemy_skill_sets!$B:$B),MATCH(M$1,enemy_skill_sets!$1:$1,0)-MATCH($W$1,enemy_skill_sets!$1:$1,0)+2),MATCH(M$1,enemy_skill_sets!$1:$1,0)-MATCH($W$1,enemy_skill_sets!$1:$1,0)+2,FALSE)</f>
        <v>#N/A</v>
      </c>
      <c r="W19" s="62">
        <v>0</v>
      </c>
      <c r="X19" s="6">
        <v>1</v>
      </c>
      <c r="Y19" s="6">
        <v>100</v>
      </c>
      <c r="Z19" s="6">
        <v>0</v>
      </c>
      <c r="AA19" s="17">
        <f ca="1">VLOOKUP($L19,OFFSET([3]enemies!$A$1,0,0,COUNTA([3]enemies!$A:$A),MATCH(AA$1,[3]enemies!$1:$1,0)-MATCH($L$1,[3]enemies!$1:$1,0)+1),MATCH(AA$1,[3]enemies!$1:$1,0)-MATCH($L$1,[3]enemies!$1:$1,0)+1,FALSE)</f>
        <v>3</v>
      </c>
      <c r="AB19" s="24">
        <f t="shared" si="13"/>
        <v>45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2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Drop1N</v>
      </c>
      <c r="AF19" s="7">
        <v>1</v>
      </c>
      <c r="AG19" s="24">
        <f t="shared" ca="1" si="14"/>
        <v>2</v>
      </c>
      <c r="AH19" s="8">
        <v>20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70">
        <v>1</v>
      </c>
    </row>
    <row r="20" spans="1:40" ht="21" customHeight="1" x14ac:dyDescent="0.15">
      <c r="A20" s="16" t="str">
        <f t="shared" si="10"/>
        <v>20016_3-3/29&lt;lv40&gt;s2</v>
      </c>
      <c r="B20" s="22">
        <v>20016</v>
      </c>
      <c r="C20" s="21">
        <v>3</v>
      </c>
      <c r="D20" s="2" t="str">
        <f t="shared" si="11"/>
        <v>20016_3</v>
      </c>
      <c r="E20" s="4" t="str">
        <f ca="1">VLOOKUP($B20,OFFSET([2]quests!$A$1,0,0,COUNTA([2]quests!$A:$A),MATCH(E$1,[2]quests!$1:$1,0)-MATCH($B$1,[2]quests!$1:$1,0)+1),MATCH(E$1,[2]quests!$1:$1,0)-MATCH($B$1,[2]quests!$1:$1,0)+1,FALSE)</f>
        <v>寡黙な翼竜の侵攻</v>
      </c>
      <c r="F20" s="4" t="str">
        <f ca="1">VLOOKUP($D20,OFFSET([2]stages!$A$1,0,0,COUNTA([2]stages!$A:$A),MATCH(F$1,[2]stages!$2:$2,0)-MATCH($D$1,[2]stages!$2:$2,0)+1),MATCH(F$1,[2]stages!$2:$2,0)-MATCH($D$1,[2]stages!$2:$2,0)+1,FALSE)</f>
        <v>【上級】寡黙な翼竜の侵攻</v>
      </c>
      <c r="G20" s="21">
        <v>3</v>
      </c>
      <c r="H20" s="15" t="str">
        <f t="shared" si="12"/>
        <v>20016_3-3</v>
      </c>
      <c r="I20" s="4">
        <f ca="1">VLOOKUP($H20,OFFSET(floors!$A$1,0,0,COUNTA(floors!$A:$A),MATCH(I$1,floors!$1:$1,0)-MATCH($H$1,floors!$1:$1,0)+1),MATCH(I$1,floors!$1:$1,0)-MATCH($H$1,floors!$1:$1,0)+1,FALSE)</f>
        <v>45</v>
      </c>
      <c r="J20" s="4">
        <f ca="1">VLOOKUP($H20,OFFSET(floors!$A$1,0,0,COUNTA(floors!$A:$A),MATCH(J$1,floors!$1:$1,0)-MATCH($H$1,floors!$1:$1,0)+1),MATCH(J$1,floors!$1:$1,0)-MATCH($H$1,floors!$1:$1,0)+1,FALSE)</f>
        <v>45</v>
      </c>
      <c r="K20" s="38" t="s">
        <v>53</v>
      </c>
      <c r="L20" s="20">
        <v>29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スケアクロウ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Drop1N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machine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40</v>
      </c>
      <c r="S20" s="25">
        <v>2.5</v>
      </c>
      <c r="T20" s="25">
        <v>1.2</v>
      </c>
      <c r="U20" s="5">
        <v>0</v>
      </c>
      <c r="V20" s="4" t="e">
        <f ca="1">VLOOKUP($W20,OFFSET(enemy_skill_sets!$B$1,0,0,COUNTA(enemy_skill_sets!$B:$B),MATCH(M$1,enemy_skill_sets!$1:$1,0)-MATCH($W$1,enemy_skill_sets!$1:$1,0)+2),MATCH(M$1,enemy_skill_sets!$1:$1,0)-MATCH($W$1,enemy_skill_sets!$1:$1,0)+2,FALSE)</f>
        <v>#N/A</v>
      </c>
      <c r="W20" s="62">
        <v>0</v>
      </c>
      <c r="X20" s="6">
        <v>2</v>
      </c>
      <c r="Y20" s="6">
        <v>100</v>
      </c>
      <c r="Z20" s="6">
        <v>0</v>
      </c>
      <c r="AA20" s="101">
        <v>2</v>
      </c>
      <c r="AB20" s="24">
        <f t="shared" si="13"/>
        <v>29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スケアクロウ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1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Drop1N</v>
      </c>
      <c r="AF20" s="7">
        <v>1</v>
      </c>
      <c r="AG20" s="24">
        <f t="shared" ca="1" si="14"/>
        <v>1</v>
      </c>
      <c r="AH20" s="8">
        <v>20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70">
        <v>1</v>
      </c>
    </row>
    <row r="21" spans="1:40" ht="21" customHeight="1" x14ac:dyDescent="0.15">
      <c r="A21" s="16" t="str">
        <f t="shared" si="10"/>
        <v>20016_3-3/30&lt;lv40&gt;s3</v>
      </c>
      <c r="B21" s="22">
        <v>20016</v>
      </c>
      <c r="C21" s="21">
        <v>3</v>
      </c>
      <c r="D21" s="2" t="str">
        <f t="shared" si="11"/>
        <v>20016_3</v>
      </c>
      <c r="E21" s="4" t="str">
        <f ca="1">VLOOKUP($B21,OFFSET([2]quests!$A$1,0,0,COUNTA([2]quests!$A:$A),MATCH(E$1,[2]quests!$1:$1,0)-MATCH($B$1,[2]quests!$1:$1,0)+1),MATCH(E$1,[2]quests!$1:$1,0)-MATCH($B$1,[2]quests!$1:$1,0)+1,FALSE)</f>
        <v>寡黙な翼竜の侵攻</v>
      </c>
      <c r="F21" s="4" t="str">
        <f ca="1">VLOOKUP($D21,OFFSET([2]stages!$A$1,0,0,COUNTA([2]stages!$A:$A),MATCH(F$1,[2]stages!$2:$2,0)-MATCH($D$1,[2]stages!$2:$2,0)+1),MATCH(F$1,[2]stages!$2:$2,0)-MATCH($D$1,[2]stages!$2:$2,0)+1,FALSE)</f>
        <v>【上級】寡黙な翼竜の侵攻</v>
      </c>
      <c r="G21" s="21">
        <v>3</v>
      </c>
      <c r="H21" s="15" t="str">
        <f t="shared" si="12"/>
        <v>20016_3-3</v>
      </c>
      <c r="I21" s="4">
        <f ca="1">VLOOKUP($H21,OFFSET(floors!$A$1,0,0,COUNTA(floors!$A:$A),MATCH(I$1,floors!$1:$1,0)-MATCH($H$1,floors!$1:$1,0)+1),MATCH(I$1,floors!$1:$1,0)-MATCH($H$1,floors!$1:$1,0)+1,FALSE)</f>
        <v>45</v>
      </c>
      <c r="J21" s="4">
        <f ca="1">VLOOKUP($H21,OFFSET(floors!$A$1,0,0,COUNTA(floors!$A:$A),MATCH(J$1,floors!$1:$1,0)-MATCH($H$1,floors!$1:$1,0)+1),MATCH(J$1,floors!$1:$1,0)-MATCH($H$1,floors!$1:$1,0)+1,FALSE)</f>
        <v>45</v>
      </c>
      <c r="K21" s="38" t="s">
        <v>53</v>
      </c>
      <c r="L21" s="20">
        <v>30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護衛機人 スケアクロウ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blue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Drop1N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machine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40</v>
      </c>
      <c r="S21" s="25">
        <v>4</v>
      </c>
      <c r="T21" s="25">
        <v>1.5</v>
      </c>
      <c r="U21" s="5">
        <v>0</v>
      </c>
      <c r="V21" s="4" t="str">
        <f ca="1">VLOOKUP($W21,OFFSET(enemy_skill_sets!$B$1,0,0,COUNTA(enemy_skill_sets!$B:$B),MATCH(M$1,enemy_skill_sets!$1:$1,0)-MATCH($W$1,enemy_skill_sets!$1:$1,0)+2),MATCH(M$1,enemy_skill_sets!$1:$1,0)-MATCH($W$1,enemy_skill_sets!$1:$1,0)+2,FALSE)</f>
        <v>２ターンの間全ユニットの攻撃力30%DOWN</v>
      </c>
      <c r="W21" s="62">
        <v>20016002</v>
      </c>
      <c r="X21" s="6">
        <v>1</v>
      </c>
      <c r="Y21" s="6">
        <v>100</v>
      </c>
      <c r="Z21" s="6">
        <v>1</v>
      </c>
      <c r="AA21" s="17">
        <v>3</v>
      </c>
      <c r="AB21" s="100">
        <v>29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スケアクロウ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1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Drop1N</v>
      </c>
      <c r="AF21" s="7">
        <v>1</v>
      </c>
      <c r="AG21" s="24">
        <f t="shared" ca="1" si="14"/>
        <v>1</v>
      </c>
      <c r="AH21" s="8">
        <v>20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70">
        <v>1</v>
      </c>
    </row>
    <row r="22" spans="1:40" ht="21" customHeight="1" x14ac:dyDescent="0.15">
      <c r="A22" s="16" t="str">
        <f t="shared" si="10"/>
        <v>20016_3-4/738&lt;lv40&gt;s2</v>
      </c>
      <c r="B22" s="22">
        <v>20016</v>
      </c>
      <c r="C22" s="21">
        <v>3</v>
      </c>
      <c r="D22" s="2" t="str">
        <f t="shared" si="11"/>
        <v>20016_3</v>
      </c>
      <c r="E22" s="4" t="str">
        <f ca="1">VLOOKUP($B22,OFFSET([2]quests!$A$1,0,0,COUNTA([2]quests!$A:$A),MATCH(E$1,[2]quests!$1:$1,0)-MATCH($B$1,[2]quests!$1:$1,0)+1),MATCH(E$1,[2]quests!$1:$1,0)-MATCH($B$1,[2]quests!$1:$1,0)+1,FALSE)</f>
        <v>寡黙な翼竜の侵攻</v>
      </c>
      <c r="F22" s="4" t="str">
        <f ca="1">VLOOKUP($D22,OFFSET([2]stages!$A$1,0,0,COUNTA([2]stages!$A:$A),MATCH(F$1,[2]stages!$2:$2,0)-MATCH($D$1,[2]stages!$2:$2,0)+1),MATCH(F$1,[2]stages!$2:$2,0)-MATCH($D$1,[2]stages!$2:$2,0)+1,FALSE)</f>
        <v>【上級】寡黙な翼竜の侵攻</v>
      </c>
      <c r="G22" s="21">
        <v>4</v>
      </c>
      <c r="H22" s="15" t="str">
        <f t="shared" si="12"/>
        <v>20016_3-4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>
        <v>1</v>
      </c>
      <c r="L22" s="20">
        <v>738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ラドン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blue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Drop2N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dragon</v>
      </c>
      <c r="Q22" s="17">
        <f ca="1">VLOOKUP($L22,OFFSET([3]enemies!$A$1,0,0,COUNTA([3]enemies!$A:$A),MATCH(Q$1,[3]enemies!$1:$1,0)-MATCH($L$1,[3]enemies!$1:$1,0)+1),MATCH(Q$1,[3]enemies!$1:$1,0)-MATCH($L$1,[3]enemies!$1:$1,0)+1,FALSE)</f>
        <v>30</v>
      </c>
      <c r="R22" s="5">
        <v>40</v>
      </c>
      <c r="S22" s="25">
        <v>1.6</v>
      </c>
      <c r="T22" s="25">
        <v>1.1000000000000001</v>
      </c>
      <c r="U22" s="5">
        <v>0</v>
      </c>
      <c r="V22" s="4" t="str">
        <f ca="1">VLOOKUP($W22,OFFSET(enemy_skill_sets!$B$1,0,0,COUNTA(enemy_skill_sets!$B:$B),MATCH(M$1,enemy_skill_sets!$1:$1,0)-MATCH($W$1,enemy_skill_sets!$1:$1,0)+2),MATCH(M$1,enemy_skill_sets!$1:$1,0)-MATCH($W$1,enemy_skill_sets!$1:$1,0)+2,FALSE)</f>
        <v>自身にスリープ耐性_x000D_+解除するまでダメージを与えるウィルス</v>
      </c>
      <c r="W22" s="62">
        <v>20016003</v>
      </c>
      <c r="X22" s="6">
        <v>1</v>
      </c>
      <c r="Y22" s="6">
        <v>100</v>
      </c>
      <c r="Z22" s="6">
        <v>1</v>
      </c>
      <c r="AA22" s="101">
        <v>2</v>
      </c>
      <c r="AB22" s="24">
        <f>L22</f>
        <v>738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ラドン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4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2" s="7">
        <v>1</v>
      </c>
      <c r="AG22" s="24">
        <f t="shared" ca="1" si="14"/>
        <v>4</v>
      </c>
      <c r="AH22" s="8">
        <v>100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70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3" sqref="S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20.16406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20016_1-4/739&lt;lv13&gt;sq1st2</v>
      </c>
      <c r="B2" s="22">
        <v>20016</v>
      </c>
      <c r="C2" s="21">
        <v>1</v>
      </c>
      <c r="D2" s="2" t="str">
        <f>B2&amp;"_"&amp;C2</f>
        <v>20016_1</v>
      </c>
      <c r="E2" s="4" t="str">
        <f ca="1">VLOOKUP($B2,OFFSET([2]quests!$A$1,0,0,COUNTA([2]quests!$A:$A),MATCH(E$1,[2]quests!$1:$1,0)-MATCH($B$1,[2]quests!$1:$1,0)+1),MATCH(E$1,[2]quests!$1:$1,0)-MATCH($B$1,[2]quests!$1:$1,0)+1,FALSE)</f>
        <v>寡黙な翼竜の侵攻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【初級】寡黙な翼竜の侵攻</v>
      </c>
      <c r="G2" s="21">
        <v>4</v>
      </c>
      <c r="H2" s="15" t="str">
        <f>B2&amp;"_"&amp;C2&amp;"-"&amp;G2</f>
        <v>20016_1-4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739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寡言の密使 ラドン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13</v>
      </c>
      <c r="T2" s="25">
        <v>1.6</v>
      </c>
      <c r="U2" s="25">
        <v>1.2</v>
      </c>
      <c r="V2" s="5">
        <v>0</v>
      </c>
      <c r="W2" s="4" t="str">
        <f ca="1">VLOOKUP($X2,OFFSET(enemy_skill_sets!$B$1,0,0,COUNTA(enemy_skill_sets!$B:$B),MATCH(N$1,enemy_skill_sets!$1:$1,0)-MATCH($X$1,enemy_skill_sets!$1:$1,0)+2),MATCH(N$1,enemy_skill_sets!$1:$1,0)-MATCH($X$1,enemy_skill_sets!$1:$1,0)+2,FALSE)</f>
        <v>自身にスリープ耐性</v>
      </c>
      <c r="X2" s="62">
        <v>20016004</v>
      </c>
      <c r="Y2" s="102"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20016_2-4/739&lt;lv30&gt;sq1st2</v>
      </c>
      <c r="B3" s="22">
        <v>20016</v>
      </c>
      <c r="C3" s="21">
        <v>2</v>
      </c>
      <c r="D3" s="2" t="str">
        <f>B3&amp;"_"&amp;C3</f>
        <v>20016_2</v>
      </c>
      <c r="E3" s="4" t="str">
        <f ca="1">VLOOKUP($B3,OFFSET([2]quests!$A$1,0,0,COUNTA([2]quests!$A:$A),MATCH(E$1,[2]quests!$1:$1,0)-MATCH($B$1,[2]quests!$1:$1,0)+1),MATCH(E$1,[2]quests!$1:$1,0)-MATCH($B$1,[2]quests!$1:$1,0)+1,FALSE)</f>
        <v>寡黙な翼竜の侵攻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【中級】寡黙な翼竜の侵攻</v>
      </c>
      <c r="G3" s="21">
        <v>4</v>
      </c>
      <c r="H3" s="15" t="str">
        <f>B3&amp;"_"&amp;C3&amp;"-"&amp;G3</f>
        <v>20016_2-4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739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寡言の密使 ラドン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30</v>
      </c>
      <c r="T3" s="25">
        <v>1.6</v>
      </c>
      <c r="U3" s="25">
        <v>1</v>
      </c>
      <c r="V3" s="5">
        <v>0</v>
      </c>
      <c r="W3" s="4" t="str">
        <f ca="1">VLOOKUP($X3,OFFSET(enemy_skill_sets!$B$1,0,0,COUNTA(enemy_skill_sets!$B:$B),MATCH(N$1,enemy_skill_sets!$1:$1,0)-MATCH($X$1,enemy_skill_sets!$1:$1,0)+2),MATCH(N$1,enemy_skill_sets!$1:$1,0)-MATCH($X$1,enemy_skill_sets!$1:$1,0)+2,FALSE)</f>
        <v>自身にスリープ耐性</v>
      </c>
      <c r="X3" s="62">
        <v>20016004</v>
      </c>
      <c r="Y3" s="102">
        <v>2</v>
      </c>
    </row>
    <row r="4" spans="1:25" ht="21" customHeight="1" x14ac:dyDescent="0.15">
      <c r="A4" s="16" t="str">
        <f>B4&amp;"_"&amp;C4&amp;"-"&amp;G4&amp;"/"&amp;M4&amp;"&lt;lv"&amp;S4&amp;"&gt;sq"&amp;K4&amp;"st"&amp;L4</f>
        <v>20016_3-4/739&lt;lv40&gt;sq1st2</v>
      </c>
      <c r="B4" s="22">
        <v>20016</v>
      </c>
      <c r="C4" s="21">
        <v>3</v>
      </c>
      <c r="D4" s="2" t="str">
        <f>B4&amp;"_"&amp;C4</f>
        <v>20016_3</v>
      </c>
      <c r="E4" s="4" t="str">
        <f ca="1">VLOOKUP($B4,OFFSET([2]quests!$A$1,0,0,COUNTA([2]quests!$A:$A),MATCH(E$1,[2]quests!$1:$1,0)-MATCH($B$1,[2]quests!$1:$1,0)+1),MATCH(E$1,[2]quests!$1:$1,0)-MATCH($B$1,[2]quests!$1:$1,0)+1,FALSE)</f>
        <v>寡黙な翼竜の侵攻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【上級】寡黙な翼竜の侵攻</v>
      </c>
      <c r="G4" s="21">
        <v>4</v>
      </c>
      <c r="H4" s="15" t="str">
        <f>B4&amp;"_"&amp;C4&amp;"-"&amp;G4</f>
        <v>20016_3-4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2</v>
      </c>
      <c r="M4" s="20">
        <v>739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寡言の密使 ラドン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dragon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40</v>
      </c>
      <c r="T4" s="25">
        <v>1.6</v>
      </c>
      <c r="U4" s="25">
        <v>1</v>
      </c>
      <c r="V4" s="5">
        <v>0</v>
      </c>
      <c r="W4" s="4" t="str">
        <f ca="1">VLOOKUP($X4,OFFSET(enemy_skill_sets!$B$1,0,0,COUNTA(enemy_skill_sets!$B:$B),MATCH(N$1,enemy_skill_sets!$1:$1,0)-MATCH($X$1,enemy_skill_sets!$1:$1,0)+2),MATCH(N$1,enemy_skill_sets!$1:$1,0)-MATCH($X$1,enemy_skill_sets!$1:$1,0)+2,FALSE)</f>
        <v>自身にスリープ耐性</v>
      </c>
      <c r="X4" s="62">
        <v>20016004</v>
      </c>
      <c r="Y4" s="102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0"/>
  <sheetViews>
    <sheetView showGridLines="0" workbookViewId="0">
      <pane ySplit="1" topLeftCell="A2" activePane="bottomLeft" state="frozenSplit"/>
      <selection pane="bottomLeft" activeCell="B17" sqref="B17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20016001</v>
      </c>
      <c r="B2" s="47" t="s">
        <v>214</v>
      </c>
      <c r="C2" s="50">
        <v>3</v>
      </c>
      <c r="D2" s="50" t="s">
        <v>128</v>
      </c>
      <c r="E2" s="51" t="s">
        <v>224</v>
      </c>
      <c r="F2" s="51" t="s">
        <v>215</v>
      </c>
      <c r="G2" s="64" t="str">
        <f t="shared" ref="G2:G8" si="0">IFERROR(LEFT(B2,FIND("],",B2)),B2)</f>
        <v>[effect:spread, val:0.3]</v>
      </c>
      <c r="H2" s="64">
        <f t="shared" ref="H2:H8" si="1">FIND("effect:",G2)+7</f>
        <v>9</v>
      </c>
      <c r="I2" s="64">
        <f t="shared" ref="I2:I8" si="2">IFERROR(FIND(",",G2),LEN(G2))</f>
        <v>15</v>
      </c>
      <c r="J2" s="64" t="e">
        <f t="shared" ref="J2:J8" si="3">FIND("target:",G2)+7</f>
        <v>#VALUE!</v>
      </c>
      <c r="K2" s="64" t="e">
        <f t="shared" ref="K2:K8" si="4">FIND(",",G2,I2+1)</f>
        <v>#VALUE!</v>
      </c>
      <c r="L2" s="64" t="str">
        <f>IFERROR(VLOOKUP(MID(G2,J2,K2-J2),[5]skilldef!$C:$D,2,FALSE),"-") &amp; " / " &amp; IFERROR(VLOOKUP(MID(G2,H2,I2-H2),[5]skilldef!$A:$B,2,FALSE),"-")</f>
        <v>- / 全体攻撃</v>
      </c>
      <c r="M2" s="64" t="str">
        <f t="shared" ref="M2:M8" si="5">IFERROR(RIGHT(B2,LEN(B2)-FIND("],",B2)-1),"none")</f>
        <v>none</v>
      </c>
      <c r="N2" s="48" t="str">
        <f>IFERROR(LEFT(M2,FIND("],",M2)+S11),M2)</f>
        <v>none</v>
      </c>
      <c r="O2" s="64" t="e">
        <f t="shared" ref="O2:O8" si="6">FIND("effect:",N2)+7</f>
        <v>#VALUE!</v>
      </c>
      <c r="P2" s="64">
        <f t="shared" ref="P2:P8" si="7">IFERROR(FIND(",",N2),LEN(N2))</f>
        <v>4</v>
      </c>
      <c r="Q2" s="64" t="e">
        <f t="shared" ref="Q2:Q8" si="8">FIND("target:",N2)+7</f>
        <v>#VALUE!</v>
      </c>
      <c r="R2" s="64" t="e">
        <f t="shared" ref="R2:R8" si="9">FIND(",",N2,P2+1)</f>
        <v>#VALUE!</v>
      </c>
      <c r="S2" s="64" t="str">
        <f>IFERROR(VLOOKUP(MID(N2,Q2,R2-Q2),[5]skilldef!$C:$D,2,FALSE),"-") &amp; " / " &amp; IFERROR(VLOOKUP(MID(N2,O2,P2-O2),[5]skilldef!$A:$B,2,FALSE),"-")</f>
        <v>- / -</v>
      </c>
      <c r="T2" s="48" t="str">
        <f t="shared" ref="T2:T8" si="10">IFERROR(RIGHT(M2,LEN(M2)-FIND("],",M2)-1),"none")</f>
        <v>none</v>
      </c>
      <c r="U2" s="64" t="e">
        <f t="shared" ref="U2:U8" si="11">FIND("effect:",T2)+7</f>
        <v>#VALUE!</v>
      </c>
      <c r="V2" s="64">
        <f t="shared" ref="V2:V8" si="12">IFERROR(FIND(",",T2),LEN(T2))</f>
        <v>4</v>
      </c>
      <c r="W2" s="64" t="e">
        <f t="shared" ref="W2:W8" si="13">FIND("target:",T2)+7</f>
        <v>#VALUE!</v>
      </c>
      <c r="X2" s="64" t="e">
        <f t="shared" ref="X2:X8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20016002</v>
      </c>
      <c r="B3" s="47" t="s">
        <v>233</v>
      </c>
      <c r="C3" s="50">
        <v>3</v>
      </c>
      <c r="D3" s="50" t="s">
        <v>128</v>
      </c>
      <c r="E3" s="51" t="s">
        <v>238</v>
      </c>
      <c r="F3" s="51" t="s">
        <v>250</v>
      </c>
      <c r="G3" s="64" t="str">
        <f t="shared" si="0"/>
        <v>[effect:degrade_unit, target:unit_all, turn:2, status:attack, val:0.3, calc:mul]</v>
      </c>
      <c r="H3" s="64">
        <f t="shared" si="1"/>
        <v>9</v>
      </c>
      <c r="I3" s="64">
        <f t="shared" si="2"/>
        <v>21</v>
      </c>
      <c r="J3" s="64">
        <f t="shared" si="3"/>
        <v>30</v>
      </c>
      <c r="K3" s="64">
        <f t="shared" si="4"/>
        <v>38</v>
      </c>
      <c r="L3" s="64" t="str">
        <f>IFERROR(VLOOKUP(MID(G3,J3,K3-J3),[5]skilldef!$C:$D,2,FALSE),"-") &amp; " / " &amp; IFERROR(VLOOKUP(MID(G3,H3,I3-H3),[5]skilldef!$A:$B,2,FALSE),"-")</f>
        <v>味方全体に / ステータスDOWN</v>
      </c>
      <c r="M3" s="64" t="str">
        <f t="shared" si="5"/>
        <v>none</v>
      </c>
      <c r="N3" s="48" t="str">
        <f>IFERROR(LEFT(M3,FIND("],",M3)+S12),M3)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9" customHeight="1" x14ac:dyDescent="0.15">
      <c r="A4" s="47">
        <v>20016003</v>
      </c>
      <c r="B4" s="47" t="s">
        <v>243</v>
      </c>
      <c r="C4" s="50">
        <v>3</v>
      </c>
      <c r="D4" s="50" t="s">
        <v>128</v>
      </c>
      <c r="E4" s="51" t="s">
        <v>241</v>
      </c>
      <c r="F4" s="51" t="s">
        <v>240</v>
      </c>
      <c r="G4" s="64" t="str">
        <f t="shared" si="0"/>
        <v>[effect:virus, turn:-1, target:unit_all, rate:1, val:0.06, animation:enemy_virus]</v>
      </c>
      <c r="H4" s="64">
        <f t="shared" si="1"/>
        <v>9</v>
      </c>
      <c r="I4" s="64">
        <f t="shared" si="2"/>
        <v>14</v>
      </c>
      <c r="J4" s="64">
        <f t="shared" si="3"/>
        <v>32</v>
      </c>
      <c r="K4" s="64">
        <f t="shared" si="4"/>
        <v>23</v>
      </c>
      <c r="L4" s="64" t="str">
        <f>IFERROR(VLOOKUP(MID(G4,J4,K4-J4),[5]skilldef!$C:$D,2,FALSE),"-") &amp; " / " &amp; IFERROR(VLOOKUP(MID(G4,H4,I4-H4),[5]skilldef!$A:$B,2,FALSE),"-")</f>
        <v>- / ウィルス</v>
      </c>
      <c r="M4" s="64" t="str">
        <f t="shared" si="5"/>
        <v>[effect:tolerance, target:myself, turn:-1, tolerance_effect:sleep, count:-1, animation:enemy_tolerance]</v>
      </c>
      <c r="N4" s="48" t="str">
        <f>IFERROR(LEFT(M4,FIND("],",M4)+S13),M4)</f>
        <v>[effect:tolerance, target:myself, turn:-1, tolerance_effect:sleep, count:-1, animation:enemy_tolerance]</v>
      </c>
      <c r="O4" s="64">
        <f t="shared" si="6"/>
        <v>9</v>
      </c>
      <c r="P4" s="64">
        <f t="shared" si="7"/>
        <v>18</v>
      </c>
      <c r="Q4" s="64">
        <f t="shared" si="8"/>
        <v>27</v>
      </c>
      <c r="R4" s="64">
        <f t="shared" si="9"/>
        <v>33</v>
      </c>
      <c r="S4" s="64" t="str">
        <f>IFERROR(VLOOKUP(MID(N4,Q4,R4-Q4),[5]skilldef!$C:$D,2,FALSE),"-") &amp; " / " &amp; IFERROR(VLOOKUP(MID(N4,O4,P4-O4),[5]skilldef!$A:$B,2,FALSE),"-")</f>
        <v>自分自身に / 状態異常耐性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20016004</v>
      </c>
      <c r="B5" s="47" t="s">
        <v>232</v>
      </c>
      <c r="C5" s="50">
        <v>3</v>
      </c>
      <c r="D5" s="50" t="s">
        <v>128</v>
      </c>
      <c r="E5" s="51" t="s">
        <v>225</v>
      </c>
      <c r="F5" s="51" t="s">
        <v>236</v>
      </c>
      <c r="G5" s="64" t="str">
        <f t="shared" si="0"/>
        <v>[effect:rush, count:5, val:0.29]</v>
      </c>
      <c r="H5" s="64">
        <f t="shared" si="1"/>
        <v>9</v>
      </c>
      <c r="I5" s="64">
        <f t="shared" si="2"/>
        <v>13</v>
      </c>
      <c r="J5" s="64" t="e">
        <f t="shared" si="3"/>
        <v>#VALUE!</v>
      </c>
      <c r="K5" s="64">
        <f t="shared" si="4"/>
        <v>22</v>
      </c>
      <c r="L5" s="64" t="str">
        <f>IFERROR(VLOOKUP(MID(G5,J5,K5-J5),[5]skilldef!$C:$D,2,FALSE),"-") &amp; " / " &amp; IFERROR(VLOOKUP(MID(G5,H5,I5-H5),[5]skilldef!$A:$B,2,FALSE),"-")</f>
        <v>- / 連続攻撃</v>
      </c>
      <c r="M5" s="64" t="str">
        <f t="shared" si="5"/>
        <v>none</v>
      </c>
      <c r="N5" s="48" t="str">
        <f>IFERROR(LEFT(M5,FIND("],",M5)+S15),M5)</f>
        <v>none</v>
      </c>
      <c r="O5" s="64" t="e">
        <f t="shared" si="6"/>
        <v>#VALUE!</v>
      </c>
      <c r="P5" s="64">
        <f t="shared" si="7"/>
        <v>4</v>
      </c>
      <c r="Q5" s="64" t="e">
        <f t="shared" si="8"/>
        <v>#VALUE!</v>
      </c>
      <c r="R5" s="64" t="e">
        <f t="shared" si="9"/>
        <v>#VALUE!</v>
      </c>
      <c r="S5" s="64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20016005</v>
      </c>
      <c r="B6" s="47" t="s">
        <v>231</v>
      </c>
      <c r="C6" s="50">
        <v>3</v>
      </c>
      <c r="D6" s="50" t="s">
        <v>128</v>
      </c>
      <c r="E6" s="51" t="s">
        <v>242</v>
      </c>
      <c r="F6" s="51" t="s">
        <v>239</v>
      </c>
      <c r="G6" s="64" t="str">
        <f t="shared" si="0"/>
        <v>[effect:tolerance, target:myself, turn:-1, tolerance_effect:sleep, count:-1, animation:enemy_tolerance]</v>
      </c>
      <c r="H6" s="64">
        <f t="shared" si="1"/>
        <v>9</v>
      </c>
      <c r="I6" s="64">
        <f t="shared" si="2"/>
        <v>18</v>
      </c>
      <c r="J6" s="64">
        <f t="shared" si="3"/>
        <v>27</v>
      </c>
      <c r="K6" s="64">
        <f t="shared" si="4"/>
        <v>33</v>
      </c>
      <c r="L6" s="64" t="str">
        <f>IFERROR(VLOOKUP(MID(G6,J6,K6-J6),[5]skilldef!$C:$D,2,FALSE),"-") &amp; " / " &amp; IFERROR(VLOOKUP(MID(G6,H6,I6-H6),[5]skilldef!$A:$B,2,FALSE),"-")</f>
        <v>自分自身に / 状態異常耐性</v>
      </c>
      <c r="M6" s="64" t="str">
        <f t="shared" si="5"/>
        <v>none</v>
      </c>
      <c r="N6" s="48" t="str">
        <f>IFERROR(LEFT(M6,FIND("],",M6)+S16),M6)</f>
        <v>none</v>
      </c>
      <c r="O6" s="64" t="e">
        <f t="shared" si="6"/>
        <v>#VALUE!</v>
      </c>
      <c r="P6" s="64">
        <f t="shared" si="7"/>
        <v>4</v>
      </c>
      <c r="Q6" s="64" t="e">
        <f t="shared" si="8"/>
        <v>#VALUE!</v>
      </c>
      <c r="R6" s="64" t="e">
        <f t="shared" si="9"/>
        <v>#VALUE!</v>
      </c>
      <c r="S6" s="64" t="str">
        <f>IFERROR(VLOOKUP(MID(N6,Q6,R6-Q6),[5]skilldef!$C:$D,2,FALSE),"-") &amp; " / " &amp; IFERROR(VLOOKUP(MID(N6,O6,P6-O6),[5]skilldef!$A:$B,2,FALSE),"-")</f>
        <v>- / -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20016006</v>
      </c>
      <c r="B7" s="47" t="s">
        <v>230</v>
      </c>
      <c r="C7" s="50">
        <v>3</v>
      </c>
      <c r="D7" s="50" t="s">
        <v>128</v>
      </c>
      <c r="E7" s="51" t="s">
        <v>237</v>
      </c>
      <c r="F7" s="51" t="s">
        <v>216</v>
      </c>
      <c r="G7" s="64" t="str">
        <f t="shared" si="0"/>
        <v>[effect:enhance_enemy, target:enemy_one, turn:-1, status:attack, val:0.1, calc:mul, animation:enemy_enhance_attack]</v>
      </c>
      <c r="H7" s="64">
        <f t="shared" si="1"/>
        <v>9</v>
      </c>
      <c r="I7" s="64">
        <f t="shared" si="2"/>
        <v>22</v>
      </c>
      <c r="J7" s="64">
        <f t="shared" si="3"/>
        <v>31</v>
      </c>
      <c r="K7" s="64">
        <f t="shared" si="4"/>
        <v>40</v>
      </c>
      <c r="L7" s="64" t="str">
        <f>IFERROR(VLOOKUP(MID(G7,J7,K7-J7),[5]skilldef!$C:$D,2,FALSE),"-") &amp; " / " &amp; IFERROR(VLOOKUP(MID(G7,H7,I7-H7),[5]skilldef!$A:$B,2,FALSE),"-")</f>
        <v>敵単体に / ステータス強化</v>
      </c>
      <c r="M7" s="64" t="str">
        <f t="shared" si="5"/>
        <v>none</v>
      </c>
      <c r="N7" s="48" t="str">
        <f>IFERROR(LEFT(M7,FIND("],",M7)+S17),M7)</f>
        <v>none</v>
      </c>
      <c r="O7" s="64" t="e">
        <f t="shared" si="6"/>
        <v>#VALUE!</v>
      </c>
      <c r="P7" s="64">
        <f t="shared" si="7"/>
        <v>4</v>
      </c>
      <c r="Q7" s="64" t="e">
        <f t="shared" si="8"/>
        <v>#VALUE!</v>
      </c>
      <c r="R7" s="64" t="e">
        <f t="shared" si="9"/>
        <v>#VALUE!</v>
      </c>
      <c r="S7" s="64" t="str">
        <f>IFERROR(VLOOKUP(MID(N7,Q7,R7-Q7),[5]skilldef!$C:$D,2,FALSE),"-") &amp; " / " &amp; IFERROR(VLOOKUP(MID(N7,O7,P7-O7),[5]skilldef!$A:$B,2,FALSE),"-")</f>
        <v>-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20016007</v>
      </c>
      <c r="B8" s="47" t="s">
        <v>229</v>
      </c>
      <c r="C8" s="50">
        <v>3</v>
      </c>
      <c r="D8" s="50" t="s">
        <v>128</v>
      </c>
      <c r="E8" s="51" t="s">
        <v>226</v>
      </c>
      <c r="F8" s="51" t="s">
        <v>217</v>
      </c>
      <c r="G8" s="64" t="str">
        <f t="shared" si="0"/>
        <v>[effect:spread, val:0.3]</v>
      </c>
      <c r="H8" s="64">
        <f t="shared" si="1"/>
        <v>9</v>
      </c>
      <c r="I8" s="64">
        <f t="shared" si="2"/>
        <v>15</v>
      </c>
      <c r="J8" s="64" t="e">
        <f t="shared" si="3"/>
        <v>#VALUE!</v>
      </c>
      <c r="K8" s="64" t="e">
        <f t="shared" si="4"/>
        <v>#VALUE!</v>
      </c>
      <c r="L8" s="64" t="str">
        <f>IFERROR(VLOOKUP(MID(G8,J8,K8-J8),[5]skilldef!$C:$D,2,FALSE),"-") &amp; " / " &amp; IFERROR(VLOOKUP(MID(G8,H8,I8-H8),[5]skilldef!$A:$B,2,FALSE),"-")</f>
        <v>- / 全体攻撃</v>
      </c>
      <c r="M8" s="64" t="str">
        <f t="shared" si="5"/>
        <v>none</v>
      </c>
      <c r="N8" s="48" t="str">
        <f>IFERROR(LEFT(M8,FIND("],",M8)+S18),M8)</f>
        <v>none</v>
      </c>
      <c r="O8" s="64" t="e">
        <f t="shared" si="6"/>
        <v>#VALUE!</v>
      </c>
      <c r="P8" s="64">
        <f t="shared" si="7"/>
        <v>4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20016008</v>
      </c>
      <c r="B9" s="47" t="s">
        <v>223</v>
      </c>
      <c r="C9" s="50">
        <v>3</v>
      </c>
      <c r="D9" s="50" t="s">
        <v>128</v>
      </c>
      <c r="E9" s="51" t="s">
        <v>234</v>
      </c>
      <c r="F9" s="51" t="s">
        <v>235</v>
      </c>
      <c r="G9" s="64" t="str">
        <f t="shared" ref="G9:G10" si="15">IFERROR(LEFT(B9,FIND("],",B9)),B9)</f>
        <v>[effect:nothing]</v>
      </c>
      <c r="H9" s="64">
        <f t="shared" ref="H9:H10" si="16">FIND("effect:",G9)+7</f>
        <v>9</v>
      </c>
      <c r="I9" s="64">
        <f t="shared" ref="I9:I10" si="17">IFERROR(FIND(",",G9),LEN(G9))</f>
        <v>16</v>
      </c>
      <c r="J9" s="64" t="e">
        <f t="shared" ref="J9:J10" si="18">FIND("target:",G9)+7</f>
        <v>#VALUE!</v>
      </c>
      <c r="K9" s="64" t="e">
        <f t="shared" ref="K9:K10" si="19">FIND(",",G9,I9+1)</f>
        <v>#VALUE!</v>
      </c>
      <c r="L9" s="64" t="str">
        <f>IFERROR(VLOOKUP(MID(G9,J9,K9-J9),[5]skilldef!$C:$D,2,FALSE),"-") &amp; " / " &amp; IFERROR(VLOOKUP(MID(G9,H9,I9-H9),[5]skilldef!$A:$B,2,FALSE),"-")</f>
        <v>- / 何もしない</v>
      </c>
      <c r="M9" s="64" t="str">
        <f t="shared" ref="M9:M10" si="20">IFERROR(RIGHT(B9,LEN(B9)-FIND("],",B9)-1),"none")</f>
        <v>none</v>
      </c>
      <c r="N9" s="48" t="str">
        <f>IFERROR(LEFT(M9,FIND("],",M9)+S19),M9)</f>
        <v>none</v>
      </c>
      <c r="O9" s="64" t="e">
        <f t="shared" ref="O9:O10" si="21">FIND("effect:",N9)+7</f>
        <v>#VALUE!</v>
      </c>
      <c r="P9" s="64">
        <f t="shared" ref="P9:P10" si="22">IFERROR(FIND(",",N9),LEN(N9))</f>
        <v>4</v>
      </c>
      <c r="Q9" s="64" t="e">
        <f t="shared" ref="Q9:Q10" si="23">FIND("target:",N9)+7</f>
        <v>#VALUE!</v>
      </c>
      <c r="R9" s="64" t="e">
        <f t="shared" ref="R9:R10" si="24">FIND(",",N9,P9+1)</f>
        <v>#VALUE!</v>
      </c>
      <c r="S9" s="64" t="str">
        <f>IFERROR(VLOOKUP(MID(N9,Q9,R9-Q9),[5]skilldef!$C:$D,2,FALSE),"-") &amp; " / " &amp; IFERROR(VLOOKUP(MID(N9,O9,P9-O9),[5]skilldef!$A:$B,2,FALSE),"-")</f>
        <v>- / -</v>
      </c>
      <c r="T9" s="48" t="str">
        <f t="shared" ref="T9:T10" si="25">IFERROR(RIGHT(M9,LEN(M9)-FIND("],",M9)-1),"none")</f>
        <v>none</v>
      </c>
      <c r="U9" s="64" t="e">
        <f t="shared" ref="U9:U10" si="26">FIND("effect:",T9)+7</f>
        <v>#VALUE!</v>
      </c>
      <c r="V9" s="64">
        <f t="shared" ref="V9:V10" si="27">IFERROR(FIND(",",T9),LEN(T9))</f>
        <v>4</v>
      </c>
      <c r="W9" s="64" t="e">
        <f t="shared" ref="W9:W10" si="28">FIND("target:",T9)+7</f>
        <v>#VALUE!</v>
      </c>
      <c r="X9" s="64" t="e">
        <f t="shared" ref="X9:X10" si="29">FIND(",",T9,V9+1)</f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9" customHeight="1" x14ac:dyDescent="0.15">
      <c r="A10" s="47">
        <v>20016009</v>
      </c>
      <c r="B10" s="47" t="s">
        <v>257</v>
      </c>
      <c r="C10" s="50">
        <v>3</v>
      </c>
      <c r="D10" s="50" t="s">
        <v>128</v>
      </c>
      <c r="E10" s="51" t="s">
        <v>241</v>
      </c>
      <c r="F10" s="51" t="s">
        <v>240</v>
      </c>
      <c r="G10" s="64" t="str">
        <f t="shared" si="15"/>
        <v>[effect:virus, turn:-1, target:unit_all, rate:1, val:0.05, animation:enemy_virus]</v>
      </c>
      <c r="H10" s="64">
        <f t="shared" si="16"/>
        <v>9</v>
      </c>
      <c r="I10" s="64">
        <f t="shared" si="17"/>
        <v>14</v>
      </c>
      <c r="J10" s="64">
        <f t="shared" si="18"/>
        <v>32</v>
      </c>
      <c r="K10" s="64">
        <f t="shared" si="19"/>
        <v>23</v>
      </c>
      <c r="L10" s="64" t="str">
        <f>IFERROR(VLOOKUP(MID(G10,J10,K10-J10),[5]skilldef!$C:$D,2,FALSE),"-") &amp; " / " &amp; IFERROR(VLOOKUP(MID(G10,H10,I10-H10),[5]skilldef!$A:$B,2,FALSE),"-")</f>
        <v>- / ウィルス</v>
      </c>
      <c r="M10" s="64" t="str">
        <f t="shared" si="20"/>
        <v>[effect:tolerance, target:myself, turn:-1, tolerance_effect:sleep, count:-1, animation:enemy_tolerance]</v>
      </c>
      <c r="N10" s="48" t="str">
        <f>IFERROR(LEFT(M10,FIND("],",M10)+S19),M10)</f>
        <v>[effect:tolerance, target:myself, turn:-1, tolerance_effect:sleep, count:-1, animation:enemy_tolerance]</v>
      </c>
      <c r="O10" s="64">
        <f t="shared" si="21"/>
        <v>9</v>
      </c>
      <c r="P10" s="64">
        <f t="shared" si="22"/>
        <v>18</v>
      </c>
      <c r="Q10" s="64">
        <f t="shared" si="23"/>
        <v>27</v>
      </c>
      <c r="R10" s="64">
        <f t="shared" si="24"/>
        <v>33</v>
      </c>
      <c r="S10" s="64" t="str">
        <f>IFERROR(VLOOKUP(MID(N10,Q10,R10-Q10),[5]skilldef!$C:$D,2,FALSE),"-") &amp; " / " &amp; IFERROR(VLOOKUP(MID(N10,O10,P10-O10),[5]skilldef!$A:$B,2,FALSE),"-")</f>
        <v>自分自身に / 状態異常耐性</v>
      </c>
      <c r="T10" s="48" t="str">
        <f t="shared" si="25"/>
        <v>none</v>
      </c>
      <c r="U10" s="64" t="e">
        <f t="shared" si="26"/>
        <v>#VALUE!</v>
      </c>
      <c r="V10" s="64">
        <f t="shared" si="27"/>
        <v>4</v>
      </c>
      <c r="W10" s="64" t="e">
        <f t="shared" si="28"/>
        <v>#VALUE!</v>
      </c>
      <c r="X10" s="64" t="e">
        <f t="shared" si="29"/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9"/>
  <sheetViews>
    <sheetView showGridLines="0" zoomScale="75" zoomScaleNormal="75" zoomScalePageLayoutView="75" workbookViewId="0">
      <pane ySplit="1" topLeftCell="A2" activePane="bottomLeft" state="frozenSplit"/>
      <selection pane="bottomLeft" activeCell="C8" sqref="C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20016001</v>
      </c>
      <c r="B2" s="47">
        <v>0</v>
      </c>
      <c r="C2" s="47" t="s">
        <v>89</v>
      </c>
      <c r="D2" s="47">
        <v>100</v>
      </c>
      <c r="E2" s="47" t="s">
        <v>90</v>
      </c>
      <c r="F2" s="47" t="s">
        <v>90</v>
      </c>
      <c r="G2" s="47">
        <v>1</v>
      </c>
      <c r="H2" s="47">
        <v>2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20016002</v>
      </c>
      <c r="B3" s="47">
        <v>0</v>
      </c>
      <c r="C3" s="47" t="s">
        <v>53</v>
      </c>
      <c r="D3" s="47">
        <v>100</v>
      </c>
      <c r="E3" s="47" t="s">
        <v>90</v>
      </c>
      <c r="F3" s="47" t="s">
        <v>90</v>
      </c>
      <c r="G3" s="47">
        <v>1</v>
      </c>
      <c r="H3" s="47">
        <v>2</v>
      </c>
      <c r="I3" s="47" t="s">
        <v>90</v>
      </c>
      <c r="J3" s="48">
        <f t="shared" ref="J3" si="1">D3</f>
        <v>100</v>
      </c>
    </row>
    <row r="4" spans="1:11" ht="21" customHeight="1" x14ac:dyDescent="0.15">
      <c r="A4" s="47">
        <v>20016003</v>
      </c>
      <c r="B4" s="47">
        <v>1</v>
      </c>
      <c r="C4" s="47" t="s">
        <v>53</v>
      </c>
      <c r="D4" s="47">
        <v>100</v>
      </c>
      <c r="E4" s="47" t="s">
        <v>90</v>
      </c>
      <c r="F4" s="47" t="s">
        <v>90</v>
      </c>
      <c r="G4" s="47">
        <v>1</v>
      </c>
      <c r="H4" s="47">
        <v>0</v>
      </c>
      <c r="I4" s="47" t="s">
        <v>90</v>
      </c>
      <c r="J4" s="48">
        <f t="shared" ref="J4" si="2">D4</f>
        <v>100</v>
      </c>
    </row>
    <row r="5" spans="1:11" ht="21" customHeight="1" x14ac:dyDescent="0.15">
      <c r="A5" s="47">
        <v>20016004</v>
      </c>
      <c r="B5" s="47">
        <v>0</v>
      </c>
      <c r="C5" s="47">
        <v>1</v>
      </c>
      <c r="D5" s="47">
        <v>100</v>
      </c>
      <c r="E5" s="47" t="s">
        <v>90</v>
      </c>
      <c r="F5" s="47" t="s">
        <v>90</v>
      </c>
      <c r="G5" s="47">
        <v>1</v>
      </c>
      <c r="H5" s="47" t="s">
        <v>228</v>
      </c>
      <c r="I5" s="47" t="s">
        <v>90</v>
      </c>
      <c r="J5" s="48">
        <f t="shared" ref="J5" si="3">D5</f>
        <v>100</v>
      </c>
    </row>
    <row r="6" spans="1:11" ht="21" customHeight="1" x14ac:dyDescent="0.15">
      <c r="A6" s="47">
        <v>20016005</v>
      </c>
      <c r="B6" s="47">
        <v>1</v>
      </c>
      <c r="C6" s="47" t="s">
        <v>53</v>
      </c>
      <c r="D6" s="47">
        <v>100</v>
      </c>
      <c r="E6" s="47" t="s">
        <v>90</v>
      </c>
      <c r="F6" s="47" t="s">
        <v>90</v>
      </c>
      <c r="G6" s="47">
        <v>1</v>
      </c>
      <c r="H6" s="47">
        <v>0</v>
      </c>
      <c r="I6" s="47" t="s">
        <v>90</v>
      </c>
      <c r="J6" s="48">
        <f t="shared" ref="J6" si="4">D6</f>
        <v>100</v>
      </c>
    </row>
    <row r="7" spans="1:11" ht="21" customHeight="1" x14ac:dyDescent="0.15">
      <c r="A7" s="47">
        <v>20016006</v>
      </c>
      <c r="B7" s="47">
        <v>0</v>
      </c>
      <c r="C7" s="47">
        <v>1</v>
      </c>
      <c r="D7" s="47">
        <v>100</v>
      </c>
      <c r="E7" s="47" t="s">
        <v>90</v>
      </c>
      <c r="F7" s="47" t="s">
        <v>90</v>
      </c>
      <c r="G7" s="47">
        <v>1</v>
      </c>
      <c r="H7" s="47">
        <v>1</v>
      </c>
      <c r="I7" s="47" t="s">
        <v>90</v>
      </c>
      <c r="J7" s="48">
        <f t="shared" ref="J7" si="5">D7</f>
        <v>100</v>
      </c>
    </row>
    <row r="8" spans="1:11" ht="21" customHeight="1" x14ac:dyDescent="0.15">
      <c r="A8" s="47">
        <v>20016007</v>
      </c>
      <c r="B8" s="47">
        <v>0</v>
      </c>
      <c r="C8" s="47" t="s">
        <v>53</v>
      </c>
      <c r="D8" s="47">
        <v>100</v>
      </c>
      <c r="E8" s="47" t="s">
        <v>90</v>
      </c>
      <c r="F8" s="47" t="s">
        <v>90</v>
      </c>
      <c r="G8" s="47" t="s">
        <v>218</v>
      </c>
      <c r="H8" s="47">
        <v>1</v>
      </c>
      <c r="I8" s="47" t="s">
        <v>90</v>
      </c>
      <c r="J8" s="48">
        <f t="shared" ref="J8" si="6">D8</f>
        <v>100</v>
      </c>
    </row>
    <row r="9" spans="1:11" ht="21" customHeight="1" x14ac:dyDescent="0.15">
      <c r="A9" s="47">
        <v>20016008</v>
      </c>
      <c r="B9" s="47">
        <v>0</v>
      </c>
      <c r="C9" s="47">
        <v>2</v>
      </c>
      <c r="D9" s="47">
        <v>100</v>
      </c>
      <c r="E9" s="47" t="s">
        <v>90</v>
      </c>
      <c r="F9" s="47" t="s">
        <v>90</v>
      </c>
      <c r="G9" s="47">
        <v>1</v>
      </c>
      <c r="H9" s="47" t="s">
        <v>227</v>
      </c>
      <c r="I9" s="47" t="s">
        <v>90</v>
      </c>
      <c r="J9" s="48">
        <f t="shared" ref="J9" si="7">D9</f>
        <v>100</v>
      </c>
    </row>
  </sheetData>
  <autoFilter ref="A1:G1"/>
  <phoneticPr fontId="5"/>
  <conditionalFormatting sqref="K10:K1048576 K1:K2">
    <cfRule type="duplicateValues" dxfId="7" priority="9"/>
  </conditionalFormatting>
  <conditionalFormatting sqref="K3">
    <cfRule type="duplicateValues" dxfId="6" priority="8"/>
  </conditionalFormatting>
  <conditionalFormatting sqref="K4">
    <cfRule type="duplicateValues" dxfId="5" priority="7"/>
  </conditionalFormatting>
  <conditionalFormatting sqref="K5">
    <cfRule type="duplicateValues" dxfId="4" priority="5"/>
  </conditionalFormatting>
  <conditionalFormatting sqref="K6">
    <cfRule type="duplicateValues" dxfId="3" priority="4"/>
  </conditionalFormatting>
  <conditionalFormatting sqref="K7">
    <cfRule type="duplicateValues" dxfId="2" priority="3"/>
  </conditionalFormatting>
  <conditionalFormatting sqref="K8">
    <cfRule type="duplicateValues" dxfId="1" priority="2"/>
  </conditionalFormatting>
  <conditionalFormatting sqref="K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C11" sqref="C1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customWidth="1" outlineLevel="1"/>
    <col min="6" max="6" width="10.83203125" style="49" bestFit="1" customWidth="1"/>
    <col min="7" max="7" width="8.33203125" style="49" customWidth="1" outlineLevel="1"/>
    <col min="8" max="9" width="12.83203125" style="49" customWidth="1" outlineLevel="1"/>
    <col min="10" max="10" width="17.6640625" style="49" customWidth="1" outlineLevel="1"/>
    <col min="11" max="15" width="12.83203125" style="49" customWidth="1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20016001_20016001</v>
      </c>
      <c r="B2" s="47">
        <v>20016001</v>
      </c>
      <c r="C2" s="47">
        <v>20016001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乱舞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" s="47">
        <v>20016001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20016002_20016002</v>
      </c>
      <c r="B3" s="47">
        <v>20016002</v>
      </c>
      <c r="C3" s="47">
        <v>20016002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ディス・パワー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２ターンの間全ユニットの攻撃力30%DOWN</v>
      </c>
      <c r="F3" s="47">
        <v>20016002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:A5" si="2">B4&amp;"_"&amp;C4</f>
        <v>20016003_20016003</v>
      </c>
      <c r="B4" s="47">
        <v>20016003</v>
      </c>
      <c r="C4" s="47">
        <v>20016003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……近ヅクナ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自身にスリープ耐性_x000D_+解除するまでダメージを与えるウィルス</v>
      </c>
      <c r="F4" s="47">
        <v>20016003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2"/>
        <v>20016003_20016008</v>
      </c>
      <c r="B5" s="47">
        <v>20016003</v>
      </c>
      <c r="C5" s="47">
        <v>20016008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…敵対確認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5" s="47">
        <v>20016008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" si="3">B6&amp;"_"&amp;C6</f>
        <v>20016003_20016004</v>
      </c>
      <c r="B6" s="47">
        <v>20016003</v>
      </c>
      <c r="C6" s="47">
        <v>20016004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バーストラッシュ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５回連続攻撃</v>
      </c>
      <c r="F6" s="47">
        <v>20016004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ref="A7" si="4">B7&amp;"_"&amp;C7</f>
        <v>20016004_20016005</v>
      </c>
      <c r="B7" s="47">
        <v>20016004</v>
      </c>
      <c r="C7" s="47">
        <v>20016005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…渡サナイ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自身にスリープ耐性</v>
      </c>
      <c r="F7" s="47">
        <v>20016005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" si="5">B8&amp;"_"&amp;C8</f>
        <v>20016004_20016006</v>
      </c>
      <c r="B8" s="47">
        <v>20016004</v>
      </c>
      <c r="C8" s="47">
        <v>20016006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……倒ス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攻撃力UP</v>
      </c>
      <c r="F8" s="47">
        <v>20016006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:A12" si="6">B9&amp;"_"&amp;C9</f>
        <v>20016004_20016007</v>
      </c>
      <c r="B9" s="47">
        <v>20016004</v>
      </c>
      <c r="C9" s="47">
        <v>20016007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スプラッシュ・バーン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47">
        <v>20016007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6"/>
        <v>20016005_20016009</v>
      </c>
      <c r="B10" s="47">
        <v>20016005</v>
      </c>
      <c r="C10" s="47">
        <v>20016009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……近ヅクナ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自身にスリープ耐性_x000D_+解除するまでダメージを与えるウィルス</v>
      </c>
      <c r="F10" s="47">
        <v>20016003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6"/>
        <v>20016005_20016008</v>
      </c>
      <c r="B11" s="47">
        <v>20016005</v>
      </c>
      <c r="C11" s="47">
        <v>20016008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…敵対確認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11" s="47">
        <v>20016008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6"/>
        <v>20016005_20016004</v>
      </c>
      <c r="B12" s="47">
        <v>20016005</v>
      </c>
      <c r="C12" s="47">
        <v>20016004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バーストラッシュ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５回連続攻撃</v>
      </c>
      <c r="F12" s="47">
        <v>20016004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2"/>
  <sheetViews>
    <sheetView tabSelected="1" workbookViewId="0">
      <selection activeCell="M35" sqref="M35"/>
    </sheetView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ht="16" thickBot="1" x14ac:dyDescent="0.2">
      <c r="A2" s="111">
        <v>20016</v>
      </c>
      <c r="B2" s="112">
        <v>1</v>
      </c>
      <c r="C2" s="113" t="str">
        <f>A2&amp; "_"&amp;B2</f>
        <v>20016_1</v>
      </c>
      <c r="D2" s="114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12">
        <v>1</v>
      </c>
      <c r="F2" s="115" t="s">
        <v>169</v>
      </c>
      <c r="G2" s="115">
        <v>1800</v>
      </c>
      <c r="H2" s="115" t="s">
        <v>53</v>
      </c>
      <c r="I2" s="115">
        <v>1</v>
      </c>
      <c r="J2" s="115">
        <v>1</v>
      </c>
      <c r="K2" s="115">
        <v>0</v>
      </c>
      <c r="L2" s="115">
        <v>0</v>
      </c>
      <c r="M2" s="115">
        <v>0</v>
      </c>
      <c r="N2" s="115">
        <v>0</v>
      </c>
      <c r="O2" s="115">
        <v>1</v>
      </c>
      <c r="P2" s="130">
        <v>200</v>
      </c>
      <c r="Q2" s="115" t="s">
        <v>170</v>
      </c>
      <c r="R2" s="116" t="s">
        <v>171</v>
      </c>
    </row>
    <row r="3" spans="1:18" ht="16" thickBot="1" x14ac:dyDescent="0.2">
      <c r="A3" s="111">
        <v>20016</v>
      </c>
      <c r="B3" s="57">
        <v>1</v>
      </c>
      <c r="C3" s="71" t="str">
        <f t="shared" ref="C3:C32" si="0">A3&amp; "_"&amp;B3</f>
        <v>20016_1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117" t="s">
        <v>219</v>
      </c>
      <c r="G3" s="117">
        <v>20</v>
      </c>
      <c r="H3" s="117" t="s">
        <v>53</v>
      </c>
      <c r="I3" s="117">
        <v>1</v>
      </c>
      <c r="J3" s="117">
        <v>1</v>
      </c>
      <c r="K3" s="117">
        <v>0</v>
      </c>
      <c r="L3" s="117">
        <v>0</v>
      </c>
      <c r="M3" s="117">
        <v>0</v>
      </c>
      <c r="N3" s="117">
        <v>0</v>
      </c>
      <c r="O3" s="117">
        <v>1</v>
      </c>
      <c r="P3" s="82">
        <v>200</v>
      </c>
      <c r="Q3" s="117" t="s">
        <v>170</v>
      </c>
      <c r="R3" s="118" t="s">
        <v>171</v>
      </c>
    </row>
    <row r="4" spans="1:18" ht="16" thickBot="1" x14ac:dyDescent="0.2">
      <c r="A4" s="111">
        <v>20016</v>
      </c>
      <c r="B4" s="57">
        <v>1</v>
      </c>
      <c r="C4" s="71" t="str">
        <f t="shared" si="0"/>
        <v>20016_1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117" t="s">
        <v>220</v>
      </c>
      <c r="G4" s="117">
        <v>340</v>
      </c>
      <c r="H4" s="117">
        <v>1</v>
      </c>
      <c r="I4" s="117">
        <v>1</v>
      </c>
      <c r="J4" s="117">
        <v>1</v>
      </c>
      <c r="K4" s="117">
        <v>0</v>
      </c>
      <c r="L4" s="117">
        <v>0</v>
      </c>
      <c r="M4" s="117">
        <v>0</v>
      </c>
      <c r="N4" s="117">
        <v>0</v>
      </c>
      <c r="O4" s="117">
        <v>1</v>
      </c>
      <c r="P4" s="82">
        <v>98</v>
      </c>
      <c r="Q4" s="117" t="s">
        <v>170</v>
      </c>
      <c r="R4" s="118" t="s">
        <v>171</v>
      </c>
    </row>
    <row r="5" spans="1:18" ht="16" thickBot="1" x14ac:dyDescent="0.2">
      <c r="A5" s="111">
        <v>20016</v>
      </c>
      <c r="B5" s="57">
        <v>1</v>
      </c>
      <c r="C5" s="71" t="str">
        <f t="shared" si="0"/>
        <v>20016_1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117" t="s">
        <v>220</v>
      </c>
      <c r="G5" s="117">
        <v>341</v>
      </c>
      <c r="H5" s="117">
        <v>1</v>
      </c>
      <c r="I5" s="117">
        <v>1</v>
      </c>
      <c r="J5" s="117">
        <v>1</v>
      </c>
      <c r="K5" s="117">
        <v>0</v>
      </c>
      <c r="L5" s="117">
        <v>0</v>
      </c>
      <c r="M5" s="117">
        <v>0</v>
      </c>
      <c r="N5" s="117">
        <v>0</v>
      </c>
      <c r="O5" s="117">
        <v>1</v>
      </c>
      <c r="P5" s="82">
        <v>42</v>
      </c>
      <c r="Q5" s="117" t="s">
        <v>170</v>
      </c>
      <c r="R5" s="118" t="s">
        <v>171</v>
      </c>
    </row>
    <row r="6" spans="1:18" ht="16" thickBot="1" x14ac:dyDescent="0.2">
      <c r="A6" s="111">
        <v>20016</v>
      </c>
      <c r="B6" s="57">
        <v>1</v>
      </c>
      <c r="C6" s="71" t="str">
        <f t="shared" si="0"/>
        <v>20016_1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117" t="s">
        <v>220</v>
      </c>
      <c r="G6" s="117">
        <v>121</v>
      </c>
      <c r="H6" s="117">
        <v>1</v>
      </c>
      <c r="I6" s="117">
        <v>1</v>
      </c>
      <c r="J6" s="117">
        <v>1</v>
      </c>
      <c r="K6" s="117">
        <v>0</v>
      </c>
      <c r="L6" s="117">
        <v>0</v>
      </c>
      <c r="M6" s="117">
        <v>0</v>
      </c>
      <c r="N6" s="117">
        <v>0</v>
      </c>
      <c r="O6" s="117">
        <v>1</v>
      </c>
      <c r="P6" s="82">
        <v>50</v>
      </c>
      <c r="Q6" s="117" t="s">
        <v>170</v>
      </c>
      <c r="R6" s="118" t="s">
        <v>171</v>
      </c>
    </row>
    <row r="7" spans="1:18" ht="16" thickBot="1" x14ac:dyDescent="0.2">
      <c r="A7" s="111">
        <v>20016</v>
      </c>
      <c r="B7" s="57">
        <v>1</v>
      </c>
      <c r="C7" s="71" t="str">
        <f t="shared" si="0"/>
        <v>20016_1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117" t="s">
        <v>220</v>
      </c>
      <c r="G7" s="117">
        <v>122</v>
      </c>
      <c r="H7" s="117">
        <v>1</v>
      </c>
      <c r="I7" s="117">
        <v>1</v>
      </c>
      <c r="J7" s="117">
        <v>1</v>
      </c>
      <c r="K7" s="117">
        <v>0</v>
      </c>
      <c r="L7" s="117">
        <v>0</v>
      </c>
      <c r="M7" s="117">
        <v>0</v>
      </c>
      <c r="N7" s="117">
        <v>0</v>
      </c>
      <c r="O7" s="117">
        <v>1</v>
      </c>
      <c r="P7" s="82">
        <v>50</v>
      </c>
      <c r="Q7" s="117" t="s">
        <v>170</v>
      </c>
      <c r="R7" s="118" t="s">
        <v>171</v>
      </c>
    </row>
    <row r="8" spans="1:18" ht="16" thickBot="1" x14ac:dyDescent="0.2">
      <c r="A8" s="111">
        <v>20016</v>
      </c>
      <c r="B8" s="57">
        <v>1</v>
      </c>
      <c r="C8" s="71" t="str">
        <f t="shared" si="0"/>
        <v>20016_1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117" t="s">
        <v>220</v>
      </c>
      <c r="G8" s="117">
        <v>123</v>
      </c>
      <c r="H8" s="117">
        <v>1</v>
      </c>
      <c r="I8" s="117">
        <v>1</v>
      </c>
      <c r="J8" s="117">
        <v>1</v>
      </c>
      <c r="K8" s="117">
        <v>0</v>
      </c>
      <c r="L8" s="117">
        <v>0</v>
      </c>
      <c r="M8" s="117">
        <v>0</v>
      </c>
      <c r="N8" s="117">
        <v>0</v>
      </c>
      <c r="O8" s="117">
        <v>1</v>
      </c>
      <c r="P8" s="82">
        <v>50</v>
      </c>
      <c r="Q8" s="117" t="s">
        <v>170</v>
      </c>
      <c r="R8" s="118" t="s">
        <v>171</v>
      </c>
    </row>
    <row r="9" spans="1:18" ht="16" thickBot="1" x14ac:dyDescent="0.2">
      <c r="A9" s="111">
        <v>20016</v>
      </c>
      <c r="B9" s="57">
        <v>1</v>
      </c>
      <c r="C9" s="71" t="str">
        <f t="shared" si="0"/>
        <v>20016_1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117" t="s">
        <v>220</v>
      </c>
      <c r="G9" s="117">
        <v>125</v>
      </c>
      <c r="H9" s="117">
        <v>1</v>
      </c>
      <c r="I9" s="117">
        <v>1</v>
      </c>
      <c r="J9" s="117">
        <v>1</v>
      </c>
      <c r="K9" s="117">
        <v>0</v>
      </c>
      <c r="L9" s="117">
        <v>0</v>
      </c>
      <c r="M9" s="117">
        <v>0</v>
      </c>
      <c r="N9" s="117">
        <v>0</v>
      </c>
      <c r="O9" s="117">
        <v>1</v>
      </c>
      <c r="P9" s="82">
        <v>10</v>
      </c>
      <c r="Q9" s="117" t="s">
        <v>170</v>
      </c>
      <c r="R9" s="118" t="s">
        <v>171</v>
      </c>
    </row>
    <row r="10" spans="1:18" ht="16" thickBot="1" x14ac:dyDescent="0.2">
      <c r="A10" s="111">
        <v>20016</v>
      </c>
      <c r="B10" s="57">
        <v>1</v>
      </c>
      <c r="C10" s="71" t="str">
        <f t="shared" si="0"/>
        <v>20016_1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117" t="s">
        <v>220</v>
      </c>
      <c r="G10" s="128">
        <v>738</v>
      </c>
      <c r="H10" s="117">
        <v>1</v>
      </c>
      <c r="I10" s="117">
        <v>1</v>
      </c>
      <c r="J10" s="117">
        <v>1</v>
      </c>
      <c r="K10" s="117">
        <v>0</v>
      </c>
      <c r="L10" s="117">
        <v>0</v>
      </c>
      <c r="M10" s="117">
        <v>0</v>
      </c>
      <c r="N10" s="117">
        <v>0</v>
      </c>
      <c r="O10" s="117">
        <v>1</v>
      </c>
      <c r="P10" s="82">
        <v>200</v>
      </c>
      <c r="Q10" s="117" t="s">
        <v>170</v>
      </c>
      <c r="R10" s="118" t="s">
        <v>171</v>
      </c>
    </row>
    <row r="11" spans="1:18" ht="16" thickBot="1" x14ac:dyDescent="0.2">
      <c r="A11" s="111">
        <v>20016</v>
      </c>
      <c r="B11" s="119">
        <v>1</v>
      </c>
      <c r="C11" s="120" t="str">
        <f t="shared" si="0"/>
        <v>20016_1</v>
      </c>
      <c r="D11" s="12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9">
        <v>10</v>
      </c>
      <c r="F11" s="122" t="s">
        <v>220</v>
      </c>
      <c r="G11" s="122">
        <v>352</v>
      </c>
      <c r="H11" s="122">
        <v>1</v>
      </c>
      <c r="I11" s="122">
        <v>1</v>
      </c>
      <c r="J11" s="122">
        <v>1</v>
      </c>
      <c r="K11" s="122">
        <v>0</v>
      </c>
      <c r="L11" s="122">
        <v>0</v>
      </c>
      <c r="M11" s="122">
        <v>0</v>
      </c>
      <c r="N11" s="122">
        <v>0</v>
      </c>
      <c r="O11" s="122">
        <v>1</v>
      </c>
      <c r="P11" s="131">
        <v>100</v>
      </c>
      <c r="Q11" s="122" t="s">
        <v>170</v>
      </c>
      <c r="R11" s="123" t="s">
        <v>171</v>
      </c>
    </row>
    <row r="12" spans="1:18" ht="16" thickBot="1" x14ac:dyDescent="0.2">
      <c r="A12" s="111">
        <v>20016</v>
      </c>
      <c r="B12" s="112">
        <v>2</v>
      </c>
      <c r="C12" s="113" t="str">
        <f t="shared" si="0"/>
        <v>20016_2</v>
      </c>
      <c r="D12" s="114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12">
        <v>11</v>
      </c>
      <c r="F12" s="115" t="s">
        <v>169</v>
      </c>
      <c r="G12" s="115">
        <v>3300</v>
      </c>
      <c r="H12" s="115" t="s">
        <v>53</v>
      </c>
      <c r="I12" s="115">
        <v>1</v>
      </c>
      <c r="J12" s="115">
        <v>1</v>
      </c>
      <c r="K12" s="115">
        <v>0</v>
      </c>
      <c r="L12" s="115">
        <v>0</v>
      </c>
      <c r="M12" s="115">
        <v>0</v>
      </c>
      <c r="N12" s="115">
        <v>0</v>
      </c>
      <c r="O12" s="115">
        <v>1</v>
      </c>
      <c r="P12" s="130">
        <v>200</v>
      </c>
      <c r="Q12" s="115" t="s">
        <v>170</v>
      </c>
      <c r="R12" s="116" t="s">
        <v>171</v>
      </c>
    </row>
    <row r="13" spans="1:18" ht="16" thickBot="1" x14ac:dyDescent="0.2">
      <c r="A13" s="111">
        <v>20016</v>
      </c>
      <c r="B13" s="57">
        <v>2</v>
      </c>
      <c r="C13" s="71" t="str">
        <f t="shared" si="0"/>
        <v>20016_2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117" t="s">
        <v>219</v>
      </c>
      <c r="G13" s="117">
        <v>20</v>
      </c>
      <c r="H13" s="117" t="s">
        <v>53</v>
      </c>
      <c r="I13" s="117">
        <v>1</v>
      </c>
      <c r="J13" s="117">
        <v>1</v>
      </c>
      <c r="K13" s="117">
        <v>0</v>
      </c>
      <c r="L13" s="117">
        <v>0</v>
      </c>
      <c r="M13" s="117">
        <v>0</v>
      </c>
      <c r="N13" s="117">
        <v>0</v>
      </c>
      <c r="O13" s="117">
        <v>1</v>
      </c>
      <c r="P13" s="82">
        <v>150</v>
      </c>
      <c r="Q13" s="117" t="s">
        <v>170</v>
      </c>
      <c r="R13" s="118" t="s">
        <v>171</v>
      </c>
    </row>
    <row r="14" spans="1:18" ht="16" thickBot="1" x14ac:dyDescent="0.2">
      <c r="A14" s="111">
        <v>20016</v>
      </c>
      <c r="B14" s="57">
        <v>2</v>
      </c>
      <c r="C14" s="71" t="str">
        <f t="shared" si="0"/>
        <v>20016_2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117" t="s">
        <v>220</v>
      </c>
      <c r="G14" s="117">
        <v>340</v>
      </c>
      <c r="H14" s="117">
        <v>1</v>
      </c>
      <c r="I14" s="117">
        <v>1</v>
      </c>
      <c r="J14" s="117">
        <v>1</v>
      </c>
      <c r="K14" s="117">
        <v>0</v>
      </c>
      <c r="L14" s="117">
        <v>0</v>
      </c>
      <c r="M14" s="117">
        <v>0</v>
      </c>
      <c r="N14" s="117">
        <v>0</v>
      </c>
      <c r="O14" s="117">
        <v>1</v>
      </c>
      <c r="P14" s="82">
        <v>70</v>
      </c>
      <c r="Q14" s="117" t="s">
        <v>170</v>
      </c>
      <c r="R14" s="118" t="s">
        <v>171</v>
      </c>
    </row>
    <row r="15" spans="1:18" ht="16" thickBot="1" x14ac:dyDescent="0.2">
      <c r="A15" s="111">
        <v>20016</v>
      </c>
      <c r="B15" s="57">
        <v>2</v>
      </c>
      <c r="C15" s="71" t="str">
        <f t="shared" si="0"/>
        <v>20016_2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117" t="s">
        <v>220</v>
      </c>
      <c r="G15" s="117">
        <v>341</v>
      </c>
      <c r="H15" s="117">
        <v>1</v>
      </c>
      <c r="I15" s="117">
        <v>1</v>
      </c>
      <c r="J15" s="117">
        <v>1</v>
      </c>
      <c r="K15" s="117">
        <v>0</v>
      </c>
      <c r="L15" s="117">
        <v>0</v>
      </c>
      <c r="M15" s="117">
        <v>0</v>
      </c>
      <c r="N15" s="117">
        <v>0</v>
      </c>
      <c r="O15" s="117">
        <v>1</v>
      </c>
      <c r="P15" s="82">
        <v>70</v>
      </c>
      <c r="Q15" s="117" t="s">
        <v>170</v>
      </c>
      <c r="R15" s="118" t="s">
        <v>171</v>
      </c>
    </row>
    <row r="16" spans="1:18" ht="16" thickBot="1" x14ac:dyDescent="0.2">
      <c r="A16" s="111">
        <v>20016</v>
      </c>
      <c r="B16" s="57">
        <v>2</v>
      </c>
      <c r="C16" s="71" t="str">
        <f t="shared" si="0"/>
        <v>20016_2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117" t="s">
        <v>220</v>
      </c>
      <c r="G16" s="117">
        <v>121</v>
      </c>
      <c r="H16" s="117">
        <v>1</v>
      </c>
      <c r="I16" s="117">
        <v>1</v>
      </c>
      <c r="J16" s="117">
        <v>1</v>
      </c>
      <c r="K16" s="117">
        <v>0</v>
      </c>
      <c r="L16" s="117">
        <v>0</v>
      </c>
      <c r="M16" s="117">
        <v>0</v>
      </c>
      <c r="N16" s="117">
        <v>0</v>
      </c>
      <c r="O16" s="117">
        <v>1</v>
      </c>
      <c r="P16" s="82">
        <v>50</v>
      </c>
      <c r="Q16" s="117" t="s">
        <v>170</v>
      </c>
      <c r="R16" s="118" t="s">
        <v>171</v>
      </c>
    </row>
    <row r="17" spans="1:18" ht="16" thickBot="1" x14ac:dyDescent="0.2">
      <c r="A17" s="111">
        <v>20016</v>
      </c>
      <c r="B17" s="57">
        <v>2</v>
      </c>
      <c r="C17" s="71" t="str">
        <f t="shared" si="0"/>
        <v>20016_2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117" t="s">
        <v>220</v>
      </c>
      <c r="G17" s="117">
        <v>122</v>
      </c>
      <c r="H17" s="117">
        <v>1</v>
      </c>
      <c r="I17" s="117">
        <v>1</v>
      </c>
      <c r="J17" s="117">
        <v>1</v>
      </c>
      <c r="K17" s="117">
        <v>0</v>
      </c>
      <c r="L17" s="117">
        <v>0</v>
      </c>
      <c r="M17" s="117">
        <v>0</v>
      </c>
      <c r="N17" s="117">
        <v>0</v>
      </c>
      <c r="O17" s="117">
        <v>1</v>
      </c>
      <c r="P17" s="82">
        <v>50</v>
      </c>
      <c r="Q17" s="117" t="s">
        <v>170</v>
      </c>
      <c r="R17" s="118" t="s">
        <v>171</v>
      </c>
    </row>
    <row r="18" spans="1:18" ht="16" thickBot="1" x14ac:dyDescent="0.2">
      <c r="A18" s="111">
        <v>20016</v>
      </c>
      <c r="B18" s="57">
        <v>2</v>
      </c>
      <c r="C18" s="71" t="str">
        <f t="shared" si="0"/>
        <v>20016_2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17</v>
      </c>
      <c r="F18" s="117" t="s">
        <v>220</v>
      </c>
      <c r="G18" s="117">
        <v>123</v>
      </c>
      <c r="H18" s="117">
        <v>1</v>
      </c>
      <c r="I18" s="117">
        <v>1</v>
      </c>
      <c r="J18" s="117">
        <v>1</v>
      </c>
      <c r="K18" s="117">
        <v>0</v>
      </c>
      <c r="L18" s="117">
        <v>0</v>
      </c>
      <c r="M18" s="117">
        <v>0</v>
      </c>
      <c r="N18" s="117">
        <v>0</v>
      </c>
      <c r="O18" s="117">
        <v>1</v>
      </c>
      <c r="P18" s="82">
        <v>50</v>
      </c>
      <c r="Q18" s="117" t="s">
        <v>170</v>
      </c>
      <c r="R18" s="118" t="s">
        <v>171</v>
      </c>
    </row>
    <row r="19" spans="1:18" ht="16" thickBot="1" x14ac:dyDescent="0.2">
      <c r="A19" s="111">
        <v>20016</v>
      </c>
      <c r="B19" s="57">
        <v>2</v>
      </c>
      <c r="C19" s="71" t="str">
        <f t="shared" si="0"/>
        <v>20016_2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7">
        <v>18</v>
      </c>
      <c r="F19" s="117" t="s">
        <v>220</v>
      </c>
      <c r="G19" s="117">
        <v>125</v>
      </c>
      <c r="H19" s="117">
        <v>1</v>
      </c>
      <c r="I19" s="117">
        <v>1</v>
      </c>
      <c r="J19" s="117">
        <v>1</v>
      </c>
      <c r="K19" s="117">
        <v>0</v>
      </c>
      <c r="L19" s="117">
        <v>0</v>
      </c>
      <c r="M19" s="117">
        <v>0</v>
      </c>
      <c r="N19" s="117">
        <v>0</v>
      </c>
      <c r="O19" s="117">
        <v>1</v>
      </c>
      <c r="P19" s="82">
        <v>10</v>
      </c>
      <c r="Q19" s="117" t="s">
        <v>170</v>
      </c>
      <c r="R19" s="118" t="s">
        <v>171</v>
      </c>
    </row>
    <row r="20" spans="1:18" ht="16" thickBot="1" x14ac:dyDescent="0.2">
      <c r="A20" s="111">
        <v>20016</v>
      </c>
      <c r="B20" s="57">
        <v>2</v>
      </c>
      <c r="C20" s="71" t="str">
        <f t="shared" si="0"/>
        <v>20016_2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7">
        <v>19</v>
      </c>
      <c r="F20" s="117" t="s">
        <v>220</v>
      </c>
      <c r="G20" s="128">
        <v>738</v>
      </c>
      <c r="H20" s="117">
        <v>1</v>
      </c>
      <c r="I20" s="117">
        <v>1</v>
      </c>
      <c r="J20" s="117">
        <v>1</v>
      </c>
      <c r="K20" s="117">
        <v>0</v>
      </c>
      <c r="L20" s="117">
        <v>0</v>
      </c>
      <c r="M20" s="117">
        <v>0</v>
      </c>
      <c r="N20" s="117">
        <v>0</v>
      </c>
      <c r="O20" s="117">
        <v>1</v>
      </c>
      <c r="P20" s="82">
        <v>250</v>
      </c>
      <c r="Q20" s="117" t="s">
        <v>170</v>
      </c>
      <c r="R20" s="118" t="s">
        <v>171</v>
      </c>
    </row>
    <row r="21" spans="1:18" ht="16" thickBot="1" x14ac:dyDescent="0.2">
      <c r="A21" s="111">
        <v>20016</v>
      </c>
      <c r="B21" s="119">
        <v>2</v>
      </c>
      <c r="C21" s="120" t="str">
        <f t="shared" si="0"/>
        <v>20016_2</v>
      </c>
      <c r="D21" s="12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19">
        <v>20</v>
      </c>
      <c r="F21" s="122" t="s">
        <v>220</v>
      </c>
      <c r="G21" s="122">
        <v>352</v>
      </c>
      <c r="H21" s="122">
        <v>1</v>
      </c>
      <c r="I21" s="122">
        <v>1</v>
      </c>
      <c r="J21" s="122">
        <v>1</v>
      </c>
      <c r="K21" s="122">
        <v>0</v>
      </c>
      <c r="L21" s="122">
        <v>0</v>
      </c>
      <c r="M21" s="122">
        <v>0</v>
      </c>
      <c r="N21" s="122">
        <v>0</v>
      </c>
      <c r="O21" s="122">
        <v>1</v>
      </c>
      <c r="P21" s="131">
        <v>100</v>
      </c>
      <c r="Q21" s="122" t="s">
        <v>170</v>
      </c>
      <c r="R21" s="123" t="s">
        <v>171</v>
      </c>
    </row>
    <row r="22" spans="1:18" ht="16" thickBot="1" x14ac:dyDescent="0.2">
      <c r="A22" s="111">
        <v>20016</v>
      </c>
      <c r="B22" s="124">
        <v>3</v>
      </c>
      <c r="C22" s="125" t="str">
        <f t="shared" si="0"/>
        <v>20016_3</v>
      </c>
      <c r="D22" s="126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24">
        <v>21</v>
      </c>
      <c r="F22" s="127" t="s">
        <v>169</v>
      </c>
      <c r="G22" s="127">
        <v>5100</v>
      </c>
      <c r="H22" s="127" t="s">
        <v>53</v>
      </c>
      <c r="I22" s="127">
        <v>1</v>
      </c>
      <c r="J22" s="127">
        <v>1</v>
      </c>
      <c r="K22" s="127">
        <v>0</v>
      </c>
      <c r="L22" s="127">
        <v>0</v>
      </c>
      <c r="M22" s="127">
        <v>0</v>
      </c>
      <c r="N22" s="127">
        <v>0</v>
      </c>
      <c r="O22" s="127">
        <v>1</v>
      </c>
      <c r="P22" s="132">
        <v>100</v>
      </c>
      <c r="Q22" s="127" t="s">
        <v>170</v>
      </c>
      <c r="R22" s="127" t="s">
        <v>171</v>
      </c>
    </row>
    <row r="23" spans="1:18" ht="16" thickBot="1" x14ac:dyDescent="0.2">
      <c r="A23" s="111">
        <v>20016</v>
      </c>
      <c r="B23" s="57">
        <v>3</v>
      </c>
      <c r="C23" s="71" t="str">
        <f t="shared" si="0"/>
        <v>20016_3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7">
        <v>22</v>
      </c>
      <c r="F23" s="117" t="s">
        <v>219</v>
      </c>
      <c r="G23" s="117">
        <v>25</v>
      </c>
      <c r="H23" s="117" t="s">
        <v>53</v>
      </c>
      <c r="I23" s="117">
        <v>1</v>
      </c>
      <c r="J23" s="117">
        <v>1</v>
      </c>
      <c r="K23" s="117">
        <v>0</v>
      </c>
      <c r="L23" s="117">
        <v>0</v>
      </c>
      <c r="M23" s="117">
        <v>0</v>
      </c>
      <c r="N23" s="117">
        <v>0</v>
      </c>
      <c r="O23" s="117">
        <v>1</v>
      </c>
      <c r="P23" s="82">
        <v>100</v>
      </c>
      <c r="Q23" s="117" t="s">
        <v>170</v>
      </c>
      <c r="R23" s="117" t="s">
        <v>171</v>
      </c>
    </row>
    <row r="24" spans="1:18" ht="16" thickBot="1" x14ac:dyDescent="0.2">
      <c r="A24" s="111">
        <v>20016</v>
      </c>
      <c r="B24" s="57">
        <v>3</v>
      </c>
      <c r="C24" s="71" t="str">
        <f t="shared" si="0"/>
        <v>20016_3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23</v>
      </c>
      <c r="F24" s="117" t="s">
        <v>220</v>
      </c>
      <c r="G24" s="117">
        <v>340</v>
      </c>
      <c r="H24" s="117">
        <v>1</v>
      </c>
      <c r="I24" s="117">
        <v>1</v>
      </c>
      <c r="J24" s="117">
        <v>1</v>
      </c>
      <c r="K24" s="117">
        <v>0</v>
      </c>
      <c r="L24" s="117">
        <v>0</v>
      </c>
      <c r="M24" s="117">
        <v>0</v>
      </c>
      <c r="N24" s="117">
        <v>0</v>
      </c>
      <c r="O24" s="117">
        <v>1</v>
      </c>
      <c r="P24" s="82">
        <v>56</v>
      </c>
      <c r="Q24" s="117" t="s">
        <v>170</v>
      </c>
      <c r="R24" s="117" t="s">
        <v>171</v>
      </c>
    </row>
    <row r="25" spans="1:18" ht="16" thickBot="1" x14ac:dyDescent="0.2">
      <c r="A25" s="111">
        <v>20016</v>
      </c>
      <c r="B25" s="57">
        <v>3</v>
      </c>
      <c r="C25" s="71" t="str">
        <f t="shared" si="0"/>
        <v>20016_3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24</v>
      </c>
      <c r="F25" s="117" t="s">
        <v>221</v>
      </c>
      <c r="G25" s="117">
        <v>341</v>
      </c>
      <c r="H25" s="117">
        <v>1</v>
      </c>
      <c r="I25" s="117">
        <v>1</v>
      </c>
      <c r="J25" s="117">
        <v>1</v>
      </c>
      <c r="K25" s="117">
        <v>0</v>
      </c>
      <c r="L25" s="117">
        <v>0</v>
      </c>
      <c r="M25" s="117">
        <v>0</v>
      </c>
      <c r="N25" s="117">
        <v>0</v>
      </c>
      <c r="O25" s="117">
        <v>1</v>
      </c>
      <c r="P25" s="82">
        <v>56</v>
      </c>
      <c r="Q25" s="117" t="s">
        <v>170</v>
      </c>
      <c r="R25" s="117" t="s">
        <v>171</v>
      </c>
    </row>
    <row r="26" spans="1:18" ht="16" thickBot="1" x14ac:dyDescent="0.2">
      <c r="A26" s="111">
        <v>20016</v>
      </c>
      <c r="B26" s="57">
        <v>3</v>
      </c>
      <c r="C26" s="71" t="str">
        <f t="shared" si="0"/>
        <v>20016_3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25</v>
      </c>
      <c r="F26" s="117" t="s">
        <v>221</v>
      </c>
      <c r="G26" s="117">
        <v>342</v>
      </c>
      <c r="H26" s="117">
        <v>1</v>
      </c>
      <c r="I26" s="117">
        <v>1</v>
      </c>
      <c r="J26" s="117">
        <v>1</v>
      </c>
      <c r="K26" s="117">
        <v>0</v>
      </c>
      <c r="L26" s="117">
        <v>0</v>
      </c>
      <c r="M26" s="117">
        <v>0</v>
      </c>
      <c r="N26" s="117">
        <v>0</v>
      </c>
      <c r="O26" s="117">
        <v>1</v>
      </c>
      <c r="P26" s="82">
        <v>28</v>
      </c>
      <c r="Q26" s="117" t="s">
        <v>170</v>
      </c>
      <c r="R26" s="117" t="s">
        <v>171</v>
      </c>
    </row>
    <row r="27" spans="1:18" ht="16" thickBot="1" x14ac:dyDescent="0.2">
      <c r="A27" s="111">
        <v>20016</v>
      </c>
      <c r="B27" s="57">
        <v>3</v>
      </c>
      <c r="C27" s="71" t="str">
        <f t="shared" si="0"/>
        <v>20016_3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26</v>
      </c>
      <c r="F27" s="117" t="s">
        <v>220</v>
      </c>
      <c r="G27" s="117">
        <v>121</v>
      </c>
      <c r="H27" s="117">
        <v>1</v>
      </c>
      <c r="I27" s="117">
        <v>1</v>
      </c>
      <c r="J27" s="117">
        <v>1</v>
      </c>
      <c r="K27" s="117">
        <v>0</v>
      </c>
      <c r="L27" s="117">
        <v>0</v>
      </c>
      <c r="M27" s="117">
        <v>0</v>
      </c>
      <c r="N27" s="117">
        <v>0</v>
      </c>
      <c r="O27" s="117">
        <v>1</v>
      </c>
      <c r="P27" s="82">
        <v>50</v>
      </c>
      <c r="Q27" s="117" t="s">
        <v>170</v>
      </c>
      <c r="R27" s="117" t="s">
        <v>171</v>
      </c>
    </row>
    <row r="28" spans="1:18" ht="16" thickBot="1" x14ac:dyDescent="0.2">
      <c r="A28" s="111">
        <v>20016</v>
      </c>
      <c r="B28" s="57">
        <v>3</v>
      </c>
      <c r="C28" s="71" t="str">
        <f t="shared" si="0"/>
        <v>20016_3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27</v>
      </c>
      <c r="F28" s="117" t="s">
        <v>221</v>
      </c>
      <c r="G28" s="117">
        <v>122</v>
      </c>
      <c r="H28" s="117">
        <v>1</v>
      </c>
      <c r="I28" s="117">
        <v>1</v>
      </c>
      <c r="J28" s="117">
        <v>1</v>
      </c>
      <c r="K28" s="117">
        <v>0</v>
      </c>
      <c r="L28" s="117">
        <v>0</v>
      </c>
      <c r="M28" s="117">
        <v>0</v>
      </c>
      <c r="N28" s="117">
        <v>0</v>
      </c>
      <c r="O28" s="117">
        <v>1</v>
      </c>
      <c r="P28" s="82">
        <v>50</v>
      </c>
      <c r="Q28" s="117" t="s">
        <v>170</v>
      </c>
      <c r="R28" s="117" t="s">
        <v>171</v>
      </c>
    </row>
    <row r="29" spans="1:18" ht="16" thickBot="1" x14ac:dyDescent="0.2">
      <c r="A29" s="111">
        <v>20016</v>
      </c>
      <c r="B29" s="57">
        <v>3</v>
      </c>
      <c r="C29" s="71" t="str">
        <f t="shared" si="0"/>
        <v>20016_3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28</v>
      </c>
      <c r="F29" s="117" t="s">
        <v>220</v>
      </c>
      <c r="G29" s="117">
        <v>123</v>
      </c>
      <c r="H29" s="117">
        <v>1</v>
      </c>
      <c r="I29" s="117">
        <v>1</v>
      </c>
      <c r="J29" s="117">
        <v>1</v>
      </c>
      <c r="K29" s="117">
        <v>0</v>
      </c>
      <c r="L29" s="117">
        <v>0</v>
      </c>
      <c r="M29" s="117">
        <v>0</v>
      </c>
      <c r="N29" s="117">
        <v>0</v>
      </c>
      <c r="O29" s="117">
        <v>1</v>
      </c>
      <c r="P29" s="82">
        <v>50</v>
      </c>
      <c r="Q29" s="117" t="s">
        <v>170</v>
      </c>
      <c r="R29" s="117" t="s">
        <v>171</v>
      </c>
    </row>
    <row r="30" spans="1:18" ht="16" thickBot="1" x14ac:dyDescent="0.2">
      <c r="A30" s="111">
        <v>20016</v>
      </c>
      <c r="B30" s="57">
        <v>3</v>
      </c>
      <c r="C30" s="71" t="str">
        <f t="shared" si="0"/>
        <v>20016_3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29</v>
      </c>
      <c r="F30" s="117" t="s">
        <v>220</v>
      </c>
      <c r="G30" s="117">
        <v>125</v>
      </c>
      <c r="H30" s="117">
        <v>1</v>
      </c>
      <c r="I30" s="117">
        <v>1</v>
      </c>
      <c r="J30" s="117">
        <v>1</v>
      </c>
      <c r="K30" s="117">
        <v>0</v>
      </c>
      <c r="L30" s="117">
        <v>0</v>
      </c>
      <c r="M30" s="117">
        <v>0</v>
      </c>
      <c r="N30" s="117">
        <v>0</v>
      </c>
      <c r="O30" s="117">
        <v>1</v>
      </c>
      <c r="P30" s="82">
        <v>10</v>
      </c>
      <c r="Q30" s="117" t="s">
        <v>170</v>
      </c>
      <c r="R30" s="117" t="s">
        <v>171</v>
      </c>
    </row>
    <row r="31" spans="1:18" ht="16" thickBot="1" x14ac:dyDescent="0.2">
      <c r="A31" s="111">
        <v>20016</v>
      </c>
      <c r="B31" s="57">
        <v>3</v>
      </c>
      <c r="C31" s="71" t="str">
        <f t="shared" si="0"/>
        <v>20016_3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30</v>
      </c>
      <c r="F31" s="117" t="s">
        <v>221</v>
      </c>
      <c r="G31" s="128">
        <v>738</v>
      </c>
      <c r="H31" s="117">
        <v>1</v>
      </c>
      <c r="I31" s="117">
        <v>1</v>
      </c>
      <c r="J31" s="117">
        <v>1</v>
      </c>
      <c r="K31" s="117">
        <v>0</v>
      </c>
      <c r="L31" s="117">
        <v>0</v>
      </c>
      <c r="M31" s="117">
        <v>0</v>
      </c>
      <c r="N31" s="117">
        <v>0</v>
      </c>
      <c r="O31" s="117">
        <v>1</v>
      </c>
      <c r="P31" s="82">
        <v>400</v>
      </c>
      <c r="Q31" s="117" t="s">
        <v>170</v>
      </c>
      <c r="R31" s="117" t="s">
        <v>171</v>
      </c>
    </row>
    <row r="32" spans="1:18" x14ac:dyDescent="0.15">
      <c r="A32" s="111">
        <v>20016</v>
      </c>
      <c r="B32" s="57">
        <v>3</v>
      </c>
      <c r="C32" s="71" t="str">
        <f t="shared" si="0"/>
        <v>20016_3</v>
      </c>
      <c r="D32" s="1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7">
        <v>31</v>
      </c>
      <c r="F32" s="117" t="s">
        <v>221</v>
      </c>
      <c r="G32" s="117">
        <v>352</v>
      </c>
      <c r="H32" s="117">
        <v>1</v>
      </c>
      <c r="I32" s="117">
        <v>1</v>
      </c>
      <c r="J32" s="117">
        <v>1</v>
      </c>
      <c r="K32" s="117">
        <v>0</v>
      </c>
      <c r="L32" s="117">
        <v>0</v>
      </c>
      <c r="M32" s="117">
        <v>0</v>
      </c>
      <c r="N32" s="117">
        <v>0</v>
      </c>
      <c r="O32" s="117">
        <v>1</v>
      </c>
      <c r="P32" s="82">
        <v>100</v>
      </c>
      <c r="Q32" s="117" t="s">
        <v>170</v>
      </c>
      <c r="R32" s="117" t="s">
        <v>171</v>
      </c>
    </row>
  </sheetData>
  <phoneticPr fontId="5"/>
  <dataValidations disablePrompts="1" count="1">
    <dataValidation type="list" allowBlank="1" showInputMessage="1" showErrorMessage="1" sqref="F2:F3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71" activePane="bottomLeft" state="frozen"/>
      <selection pane="bottomLeft" activeCell="E4" sqref="E4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188</v>
      </c>
      <c r="B1" s="73" t="s">
        <v>189</v>
      </c>
      <c r="C1" s="78" t="s">
        <v>190</v>
      </c>
      <c r="D1" s="78" t="s">
        <v>33</v>
      </c>
      <c r="E1" s="73" t="s">
        <v>191</v>
      </c>
      <c r="F1" s="78" t="s">
        <v>192</v>
      </c>
      <c r="G1" s="78" t="s">
        <v>33</v>
      </c>
      <c r="H1" s="73" t="s">
        <v>193</v>
      </c>
      <c r="I1" s="92" t="s">
        <v>195</v>
      </c>
      <c r="J1" s="80" t="s">
        <v>127</v>
      </c>
      <c r="K1" s="79" t="s">
        <v>187</v>
      </c>
      <c r="L1" s="93" t="s">
        <v>186</v>
      </c>
      <c r="M1" s="81" t="s">
        <v>196</v>
      </c>
    </row>
    <row r="2" spans="1:13" x14ac:dyDescent="0.15">
      <c r="A2" s="82" t="s">
        <v>201</v>
      </c>
      <c r="B2" s="83">
        <f>floors!$C$2</f>
        <v>20016</v>
      </c>
      <c r="C2" s="84" t="str">
        <f ca="1">VLOOKUP($B2,OFFSET([2]quests!$A$1,0,0,COUNTA([2]quests!$A:$A),MATCH(C$1,[2]quests!$1:$1,0)-MATCH($B$1,[2]quests!$1:$1,0)+1),MATCH(C$1,[2]quests!$1:$1,0)-MATCH($B$1,[2]quests!$1:$1,0)+1,FALSE)</f>
        <v>寡黙な翼竜の侵攻</v>
      </c>
      <c r="D2" s="84" t="str">
        <f ca="1">VLOOKUP($B2,OFFSET([2]quests!$A$1,0,0,COUNTA([2]quests!$A:$A),MATCH(D$1,[2]quests!$1:$1,0)-MATCH($B$1,[2]quests!$1:$1,0)+1),MATCH(D$1,[2]quests!$1:$1,0)-MATCH($B$1,[2]quests!$1:$1,0)+1,FALSE)</f>
        <v>ギリシャ神話01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【初級】寡黙な翼竜の侵攻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ギリシャ神話01</v>
      </c>
      <c r="H2" s="86">
        <v>0</v>
      </c>
      <c r="I2">
        <v>1</v>
      </c>
      <c r="J2" s="85" t="s">
        <v>198</v>
      </c>
      <c r="K2" s="94" t="str">
        <f>VLOOKUP(I2,[6]stage_hints!$A:$C,3,FALSE)</f>
        <v>長くつなげて大ダメージ</v>
      </c>
      <c r="L2" s="95" t="str">
        <f>VLOOKUP(I2,[6]stage_hints!$A:$D,4,FALSE)</f>
        <v>パネルを長くつなげるほど_x000D_大ダメージを与えることができます</v>
      </c>
      <c r="M2" s="57" t="s">
        <v>211</v>
      </c>
    </row>
    <row r="3" spans="1:13" x14ac:dyDescent="0.15">
      <c r="A3" s="82" t="s">
        <v>201</v>
      </c>
      <c r="B3" s="83">
        <f>floors!$C$2</f>
        <v>20016</v>
      </c>
      <c r="C3" s="84" t="str">
        <f ca="1">VLOOKUP($B3,OFFSET([2]quests!$A$1,0,0,COUNTA([2]quests!$A:$A),MATCH(C$1,[2]quests!$1:$1,0)-MATCH($B$1,[2]quests!$1:$1,0)+1),MATCH(C$1,[2]quests!$1:$1,0)-MATCH($B$1,[2]quests!$1:$1,0)+1,FALSE)</f>
        <v>寡黙な翼竜の侵攻</v>
      </c>
      <c r="D3" s="84" t="str">
        <f ca="1">VLOOKUP($B3,OFFSET([2]quests!$A$1,0,0,COUNTA([2]quests!$A:$A),MATCH(D$1,[2]quests!$1:$1,0)-MATCH($B$1,[2]quests!$1:$1,0)+1),MATCH(D$1,[2]quests!$1:$1,0)-MATCH($B$1,[2]quests!$1:$1,0)+1,FALSE)</f>
        <v>ギリシャ神話01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【初級】寡黙な翼竜の侵攻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ギリシャ神話01</v>
      </c>
      <c r="H3" s="86">
        <v>0</v>
      </c>
      <c r="I3">
        <v>2</v>
      </c>
      <c r="J3" s="85" t="s">
        <v>198</v>
      </c>
      <c r="K3" s="94" t="str">
        <f>VLOOKUP(I3,[6]stage_hints!$A:$C,3,FALSE)</f>
        <v>属性の相性</v>
      </c>
      <c r="L3" s="95" t="str">
        <f>VLOOKUP(I3,[6]stage_hints!$A:$D,4,FALSE)</f>
        <v>赤＞青　青＞黄　黄＞緑　緑＞赤_x000D_敵属性に最適なパーティがオススメです</v>
      </c>
      <c r="M3" s="57" t="s">
        <v>211</v>
      </c>
    </row>
    <row r="4" spans="1:13" x14ac:dyDescent="0.15">
      <c r="A4" s="82" t="s">
        <v>201</v>
      </c>
      <c r="B4" s="83">
        <f>floors!$C$2</f>
        <v>20016</v>
      </c>
      <c r="C4" s="84" t="str">
        <f ca="1">VLOOKUP($B4,OFFSET([2]quests!$A$1,0,0,COUNTA([2]quests!$A:$A),MATCH(C$1,[2]quests!$1:$1,0)-MATCH($B$1,[2]quests!$1:$1,0)+1),MATCH(C$1,[2]quests!$1:$1,0)-MATCH($B$1,[2]quests!$1:$1,0)+1,FALSE)</f>
        <v>寡黙な翼竜の侵攻</v>
      </c>
      <c r="D4" s="84" t="str">
        <f ca="1">VLOOKUP($B4,OFFSET([2]quests!$A$1,0,0,COUNTA([2]quests!$A:$A),MATCH(D$1,[2]quests!$1:$1,0)-MATCH($B$1,[2]quests!$1:$1,0)+1),MATCH(D$1,[2]quests!$1:$1,0)-MATCH($B$1,[2]quests!$1:$1,0)+1,FALSE)</f>
        <v>ギリシャ神話01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【初級】寡黙な翼竜の侵攻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ギリシャ神話01</v>
      </c>
      <c r="H4" s="86">
        <v>0</v>
      </c>
      <c r="I4">
        <v>3</v>
      </c>
      <c r="J4" s="85" t="s">
        <v>198</v>
      </c>
      <c r="K4" s="94" t="str">
        <f>VLOOKUP(I4,[6]stage_hints!$A:$C,3,FALSE)</f>
        <v>ターゲット</v>
      </c>
      <c r="L4" s="95" t="str">
        <f>VLOOKUP(I4,[6]stage_hints!$A:$D,4,FALSE)</f>
        <v>敵ユニットをタップすると_x000D_その敵を狙い撃ちできます</v>
      </c>
      <c r="M4" s="57" t="s">
        <v>211</v>
      </c>
    </row>
    <row r="5" spans="1:13" x14ac:dyDescent="0.15">
      <c r="A5" s="82" t="s">
        <v>201</v>
      </c>
      <c r="B5" s="83">
        <f>floors!$C$2</f>
        <v>20016</v>
      </c>
      <c r="C5" s="84" t="str">
        <f ca="1">VLOOKUP($B5,OFFSET([2]quests!$A$1,0,0,COUNTA([2]quests!$A:$A),MATCH(C$1,[2]quests!$1:$1,0)-MATCH($B$1,[2]quests!$1:$1,0)+1),MATCH(C$1,[2]quests!$1:$1,0)-MATCH($B$1,[2]quests!$1:$1,0)+1,FALSE)</f>
        <v>寡黙な翼竜の侵攻</v>
      </c>
      <c r="D5" s="84" t="str">
        <f ca="1">VLOOKUP($B5,OFFSET([2]quests!$A$1,0,0,COUNTA([2]quests!$A:$A),MATCH(D$1,[2]quests!$1:$1,0)-MATCH($B$1,[2]quests!$1:$1,0)+1),MATCH(D$1,[2]quests!$1:$1,0)-MATCH($B$1,[2]quests!$1:$1,0)+1,FALSE)</f>
        <v>ギリシャ神話01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【初級】寡黙な翼竜の侵攻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ギリシャ神話01</v>
      </c>
      <c r="H5" s="86">
        <v>0</v>
      </c>
      <c r="I5">
        <v>5</v>
      </c>
      <c r="J5" s="85" t="s">
        <v>198</v>
      </c>
      <c r="K5" s="94" t="str">
        <f>VLOOKUP(I5,[6]stage_hints!$A:$C,3,FALSE)</f>
        <v>ユニット強化でレベルアップ</v>
      </c>
      <c r="L5" s="95" t="str">
        <f>VLOOKUP(I5,[6]stage_hints!$A:$D,4,FALSE)</f>
        <v>「ユニット強化」でレベルアップすると_x000D_勝てない敵にも勝てるようになります</v>
      </c>
      <c r="M5" s="57" t="s">
        <v>211</v>
      </c>
    </row>
    <row r="6" spans="1:13" x14ac:dyDescent="0.15">
      <c r="A6" s="82" t="s">
        <v>201</v>
      </c>
      <c r="B6" s="83">
        <f>floors!$C$2</f>
        <v>20016</v>
      </c>
      <c r="C6" s="84" t="str">
        <f ca="1">VLOOKUP($B6,OFFSET([2]quests!$A$1,0,0,COUNTA([2]quests!$A:$A),MATCH(C$1,[2]quests!$1:$1,0)-MATCH($B$1,[2]quests!$1:$1,0)+1),MATCH(C$1,[2]quests!$1:$1,0)-MATCH($B$1,[2]quests!$1:$1,0)+1,FALSE)</f>
        <v>寡黙な翼竜の侵攻</v>
      </c>
      <c r="D6" s="84" t="str">
        <f ca="1">VLOOKUP($B6,OFFSET([2]quests!$A$1,0,0,COUNTA([2]quests!$A:$A),MATCH(D$1,[2]quests!$1:$1,0)-MATCH($B$1,[2]quests!$1:$1,0)+1),MATCH(D$1,[2]quests!$1:$1,0)-MATCH($B$1,[2]quests!$1:$1,0)+1,FALSE)</f>
        <v>ギリシャ神話01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【初級】寡黙な翼竜の侵攻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ギリシャ神話01</v>
      </c>
      <c r="H6" s="86">
        <v>0</v>
      </c>
      <c r="I6">
        <v>6</v>
      </c>
      <c r="J6" s="85" t="s">
        <v>198</v>
      </c>
      <c r="K6" s="94" t="str">
        <f>VLOOKUP(I6,[6]stage_hints!$A:$C,3,FALSE)</f>
        <v>ユニット強化の属性ボーナス</v>
      </c>
      <c r="L6" s="95" t="str">
        <f>VLOOKUP(I6,[6]stage_hints!$A:$D,4,FALSE)</f>
        <v>同属性ユニットを強化素材にすると_x000D_経験値が多くもらえます</v>
      </c>
      <c r="M6" s="57" t="s">
        <v>211</v>
      </c>
    </row>
    <row r="7" spans="1:13" x14ac:dyDescent="0.15">
      <c r="A7" s="82" t="s">
        <v>201</v>
      </c>
      <c r="B7" s="83">
        <f>floors!$C$2</f>
        <v>20016</v>
      </c>
      <c r="C7" s="84" t="str">
        <f ca="1">VLOOKUP($B7,OFFSET([2]quests!$A$1,0,0,COUNTA([2]quests!$A:$A),MATCH(C$1,[2]quests!$1:$1,0)-MATCH($B$1,[2]quests!$1:$1,0)+1),MATCH(C$1,[2]quests!$1:$1,0)-MATCH($B$1,[2]quests!$1:$1,0)+1,FALSE)</f>
        <v>寡黙な翼竜の侵攻</v>
      </c>
      <c r="D7" s="84" t="str">
        <f ca="1">VLOOKUP($B7,OFFSET([2]quests!$A$1,0,0,COUNTA([2]quests!$A:$A),MATCH(D$1,[2]quests!$1:$1,0)-MATCH($B$1,[2]quests!$1:$1,0)+1),MATCH(D$1,[2]quests!$1:$1,0)-MATCH($B$1,[2]quests!$1:$1,0)+1,FALSE)</f>
        <v>ギリシャ神話01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【初級】寡黙な翼竜の侵攻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ギリシャ神話01</v>
      </c>
      <c r="H7" s="86">
        <v>0</v>
      </c>
      <c r="I7">
        <v>7</v>
      </c>
      <c r="J7" s="85" t="s">
        <v>198</v>
      </c>
      <c r="K7" s="94" t="str">
        <f>VLOOKUP(I7,[6]stage_hints!$A:$C,3,FALSE)</f>
        <v>メタルダックで経験値を獲得</v>
      </c>
      <c r="L7" s="95" t="str">
        <f>VLOOKUP(I7,[6]stage_hints!$A:$D,4,FALSE)</f>
        <v>「メタルなアヒル」を強化素材にすると_x000D_大量の経験値がもらえます</v>
      </c>
      <c r="M7" s="57" t="s">
        <v>211</v>
      </c>
    </row>
    <row r="8" spans="1:13" x14ac:dyDescent="0.15">
      <c r="A8" s="82" t="s">
        <v>201</v>
      </c>
      <c r="B8" s="83">
        <f>floors!$C$2</f>
        <v>20016</v>
      </c>
      <c r="C8" s="84" t="str">
        <f ca="1">VLOOKUP($B8,OFFSET([2]quests!$A$1,0,0,COUNTA([2]quests!$A:$A),MATCH(C$1,[2]quests!$1:$1,0)-MATCH($B$1,[2]quests!$1:$1,0)+1),MATCH(C$1,[2]quests!$1:$1,0)-MATCH($B$1,[2]quests!$1:$1,0)+1,FALSE)</f>
        <v>寡黙な翼竜の侵攻</v>
      </c>
      <c r="D8" s="84" t="str">
        <f ca="1">VLOOKUP($B8,OFFSET([2]quests!$A$1,0,0,COUNTA([2]quests!$A:$A),MATCH(D$1,[2]quests!$1:$1,0)-MATCH($B$1,[2]quests!$1:$1,0)+1),MATCH(D$1,[2]quests!$1:$1,0)-MATCH($B$1,[2]quests!$1:$1,0)+1,FALSE)</f>
        <v>ギリシャ神話01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【初級】寡黙な翼竜の侵攻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ギリシャ神話01</v>
      </c>
      <c r="H8" s="86">
        <v>0</v>
      </c>
      <c r="I8">
        <v>8</v>
      </c>
      <c r="J8" s="85" t="s">
        <v>198</v>
      </c>
      <c r="K8" s="94" t="str">
        <f>VLOOKUP(I8,[6]stage_hints!$A:$C,3,FALSE)</f>
        <v>ゲリラクエストは要チェック</v>
      </c>
      <c r="L8" s="95" t="str">
        <f>VLOOKUP(I8,[6]stage_hints!$A:$D,4,FALSE)</f>
        <v>時間限定の「アヒル捕獲作戦」では_x000D_経験値素材ユニットが多く手に入ります</v>
      </c>
      <c r="M8" s="57" t="s">
        <v>211</v>
      </c>
    </row>
    <row r="9" spans="1:13" x14ac:dyDescent="0.15">
      <c r="A9" s="82" t="s">
        <v>201</v>
      </c>
      <c r="B9" s="83">
        <f>floors!$C$2</f>
        <v>20016</v>
      </c>
      <c r="C9" s="84" t="str">
        <f ca="1">VLOOKUP($B9,OFFSET([2]quests!$A$1,0,0,COUNTA([2]quests!$A:$A),MATCH(C$1,[2]quests!$1:$1,0)-MATCH($B$1,[2]quests!$1:$1,0)+1),MATCH(C$1,[2]quests!$1:$1,0)-MATCH($B$1,[2]quests!$1:$1,0)+1,FALSE)</f>
        <v>寡黙な翼竜の侵攻</v>
      </c>
      <c r="D9" s="84" t="str">
        <f ca="1">VLOOKUP($B9,OFFSET([2]quests!$A$1,0,0,COUNTA([2]quests!$A:$A),MATCH(D$1,[2]quests!$1:$1,0)-MATCH($B$1,[2]quests!$1:$1,0)+1),MATCH(D$1,[2]quests!$1:$1,0)-MATCH($B$1,[2]quests!$1:$1,0)+1,FALSE)</f>
        <v>ギリシャ神話01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【初級】寡黙な翼竜の侵攻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ギリシャ神話01</v>
      </c>
      <c r="H9" s="86">
        <v>0</v>
      </c>
      <c r="I9">
        <v>9</v>
      </c>
      <c r="J9" s="85" t="s">
        <v>198</v>
      </c>
      <c r="K9" s="94" t="str">
        <f>VLOOKUP(I9,[6]stage_hints!$A:$C,3,FALSE)</f>
        <v>ゴールドダックでビットを獲得</v>
      </c>
      <c r="L9" s="95" t="str">
        <f>VLOOKUP(I9,[6]stage_hints!$A:$D,4,FALSE)</f>
        <v>「ゴールドなアヒル」を売却すると_x000D_大量のビットがもらえます</v>
      </c>
      <c r="M9" s="57" t="s">
        <v>211</v>
      </c>
    </row>
    <row r="10" spans="1:13" x14ac:dyDescent="0.15">
      <c r="A10" s="82" t="s">
        <v>201</v>
      </c>
      <c r="B10" s="83">
        <f>floors!$C$2</f>
        <v>20016</v>
      </c>
      <c r="C10" s="84" t="str">
        <f ca="1">VLOOKUP($B10,OFFSET([2]quests!$A$1,0,0,COUNTA([2]quests!$A:$A),MATCH(C$1,[2]quests!$1:$1,0)-MATCH($B$1,[2]quests!$1:$1,0)+1),MATCH(C$1,[2]quests!$1:$1,0)-MATCH($B$1,[2]quests!$1:$1,0)+1,FALSE)</f>
        <v>寡黙な翼竜の侵攻</v>
      </c>
      <c r="D10" s="84" t="str">
        <f ca="1">VLOOKUP($B10,OFFSET([2]quests!$A$1,0,0,COUNTA([2]quests!$A:$A),MATCH(D$1,[2]quests!$1:$1,0)-MATCH($B$1,[2]quests!$1:$1,0)+1),MATCH(D$1,[2]quests!$1:$1,0)-MATCH($B$1,[2]quests!$1:$1,0)+1,FALSE)</f>
        <v>ギリシャ神話01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【初級】寡黙な翼竜の侵攻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ギリシャ神話01</v>
      </c>
      <c r="H10" s="86">
        <v>0</v>
      </c>
      <c r="I10">
        <v>10</v>
      </c>
      <c r="J10" s="85" t="s">
        <v>198</v>
      </c>
      <c r="K10" s="94" t="str">
        <f>VLOOKUP(I10,[6]stage_hints!$A:$C,3,FALSE)</f>
        <v>土日に大量のビットを獲得</v>
      </c>
      <c r="L10" s="95" t="str">
        <f>VLOOKUP(I10,[6]stage_hints!$A:$D,4,FALSE)</f>
        <v>土日限定の「ゴールドカジノ」では_x000D_売却素材ユニットが多く手に入ります</v>
      </c>
      <c r="M10" s="57" t="s">
        <v>211</v>
      </c>
    </row>
    <row r="11" spans="1:13" x14ac:dyDescent="0.15">
      <c r="A11" s="82" t="s">
        <v>201</v>
      </c>
      <c r="B11" s="83">
        <f>floors!$C$2</f>
        <v>20016</v>
      </c>
      <c r="C11" s="84" t="str">
        <f ca="1">VLOOKUP($B11,OFFSET([2]quests!$A$1,0,0,COUNTA([2]quests!$A:$A),MATCH(C$1,[2]quests!$1:$1,0)-MATCH($B$1,[2]quests!$1:$1,0)+1),MATCH(C$1,[2]quests!$1:$1,0)-MATCH($B$1,[2]quests!$1:$1,0)+1,FALSE)</f>
        <v>寡黙な翼竜の侵攻</v>
      </c>
      <c r="D11" s="84" t="str">
        <f ca="1">VLOOKUP($B11,OFFSET([2]quests!$A$1,0,0,COUNTA([2]quests!$A:$A),MATCH(D$1,[2]quests!$1:$1,0)-MATCH($B$1,[2]quests!$1:$1,0)+1),MATCH(D$1,[2]quests!$1:$1,0)-MATCH($B$1,[2]quests!$1:$1,0)+1,FALSE)</f>
        <v>ギリシャ神話01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【初級】寡黙な翼竜の侵攻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ギリシャ神話01</v>
      </c>
      <c r="H11" s="86">
        <v>0</v>
      </c>
      <c r="I11">
        <v>11</v>
      </c>
      <c r="J11" s="85" t="s">
        <v>198</v>
      </c>
      <c r="K11" s="94" t="str">
        <f>VLOOKUP(I11,[6]stage_hints!$A:$C,3,FALSE)</f>
        <v>ランク解放クエスト</v>
      </c>
      <c r="L11" s="95" t="str">
        <f>VLOOKUP(I11,[6]stage_hints!$A:$D,4,FALSE)</f>
        <v>一定ランクに到達すると_x000D_報酬付きのランク開放クエストが現れます</v>
      </c>
      <c r="M11" s="57" t="s">
        <v>211</v>
      </c>
    </row>
    <row r="12" spans="1:13" x14ac:dyDescent="0.15">
      <c r="A12" s="82" t="s">
        <v>201</v>
      </c>
      <c r="B12" s="83">
        <f>floors!$C$2</f>
        <v>20016</v>
      </c>
      <c r="C12" s="84" t="str">
        <f ca="1">VLOOKUP($B12,OFFSET([2]quests!$A$1,0,0,COUNTA([2]quests!$A:$A),MATCH(C$1,[2]quests!$1:$1,0)-MATCH($B$1,[2]quests!$1:$1,0)+1),MATCH(C$1,[2]quests!$1:$1,0)-MATCH($B$1,[2]quests!$1:$1,0)+1,FALSE)</f>
        <v>寡黙な翼竜の侵攻</v>
      </c>
      <c r="D12" s="84" t="str">
        <f ca="1">VLOOKUP($B12,OFFSET([2]quests!$A$1,0,0,COUNTA([2]quests!$A:$A),MATCH(D$1,[2]quests!$1:$1,0)-MATCH($B$1,[2]quests!$1:$1,0)+1),MATCH(D$1,[2]quests!$1:$1,0)-MATCH($B$1,[2]quests!$1:$1,0)+1,FALSE)</f>
        <v>ギリシャ神話01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【初級】寡黙な翼竜の侵攻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ギリシャ神話01</v>
      </c>
      <c r="H12" s="86">
        <v>0</v>
      </c>
      <c r="I12">
        <v>12</v>
      </c>
      <c r="J12" s="85" t="s">
        <v>198</v>
      </c>
      <c r="K12" s="94" t="str">
        <f>VLOOKUP(I12,[6]stage_hints!$A:$C,3,FALSE)</f>
        <v>ユニットのお気に入り登録</v>
      </c>
      <c r="L12" s="95" t="str">
        <f>VLOOKUP(I12,[6]stage_hints!$A:$D,4,FALSE)</f>
        <v>大事なユニットを誤って消さないように_x000D_フォルダから「お気に入り登録」しましょう</v>
      </c>
      <c r="M12" s="57" t="s">
        <v>211</v>
      </c>
    </row>
    <row r="13" spans="1:13" x14ac:dyDescent="0.15">
      <c r="A13" s="82" t="s">
        <v>201</v>
      </c>
      <c r="B13" s="83">
        <f>floors!$C$2</f>
        <v>20016</v>
      </c>
      <c r="C13" s="84" t="str">
        <f ca="1">VLOOKUP($B13,OFFSET([2]quests!$A$1,0,0,COUNTA([2]quests!$A:$A),MATCH(C$1,[2]quests!$1:$1,0)-MATCH($B$1,[2]quests!$1:$1,0)+1),MATCH(C$1,[2]quests!$1:$1,0)-MATCH($B$1,[2]quests!$1:$1,0)+1,FALSE)</f>
        <v>寡黙な翼竜の侵攻</v>
      </c>
      <c r="D13" s="84" t="str">
        <f ca="1">VLOOKUP($B13,OFFSET([2]quests!$A$1,0,0,COUNTA([2]quests!$A:$A),MATCH(D$1,[2]quests!$1:$1,0)-MATCH($B$1,[2]quests!$1:$1,0)+1),MATCH(D$1,[2]quests!$1:$1,0)-MATCH($B$1,[2]quests!$1:$1,0)+1,FALSE)</f>
        <v>ギリシャ神話01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【初級】寡黙な翼竜の侵攻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ギリシャ神話01</v>
      </c>
      <c r="H13" s="86">
        <v>0</v>
      </c>
      <c r="I13">
        <v>13</v>
      </c>
      <c r="J13" s="85" t="s">
        <v>198</v>
      </c>
      <c r="K13" s="94" t="str">
        <f>VLOOKUP(I13,[6]stage_hints!$A:$C,3,FALSE)</f>
        <v>ユニットの覚醒</v>
      </c>
      <c r="L13" s="95" t="str">
        <f>VLOOKUP(I13,[6]stage_hints!$A:$D,4,FALSE)</f>
        <v>ユニットを覚醒させると_x000D_比べものにならない強さが手に入ります</v>
      </c>
      <c r="M13" s="57" t="s">
        <v>211</v>
      </c>
    </row>
    <row r="14" spans="1:13" x14ac:dyDescent="0.15">
      <c r="A14" s="82" t="s">
        <v>201</v>
      </c>
      <c r="B14" s="83">
        <f>floors!$C$2</f>
        <v>20016</v>
      </c>
      <c r="C14" s="84" t="str">
        <f ca="1">VLOOKUP($B14,OFFSET([2]quests!$A$1,0,0,COUNTA([2]quests!$A:$A),MATCH(C$1,[2]quests!$1:$1,0)-MATCH($B$1,[2]quests!$1:$1,0)+1),MATCH(C$1,[2]quests!$1:$1,0)-MATCH($B$1,[2]quests!$1:$1,0)+1,FALSE)</f>
        <v>寡黙な翼竜の侵攻</v>
      </c>
      <c r="D14" s="84" t="str">
        <f ca="1">VLOOKUP($B14,OFFSET([2]quests!$A$1,0,0,COUNTA([2]quests!$A:$A),MATCH(D$1,[2]quests!$1:$1,0)-MATCH($B$1,[2]quests!$1:$1,0)+1),MATCH(D$1,[2]quests!$1:$1,0)-MATCH($B$1,[2]quests!$1:$1,0)+1,FALSE)</f>
        <v>ギリシャ神話01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【初級】寡黙な翼竜の侵攻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ギリシャ神話01</v>
      </c>
      <c r="H14" s="86">
        <v>0</v>
      </c>
      <c r="I14">
        <v>14</v>
      </c>
      <c r="J14" s="85" t="s">
        <v>198</v>
      </c>
      <c r="K14" s="94" t="str">
        <f>VLOOKUP(I14,[6]stage_hints!$A:$C,3,FALSE)</f>
        <v>覚醒するにはレベルを最大に</v>
      </c>
      <c r="L14" s="95" t="str">
        <f>VLOOKUP(I14,[6]stage_hints!$A:$D,4,FALSE)</f>
        <v>覚醒するにはユニットのレベルを_x000D_最大まで上げる必要があります</v>
      </c>
      <c r="M14" s="57" t="s">
        <v>211</v>
      </c>
    </row>
    <row r="15" spans="1:13" x14ac:dyDescent="0.15">
      <c r="A15" s="82" t="s">
        <v>201</v>
      </c>
      <c r="B15" s="83">
        <f>floors!$C$2</f>
        <v>20016</v>
      </c>
      <c r="C15" s="84" t="str">
        <f ca="1">VLOOKUP($B15,OFFSET([2]quests!$A$1,0,0,COUNTA([2]quests!$A:$A),MATCH(C$1,[2]quests!$1:$1,0)-MATCH($B$1,[2]quests!$1:$1,0)+1),MATCH(C$1,[2]quests!$1:$1,0)-MATCH($B$1,[2]quests!$1:$1,0)+1,FALSE)</f>
        <v>寡黙な翼竜の侵攻</v>
      </c>
      <c r="D15" s="84" t="str">
        <f ca="1">VLOOKUP($B15,OFFSET([2]quests!$A$1,0,0,COUNTA([2]quests!$A:$A),MATCH(D$1,[2]quests!$1:$1,0)-MATCH($B$1,[2]quests!$1:$1,0)+1),MATCH(D$1,[2]quests!$1:$1,0)-MATCH($B$1,[2]quests!$1:$1,0)+1,FALSE)</f>
        <v>ギリシャ神話01</v>
      </c>
      <c r="E15" s="88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【初級】寡黙な翼竜の侵攻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ギリシャ神話01</v>
      </c>
      <c r="H15" s="86">
        <v>0</v>
      </c>
      <c r="I15">
        <v>15</v>
      </c>
      <c r="J15" s="85" t="s">
        <v>198</v>
      </c>
      <c r="K15" s="94" t="str">
        <f>VLOOKUP(I15,[6]stage_hints!$A:$C,3,FALSE)</f>
        <v>覚醒素材を獲得</v>
      </c>
      <c r="L15" s="95" t="str">
        <f>VLOOKUP(I15,[6]stage_hints!$A:$D,4,FALSE)</f>
        <v>「曜日クエスト」では_x000D_ユニットの覚醒に必要な素材が手に入ります</v>
      </c>
      <c r="M15" s="57" t="s">
        <v>211</v>
      </c>
    </row>
    <row r="16" spans="1:13" x14ac:dyDescent="0.15">
      <c r="A16" s="82" t="s">
        <v>201</v>
      </c>
      <c r="B16" s="83">
        <f>floors!$C$2</f>
        <v>20016</v>
      </c>
      <c r="C16" s="84" t="str">
        <f ca="1">VLOOKUP($B16,OFFSET([2]quests!$A$1,0,0,COUNTA([2]quests!$A:$A),MATCH(C$1,[2]quests!$1:$1,0)-MATCH($B$1,[2]quests!$1:$1,0)+1),MATCH(C$1,[2]quests!$1:$1,0)-MATCH($B$1,[2]quests!$1:$1,0)+1,FALSE)</f>
        <v>寡黙な翼竜の侵攻</v>
      </c>
      <c r="D16" s="84" t="str">
        <f ca="1">VLOOKUP($B16,OFFSET([2]quests!$A$1,0,0,COUNTA([2]quests!$A:$A),MATCH(D$1,[2]quests!$1:$1,0)-MATCH($B$1,[2]quests!$1:$1,0)+1),MATCH(D$1,[2]quests!$1:$1,0)-MATCH($B$1,[2]quests!$1:$1,0)+1,FALSE)</f>
        <v>ギリシャ神話01</v>
      </c>
      <c r="E16" s="88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【初級】寡黙な翼竜の侵攻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ギリシャ神話01</v>
      </c>
      <c r="H16" s="86">
        <v>0</v>
      </c>
      <c r="I16">
        <v>16</v>
      </c>
      <c r="J16" s="85" t="s">
        <v>198</v>
      </c>
      <c r="K16" s="94" t="str">
        <f>VLOOKUP(I16,[6]stage_hints!$A:$C,3,FALSE)</f>
        <v>マルチプレイのメリット（その1）</v>
      </c>
      <c r="L16" s="95" t="str">
        <f>VLOOKUP(I16,[6]stage_hints!$A:$D,4,FALSE)</f>
        <v>他のプレイヤーとマルチプレイで遊ぶと_x000D_ポリゴンがもらえます（100人まで）</v>
      </c>
      <c r="M16" s="57" t="s">
        <v>211</v>
      </c>
    </row>
    <row r="17" spans="1:13" x14ac:dyDescent="0.15">
      <c r="A17" s="82" t="s">
        <v>201</v>
      </c>
      <c r="B17" s="83">
        <f>floors!$C$2</f>
        <v>20016</v>
      </c>
      <c r="C17" s="84" t="str">
        <f ca="1">VLOOKUP($B17,OFFSET([2]quests!$A$1,0,0,COUNTA([2]quests!$A:$A),MATCH(C$1,[2]quests!$1:$1,0)-MATCH($B$1,[2]quests!$1:$1,0)+1),MATCH(C$1,[2]quests!$1:$1,0)-MATCH($B$1,[2]quests!$1:$1,0)+1,FALSE)</f>
        <v>寡黙な翼竜の侵攻</v>
      </c>
      <c r="D17" s="84" t="str">
        <f ca="1">VLOOKUP($B17,OFFSET([2]quests!$A$1,0,0,COUNTA([2]quests!$A:$A),MATCH(D$1,[2]quests!$1:$1,0)-MATCH($B$1,[2]quests!$1:$1,0)+1),MATCH(D$1,[2]quests!$1:$1,0)-MATCH($B$1,[2]quests!$1:$1,0)+1,FALSE)</f>
        <v>ギリシャ神話01</v>
      </c>
      <c r="E17" s="88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【初級】寡黙な翼竜の侵攻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ギリシャ神話01</v>
      </c>
      <c r="H17" s="86">
        <v>0</v>
      </c>
      <c r="I17">
        <v>17</v>
      </c>
      <c r="J17" s="85" t="s">
        <v>198</v>
      </c>
      <c r="K17" s="94" t="str">
        <f>VLOOKUP(I17,[6]stage_hints!$A:$C,3,FALSE)</f>
        <v>リンクガチャ</v>
      </c>
      <c r="L17" s="95" t="str">
        <f>VLOOKUP(I17,[6]stage_hints!$A:$D,4,FALSE)</f>
        <v>無料のリンクガチャを回して_x000D_経験値素材や売却素材を獲得しましょう</v>
      </c>
      <c r="M17" s="57" t="s">
        <v>211</v>
      </c>
    </row>
    <row r="18" spans="1:13" x14ac:dyDescent="0.15">
      <c r="A18" s="82" t="s">
        <v>201</v>
      </c>
      <c r="B18" s="83">
        <f>floors!$C$2</f>
        <v>20016</v>
      </c>
      <c r="C18" s="84" t="str">
        <f ca="1">VLOOKUP($B18,OFFSET([2]quests!$A$1,0,0,COUNTA([2]quests!$A:$A),MATCH(C$1,[2]quests!$1:$1,0)-MATCH($B$1,[2]quests!$1:$1,0)+1),MATCH(C$1,[2]quests!$1:$1,0)-MATCH($B$1,[2]quests!$1:$1,0)+1,FALSE)</f>
        <v>寡黙な翼竜の侵攻</v>
      </c>
      <c r="D18" s="84" t="str">
        <f ca="1">VLOOKUP($B18,OFFSET([2]quests!$A$1,0,0,COUNTA([2]quests!$A:$A),MATCH(D$1,[2]quests!$1:$1,0)-MATCH($B$1,[2]quests!$1:$1,0)+1),MATCH(D$1,[2]quests!$1:$1,0)-MATCH($B$1,[2]quests!$1:$1,0)+1,FALSE)</f>
        <v>ギリシャ神話01</v>
      </c>
      <c r="E18" s="88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【初級】寡黙な翼竜の侵攻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ギリシャ神話01</v>
      </c>
      <c r="H18" s="86">
        <v>0</v>
      </c>
      <c r="I18">
        <v>18</v>
      </c>
      <c r="J18" s="85" t="s">
        <v>198</v>
      </c>
      <c r="K18" s="94" t="str">
        <f>VLOOKUP(I18,[6]stage_hints!$A:$C,3,FALSE)</f>
        <v>マルチプレイのメリット（その2）</v>
      </c>
      <c r="L18" s="95" t="str">
        <f>VLOOKUP(I18,[6]stage_hints!$A:$D,4,FALSE)</f>
        <v>マルチプレイならリンクが2倍もらえます_x000D_リンクガチャをたくさん回しましょう</v>
      </c>
      <c r="M18" s="57" t="s">
        <v>211</v>
      </c>
    </row>
    <row r="19" spans="1:13" x14ac:dyDescent="0.15">
      <c r="A19" s="82" t="s">
        <v>201</v>
      </c>
      <c r="B19" s="83">
        <f>floors!$C$2</f>
        <v>20016</v>
      </c>
      <c r="C19" s="84" t="str">
        <f ca="1">VLOOKUP($B19,OFFSET([2]quests!$A$1,0,0,COUNTA([2]quests!$A:$A),MATCH(C$1,[2]quests!$1:$1,0)-MATCH($B$1,[2]quests!$1:$1,0)+1),MATCH(C$1,[2]quests!$1:$1,0)-MATCH($B$1,[2]quests!$1:$1,0)+1,FALSE)</f>
        <v>寡黙な翼竜の侵攻</v>
      </c>
      <c r="D19" s="84" t="str">
        <f ca="1">VLOOKUP($B19,OFFSET([2]quests!$A$1,0,0,COUNTA([2]quests!$A:$A),MATCH(D$1,[2]quests!$1:$1,0)-MATCH($B$1,[2]quests!$1:$1,0)+1),MATCH(D$1,[2]quests!$1:$1,0)-MATCH($B$1,[2]quests!$1:$1,0)+1,FALSE)</f>
        <v>ギリシャ神話01</v>
      </c>
      <c r="E19" s="88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【初級】寡黙な翼竜の侵攻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ギリシャ神話01</v>
      </c>
      <c r="H19" s="86">
        <v>0</v>
      </c>
      <c r="I19">
        <v>19</v>
      </c>
      <c r="J19" s="85" t="s">
        <v>198</v>
      </c>
      <c r="K19" s="94" t="str">
        <f>VLOOKUP(I19,[6]stage_hints!$A:$C,3,FALSE)</f>
        <v>ソロ専用タワーオブザクイーン</v>
      </c>
      <c r="L19" s="95" t="str">
        <f>VLOOKUP(I19,[6]stage_hints!$A:$D,4,FALSE)</f>
        <v>ソロ専用の「タワーオブザクイーン」は_x000D_期間限定で定期的に開催されます_x000D_ここでしか獲得できない報酬もあるようです</v>
      </c>
      <c r="M19" s="57" t="s">
        <v>211</v>
      </c>
    </row>
    <row r="20" spans="1:13" x14ac:dyDescent="0.15">
      <c r="A20" s="82" t="s">
        <v>201</v>
      </c>
      <c r="B20" s="83">
        <f>floors!$C$2</f>
        <v>20016</v>
      </c>
      <c r="C20" s="84" t="str">
        <f ca="1">VLOOKUP($B20,OFFSET([2]quests!$A$1,0,0,COUNTA([2]quests!$A:$A),MATCH(C$1,[2]quests!$1:$1,0)-MATCH($B$1,[2]quests!$1:$1,0)+1),MATCH(C$1,[2]quests!$1:$1,0)-MATCH($B$1,[2]quests!$1:$1,0)+1,FALSE)</f>
        <v>寡黙な翼竜の侵攻</v>
      </c>
      <c r="D20" s="84" t="str">
        <f ca="1">VLOOKUP($B20,OFFSET([2]quests!$A$1,0,0,COUNTA([2]quests!$A:$A),MATCH(D$1,[2]quests!$1:$1,0)-MATCH($B$1,[2]quests!$1:$1,0)+1),MATCH(D$1,[2]quests!$1:$1,0)-MATCH($B$1,[2]quests!$1:$1,0)+1,FALSE)</f>
        <v>ギリシャ神話01</v>
      </c>
      <c r="E20" s="88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【初級】寡黙な翼竜の侵攻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ギリシャ神話01</v>
      </c>
      <c r="H20" s="86">
        <v>0</v>
      </c>
      <c r="I20">
        <v>20</v>
      </c>
      <c r="J20" s="85" t="s">
        <v>198</v>
      </c>
      <c r="K20" s="94" t="str">
        <f>VLOOKUP(I20,[6]stage_hints!$A:$C,3,FALSE)</f>
        <v>マルチプレイのメリット（その3）</v>
      </c>
      <c r="L20" s="95" t="str">
        <f>VLOOKUP(I20,[6]stage_hints!$A:$D,4,FALSE)</f>
        <v>マルチプレイへの参加はエナジー消費ゼロ_x000D_いつでも好きなだけ遊ぶことができます</v>
      </c>
      <c r="M20" s="57" t="s">
        <v>211</v>
      </c>
    </row>
    <row r="21" spans="1:13" x14ac:dyDescent="0.15">
      <c r="A21" s="82" t="s">
        <v>201</v>
      </c>
      <c r="B21" s="83">
        <f>floors!$C$2</f>
        <v>20016</v>
      </c>
      <c r="C21" s="84" t="str">
        <f ca="1">VLOOKUP($B21,OFFSET([2]quests!$A$1,0,0,COUNTA([2]quests!$A:$A),MATCH(C$1,[2]quests!$1:$1,0)-MATCH($B$1,[2]quests!$1:$1,0)+1),MATCH(C$1,[2]quests!$1:$1,0)-MATCH($B$1,[2]quests!$1:$1,0)+1,FALSE)</f>
        <v>寡黙な翼竜の侵攻</v>
      </c>
      <c r="D21" s="84" t="str">
        <f ca="1">VLOOKUP($B21,OFFSET([2]quests!$A$1,0,0,COUNTA([2]quests!$A:$A),MATCH(D$1,[2]quests!$1:$1,0)-MATCH($B$1,[2]quests!$1:$1,0)+1),MATCH(D$1,[2]quests!$1:$1,0)-MATCH($B$1,[2]quests!$1:$1,0)+1,FALSE)</f>
        <v>ギリシャ神話01</v>
      </c>
      <c r="E21" s="88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【初級】寡黙な翼竜の侵攻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ギリシャ神話01</v>
      </c>
      <c r="H21" s="86">
        <v>0</v>
      </c>
      <c r="I21">
        <v>21</v>
      </c>
      <c r="J21" s="85" t="s">
        <v>198</v>
      </c>
      <c r="K21" s="94" t="str">
        <f>VLOOKUP(I21,[6]stage_hints!$A:$C,3,FALSE)</f>
        <v>スキルを有効に</v>
      </c>
      <c r="L21" s="95" t="str">
        <f>VLOOKUP(I21,[6]stage_hints!$A:$D,4,FALSE)</f>
        <v>ターン経過でユニットのスキルが使えます_x000D_強力スキルでバトルを有利に進めましょう</v>
      </c>
      <c r="M21" s="57" t="s">
        <v>211</v>
      </c>
    </row>
    <row r="22" spans="1:13" x14ac:dyDescent="0.15">
      <c r="A22" s="82" t="s">
        <v>201</v>
      </c>
      <c r="B22" s="83">
        <f>floors!$C$2</f>
        <v>20016</v>
      </c>
      <c r="C22" s="84" t="str">
        <f ca="1">VLOOKUP($B22,OFFSET([2]quests!$A$1,0,0,COUNTA([2]quests!$A:$A),MATCH(C$1,[2]quests!$1:$1,0)-MATCH($B$1,[2]quests!$1:$1,0)+1),MATCH(C$1,[2]quests!$1:$1,0)-MATCH($B$1,[2]quests!$1:$1,0)+1,FALSE)</f>
        <v>寡黙な翼竜の侵攻</v>
      </c>
      <c r="D22" s="84" t="str">
        <f ca="1">VLOOKUP($B22,OFFSET([2]quests!$A$1,0,0,COUNTA([2]quests!$A:$A),MATCH(D$1,[2]quests!$1:$1,0)-MATCH($B$1,[2]quests!$1:$1,0)+1),MATCH(D$1,[2]quests!$1:$1,0)-MATCH($B$1,[2]quests!$1:$1,0)+1,FALSE)</f>
        <v>ギリシャ神話01</v>
      </c>
      <c r="E22" s="88">
        <v>1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【初級】寡黙な翼竜の侵攻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ギリシャ神話01</v>
      </c>
      <c r="H22" s="86">
        <v>0</v>
      </c>
      <c r="I22">
        <v>22</v>
      </c>
      <c r="J22" s="85" t="s">
        <v>198</v>
      </c>
      <c r="K22" s="94" t="str">
        <f>VLOOKUP(I22,[6]stage_hints!$A:$C,3,FALSE)</f>
        <v>フィーバーで一発逆転（その1）</v>
      </c>
      <c r="L22" s="95" t="str">
        <f>VLOOKUP(I22,[6]stage_hints!$A:$D,4,FALSE)</f>
        <v>フィーバーは攻撃と回復を兼ね備えます_x000D_ピンチからの一発逆転を狙いましょう</v>
      </c>
      <c r="M22" s="57" t="s">
        <v>211</v>
      </c>
    </row>
    <row r="23" spans="1:13" x14ac:dyDescent="0.15">
      <c r="A23" s="82" t="s">
        <v>201</v>
      </c>
      <c r="B23" s="83">
        <f>floors!$C$2</f>
        <v>20016</v>
      </c>
      <c r="C23" s="84" t="str">
        <f ca="1">VLOOKUP($B23,OFFSET([2]quests!$A$1,0,0,COUNTA([2]quests!$A:$A),MATCH(C$1,[2]quests!$1:$1,0)-MATCH($B$1,[2]quests!$1:$1,0)+1),MATCH(C$1,[2]quests!$1:$1,0)-MATCH($B$1,[2]quests!$1:$1,0)+1,FALSE)</f>
        <v>寡黙な翼竜の侵攻</v>
      </c>
      <c r="D23" s="84" t="str">
        <f ca="1">VLOOKUP($B23,OFFSET([2]quests!$A$1,0,0,COUNTA([2]quests!$A:$A),MATCH(D$1,[2]quests!$1:$1,0)-MATCH($B$1,[2]quests!$1:$1,0)+1),MATCH(D$1,[2]quests!$1:$1,0)-MATCH($B$1,[2]quests!$1:$1,0)+1,FALSE)</f>
        <v>ギリシャ神話01</v>
      </c>
      <c r="E23" s="88">
        <v>1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【初級】寡黙な翼竜の侵攻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ギリシャ神話01</v>
      </c>
      <c r="H23" s="86">
        <v>0</v>
      </c>
      <c r="I23">
        <v>23</v>
      </c>
      <c r="J23" s="85" t="s">
        <v>198</v>
      </c>
      <c r="K23" s="94" t="str">
        <f>VLOOKUP(I23,[6]stage_hints!$A:$C,3,FALSE)</f>
        <v>フィーバーで一発逆転（その2）</v>
      </c>
      <c r="L23" s="95" t="str">
        <f>VLOOKUP(I23,[6]stage_hints!$A:$D,4,FALSE)</f>
        <v>フィーバー中は虹色のボムパネルを狙って_x000D_画面上のパネルを一気に破壊しましょう</v>
      </c>
      <c r="M23" s="57" t="s">
        <v>211</v>
      </c>
    </row>
    <row r="24" spans="1:13" x14ac:dyDescent="0.15">
      <c r="A24" s="82" t="s">
        <v>201</v>
      </c>
      <c r="B24" s="83">
        <f>floors!$C$2</f>
        <v>20016</v>
      </c>
      <c r="C24" s="84" t="str">
        <f ca="1">VLOOKUP($B24,OFFSET([2]quests!$A$1,0,0,COUNTA([2]quests!$A:$A),MATCH(C$1,[2]quests!$1:$1,0)-MATCH($B$1,[2]quests!$1:$1,0)+1),MATCH(C$1,[2]quests!$1:$1,0)-MATCH($B$1,[2]quests!$1:$1,0)+1,FALSE)</f>
        <v>寡黙な翼竜の侵攻</v>
      </c>
      <c r="D24" s="84" t="str">
        <f ca="1">VLOOKUP($B24,OFFSET([2]quests!$A$1,0,0,COUNTA([2]quests!$A:$A),MATCH(D$1,[2]quests!$1:$1,0)-MATCH($B$1,[2]quests!$1:$1,0)+1),MATCH(D$1,[2]quests!$1:$1,0)-MATCH($B$1,[2]quests!$1:$1,0)+1,FALSE)</f>
        <v>ギリシャ神話01</v>
      </c>
      <c r="E24" s="88">
        <v>1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【初級】寡黙な翼竜の侵攻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ギリシャ神話01</v>
      </c>
      <c r="H24" s="86">
        <v>0</v>
      </c>
      <c r="I24">
        <v>24</v>
      </c>
      <c r="J24" s="85" t="s">
        <v>198</v>
      </c>
      <c r="K24" s="94" t="str">
        <f>VLOOKUP(I24,[6]stage_hints!$A:$C,3,FALSE)</f>
        <v>果実を使って限界突破</v>
      </c>
      <c r="L24" s="95" t="str">
        <f>VLOOKUP(I24,[6]stage_hints!$A:$D,4,FALSE)</f>
        <v>攻めの果実 癒しの果実_x000D_生命の果実をユニット強化に使うと_x000D_ステータスが限界突破します（計99個迄）</v>
      </c>
      <c r="M24" s="57" t="s">
        <v>211</v>
      </c>
    </row>
    <row r="25" spans="1:13" x14ac:dyDescent="0.15">
      <c r="A25" s="82" t="s">
        <v>201</v>
      </c>
      <c r="B25" s="83">
        <f>floors!$C$2</f>
        <v>20016</v>
      </c>
      <c r="C25" s="84" t="str">
        <f ca="1">VLOOKUP($B25,OFFSET([2]quests!$A$1,0,0,COUNTA([2]quests!$A:$A),MATCH(C$1,[2]quests!$1:$1,0)-MATCH($B$1,[2]quests!$1:$1,0)+1),MATCH(C$1,[2]quests!$1:$1,0)-MATCH($B$1,[2]quests!$1:$1,0)+1,FALSE)</f>
        <v>寡黙な翼竜の侵攻</v>
      </c>
      <c r="D25" s="84" t="str">
        <f ca="1">VLOOKUP($B25,OFFSET([2]quests!$A$1,0,0,COUNTA([2]quests!$A:$A),MATCH(D$1,[2]quests!$1:$1,0)-MATCH($B$1,[2]quests!$1:$1,0)+1),MATCH(D$1,[2]quests!$1:$1,0)-MATCH($B$1,[2]quests!$1:$1,0)+1,FALSE)</f>
        <v>ギリシャ神話01</v>
      </c>
      <c r="E25" s="88">
        <v>1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【初級】寡黙な翼竜の侵攻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ギリシャ神話01</v>
      </c>
      <c r="H25" s="86">
        <v>0</v>
      </c>
      <c r="I25">
        <v>25</v>
      </c>
      <c r="J25" s="85" t="s">
        <v>198</v>
      </c>
      <c r="K25" s="94" t="str">
        <f>VLOOKUP(I25,[6]stage_hints!$A:$C,3,FALSE)</f>
        <v>スキルレベルアップ</v>
      </c>
      <c r="L25" s="95" t="str">
        <f>VLOOKUP(I25,[6]stage_hints!$A:$D,4,FALSE)</f>
        <v>「秘術の果実」を強化に使うと_x000D_スキルレベルを上げることができます</v>
      </c>
      <c r="M25" s="57" t="s">
        <v>211</v>
      </c>
    </row>
    <row r="26" spans="1:13" x14ac:dyDescent="0.15">
      <c r="A26" s="82" t="s">
        <v>201</v>
      </c>
      <c r="B26" s="83">
        <f>floors!$C$2</f>
        <v>20016</v>
      </c>
      <c r="C26" s="84" t="str">
        <f ca="1">VLOOKUP($B26,OFFSET([2]quests!$A$1,0,0,COUNTA([2]quests!$A:$A),MATCH(C$1,[2]quests!$1:$1,0)-MATCH($B$1,[2]quests!$1:$1,0)+1),MATCH(C$1,[2]quests!$1:$1,0)-MATCH($B$1,[2]quests!$1:$1,0)+1,FALSE)</f>
        <v>寡黙な翼竜の侵攻</v>
      </c>
      <c r="D26" s="84" t="str">
        <f ca="1">VLOOKUP($B26,OFFSET([2]quests!$A$1,0,0,COUNTA([2]quests!$A:$A),MATCH(D$1,[2]quests!$1:$1,0)-MATCH($B$1,[2]quests!$1:$1,0)+1),MATCH(D$1,[2]quests!$1:$1,0)-MATCH($B$1,[2]quests!$1:$1,0)+1,FALSE)</f>
        <v>ギリシャ神話01</v>
      </c>
      <c r="E26" s="88">
        <v>1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【初級】寡黙な翼竜の侵攻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ギリシャ神話01</v>
      </c>
      <c r="H26" s="86">
        <v>0</v>
      </c>
      <c r="I26">
        <v>26</v>
      </c>
      <c r="J26" s="85" t="s">
        <v>198</v>
      </c>
      <c r="K26" s="94" t="str">
        <f>VLOOKUP(I26,[6]stage_hints!$A:$C,3,FALSE)</f>
        <v>スキルレベルの効果</v>
      </c>
      <c r="L26" s="95" t="str">
        <f>VLOOKUP(I26,[6]stage_hints!$A:$D,4,FALSE)</f>
        <v>スキルレベルが上がると_x000D_短いターンでスキルを使うことができます</v>
      </c>
      <c r="M26" s="57" t="s">
        <v>211</v>
      </c>
    </row>
    <row r="27" spans="1:13" x14ac:dyDescent="0.15">
      <c r="A27" s="82" t="s">
        <v>201</v>
      </c>
      <c r="B27" s="83">
        <f>floors!$C$2</f>
        <v>20016</v>
      </c>
      <c r="C27" s="84" t="str">
        <f ca="1">VLOOKUP($B27,OFFSET([2]quests!$A$1,0,0,COUNTA([2]quests!$A:$A),MATCH(C$1,[2]quests!$1:$1,0)-MATCH($B$1,[2]quests!$1:$1,0)+1),MATCH(C$1,[2]quests!$1:$1,0)-MATCH($B$1,[2]quests!$1:$1,0)+1,FALSE)</f>
        <v>寡黙な翼竜の侵攻</v>
      </c>
      <c r="D27" s="84" t="str">
        <f ca="1">VLOOKUP($B27,OFFSET([2]quests!$A$1,0,0,COUNTA([2]quests!$A:$A),MATCH(D$1,[2]quests!$1:$1,0)-MATCH($B$1,[2]quests!$1:$1,0)+1),MATCH(D$1,[2]quests!$1:$1,0)-MATCH($B$1,[2]quests!$1:$1,0)+1,FALSE)</f>
        <v>ギリシャ神話01</v>
      </c>
      <c r="E27" s="88">
        <v>1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【初級】寡黙な翼竜の侵攻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ギリシャ神話01</v>
      </c>
      <c r="H27" s="86">
        <v>0</v>
      </c>
      <c r="I27">
        <v>39</v>
      </c>
      <c r="J27" s="85" t="s">
        <v>198</v>
      </c>
      <c r="K27" s="94" t="str">
        <f>VLOOKUP(I27,[6]stage_hints!$A:$C,3,FALSE)</f>
        <v>システム適合者を確認</v>
      </c>
      <c r="L27" s="95" t="str">
        <f>VLOOKUP(I27,[6]stage_hints!$A:$D,4,FALSE)</f>
        <v>ALICEが 「アナタ」を呼んでいます</v>
      </c>
      <c r="M27" s="57" t="s">
        <v>211</v>
      </c>
    </row>
    <row r="28" spans="1:13" x14ac:dyDescent="0.15">
      <c r="A28" s="82" t="s">
        <v>201</v>
      </c>
      <c r="B28" s="83">
        <f>floors!$C$2</f>
        <v>20016</v>
      </c>
      <c r="C28" s="84" t="str">
        <f ca="1">VLOOKUP($B28,OFFSET([2]quests!$A$1,0,0,COUNTA([2]quests!$A:$A),MATCH(C$1,[2]quests!$1:$1,0)-MATCH($B$1,[2]quests!$1:$1,0)+1),MATCH(C$1,[2]quests!$1:$1,0)-MATCH($B$1,[2]quests!$1:$1,0)+1,FALSE)</f>
        <v>寡黙な翼竜の侵攻</v>
      </c>
      <c r="D28" s="84" t="str">
        <f ca="1">VLOOKUP($B28,OFFSET([2]quests!$A$1,0,0,COUNTA([2]quests!$A:$A),MATCH(D$1,[2]quests!$1:$1,0)-MATCH($B$1,[2]quests!$1:$1,0)+1),MATCH(D$1,[2]quests!$1:$1,0)-MATCH($B$1,[2]quests!$1:$1,0)+1,FALSE)</f>
        <v>ギリシャ神話01</v>
      </c>
      <c r="E28" s="88">
        <v>2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【中級】寡黙な翼竜の侵攻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ギリシャ神話01</v>
      </c>
      <c r="H28" s="86">
        <v>0</v>
      </c>
      <c r="I28">
        <v>3</v>
      </c>
      <c r="J28" s="85" t="s">
        <v>198</v>
      </c>
      <c r="K28" s="94" t="str">
        <f>VLOOKUP(I28,[6]stage_hints!$A:$C,3,FALSE)</f>
        <v>ターゲット</v>
      </c>
      <c r="L28" s="95" t="str">
        <f>VLOOKUP(I28,[6]stage_hints!$A:$D,4,FALSE)</f>
        <v>敵ユニットをタップすると_x000D_その敵を狙い撃ちできます</v>
      </c>
      <c r="M28" s="57" t="s">
        <v>211</v>
      </c>
    </row>
    <row r="29" spans="1:13" x14ac:dyDescent="0.15">
      <c r="A29" s="82" t="s">
        <v>201</v>
      </c>
      <c r="B29" s="83">
        <f>floors!$C$2</f>
        <v>20016</v>
      </c>
      <c r="C29" s="84" t="str">
        <f ca="1">VLOOKUP($B29,OFFSET([2]quests!$A$1,0,0,COUNTA([2]quests!$A:$A),MATCH(C$1,[2]quests!$1:$1,0)-MATCH($B$1,[2]quests!$1:$1,0)+1),MATCH(C$1,[2]quests!$1:$1,0)-MATCH($B$1,[2]quests!$1:$1,0)+1,FALSE)</f>
        <v>寡黙な翼竜の侵攻</v>
      </c>
      <c r="D29" s="84" t="str">
        <f ca="1">VLOOKUP($B29,OFFSET([2]quests!$A$1,0,0,COUNTA([2]quests!$A:$A),MATCH(D$1,[2]quests!$1:$1,0)-MATCH($B$1,[2]quests!$1:$1,0)+1),MATCH(D$1,[2]quests!$1:$1,0)-MATCH($B$1,[2]quests!$1:$1,0)+1,FALSE)</f>
        <v>ギリシャ神話01</v>
      </c>
      <c r="E29" s="88">
        <v>2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【中級】寡黙な翼竜の侵攻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ギリシャ神話01</v>
      </c>
      <c r="H29" s="86">
        <v>0</v>
      </c>
      <c r="I29">
        <v>6</v>
      </c>
      <c r="J29" s="85" t="s">
        <v>198</v>
      </c>
      <c r="K29" s="94" t="str">
        <f>VLOOKUP(I29,[6]stage_hints!$A:$C,3,FALSE)</f>
        <v>ユニット強化の属性ボーナス</v>
      </c>
      <c r="L29" s="95" t="str">
        <f>VLOOKUP(I29,[6]stage_hints!$A:$D,4,FALSE)</f>
        <v>同属性ユニットを強化素材にすると_x000D_経験値が多くもらえます</v>
      </c>
      <c r="M29" s="57" t="s">
        <v>211</v>
      </c>
    </row>
    <row r="30" spans="1:13" x14ac:dyDescent="0.15">
      <c r="A30" s="82" t="s">
        <v>201</v>
      </c>
      <c r="B30" s="83">
        <f>floors!$C$2</f>
        <v>20016</v>
      </c>
      <c r="C30" s="84" t="str">
        <f ca="1">VLOOKUP($B30,OFFSET([2]quests!$A$1,0,0,COUNTA([2]quests!$A:$A),MATCH(C$1,[2]quests!$1:$1,0)-MATCH($B$1,[2]quests!$1:$1,0)+1),MATCH(C$1,[2]quests!$1:$1,0)-MATCH($B$1,[2]quests!$1:$1,0)+1,FALSE)</f>
        <v>寡黙な翼竜の侵攻</v>
      </c>
      <c r="D30" s="84" t="str">
        <f ca="1">VLOOKUP($B30,OFFSET([2]quests!$A$1,0,0,COUNTA([2]quests!$A:$A),MATCH(D$1,[2]quests!$1:$1,0)-MATCH($B$1,[2]quests!$1:$1,0)+1),MATCH(D$1,[2]quests!$1:$1,0)-MATCH($B$1,[2]quests!$1:$1,0)+1,FALSE)</f>
        <v>ギリシャ神話01</v>
      </c>
      <c r="E30" s="88">
        <v>2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【中級】寡黙な翼竜の侵攻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ギリシャ神話01</v>
      </c>
      <c r="H30" s="86">
        <v>0</v>
      </c>
      <c r="I30">
        <v>7</v>
      </c>
      <c r="J30" s="85" t="s">
        <v>198</v>
      </c>
      <c r="K30" s="94" t="str">
        <f>VLOOKUP(I30,[6]stage_hints!$A:$C,3,FALSE)</f>
        <v>メタルダックで経験値を獲得</v>
      </c>
      <c r="L30" s="95" t="str">
        <f>VLOOKUP(I30,[6]stage_hints!$A:$D,4,FALSE)</f>
        <v>「メタルなアヒル」を強化素材にすると_x000D_大量の経験値がもらえます</v>
      </c>
      <c r="M30" s="57" t="s">
        <v>211</v>
      </c>
    </row>
    <row r="31" spans="1:13" x14ac:dyDescent="0.15">
      <c r="A31" s="82" t="s">
        <v>201</v>
      </c>
      <c r="B31" s="83">
        <f>floors!$C$2</f>
        <v>20016</v>
      </c>
      <c r="C31" s="84" t="str">
        <f ca="1">VLOOKUP($B31,OFFSET([2]quests!$A$1,0,0,COUNTA([2]quests!$A:$A),MATCH(C$1,[2]quests!$1:$1,0)-MATCH($B$1,[2]quests!$1:$1,0)+1),MATCH(C$1,[2]quests!$1:$1,0)-MATCH($B$1,[2]quests!$1:$1,0)+1,FALSE)</f>
        <v>寡黙な翼竜の侵攻</v>
      </c>
      <c r="D31" s="84" t="str">
        <f ca="1">VLOOKUP($B31,OFFSET([2]quests!$A$1,0,0,COUNTA([2]quests!$A:$A),MATCH(D$1,[2]quests!$1:$1,0)-MATCH($B$1,[2]quests!$1:$1,0)+1),MATCH(D$1,[2]quests!$1:$1,0)-MATCH($B$1,[2]quests!$1:$1,0)+1,FALSE)</f>
        <v>ギリシャ神話01</v>
      </c>
      <c r="E31" s="88">
        <v>2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【中級】寡黙な翼竜の侵攻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ギリシャ神話01</v>
      </c>
      <c r="H31" s="86">
        <v>0</v>
      </c>
      <c r="I31">
        <v>8</v>
      </c>
      <c r="J31" s="85" t="s">
        <v>198</v>
      </c>
      <c r="K31" s="94" t="str">
        <f>VLOOKUP(I31,[6]stage_hints!$A:$C,3,FALSE)</f>
        <v>ゲリラクエストは要チェック</v>
      </c>
      <c r="L31" s="95" t="str">
        <f>VLOOKUP(I31,[6]stage_hints!$A:$D,4,FALSE)</f>
        <v>時間限定の「アヒル捕獲作戦」では_x000D_経験値素材ユニットが多く手に入ります</v>
      </c>
      <c r="M31" s="57" t="s">
        <v>211</v>
      </c>
    </row>
    <row r="32" spans="1:13" x14ac:dyDescent="0.15">
      <c r="A32" s="82" t="s">
        <v>201</v>
      </c>
      <c r="B32" s="83">
        <f>floors!$C$2</f>
        <v>20016</v>
      </c>
      <c r="C32" s="84" t="str">
        <f ca="1">VLOOKUP($B32,OFFSET([2]quests!$A$1,0,0,COUNTA([2]quests!$A:$A),MATCH(C$1,[2]quests!$1:$1,0)-MATCH($B$1,[2]quests!$1:$1,0)+1),MATCH(C$1,[2]quests!$1:$1,0)-MATCH($B$1,[2]quests!$1:$1,0)+1,FALSE)</f>
        <v>寡黙な翼竜の侵攻</v>
      </c>
      <c r="D32" s="84" t="str">
        <f ca="1">VLOOKUP($B32,OFFSET([2]quests!$A$1,0,0,COUNTA([2]quests!$A:$A),MATCH(D$1,[2]quests!$1:$1,0)-MATCH($B$1,[2]quests!$1:$1,0)+1),MATCH(D$1,[2]quests!$1:$1,0)-MATCH($B$1,[2]quests!$1:$1,0)+1,FALSE)</f>
        <v>ギリシャ神話01</v>
      </c>
      <c r="E32" s="88">
        <v>2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【中級】寡黙な翼竜の侵攻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ギリシャ神話01</v>
      </c>
      <c r="H32" s="86">
        <v>0</v>
      </c>
      <c r="I32">
        <v>9</v>
      </c>
      <c r="J32" s="85" t="s">
        <v>198</v>
      </c>
      <c r="K32" s="94" t="str">
        <f>VLOOKUP(I32,[6]stage_hints!$A:$C,3,FALSE)</f>
        <v>ゴールドダックでビットを獲得</v>
      </c>
      <c r="L32" s="95" t="str">
        <f>VLOOKUP(I32,[6]stage_hints!$A:$D,4,FALSE)</f>
        <v>「ゴールドなアヒル」を売却すると_x000D_大量のビットがもらえます</v>
      </c>
      <c r="M32" s="57" t="s">
        <v>211</v>
      </c>
    </row>
    <row r="33" spans="1:13" x14ac:dyDescent="0.15">
      <c r="A33" s="82" t="s">
        <v>201</v>
      </c>
      <c r="B33" s="83">
        <f>floors!$C$2</f>
        <v>20016</v>
      </c>
      <c r="C33" s="84" t="str">
        <f ca="1">VLOOKUP($B33,OFFSET([2]quests!$A$1,0,0,COUNTA([2]quests!$A:$A),MATCH(C$1,[2]quests!$1:$1,0)-MATCH($B$1,[2]quests!$1:$1,0)+1),MATCH(C$1,[2]quests!$1:$1,0)-MATCH($B$1,[2]quests!$1:$1,0)+1,FALSE)</f>
        <v>寡黙な翼竜の侵攻</v>
      </c>
      <c r="D33" s="84" t="str">
        <f ca="1">VLOOKUP($B33,OFFSET([2]quests!$A$1,0,0,COUNTA([2]quests!$A:$A),MATCH(D$1,[2]quests!$1:$1,0)-MATCH($B$1,[2]quests!$1:$1,0)+1),MATCH(D$1,[2]quests!$1:$1,0)-MATCH($B$1,[2]quests!$1:$1,0)+1,FALSE)</f>
        <v>ギリシャ神話01</v>
      </c>
      <c r="E33" s="88">
        <v>2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【中級】寡黙な翼竜の侵攻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ギリシャ神話01</v>
      </c>
      <c r="H33" s="86">
        <v>0</v>
      </c>
      <c r="I33">
        <v>10</v>
      </c>
      <c r="J33" s="85" t="s">
        <v>198</v>
      </c>
      <c r="K33" s="94" t="str">
        <f>VLOOKUP(I33,[6]stage_hints!$A:$C,3,FALSE)</f>
        <v>土日に大量のビットを獲得</v>
      </c>
      <c r="L33" s="95" t="str">
        <f>VLOOKUP(I33,[6]stage_hints!$A:$D,4,FALSE)</f>
        <v>土日限定の「ゴールドカジノ」では_x000D_売却素材ユニットが多く手に入ります</v>
      </c>
      <c r="M33" s="57" t="s">
        <v>211</v>
      </c>
    </row>
    <row r="34" spans="1:13" x14ac:dyDescent="0.15">
      <c r="A34" s="82" t="s">
        <v>201</v>
      </c>
      <c r="B34" s="83">
        <f>floors!$C$2</f>
        <v>20016</v>
      </c>
      <c r="C34" s="84" t="str">
        <f ca="1">VLOOKUP($B34,OFFSET([2]quests!$A$1,0,0,COUNTA([2]quests!$A:$A),MATCH(C$1,[2]quests!$1:$1,0)-MATCH($B$1,[2]quests!$1:$1,0)+1),MATCH(C$1,[2]quests!$1:$1,0)-MATCH($B$1,[2]quests!$1:$1,0)+1,FALSE)</f>
        <v>寡黙な翼竜の侵攻</v>
      </c>
      <c r="D34" s="84" t="str">
        <f ca="1">VLOOKUP($B34,OFFSET([2]quests!$A$1,0,0,COUNTA([2]quests!$A:$A),MATCH(D$1,[2]quests!$1:$1,0)-MATCH($B$1,[2]quests!$1:$1,0)+1),MATCH(D$1,[2]quests!$1:$1,0)-MATCH($B$1,[2]quests!$1:$1,0)+1,FALSE)</f>
        <v>ギリシャ神話01</v>
      </c>
      <c r="E34" s="88">
        <v>2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【中級】寡黙な翼竜の侵攻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ギリシャ神話01</v>
      </c>
      <c r="H34" s="86">
        <v>0</v>
      </c>
      <c r="I34">
        <v>11</v>
      </c>
      <c r="J34" s="85" t="s">
        <v>198</v>
      </c>
      <c r="K34" s="94" t="str">
        <f>VLOOKUP(I34,[6]stage_hints!$A:$C,3,FALSE)</f>
        <v>ランク解放クエスト</v>
      </c>
      <c r="L34" s="95" t="str">
        <f>VLOOKUP(I34,[6]stage_hints!$A:$D,4,FALSE)</f>
        <v>一定ランクに到達すると_x000D_報酬付きのランク開放クエストが現れます</v>
      </c>
      <c r="M34" s="57" t="s">
        <v>211</v>
      </c>
    </row>
    <row r="35" spans="1:13" x14ac:dyDescent="0.15">
      <c r="A35" s="82" t="s">
        <v>201</v>
      </c>
      <c r="B35" s="83">
        <f>floors!$C$2</f>
        <v>20016</v>
      </c>
      <c r="C35" s="84" t="str">
        <f ca="1">VLOOKUP($B35,OFFSET([2]quests!$A$1,0,0,COUNTA([2]quests!$A:$A),MATCH(C$1,[2]quests!$1:$1,0)-MATCH($B$1,[2]quests!$1:$1,0)+1),MATCH(C$1,[2]quests!$1:$1,0)-MATCH($B$1,[2]quests!$1:$1,0)+1,FALSE)</f>
        <v>寡黙な翼竜の侵攻</v>
      </c>
      <c r="D35" s="84" t="str">
        <f ca="1">VLOOKUP($B35,OFFSET([2]quests!$A$1,0,0,COUNTA([2]quests!$A:$A),MATCH(D$1,[2]quests!$1:$1,0)-MATCH($B$1,[2]quests!$1:$1,0)+1),MATCH(D$1,[2]quests!$1:$1,0)-MATCH($B$1,[2]quests!$1:$1,0)+1,FALSE)</f>
        <v>ギリシャ神話01</v>
      </c>
      <c r="E35" s="88">
        <v>2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【中級】寡黙な翼竜の侵攻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ギリシャ神話01</v>
      </c>
      <c r="H35" s="86">
        <v>0</v>
      </c>
      <c r="I35">
        <v>12</v>
      </c>
      <c r="J35" s="85" t="s">
        <v>198</v>
      </c>
      <c r="K35" s="94" t="str">
        <f>VLOOKUP(I35,[6]stage_hints!$A:$C,3,FALSE)</f>
        <v>ユニットのお気に入り登録</v>
      </c>
      <c r="L35" s="95" t="str">
        <f>VLOOKUP(I35,[6]stage_hints!$A:$D,4,FALSE)</f>
        <v>大事なユニットを誤って消さないように_x000D_フォルダから「お気に入り登録」しましょう</v>
      </c>
      <c r="M35" s="57" t="s">
        <v>211</v>
      </c>
    </row>
    <row r="36" spans="1:13" x14ac:dyDescent="0.15">
      <c r="A36" s="82" t="s">
        <v>201</v>
      </c>
      <c r="B36" s="83">
        <f>floors!$C$2</f>
        <v>20016</v>
      </c>
      <c r="C36" s="84" t="str">
        <f ca="1">VLOOKUP($B36,OFFSET([2]quests!$A$1,0,0,COUNTA([2]quests!$A:$A),MATCH(C$1,[2]quests!$1:$1,0)-MATCH($B$1,[2]quests!$1:$1,0)+1),MATCH(C$1,[2]quests!$1:$1,0)-MATCH($B$1,[2]quests!$1:$1,0)+1,FALSE)</f>
        <v>寡黙な翼竜の侵攻</v>
      </c>
      <c r="D36" s="84" t="str">
        <f ca="1">VLOOKUP($B36,OFFSET([2]quests!$A$1,0,0,COUNTA([2]quests!$A:$A),MATCH(D$1,[2]quests!$1:$1,0)-MATCH($B$1,[2]quests!$1:$1,0)+1),MATCH(D$1,[2]quests!$1:$1,0)-MATCH($B$1,[2]quests!$1:$1,0)+1,FALSE)</f>
        <v>ギリシャ神話01</v>
      </c>
      <c r="E36" s="88">
        <v>2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【中級】寡黙な翼竜の侵攻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ギリシャ神話01</v>
      </c>
      <c r="H36" s="86">
        <v>0</v>
      </c>
      <c r="I36">
        <v>13</v>
      </c>
      <c r="J36" s="85" t="s">
        <v>198</v>
      </c>
      <c r="K36" s="94" t="str">
        <f>VLOOKUP(I36,[6]stage_hints!$A:$C,3,FALSE)</f>
        <v>ユニットの覚醒</v>
      </c>
      <c r="L36" s="95" t="str">
        <f>VLOOKUP(I36,[6]stage_hints!$A:$D,4,FALSE)</f>
        <v>ユニットを覚醒させると_x000D_比べものにならない強さが手に入ります</v>
      </c>
      <c r="M36" s="57" t="s">
        <v>211</v>
      </c>
    </row>
    <row r="37" spans="1:13" x14ac:dyDescent="0.15">
      <c r="A37" s="82" t="s">
        <v>201</v>
      </c>
      <c r="B37" s="83">
        <f>floors!$C$2</f>
        <v>20016</v>
      </c>
      <c r="C37" s="84" t="str">
        <f ca="1">VLOOKUP($B37,OFFSET([2]quests!$A$1,0,0,COUNTA([2]quests!$A:$A),MATCH(C$1,[2]quests!$1:$1,0)-MATCH($B$1,[2]quests!$1:$1,0)+1),MATCH(C$1,[2]quests!$1:$1,0)-MATCH($B$1,[2]quests!$1:$1,0)+1,FALSE)</f>
        <v>寡黙な翼竜の侵攻</v>
      </c>
      <c r="D37" s="84" t="str">
        <f ca="1">VLOOKUP($B37,OFFSET([2]quests!$A$1,0,0,COUNTA([2]quests!$A:$A),MATCH(D$1,[2]quests!$1:$1,0)-MATCH($B$1,[2]quests!$1:$1,0)+1),MATCH(D$1,[2]quests!$1:$1,0)-MATCH($B$1,[2]quests!$1:$1,0)+1,FALSE)</f>
        <v>ギリシャ神話01</v>
      </c>
      <c r="E37" s="88">
        <v>2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【中級】寡黙な翼竜の侵攻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ギリシャ神話01</v>
      </c>
      <c r="H37" s="86">
        <v>0</v>
      </c>
      <c r="I37">
        <v>14</v>
      </c>
      <c r="J37" s="85" t="s">
        <v>198</v>
      </c>
      <c r="K37" s="94" t="str">
        <f>VLOOKUP(I37,[6]stage_hints!$A:$C,3,FALSE)</f>
        <v>覚醒するにはレベルを最大に</v>
      </c>
      <c r="L37" s="95" t="str">
        <f>VLOOKUP(I37,[6]stage_hints!$A:$D,4,FALSE)</f>
        <v>覚醒するにはユニットのレベルを_x000D_最大まで上げる必要があります</v>
      </c>
      <c r="M37" s="57" t="s">
        <v>211</v>
      </c>
    </row>
    <row r="38" spans="1:13" x14ac:dyDescent="0.15">
      <c r="A38" s="82" t="s">
        <v>201</v>
      </c>
      <c r="B38" s="83">
        <f>floors!$C$2</f>
        <v>20016</v>
      </c>
      <c r="C38" s="84" t="str">
        <f ca="1">VLOOKUP($B38,OFFSET([2]quests!$A$1,0,0,COUNTA([2]quests!$A:$A),MATCH(C$1,[2]quests!$1:$1,0)-MATCH($B$1,[2]quests!$1:$1,0)+1),MATCH(C$1,[2]quests!$1:$1,0)-MATCH($B$1,[2]quests!$1:$1,0)+1,FALSE)</f>
        <v>寡黙な翼竜の侵攻</v>
      </c>
      <c r="D38" s="84" t="str">
        <f ca="1">VLOOKUP($B38,OFFSET([2]quests!$A$1,0,0,COUNTA([2]quests!$A:$A),MATCH(D$1,[2]quests!$1:$1,0)-MATCH($B$1,[2]quests!$1:$1,0)+1),MATCH(D$1,[2]quests!$1:$1,0)-MATCH($B$1,[2]quests!$1:$1,0)+1,FALSE)</f>
        <v>ギリシャ神話01</v>
      </c>
      <c r="E38" s="88">
        <v>2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【中級】寡黙な翼竜の侵攻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ギリシャ神話01</v>
      </c>
      <c r="H38" s="86">
        <v>0</v>
      </c>
      <c r="I38">
        <v>15</v>
      </c>
      <c r="J38" s="85" t="s">
        <v>198</v>
      </c>
      <c r="K38" s="94" t="str">
        <f>VLOOKUP(I38,[6]stage_hints!$A:$C,3,FALSE)</f>
        <v>覚醒素材を獲得</v>
      </c>
      <c r="L38" s="95" t="str">
        <f>VLOOKUP(I38,[6]stage_hints!$A:$D,4,FALSE)</f>
        <v>「曜日クエスト」では_x000D_ユニットの覚醒に必要な素材が手に入ります</v>
      </c>
      <c r="M38" s="57" t="s">
        <v>211</v>
      </c>
    </row>
    <row r="39" spans="1:13" x14ac:dyDescent="0.15">
      <c r="A39" s="82" t="s">
        <v>201</v>
      </c>
      <c r="B39" s="83">
        <f>floors!$C$2</f>
        <v>20016</v>
      </c>
      <c r="C39" s="84" t="str">
        <f ca="1">VLOOKUP($B39,OFFSET([2]quests!$A$1,0,0,COUNTA([2]quests!$A:$A),MATCH(C$1,[2]quests!$1:$1,0)-MATCH($B$1,[2]quests!$1:$1,0)+1),MATCH(C$1,[2]quests!$1:$1,0)-MATCH($B$1,[2]quests!$1:$1,0)+1,FALSE)</f>
        <v>寡黙な翼竜の侵攻</v>
      </c>
      <c r="D39" s="84" t="str">
        <f ca="1">VLOOKUP($B39,OFFSET([2]quests!$A$1,0,0,COUNTA([2]quests!$A:$A),MATCH(D$1,[2]quests!$1:$1,0)-MATCH($B$1,[2]quests!$1:$1,0)+1),MATCH(D$1,[2]quests!$1:$1,0)-MATCH($B$1,[2]quests!$1:$1,0)+1,FALSE)</f>
        <v>ギリシャ神話01</v>
      </c>
      <c r="E39" s="88">
        <v>2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【中級】寡黙な翼竜の侵攻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ギリシャ神話01</v>
      </c>
      <c r="H39" s="86">
        <v>0</v>
      </c>
      <c r="I39">
        <v>16</v>
      </c>
      <c r="J39" s="85" t="s">
        <v>198</v>
      </c>
      <c r="K39" s="94" t="str">
        <f>VLOOKUP(I39,[6]stage_hints!$A:$C,3,FALSE)</f>
        <v>マルチプレイのメリット（その1）</v>
      </c>
      <c r="L39" s="95" t="str">
        <f>VLOOKUP(I39,[6]stage_hints!$A:$D,4,FALSE)</f>
        <v>他のプレイヤーとマルチプレイで遊ぶと_x000D_ポリゴンがもらえます（100人まで）</v>
      </c>
      <c r="M39" s="57" t="s">
        <v>211</v>
      </c>
    </row>
    <row r="40" spans="1:13" x14ac:dyDescent="0.15">
      <c r="A40" s="82" t="s">
        <v>201</v>
      </c>
      <c r="B40" s="83">
        <f>floors!$C$2</f>
        <v>20016</v>
      </c>
      <c r="C40" s="84" t="str">
        <f ca="1">VLOOKUP($B40,OFFSET([2]quests!$A$1,0,0,COUNTA([2]quests!$A:$A),MATCH(C$1,[2]quests!$1:$1,0)-MATCH($B$1,[2]quests!$1:$1,0)+1),MATCH(C$1,[2]quests!$1:$1,0)-MATCH($B$1,[2]quests!$1:$1,0)+1,FALSE)</f>
        <v>寡黙な翼竜の侵攻</v>
      </c>
      <c r="D40" s="84" t="str">
        <f ca="1">VLOOKUP($B40,OFFSET([2]quests!$A$1,0,0,COUNTA([2]quests!$A:$A),MATCH(D$1,[2]quests!$1:$1,0)-MATCH($B$1,[2]quests!$1:$1,0)+1),MATCH(D$1,[2]quests!$1:$1,0)-MATCH($B$1,[2]quests!$1:$1,0)+1,FALSE)</f>
        <v>ギリシャ神話01</v>
      </c>
      <c r="E40" s="88">
        <v>2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【中級】寡黙な翼竜の侵攻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ギリシャ神話01</v>
      </c>
      <c r="H40" s="86">
        <v>0</v>
      </c>
      <c r="I40">
        <v>17</v>
      </c>
      <c r="J40" s="85" t="s">
        <v>198</v>
      </c>
      <c r="K40" s="94" t="str">
        <f>VLOOKUP(I40,[6]stage_hints!$A:$C,3,FALSE)</f>
        <v>リンクガチャ</v>
      </c>
      <c r="L40" s="95" t="str">
        <f>VLOOKUP(I40,[6]stage_hints!$A:$D,4,FALSE)</f>
        <v>無料のリンクガチャを回して_x000D_経験値素材や売却素材を獲得しましょう</v>
      </c>
      <c r="M40" s="57" t="s">
        <v>211</v>
      </c>
    </row>
    <row r="41" spans="1:13" x14ac:dyDescent="0.15">
      <c r="A41" s="82" t="s">
        <v>201</v>
      </c>
      <c r="B41" s="83">
        <f>floors!$C$2</f>
        <v>20016</v>
      </c>
      <c r="C41" s="84" t="str">
        <f ca="1">VLOOKUP($B41,OFFSET([2]quests!$A$1,0,0,COUNTA([2]quests!$A:$A),MATCH(C$1,[2]quests!$1:$1,0)-MATCH($B$1,[2]quests!$1:$1,0)+1),MATCH(C$1,[2]quests!$1:$1,0)-MATCH($B$1,[2]quests!$1:$1,0)+1,FALSE)</f>
        <v>寡黙な翼竜の侵攻</v>
      </c>
      <c r="D41" s="84" t="str">
        <f ca="1">VLOOKUP($B41,OFFSET([2]quests!$A$1,0,0,COUNTA([2]quests!$A:$A),MATCH(D$1,[2]quests!$1:$1,0)-MATCH($B$1,[2]quests!$1:$1,0)+1),MATCH(D$1,[2]quests!$1:$1,0)-MATCH($B$1,[2]quests!$1:$1,0)+1,FALSE)</f>
        <v>ギリシャ神話01</v>
      </c>
      <c r="E41" s="88">
        <v>2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【中級】寡黙な翼竜の侵攻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ギリシャ神話01</v>
      </c>
      <c r="H41" s="86">
        <v>0</v>
      </c>
      <c r="I41">
        <v>18</v>
      </c>
      <c r="J41" s="85" t="s">
        <v>198</v>
      </c>
      <c r="K41" s="94" t="str">
        <f>VLOOKUP(I41,[6]stage_hints!$A:$C,3,FALSE)</f>
        <v>マルチプレイのメリット（その2）</v>
      </c>
      <c r="L41" s="95" t="str">
        <f>VLOOKUP(I41,[6]stage_hints!$A:$D,4,FALSE)</f>
        <v>マルチプレイならリンクが2倍もらえます_x000D_リンクガチャをたくさん回しましょう</v>
      </c>
      <c r="M41" s="57" t="s">
        <v>211</v>
      </c>
    </row>
    <row r="42" spans="1:13" x14ac:dyDescent="0.15">
      <c r="A42" s="82" t="s">
        <v>201</v>
      </c>
      <c r="B42" s="83">
        <f>floors!$C$2</f>
        <v>20016</v>
      </c>
      <c r="C42" s="84" t="str">
        <f ca="1">VLOOKUP($B42,OFFSET([2]quests!$A$1,0,0,COUNTA([2]quests!$A:$A),MATCH(C$1,[2]quests!$1:$1,0)-MATCH($B$1,[2]quests!$1:$1,0)+1),MATCH(C$1,[2]quests!$1:$1,0)-MATCH($B$1,[2]quests!$1:$1,0)+1,FALSE)</f>
        <v>寡黙な翼竜の侵攻</v>
      </c>
      <c r="D42" s="84" t="str">
        <f ca="1">VLOOKUP($B42,OFFSET([2]quests!$A$1,0,0,COUNTA([2]quests!$A:$A),MATCH(D$1,[2]quests!$1:$1,0)-MATCH($B$1,[2]quests!$1:$1,0)+1),MATCH(D$1,[2]quests!$1:$1,0)-MATCH($B$1,[2]quests!$1:$1,0)+1,FALSE)</f>
        <v>ギリシャ神話01</v>
      </c>
      <c r="E42" s="88">
        <v>2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【中級】寡黙な翼竜の侵攻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ギリシャ神話01</v>
      </c>
      <c r="H42" s="86">
        <v>0</v>
      </c>
      <c r="I42">
        <v>19</v>
      </c>
      <c r="J42" s="85" t="s">
        <v>198</v>
      </c>
      <c r="K42" s="94" t="str">
        <f>VLOOKUP(I42,[6]stage_hints!$A:$C,3,FALSE)</f>
        <v>ソロ専用タワーオブザクイーン</v>
      </c>
      <c r="L42" s="95" t="str">
        <f>VLOOKUP(I42,[6]stage_hints!$A:$D,4,FALSE)</f>
        <v>ソロ専用の「タワーオブザクイーン」は_x000D_期間限定で定期的に開催されます_x000D_ここでしか獲得できない報酬もあるようです</v>
      </c>
      <c r="M42" s="57" t="s">
        <v>211</v>
      </c>
    </row>
    <row r="43" spans="1:13" x14ac:dyDescent="0.15">
      <c r="A43" s="82" t="s">
        <v>201</v>
      </c>
      <c r="B43" s="83">
        <f>floors!$C$2</f>
        <v>20016</v>
      </c>
      <c r="C43" s="84" t="str">
        <f ca="1">VLOOKUP($B43,OFFSET([2]quests!$A$1,0,0,COUNTA([2]quests!$A:$A),MATCH(C$1,[2]quests!$1:$1,0)-MATCH($B$1,[2]quests!$1:$1,0)+1),MATCH(C$1,[2]quests!$1:$1,0)-MATCH($B$1,[2]quests!$1:$1,0)+1,FALSE)</f>
        <v>寡黙な翼竜の侵攻</v>
      </c>
      <c r="D43" s="84" t="str">
        <f ca="1">VLOOKUP($B43,OFFSET([2]quests!$A$1,0,0,COUNTA([2]quests!$A:$A),MATCH(D$1,[2]quests!$1:$1,0)-MATCH($B$1,[2]quests!$1:$1,0)+1),MATCH(D$1,[2]quests!$1:$1,0)-MATCH($B$1,[2]quests!$1:$1,0)+1,FALSE)</f>
        <v>ギリシャ神話01</v>
      </c>
      <c r="E43" s="88">
        <v>2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【中級】寡黙な翼竜の侵攻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ギリシャ神話01</v>
      </c>
      <c r="H43" s="86">
        <v>0</v>
      </c>
      <c r="I43">
        <v>20</v>
      </c>
      <c r="J43" s="85" t="s">
        <v>198</v>
      </c>
      <c r="K43" s="94" t="str">
        <f>VLOOKUP(I43,[6]stage_hints!$A:$C,3,FALSE)</f>
        <v>マルチプレイのメリット（その3）</v>
      </c>
      <c r="L43" s="95" t="str">
        <f>VLOOKUP(I43,[6]stage_hints!$A:$D,4,FALSE)</f>
        <v>マルチプレイへの参加はエナジー消費ゼロ_x000D_いつでも好きなだけ遊ぶことができます</v>
      </c>
      <c r="M43" s="57" t="s">
        <v>211</v>
      </c>
    </row>
    <row r="44" spans="1:13" x14ac:dyDescent="0.15">
      <c r="A44" s="82" t="s">
        <v>201</v>
      </c>
      <c r="B44" s="83">
        <f>floors!$C$2</f>
        <v>20016</v>
      </c>
      <c r="C44" s="84" t="str">
        <f ca="1">VLOOKUP($B44,OFFSET([2]quests!$A$1,0,0,COUNTA([2]quests!$A:$A),MATCH(C$1,[2]quests!$1:$1,0)-MATCH($B$1,[2]quests!$1:$1,0)+1),MATCH(C$1,[2]quests!$1:$1,0)-MATCH($B$1,[2]quests!$1:$1,0)+1,FALSE)</f>
        <v>寡黙な翼竜の侵攻</v>
      </c>
      <c r="D44" s="84" t="str">
        <f ca="1">VLOOKUP($B44,OFFSET([2]quests!$A$1,0,0,COUNTA([2]quests!$A:$A),MATCH(D$1,[2]quests!$1:$1,0)-MATCH($B$1,[2]quests!$1:$1,0)+1),MATCH(D$1,[2]quests!$1:$1,0)-MATCH($B$1,[2]quests!$1:$1,0)+1,FALSE)</f>
        <v>ギリシャ神話01</v>
      </c>
      <c r="E44" s="88">
        <v>2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【中級】寡黙な翼竜の侵攻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ギリシャ神話01</v>
      </c>
      <c r="H44" s="86">
        <v>0</v>
      </c>
      <c r="I44">
        <v>21</v>
      </c>
      <c r="J44" s="85" t="s">
        <v>198</v>
      </c>
      <c r="K44" s="94" t="str">
        <f>VLOOKUP(I44,[6]stage_hints!$A:$C,3,FALSE)</f>
        <v>スキルを有効に</v>
      </c>
      <c r="L44" s="95" t="str">
        <f>VLOOKUP(I44,[6]stage_hints!$A:$D,4,FALSE)</f>
        <v>ターン経過でユニットのスキルが使えます_x000D_強力スキルでバトルを有利に進めましょう</v>
      </c>
      <c r="M44" s="57" t="s">
        <v>211</v>
      </c>
    </row>
    <row r="45" spans="1:13" x14ac:dyDescent="0.15">
      <c r="A45" s="82" t="s">
        <v>201</v>
      </c>
      <c r="B45" s="83">
        <f>floors!$C$2</f>
        <v>20016</v>
      </c>
      <c r="C45" s="84" t="str">
        <f ca="1">VLOOKUP($B45,OFFSET([2]quests!$A$1,0,0,COUNTA([2]quests!$A:$A),MATCH(C$1,[2]quests!$1:$1,0)-MATCH($B$1,[2]quests!$1:$1,0)+1),MATCH(C$1,[2]quests!$1:$1,0)-MATCH($B$1,[2]quests!$1:$1,0)+1,FALSE)</f>
        <v>寡黙な翼竜の侵攻</v>
      </c>
      <c r="D45" s="84" t="str">
        <f ca="1">VLOOKUP($B45,OFFSET([2]quests!$A$1,0,0,COUNTA([2]quests!$A:$A),MATCH(D$1,[2]quests!$1:$1,0)-MATCH($B$1,[2]quests!$1:$1,0)+1),MATCH(D$1,[2]quests!$1:$1,0)-MATCH($B$1,[2]quests!$1:$1,0)+1,FALSE)</f>
        <v>ギリシャ神話01</v>
      </c>
      <c r="E45" s="88">
        <v>2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【中級】寡黙な翼竜の侵攻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ギリシャ神話01</v>
      </c>
      <c r="H45" s="86">
        <v>0</v>
      </c>
      <c r="I45">
        <v>22</v>
      </c>
      <c r="J45" s="85" t="s">
        <v>198</v>
      </c>
      <c r="K45" s="94" t="str">
        <f>VLOOKUP(I45,[6]stage_hints!$A:$C,3,FALSE)</f>
        <v>フィーバーで一発逆転（その1）</v>
      </c>
      <c r="L45" s="95" t="str">
        <f>VLOOKUP(I45,[6]stage_hints!$A:$D,4,FALSE)</f>
        <v>フィーバーは攻撃と回復を兼ね備えます_x000D_ピンチからの一発逆転を狙いましょう</v>
      </c>
      <c r="M45" s="57" t="s">
        <v>211</v>
      </c>
    </row>
    <row r="46" spans="1:13" x14ac:dyDescent="0.15">
      <c r="A46" s="82" t="s">
        <v>201</v>
      </c>
      <c r="B46" s="83">
        <f>floors!$C$2</f>
        <v>20016</v>
      </c>
      <c r="C46" s="84" t="str">
        <f ca="1">VLOOKUP($B46,OFFSET([2]quests!$A$1,0,0,COUNTA([2]quests!$A:$A),MATCH(C$1,[2]quests!$1:$1,0)-MATCH($B$1,[2]quests!$1:$1,0)+1),MATCH(C$1,[2]quests!$1:$1,0)-MATCH($B$1,[2]quests!$1:$1,0)+1,FALSE)</f>
        <v>寡黙な翼竜の侵攻</v>
      </c>
      <c r="D46" s="84" t="str">
        <f ca="1">VLOOKUP($B46,OFFSET([2]quests!$A$1,0,0,COUNTA([2]quests!$A:$A),MATCH(D$1,[2]quests!$1:$1,0)-MATCH($B$1,[2]quests!$1:$1,0)+1),MATCH(D$1,[2]quests!$1:$1,0)-MATCH($B$1,[2]quests!$1:$1,0)+1,FALSE)</f>
        <v>ギリシャ神話01</v>
      </c>
      <c r="E46" s="88">
        <v>2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【中級】寡黙な翼竜の侵攻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ギリシャ神話01</v>
      </c>
      <c r="H46" s="86">
        <v>0</v>
      </c>
      <c r="I46">
        <v>23</v>
      </c>
      <c r="J46" s="85" t="s">
        <v>198</v>
      </c>
      <c r="K46" s="94" t="str">
        <f>VLOOKUP(I46,[6]stage_hints!$A:$C,3,FALSE)</f>
        <v>フィーバーで一発逆転（その2）</v>
      </c>
      <c r="L46" s="95" t="str">
        <f>VLOOKUP(I46,[6]stage_hints!$A:$D,4,FALSE)</f>
        <v>フィーバー中は虹色のボムパネルを狙って_x000D_画面上のパネルを一気に破壊しましょう</v>
      </c>
      <c r="M46" s="57" t="s">
        <v>211</v>
      </c>
    </row>
    <row r="47" spans="1:13" x14ac:dyDescent="0.15">
      <c r="A47" s="82" t="s">
        <v>201</v>
      </c>
      <c r="B47" s="83">
        <f>floors!$C$2</f>
        <v>20016</v>
      </c>
      <c r="C47" s="84" t="str">
        <f ca="1">VLOOKUP($B47,OFFSET([2]quests!$A$1,0,0,COUNTA([2]quests!$A:$A),MATCH(C$1,[2]quests!$1:$1,0)-MATCH($B$1,[2]quests!$1:$1,0)+1),MATCH(C$1,[2]quests!$1:$1,0)-MATCH($B$1,[2]quests!$1:$1,0)+1,FALSE)</f>
        <v>寡黙な翼竜の侵攻</v>
      </c>
      <c r="D47" s="84" t="str">
        <f ca="1">VLOOKUP($B47,OFFSET([2]quests!$A$1,0,0,COUNTA([2]quests!$A:$A),MATCH(D$1,[2]quests!$1:$1,0)-MATCH($B$1,[2]quests!$1:$1,0)+1),MATCH(D$1,[2]quests!$1:$1,0)-MATCH($B$1,[2]quests!$1:$1,0)+1,FALSE)</f>
        <v>ギリシャ神話01</v>
      </c>
      <c r="E47" s="88">
        <v>2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【中級】寡黙な翼竜の侵攻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ギリシャ神話01</v>
      </c>
      <c r="H47" s="86">
        <v>0</v>
      </c>
      <c r="I47">
        <v>24</v>
      </c>
      <c r="J47" s="85" t="s">
        <v>198</v>
      </c>
      <c r="K47" s="94" t="str">
        <f>VLOOKUP(I47,[6]stage_hints!$A:$C,3,FALSE)</f>
        <v>果実を使って限界突破</v>
      </c>
      <c r="L47" s="95" t="str">
        <f>VLOOKUP(I47,[6]stage_hints!$A:$D,4,FALSE)</f>
        <v>攻めの果実 癒しの果実_x000D_生命の果実をユニット強化に使うと_x000D_ステータスが限界突破します（計99個迄）</v>
      </c>
      <c r="M47" s="57" t="s">
        <v>211</v>
      </c>
    </row>
    <row r="48" spans="1:13" x14ac:dyDescent="0.15">
      <c r="A48" s="82" t="s">
        <v>201</v>
      </c>
      <c r="B48" s="83">
        <f>floors!$C$2</f>
        <v>20016</v>
      </c>
      <c r="C48" s="84" t="str">
        <f ca="1">VLOOKUP($B48,OFFSET([2]quests!$A$1,0,0,COUNTA([2]quests!$A:$A),MATCH(C$1,[2]quests!$1:$1,0)-MATCH($B$1,[2]quests!$1:$1,0)+1),MATCH(C$1,[2]quests!$1:$1,0)-MATCH($B$1,[2]quests!$1:$1,0)+1,FALSE)</f>
        <v>寡黙な翼竜の侵攻</v>
      </c>
      <c r="D48" s="84" t="str">
        <f ca="1">VLOOKUP($B48,OFFSET([2]quests!$A$1,0,0,COUNTA([2]quests!$A:$A),MATCH(D$1,[2]quests!$1:$1,0)-MATCH($B$1,[2]quests!$1:$1,0)+1),MATCH(D$1,[2]quests!$1:$1,0)-MATCH($B$1,[2]quests!$1:$1,0)+1,FALSE)</f>
        <v>ギリシャ神話01</v>
      </c>
      <c r="E48" s="88">
        <v>2</v>
      </c>
      <c r="F48" s="84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【中級】寡黙な翼竜の侵攻</v>
      </c>
      <c r="G48" s="84" t="str">
        <f ca="1">VLOOKUP($B48&amp;"_"&amp;$E48,OFFSET([2]stages!$A$1,0,0,COUNTA([2]stages!$A:$A),MATCH(G$1,[2]stages!$2:$2,0)-MATCH("temp_stage",[2]stages!$2:$2,0)+1),MATCH(G$1,[2]stages!$2:$2,0)-MATCH("temp_stage",[2]stages!$2:$2,0)+1,FALSE)</f>
        <v>ギリシャ神話01</v>
      </c>
      <c r="H48" s="86">
        <v>0</v>
      </c>
      <c r="I48">
        <v>25</v>
      </c>
      <c r="J48" s="85" t="s">
        <v>198</v>
      </c>
      <c r="K48" s="94" t="str">
        <f>VLOOKUP(I48,[6]stage_hints!$A:$C,3,FALSE)</f>
        <v>スキルレベルアップ</v>
      </c>
      <c r="L48" s="95" t="str">
        <f>VLOOKUP(I48,[6]stage_hints!$A:$D,4,FALSE)</f>
        <v>「秘術の果実」を強化に使うと_x000D_スキルレベルを上げることができます</v>
      </c>
      <c r="M48" s="57" t="s">
        <v>211</v>
      </c>
    </row>
    <row r="49" spans="1:13" x14ac:dyDescent="0.15">
      <c r="A49" s="82" t="s">
        <v>201</v>
      </c>
      <c r="B49" s="83">
        <f>floors!$C$2</f>
        <v>20016</v>
      </c>
      <c r="C49" s="84" t="str">
        <f ca="1">VLOOKUP($B49,OFFSET([2]quests!$A$1,0,0,COUNTA([2]quests!$A:$A),MATCH(C$1,[2]quests!$1:$1,0)-MATCH($B$1,[2]quests!$1:$1,0)+1),MATCH(C$1,[2]quests!$1:$1,0)-MATCH($B$1,[2]quests!$1:$1,0)+1,FALSE)</f>
        <v>寡黙な翼竜の侵攻</v>
      </c>
      <c r="D49" s="84" t="str">
        <f ca="1">VLOOKUP($B49,OFFSET([2]quests!$A$1,0,0,COUNTA([2]quests!$A:$A),MATCH(D$1,[2]quests!$1:$1,0)-MATCH($B$1,[2]quests!$1:$1,0)+1),MATCH(D$1,[2]quests!$1:$1,0)-MATCH($B$1,[2]quests!$1:$1,0)+1,FALSE)</f>
        <v>ギリシャ神話01</v>
      </c>
      <c r="E49" s="88">
        <v>2</v>
      </c>
      <c r="F49" s="84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【中級】寡黙な翼竜の侵攻</v>
      </c>
      <c r="G49" s="84" t="str">
        <f ca="1">VLOOKUP($B49&amp;"_"&amp;$E49,OFFSET([2]stages!$A$1,0,0,COUNTA([2]stages!$A:$A),MATCH(G$1,[2]stages!$2:$2,0)-MATCH("temp_stage",[2]stages!$2:$2,0)+1),MATCH(G$1,[2]stages!$2:$2,0)-MATCH("temp_stage",[2]stages!$2:$2,0)+1,FALSE)</f>
        <v>ギリシャ神話01</v>
      </c>
      <c r="H49" s="86">
        <v>0</v>
      </c>
      <c r="I49">
        <v>26</v>
      </c>
      <c r="J49" s="85" t="s">
        <v>198</v>
      </c>
      <c r="K49" s="94" t="str">
        <f>VLOOKUP(I49,[6]stage_hints!$A:$C,3,FALSE)</f>
        <v>スキルレベルの効果</v>
      </c>
      <c r="L49" s="95" t="str">
        <f>VLOOKUP(I49,[6]stage_hints!$A:$D,4,FALSE)</f>
        <v>スキルレベルが上がると_x000D_短いターンでスキルを使うことができます</v>
      </c>
      <c r="M49" s="57" t="s">
        <v>211</v>
      </c>
    </row>
    <row r="50" spans="1:13" x14ac:dyDescent="0.15">
      <c r="A50" s="82" t="s">
        <v>201</v>
      </c>
      <c r="B50" s="83">
        <f>floors!$C$2</f>
        <v>20016</v>
      </c>
      <c r="C50" s="84" t="str">
        <f ca="1">VLOOKUP($B50,OFFSET([2]quests!$A$1,0,0,COUNTA([2]quests!$A:$A),MATCH(C$1,[2]quests!$1:$1,0)-MATCH($B$1,[2]quests!$1:$1,0)+1),MATCH(C$1,[2]quests!$1:$1,0)-MATCH($B$1,[2]quests!$1:$1,0)+1,FALSE)</f>
        <v>寡黙な翼竜の侵攻</v>
      </c>
      <c r="D50" s="84" t="str">
        <f ca="1">VLOOKUP($B50,OFFSET([2]quests!$A$1,0,0,COUNTA([2]quests!$A:$A),MATCH(D$1,[2]quests!$1:$1,0)-MATCH($B$1,[2]quests!$1:$1,0)+1),MATCH(D$1,[2]quests!$1:$1,0)-MATCH($B$1,[2]quests!$1:$1,0)+1,FALSE)</f>
        <v>ギリシャ神話01</v>
      </c>
      <c r="E50" s="88">
        <v>2</v>
      </c>
      <c r="F50" s="84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【中級】寡黙な翼竜の侵攻</v>
      </c>
      <c r="G50" s="84" t="str">
        <f ca="1">VLOOKUP($B50&amp;"_"&amp;$E50,OFFSET([2]stages!$A$1,0,0,COUNTA([2]stages!$A:$A),MATCH(G$1,[2]stages!$2:$2,0)-MATCH("temp_stage",[2]stages!$2:$2,0)+1),MATCH(G$1,[2]stages!$2:$2,0)-MATCH("temp_stage",[2]stages!$2:$2,0)+1,FALSE)</f>
        <v>ギリシャ神話01</v>
      </c>
      <c r="H50" s="86">
        <v>0</v>
      </c>
      <c r="I50">
        <v>27</v>
      </c>
      <c r="J50" s="85" t="s">
        <v>198</v>
      </c>
      <c r="K50" s="94" t="str">
        <f>VLOOKUP(I50,[6]stage_hints!$A:$C,3,FALSE)</f>
        <v>ホーム画面からデッキを編成</v>
      </c>
      <c r="L50" s="95" t="str">
        <f>VLOOKUP(I50,[6]stage_hints!$A:$D,4,FALSE)</f>
        <v>ホーム画面でユニットを長押しすると_x000D_すぐにパーティ編成に移動できます</v>
      </c>
      <c r="M50" s="57" t="s">
        <v>211</v>
      </c>
    </row>
    <row r="51" spans="1:13" x14ac:dyDescent="0.15">
      <c r="A51" s="82" t="s">
        <v>201</v>
      </c>
      <c r="B51" s="83">
        <f>floors!$C$2</f>
        <v>20016</v>
      </c>
      <c r="C51" s="84" t="str">
        <f ca="1">VLOOKUP($B51,OFFSET([2]quests!$A$1,0,0,COUNTA([2]quests!$A:$A),MATCH(C$1,[2]quests!$1:$1,0)-MATCH($B$1,[2]quests!$1:$1,0)+1),MATCH(C$1,[2]quests!$1:$1,0)-MATCH($B$1,[2]quests!$1:$1,0)+1,FALSE)</f>
        <v>寡黙な翼竜の侵攻</v>
      </c>
      <c r="D51" s="84" t="str">
        <f ca="1">VLOOKUP($B51,OFFSET([2]quests!$A$1,0,0,COUNTA([2]quests!$A:$A),MATCH(D$1,[2]quests!$1:$1,0)-MATCH($B$1,[2]quests!$1:$1,0)+1),MATCH(D$1,[2]quests!$1:$1,0)-MATCH($B$1,[2]quests!$1:$1,0)+1,FALSE)</f>
        <v>ギリシャ神話01</v>
      </c>
      <c r="E51" s="88">
        <v>2</v>
      </c>
      <c r="F51" s="84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【中級】寡黙な翼竜の侵攻</v>
      </c>
      <c r="G51" s="84" t="str">
        <f ca="1">VLOOKUP($B51&amp;"_"&amp;$E51,OFFSET([2]stages!$A$1,0,0,COUNTA([2]stages!$A:$A),MATCH(G$1,[2]stages!$2:$2,0)-MATCH("temp_stage",[2]stages!$2:$2,0)+1),MATCH(G$1,[2]stages!$2:$2,0)-MATCH("temp_stage",[2]stages!$2:$2,0)+1,FALSE)</f>
        <v>ギリシャ神話01</v>
      </c>
      <c r="H51" s="86">
        <v>0</v>
      </c>
      <c r="I51">
        <v>28</v>
      </c>
      <c r="J51" s="85" t="s">
        <v>198</v>
      </c>
      <c r="K51" s="94" t="str">
        <f>VLOOKUP(I51,[6]stage_hints!$A:$C,3,FALSE)</f>
        <v>ステータス情報は長押しで</v>
      </c>
      <c r="L51" s="95" t="str">
        <f>VLOOKUP(I51,[6]stage_hints!$A:$D,4,FALSE)</f>
        <v>ユニットのアイコンを長押しすると_x000D_ステータス情報を確認することができます</v>
      </c>
      <c r="M51" s="57" t="s">
        <v>211</v>
      </c>
    </row>
    <row r="52" spans="1:13" x14ac:dyDescent="0.15">
      <c r="A52" s="82" t="s">
        <v>201</v>
      </c>
      <c r="B52" s="83">
        <f>floors!$C$2</f>
        <v>20016</v>
      </c>
      <c r="C52" s="84" t="str">
        <f ca="1">VLOOKUP($B52,OFFSET([2]quests!$A$1,0,0,COUNTA([2]quests!$A:$A),MATCH(C$1,[2]quests!$1:$1,0)-MATCH($B$1,[2]quests!$1:$1,0)+1),MATCH(C$1,[2]quests!$1:$1,0)-MATCH($B$1,[2]quests!$1:$1,0)+1,FALSE)</f>
        <v>寡黙な翼竜の侵攻</v>
      </c>
      <c r="D52" s="84" t="str">
        <f ca="1">VLOOKUP($B52,OFFSET([2]quests!$A$1,0,0,COUNTA([2]quests!$A:$A),MATCH(D$1,[2]quests!$1:$1,0)-MATCH($B$1,[2]quests!$1:$1,0)+1),MATCH(D$1,[2]quests!$1:$1,0)-MATCH($B$1,[2]quests!$1:$1,0)+1,FALSE)</f>
        <v>ギリシャ神話01</v>
      </c>
      <c r="E52" s="88">
        <v>2</v>
      </c>
      <c r="F52" s="84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【中級】寡黙な翼竜の侵攻</v>
      </c>
      <c r="G52" s="84" t="str">
        <f ca="1">VLOOKUP($B52&amp;"_"&amp;$E52,OFFSET([2]stages!$A$1,0,0,COUNTA([2]stages!$A:$A),MATCH(G$1,[2]stages!$2:$2,0)-MATCH("temp_stage",[2]stages!$2:$2,0)+1),MATCH(G$1,[2]stages!$2:$2,0)-MATCH("temp_stage",[2]stages!$2:$2,0)+1,FALSE)</f>
        <v>ギリシャ神話01</v>
      </c>
      <c r="H52" s="86">
        <v>0</v>
      </c>
      <c r="I52">
        <v>29</v>
      </c>
      <c r="J52" s="85" t="s">
        <v>198</v>
      </c>
      <c r="K52" s="94" t="str">
        <f>VLOOKUP(I52,[6]stage_hints!$A:$C,3,FALSE)</f>
        <v>「バグ」のメリット</v>
      </c>
      <c r="L52" s="95" t="str">
        <f>VLOOKUP(I52,[6]stage_hints!$A:$D,4,FALSE)</f>
        <v>ユニットの「バグ」を増やすと_x000D_報酬をもらえる確率がアップします</v>
      </c>
      <c r="M52" s="57" t="s">
        <v>211</v>
      </c>
    </row>
    <row r="53" spans="1:13" x14ac:dyDescent="0.15">
      <c r="A53" s="82" t="s">
        <v>201</v>
      </c>
      <c r="B53" s="83">
        <f>floors!$C$2</f>
        <v>20016</v>
      </c>
      <c r="C53" s="84" t="str">
        <f ca="1">VLOOKUP($B53,OFFSET([2]quests!$A$1,0,0,COUNTA([2]quests!$A:$A),MATCH(C$1,[2]quests!$1:$1,0)-MATCH($B$1,[2]quests!$1:$1,0)+1),MATCH(C$1,[2]quests!$1:$1,0)-MATCH($B$1,[2]quests!$1:$1,0)+1,FALSE)</f>
        <v>寡黙な翼竜の侵攻</v>
      </c>
      <c r="D53" s="84" t="str">
        <f ca="1">VLOOKUP($B53,OFFSET([2]quests!$A$1,0,0,COUNTA([2]quests!$A:$A),MATCH(D$1,[2]quests!$1:$1,0)-MATCH($B$1,[2]quests!$1:$1,0)+1),MATCH(D$1,[2]quests!$1:$1,0)-MATCH($B$1,[2]quests!$1:$1,0)+1,FALSE)</f>
        <v>ギリシャ神話01</v>
      </c>
      <c r="E53" s="88">
        <v>2</v>
      </c>
      <c r="F53" s="84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【中級】寡黙な翼竜の侵攻</v>
      </c>
      <c r="G53" s="84" t="str">
        <f ca="1">VLOOKUP($B53&amp;"_"&amp;$E53,OFFSET([2]stages!$A$1,0,0,COUNTA([2]stages!$A:$A),MATCH(G$1,[2]stages!$2:$2,0)-MATCH("temp_stage",[2]stages!$2:$2,0)+1),MATCH(G$1,[2]stages!$2:$2,0)-MATCH("temp_stage",[2]stages!$2:$2,0)+1,FALSE)</f>
        <v>ギリシャ神話01</v>
      </c>
      <c r="H53" s="86">
        <v>0</v>
      </c>
      <c r="I53">
        <v>30</v>
      </c>
      <c r="J53" s="85" t="s">
        <v>198</v>
      </c>
      <c r="K53" s="94" t="str">
        <f>VLOOKUP(I53,[6]stage_hints!$A:$C,3,FALSE)</f>
        <v>「バグ」の増やし方</v>
      </c>
      <c r="L53" s="95" t="str">
        <f>VLOOKUP(I53,[6]stage_hints!$A:$D,4,FALSE)</f>
        <v>同じユニット同士を強化で合成すると_x000D_「バグ」を増やすことができます</v>
      </c>
      <c r="M53" s="57" t="s">
        <v>211</v>
      </c>
    </row>
    <row r="54" spans="1:13" x14ac:dyDescent="0.15">
      <c r="A54" s="82" t="s">
        <v>201</v>
      </c>
      <c r="B54" s="83">
        <f>floors!$C$2</f>
        <v>20016</v>
      </c>
      <c r="C54" s="84" t="str">
        <f ca="1">VLOOKUP($B54,OFFSET([2]quests!$A$1,0,0,COUNTA([2]quests!$A:$A),MATCH(C$1,[2]quests!$1:$1,0)-MATCH($B$1,[2]quests!$1:$1,0)+1),MATCH(C$1,[2]quests!$1:$1,0)-MATCH($B$1,[2]quests!$1:$1,0)+1,FALSE)</f>
        <v>寡黙な翼竜の侵攻</v>
      </c>
      <c r="D54" s="84" t="str">
        <f ca="1">VLOOKUP($B54,OFFSET([2]quests!$A$1,0,0,COUNTA([2]quests!$A:$A),MATCH(D$1,[2]quests!$1:$1,0)-MATCH($B$1,[2]quests!$1:$1,0)+1),MATCH(D$1,[2]quests!$1:$1,0)-MATCH($B$1,[2]quests!$1:$1,0)+1,FALSE)</f>
        <v>ギリシャ神話01</v>
      </c>
      <c r="E54" s="88">
        <v>2</v>
      </c>
      <c r="F54" s="84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【中級】寡黙な翼竜の侵攻</v>
      </c>
      <c r="G54" s="84" t="str">
        <f ca="1">VLOOKUP($B54&amp;"_"&amp;$E54,OFFSET([2]stages!$A$1,0,0,COUNTA([2]stages!$A:$A),MATCH(G$1,[2]stages!$2:$2,0)-MATCH("temp_stage",[2]stages!$2:$2,0)+1),MATCH(G$1,[2]stages!$2:$2,0)-MATCH("temp_stage",[2]stages!$2:$2,0)+1,FALSE)</f>
        <v>ギリシャ神話01</v>
      </c>
      <c r="H54" s="86">
        <v>0</v>
      </c>
      <c r="I54">
        <v>31</v>
      </c>
      <c r="J54" s="85" t="s">
        <v>198</v>
      </c>
      <c r="K54" s="94" t="str">
        <f>VLOOKUP(I54,[6]stage_hints!$A:$C,3,FALSE)</f>
        <v>イベントはお知らせでチェック</v>
      </c>
      <c r="L54" s="95" t="str">
        <f>VLOOKUP(I54,[6]stage_hints!$A:$D,4,FALSE)</f>
        <v>イベント限定ユニットを取り忘れないように_x000D_お知らせをこまめにチェックしましょう</v>
      </c>
      <c r="M54" s="57" t="s">
        <v>211</v>
      </c>
    </row>
    <row r="55" spans="1:13" x14ac:dyDescent="0.15">
      <c r="A55" s="82" t="s">
        <v>201</v>
      </c>
      <c r="B55" s="83">
        <f>floors!$C$2</f>
        <v>20016</v>
      </c>
      <c r="C55" s="84" t="str">
        <f ca="1">VLOOKUP($B55,OFFSET([2]quests!$A$1,0,0,COUNTA([2]quests!$A:$A),MATCH(C$1,[2]quests!$1:$1,0)-MATCH($B$1,[2]quests!$1:$1,0)+1),MATCH(C$1,[2]quests!$1:$1,0)-MATCH($B$1,[2]quests!$1:$1,0)+1,FALSE)</f>
        <v>寡黙な翼竜の侵攻</v>
      </c>
      <c r="D55" s="84" t="str">
        <f ca="1">VLOOKUP($B55,OFFSET([2]quests!$A$1,0,0,COUNTA([2]quests!$A:$A),MATCH(D$1,[2]quests!$1:$1,0)-MATCH($B$1,[2]quests!$1:$1,0)+1),MATCH(D$1,[2]quests!$1:$1,0)-MATCH($B$1,[2]quests!$1:$1,0)+1,FALSE)</f>
        <v>ギリシャ神話01</v>
      </c>
      <c r="E55" s="88">
        <v>2</v>
      </c>
      <c r="F55" s="84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【中級】寡黙な翼竜の侵攻</v>
      </c>
      <c r="G55" s="84" t="str">
        <f ca="1">VLOOKUP($B55&amp;"_"&amp;$E55,OFFSET([2]stages!$A$1,0,0,COUNTA([2]stages!$A:$A),MATCH(G$1,[2]stages!$2:$2,0)-MATCH("temp_stage",[2]stages!$2:$2,0)+1),MATCH(G$1,[2]stages!$2:$2,0)-MATCH("temp_stage",[2]stages!$2:$2,0)+1,FALSE)</f>
        <v>ギリシャ神話01</v>
      </c>
      <c r="H55" s="86">
        <v>0</v>
      </c>
      <c r="I55">
        <v>32</v>
      </c>
      <c r="J55" s="85" t="s">
        <v>198</v>
      </c>
      <c r="K55" s="94" t="str">
        <f>VLOOKUP(I55,[6]stage_hints!$A:$C,3,FALSE)</f>
        <v>敵の連続攻撃には</v>
      </c>
      <c r="L55" s="95" t="str">
        <f>VLOOKUP(I55,[6]stage_hints!$A:$D,4,FALSE)</f>
        <v>カウンタースキルを持つユニットがいれば_x000D_ダメージ回数分の反撃ができます</v>
      </c>
      <c r="M55" s="57" t="s">
        <v>211</v>
      </c>
    </row>
    <row r="56" spans="1:13" x14ac:dyDescent="0.15">
      <c r="A56" s="82" t="s">
        <v>201</v>
      </c>
      <c r="B56" s="83">
        <f>floors!$C$2</f>
        <v>20016</v>
      </c>
      <c r="C56" s="84" t="str">
        <f ca="1">VLOOKUP($B56,OFFSET([2]quests!$A$1,0,0,COUNTA([2]quests!$A:$A),MATCH(C$1,[2]quests!$1:$1,0)-MATCH($B$1,[2]quests!$1:$1,0)+1),MATCH(C$1,[2]quests!$1:$1,0)-MATCH($B$1,[2]quests!$1:$1,0)+1,FALSE)</f>
        <v>寡黙な翼竜の侵攻</v>
      </c>
      <c r="D56" s="84" t="str">
        <f ca="1">VLOOKUP($B56,OFFSET([2]quests!$A$1,0,0,COUNTA([2]quests!$A:$A),MATCH(D$1,[2]quests!$1:$1,0)-MATCH($B$1,[2]quests!$1:$1,0)+1),MATCH(D$1,[2]quests!$1:$1,0)-MATCH($B$1,[2]quests!$1:$1,0)+1,FALSE)</f>
        <v>ギリシャ神話01</v>
      </c>
      <c r="E56" s="88">
        <v>2</v>
      </c>
      <c r="F56" s="84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【中級】寡黙な翼竜の侵攻</v>
      </c>
      <c r="G56" s="84" t="str">
        <f ca="1">VLOOKUP($B56&amp;"_"&amp;$E56,OFFSET([2]stages!$A$1,0,0,COUNTA([2]stages!$A:$A),MATCH(G$1,[2]stages!$2:$2,0)-MATCH("temp_stage",[2]stages!$2:$2,0)+1),MATCH(G$1,[2]stages!$2:$2,0)-MATCH("temp_stage",[2]stages!$2:$2,0)+1,FALSE)</f>
        <v>ギリシャ神話01</v>
      </c>
      <c r="H56" s="86">
        <v>0</v>
      </c>
      <c r="I56">
        <v>33</v>
      </c>
      <c r="J56" s="85" t="s">
        <v>198</v>
      </c>
      <c r="K56" s="94" t="str">
        <f>VLOOKUP(I56,[6]stage_hints!$A:$C,3,FALSE)</f>
        <v>敵のカウンター攻撃には</v>
      </c>
      <c r="L56" s="95" t="str">
        <f>VLOOKUP(I56,[6]stage_hints!$A:$D,4,FALSE)</f>
        <v>カウンターブレイクスキルを持っていれば_x000D_敵のカウンターを解除して攻撃ができます</v>
      </c>
      <c r="M56" s="57" t="s">
        <v>211</v>
      </c>
    </row>
    <row r="57" spans="1:13" x14ac:dyDescent="0.15">
      <c r="A57" s="82" t="s">
        <v>201</v>
      </c>
      <c r="B57" s="83">
        <f>floors!$C$2</f>
        <v>20016</v>
      </c>
      <c r="C57" s="84" t="str">
        <f ca="1">VLOOKUP($B57,OFFSET([2]quests!$A$1,0,0,COUNTA([2]quests!$A:$A),MATCH(C$1,[2]quests!$1:$1,0)-MATCH($B$1,[2]quests!$1:$1,0)+1),MATCH(C$1,[2]quests!$1:$1,0)-MATCH($B$1,[2]quests!$1:$1,0)+1,FALSE)</f>
        <v>寡黙な翼竜の侵攻</v>
      </c>
      <c r="D57" s="84" t="str">
        <f ca="1">VLOOKUP($B57,OFFSET([2]quests!$A$1,0,0,COUNTA([2]quests!$A:$A),MATCH(D$1,[2]quests!$1:$1,0)-MATCH($B$1,[2]quests!$1:$1,0)+1),MATCH(D$1,[2]quests!$1:$1,0)-MATCH($B$1,[2]quests!$1:$1,0)+1,FALSE)</f>
        <v>ギリシャ神話01</v>
      </c>
      <c r="E57" s="88">
        <v>2</v>
      </c>
      <c r="F57" s="84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【中級】寡黙な翼竜の侵攻</v>
      </c>
      <c r="G57" s="84" t="str">
        <f ca="1">VLOOKUP($B57&amp;"_"&amp;$E57,OFFSET([2]stages!$A$1,0,0,COUNTA([2]stages!$A:$A),MATCH(G$1,[2]stages!$2:$2,0)-MATCH("temp_stage",[2]stages!$2:$2,0)+1),MATCH(G$1,[2]stages!$2:$2,0)-MATCH("temp_stage",[2]stages!$2:$2,0)+1,FALSE)</f>
        <v>ギリシャ神話01</v>
      </c>
      <c r="H57" s="86">
        <v>0</v>
      </c>
      <c r="I57">
        <v>34</v>
      </c>
      <c r="J57" s="85" t="s">
        <v>198</v>
      </c>
      <c r="K57" s="94" t="str">
        <f>VLOOKUP(I57,[6]stage_hints!$A:$C,3,FALSE)</f>
        <v>ステータスをスキルで下げられたら</v>
      </c>
      <c r="L57" s="95" t="str">
        <f>VLOOKUP(I57,[6]stage_hints!$A:$D,4,FALSE)</f>
        <v>ステータスダウンのスキルを受けたら_x000D_ステータスアップスキルで上書きしましょう</v>
      </c>
      <c r="M57" s="57" t="s">
        <v>211</v>
      </c>
    </row>
    <row r="58" spans="1:13" x14ac:dyDescent="0.15">
      <c r="A58" s="82" t="s">
        <v>201</v>
      </c>
      <c r="B58" s="83">
        <f>floors!$C$2</f>
        <v>20016</v>
      </c>
      <c r="C58" s="84" t="str">
        <f ca="1">VLOOKUP($B58,OFFSET([2]quests!$A$1,0,0,COUNTA([2]quests!$A:$A),MATCH(C$1,[2]quests!$1:$1,0)-MATCH($B$1,[2]quests!$1:$1,0)+1),MATCH(C$1,[2]quests!$1:$1,0)-MATCH($B$1,[2]quests!$1:$1,0)+1,FALSE)</f>
        <v>寡黙な翼竜の侵攻</v>
      </c>
      <c r="D58" s="84" t="str">
        <f ca="1">VLOOKUP($B58,OFFSET([2]quests!$A$1,0,0,COUNTA([2]quests!$A:$A),MATCH(D$1,[2]quests!$1:$1,0)-MATCH($B$1,[2]quests!$1:$1,0)+1),MATCH(D$1,[2]quests!$1:$1,0)-MATCH($B$1,[2]quests!$1:$1,0)+1,FALSE)</f>
        <v>ギリシャ神話01</v>
      </c>
      <c r="E58" s="88">
        <v>2</v>
      </c>
      <c r="F58" s="84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【中級】寡黙な翼竜の侵攻</v>
      </c>
      <c r="G58" s="84" t="str">
        <f ca="1">VLOOKUP($B58&amp;"_"&amp;$E58,OFFSET([2]stages!$A$1,0,0,COUNTA([2]stages!$A:$A),MATCH(G$1,[2]stages!$2:$2,0)-MATCH("temp_stage",[2]stages!$2:$2,0)+1),MATCH(G$1,[2]stages!$2:$2,0)-MATCH("temp_stage",[2]stages!$2:$2,0)+1,FALSE)</f>
        <v>ギリシャ神話01</v>
      </c>
      <c r="H58" s="86">
        <v>0</v>
      </c>
      <c r="I58">
        <v>35</v>
      </c>
      <c r="J58" s="85" t="s">
        <v>198</v>
      </c>
      <c r="K58" s="94" t="str">
        <f>VLOOKUP(I58,[6]stage_hints!$A:$C,3,FALSE)</f>
        <v>敵のステータスがスキルで上がったら</v>
      </c>
      <c r="L58" s="95" t="str">
        <f>VLOOKUP(I58,[6]stage_hints!$A:$D,4,FALSE)</f>
        <v>敵のステータスがスキルでアップしたときは_x000D_ステータスダウンスキルで上書きしましょう</v>
      </c>
      <c r="M58" s="57" t="s">
        <v>211</v>
      </c>
    </row>
    <row r="59" spans="1:13" x14ac:dyDescent="0.15">
      <c r="A59" s="82" t="s">
        <v>201</v>
      </c>
      <c r="B59" s="83">
        <f>floors!$C$2</f>
        <v>20016</v>
      </c>
      <c r="C59" s="84" t="str">
        <f ca="1">VLOOKUP($B59,OFFSET([2]quests!$A$1,0,0,COUNTA([2]quests!$A:$A),MATCH(C$1,[2]quests!$1:$1,0)-MATCH($B$1,[2]quests!$1:$1,0)+1),MATCH(C$1,[2]quests!$1:$1,0)-MATCH($B$1,[2]quests!$1:$1,0)+1,FALSE)</f>
        <v>寡黙な翼竜の侵攻</v>
      </c>
      <c r="D59" s="84" t="str">
        <f ca="1">VLOOKUP($B59,OFFSET([2]quests!$A$1,0,0,COUNTA([2]quests!$A:$A),MATCH(D$1,[2]quests!$1:$1,0)-MATCH($B$1,[2]quests!$1:$1,0)+1),MATCH(D$1,[2]quests!$1:$1,0)-MATCH($B$1,[2]quests!$1:$1,0)+1,FALSE)</f>
        <v>ギリシャ神話01</v>
      </c>
      <c r="E59" s="88">
        <v>2</v>
      </c>
      <c r="F59" s="84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【中級】寡黙な翼竜の侵攻</v>
      </c>
      <c r="G59" s="84" t="str">
        <f ca="1">VLOOKUP($B59&amp;"_"&amp;$E59,OFFSET([2]stages!$A$1,0,0,COUNTA([2]stages!$A:$A),MATCH(G$1,[2]stages!$2:$2,0)-MATCH("temp_stage",[2]stages!$2:$2,0)+1),MATCH(G$1,[2]stages!$2:$2,0)-MATCH("temp_stage",[2]stages!$2:$2,0)+1,FALSE)</f>
        <v>ギリシャ神話01</v>
      </c>
      <c r="H59" s="86">
        <v>0</v>
      </c>
      <c r="I59">
        <v>39</v>
      </c>
      <c r="J59" s="85" t="s">
        <v>198</v>
      </c>
      <c r="K59" s="94" t="str">
        <f>VLOOKUP(I59,[6]stage_hints!$A:$C,3,FALSE)</f>
        <v>システム適合者を確認</v>
      </c>
      <c r="L59" s="95" t="str">
        <f>VLOOKUP(I59,[6]stage_hints!$A:$D,4,FALSE)</f>
        <v>ALICEが 「アナタ」を呼んでいます</v>
      </c>
      <c r="M59" s="57" t="s">
        <v>211</v>
      </c>
    </row>
    <row r="60" spans="1:13" x14ac:dyDescent="0.15">
      <c r="A60" s="82" t="s">
        <v>201</v>
      </c>
      <c r="B60" s="83">
        <f>floors!$C$2</f>
        <v>20016</v>
      </c>
      <c r="C60" s="84" t="str">
        <f ca="1">VLOOKUP($B60,OFFSET([2]quests!$A$1,0,0,COUNTA([2]quests!$A:$A),MATCH(C$1,[2]quests!$1:$1,0)-MATCH($B$1,[2]quests!$1:$1,0)+1),MATCH(C$1,[2]quests!$1:$1,0)-MATCH($B$1,[2]quests!$1:$1,0)+1,FALSE)</f>
        <v>寡黙な翼竜の侵攻</v>
      </c>
      <c r="D60" s="84" t="str">
        <f ca="1">VLOOKUP($B60,OFFSET([2]quests!$A$1,0,0,COUNTA([2]quests!$A:$A),MATCH(D$1,[2]quests!$1:$1,0)-MATCH($B$1,[2]quests!$1:$1,0)+1),MATCH(D$1,[2]quests!$1:$1,0)-MATCH($B$1,[2]quests!$1:$1,0)+1,FALSE)</f>
        <v>ギリシャ神話01</v>
      </c>
      <c r="E60" s="88">
        <v>3</v>
      </c>
      <c r="F60" s="84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【上級】寡黙な翼竜の侵攻</v>
      </c>
      <c r="G60" s="84" t="str">
        <f ca="1">VLOOKUP($B60&amp;"_"&amp;$E60,OFFSET([2]stages!$A$1,0,0,COUNTA([2]stages!$A:$A),MATCH(G$1,[2]stages!$2:$2,0)-MATCH("temp_stage",[2]stages!$2:$2,0)+1),MATCH(G$1,[2]stages!$2:$2,0)-MATCH("temp_stage",[2]stages!$2:$2,0)+1,FALSE)</f>
        <v>ギリシャ神話01</v>
      </c>
      <c r="H60" s="86">
        <v>0</v>
      </c>
      <c r="I60" s="98">
        <v>3</v>
      </c>
      <c r="J60" s="85" t="s">
        <v>198</v>
      </c>
      <c r="K60" s="94" t="str">
        <f>VLOOKUP(I60,[6]stage_hints!$A:$C,3,FALSE)</f>
        <v>ターゲット</v>
      </c>
      <c r="L60" s="95" t="str">
        <f>VLOOKUP(I60,[6]stage_hints!$A:$D,4,FALSE)</f>
        <v>敵ユニットをタップすると_x000D_その敵を狙い撃ちできます</v>
      </c>
      <c r="M60" s="57" t="s">
        <v>211</v>
      </c>
    </row>
    <row r="61" spans="1:13" x14ac:dyDescent="0.15">
      <c r="A61" s="82" t="s">
        <v>201</v>
      </c>
      <c r="B61" s="83">
        <f>floors!$C$2</f>
        <v>20016</v>
      </c>
      <c r="C61" s="84" t="str">
        <f ca="1">VLOOKUP($B61,OFFSET([2]quests!$A$1,0,0,COUNTA([2]quests!$A:$A),MATCH(C$1,[2]quests!$1:$1,0)-MATCH($B$1,[2]quests!$1:$1,0)+1),MATCH(C$1,[2]quests!$1:$1,0)-MATCH($B$1,[2]quests!$1:$1,0)+1,FALSE)</f>
        <v>寡黙な翼竜の侵攻</v>
      </c>
      <c r="D61" s="84" t="str">
        <f ca="1">VLOOKUP($B61,OFFSET([2]quests!$A$1,0,0,COUNTA([2]quests!$A:$A),MATCH(D$1,[2]quests!$1:$1,0)-MATCH($B$1,[2]quests!$1:$1,0)+1),MATCH(D$1,[2]quests!$1:$1,0)-MATCH($B$1,[2]quests!$1:$1,0)+1,FALSE)</f>
        <v>ギリシャ神話01</v>
      </c>
      <c r="E61" s="88">
        <v>3</v>
      </c>
      <c r="F61" s="84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【上級】寡黙な翼竜の侵攻</v>
      </c>
      <c r="G61" s="84" t="str">
        <f ca="1">VLOOKUP($B61&amp;"_"&amp;$E61,OFFSET([2]stages!$A$1,0,0,COUNTA([2]stages!$A:$A),MATCH(G$1,[2]stages!$2:$2,0)-MATCH("temp_stage",[2]stages!$2:$2,0)+1),MATCH(G$1,[2]stages!$2:$2,0)-MATCH("temp_stage",[2]stages!$2:$2,0)+1,FALSE)</f>
        <v>ギリシャ神話01</v>
      </c>
      <c r="H61" s="86">
        <v>0</v>
      </c>
      <c r="I61" s="98">
        <v>6</v>
      </c>
      <c r="J61" s="85" t="s">
        <v>198</v>
      </c>
      <c r="K61" s="94" t="str">
        <f>VLOOKUP(I61,[6]stage_hints!$A:$C,3,FALSE)</f>
        <v>ユニット強化の属性ボーナス</v>
      </c>
      <c r="L61" s="95" t="str">
        <f>VLOOKUP(I61,[6]stage_hints!$A:$D,4,FALSE)</f>
        <v>同属性ユニットを強化素材にすると_x000D_経験値が多くもらえます</v>
      </c>
      <c r="M61" s="57" t="s">
        <v>211</v>
      </c>
    </row>
    <row r="62" spans="1:13" x14ac:dyDescent="0.15">
      <c r="A62" s="82" t="s">
        <v>201</v>
      </c>
      <c r="B62" s="83">
        <f>floors!$C$2</f>
        <v>20016</v>
      </c>
      <c r="C62" s="84" t="str">
        <f ca="1">VLOOKUP($B62,OFFSET([2]quests!$A$1,0,0,COUNTA([2]quests!$A:$A),MATCH(C$1,[2]quests!$1:$1,0)-MATCH($B$1,[2]quests!$1:$1,0)+1),MATCH(C$1,[2]quests!$1:$1,0)-MATCH($B$1,[2]quests!$1:$1,0)+1,FALSE)</f>
        <v>寡黙な翼竜の侵攻</v>
      </c>
      <c r="D62" s="84" t="str">
        <f ca="1">VLOOKUP($B62,OFFSET([2]quests!$A$1,0,0,COUNTA([2]quests!$A:$A),MATCH(D$1,[2]quests!$1:$1,0)-MATCH($B$1,[2]quests!$1:$1,0)+1),MATCH(D$1,[2]quests!$1:$1,0)-MATCH($B$1,[2]quests!$1:$1,0)+1,FALSE)</f>
        <v>ギリシャ神話01</v>
      </c>
      <c r="E62" s="88">
        <v>3</v>
      </c>
      <c r="F62" s="84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【上級】寡黙な翼竜の侵攻</v>
      </c>
      <c r="G62" s="84" t="str">
        <f ca="1">VLOOKUP($B62&amp;"_"&amp;$E62,OFFSET([2]stages!$A$1,0,0,COUNTA([2]stages!$A:$A),MATCH(G$1,[2]stages!$2:$2,0)-MATCH("temp_stage",[2]stages!$2:$2,0)+1),MATCH(G$1,[2]stages!$2:$2,0)-MATCH("temp_stage",[2]stages!$2:$2,0)+1,FALSE)</f>
        <v>ギリシャ神話01</v>
      </c>
      <c r="H62" s="86">
        <v>0</v>
      </c>
      <c r="I62" s="98">
        <v>7</v>
      </c>
      <c r="J62" s="85" t="s">
        <v>198</v>
      </c>
      <c r="K62" s="94" t="str">
        <f>VLOOKUP(I62,[6]stage_hints!$A:$C,3,FALSE)</f>
        <v>メタルダックで経験値を獲得</v>
      </c>
      <c r="L62" s="95" t="str">
        <f>VLOOKUP(I62,[6]stage_hints!$A:$D,4,FALSE)</f>
        <v>「メタルなアヒル」を強化素材にすると_x000D_大量の経験値がもらえます</v>
      </c>
      <c r="M62" s="57" t="s">
        <v>211</v>
      </c>
    </row>
    <row r="63" spans="1:13" x14ac:dyDescent="0.15">
      <c r="A63" s="82" t="s">
        <v>201</v>
      </c>
      <c r="B63" s="83">
        <f>floors!$C$2</f>
        <v>20016</v>
      </c>
      <c r="C63" s="84" t="str">
        <f ca="1">VLOOKUP($B63,OFFSET([2]quests!$A$1,0,0,COUNTA([2]quests!$A:$A),MATCH(C$1,[2]quests!$1:$1,0)-MATCH($B$1,[2]quests!$1:$1,0)+1),MATCH(C$1,[2]quests!$1:$1,0)-MATCH($B$1,[2]quests!$1:$1,0)+1,FALSE)</f>
        <v>寡黙な翼竜の侵攻</v>
      </c>
      <c r="D63" s="84" t="str">
        <f ca="1">VLOOKUP($B63,OFFSET([2]quests!$A$1,0,0,COUNTA([2]quests!$A:$A),MATCH(D$1,[2]quests!$1:$1,0)-MATCH($B$1,[2]quests!$1:$1,0)+1),MATCH(D$1,[2]quests!$1:$1,0)-MATCH($B$1,[2]quests!$1:$1,0)+1,FALSE)</f>
        <v>ギリシャ神話01</v>
      </c>
      <c r="E63" s="88">
        <v>3</v>
      </c>
      <c r="F63" s="84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【上級】寡黙な翼竜の侵攻</v>
      </c>
      <c r="G63" s="84" t="str">
        <f ca="1">VLOOKUP($B63&amp;"_"&amp;$E63,OFFSET([2]stages!$A$1,0,0,COUNTA([2]stages!$A:$A),MATCH(G$1,[2]stages!$2:$2,0)-MATCH("temp_stage",[2]stages!$2:$2,0)+1),MATCH(G$1,[2]stages!$2:$2,0)-MATCH("temp_stage",[2]stages!$2:$2,0)+1,FALSE)</f>
        <v>ギリシャ神話01</v>
      </c>
      <c r="H63" s="86">
        <v>0</v>
      </c>
      <c r="I63" s="98">
        <v>8</v>
      </c>
      <c r="J63" s="85" t="s">
        <v>198</v>
      </c>
      <c r="K63" s="94" t="str">
        <f>VLOOKUP(I63,[6]stage_hints!$A:$C,3,FALSE)</f>
        <v>ゲリラクエストは要チェック</v>
      </c>
      <c r="L63" s="95" t="str">
        <f>VLOOKUP(I63,[6]stage_hints!$A:$D,4,FALSE)</f>
        <v>時間限定の「アヒル捕獲作戦」では_x000D_経験値素材ユニットが多く手に入ります</v>
      </c>
      <c r="M63" s="57" t="s">
        <v>211</v>
      </c>
    </row>
    <row r="64" spans="1:13" x14ac:dyDescent="0.15">
      <c r="A64" s="82" t="s">
        <v>201</v>
      </c>
      <c r="B64" s="83">
        <f>floors!$C$2</f>
        <v>20016</v>
      </c>
      <c r="C64" s="84" t="str">
        <f ca="1">VLOOKUP($B64,OFFSET([2]quests!$A$1,0,0,COUNTA([2]quests!$A:$A),MATCH(C$1,[2]quests!$1:$1,0)-MATCH($B$1,[2]quests!$1:$1,0)+1),MATCH(C$1,[2]quests!$1:$1,0)-MATCH($B$1,[2]quests!$1:$1,0)+1,FALSE)</f>
        <v>寡黙な翼竜の侵攻</v>
      </c>
      <c r="D64" s="84" t="str">
        <f ca="1">VLOOKUP($B64,OFFSET([2]quests!$A$1,0,0,COUNTA([2]quests!$A:$A),MATCH(D$1,[2]quests!$1:$1,0)-MATCH($B$1,[2]quests!$1:$1,0)+1),MATCH(D$1,[2]quests!$1:$1,0)-MATCH($B$1,[2]quests!$1:$1,0)+1,FALSE)</f>
        <v>ギリシャ神話01</v>
      </c>
      <c r="E64" s="88">
        <v>3</v>
      </c>
      <c r="F64" s="84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【上級】寡黙な翼竜の侵攻</v>
      </c>
      <c r="G64" s="84" t="str">
        <f ca="1">VLOOKUP($B64&amp;"_"&amp;$E64,OFFSET([2]stages!$A$1,0,0,COUNTA([2]stages!$A:$A),MATCH(G$1,[2]stages!$2:$2,0)-MATCH("temp_stage",[2]stages!$2:$2,0)+1),MATCH(G$1,[2]stages!$2:$2,0)-MATCH("temp_stage",[2]stages!$2:$2,0)+1,FALSE)</f>
        <v>ギリシャ神話01</v>
      </c>
      <c r="H64" s="86">
        <v>0</v>
      </c>
      <c r="I64" s="98">
        <v>9</v>
      </c>
      <c r="J64" s="85" t="s">
        <v>198</v>
      </c>
      <c r="K64" s="94" t="str">
        <f>VLOOKUP(I64,[6]stage_hints!$A:$C,3,FALSE)</f>
        <v>ゴールドダックでビットを獲得</v>
      </c>
      <c r="L64" s="95" t="str">
        <f>VLOOKUP(I64,[6]stage_hints!$A:$D,4,FALSE)</f>
        <v>「ゴールドなアヒル」を売却すると_x000D_大量のビットがもらえます</v>
      </c>
      <c r="M64" s="57" t="s">
        <v>211</v>
      </c>
    </row>
    <row r="65" spans="1:13" x14ac:dyDescent="0.15">
      <c r="A65" s="82" t="s">
        <v>201</v>
      </c>
      <c r="B65" s="83">
        <f>floors!$C$2</f>
        <v>20016</v>
      </c>
      <c r="C65" s="84" t="str">
        <f ca="1">VLOOKUP($B65,OFFSET([2]quests!$A$1,0,0,COUNTA([2]quests!$A:$A),MATCH(C$1,[2]quests!$1:$1,0)-MATCH($B$1,[2]quests!$1:$1,0)+1),MATCH(C$1,[2]quests!$1:$1,0)-MATCH($B$1,[2]quests!$1:$1,0)+1,FALSE)</f>
        <v>寡黙な翼竜の侵攻</v>
      </c>
      <c r="D65" s="84" t="str">
        <f ca="1">VLOOKUP($B65,OFFSET([2]quests!$A$1,0,0,COUNTA([2]quests!$A:$A),MATCH(D$1,[2]quests!$1:$1,0)-MATCH($B$1,[2]quests!$1:$1,0)+1),MATCH(D$1,[2]quests!$1:$1,0)-MATCH($B$1,[2]quests!$1:$1,0)+1,FALSE)</f>
        <v>ギリシャ神話01</v>
      </c>
      <c r="E65" s="88">
        <v>3</v>
      </c>
      <c r="F65" s="84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【上級】寡黙な翼竜の侵攻</v>
      </c>
      <c r="G65" s="84" t="str">
        <f ca="1">VLOOKUP($B65&amp;"_"&amp;$E65,OFFSET([2]stages!$A$1,0,0,COUNTA([2]stages!$A:$A),MATCH(G$1,[2]stages!$2:$2,0)-MATCH("temp_stage",[2]stages!$2:$2,0)+1),MATCH(G$1,[2]stages!$2:$2,0)-MATCH("temp_stage",[2]stages!$2:$2,0)+1,FALSE)</f>
        <v>ギリシャ神話01</v>
      </c>
      <c r="H65" s="86">
        <v>0</v>
      </c>
      <c r="I65" s="98">
        <v>10</v>
      </c>
      <c r="J65" s="85" t="s">
        <v>198</v>
      </c>
      <c r="K65" s="94" t="str">
        <f>VLOOKUP(I65,[6]stage_hints!$A:$C,3,FALSE)</f>
        <v>土日に大量のビットを獲得</v>
      </c>
      <c r="L65" s="95" t="str">
        <f>VLOOKUP(I65,[6]stage_hints!$A:$D,4,FALSE)</f>
        <v>土日限定の「ゴールドカジノ」では_x000D_売却素材ユニットが多く手に入ります</v>
      </c>
      <c r="M65" s="57" t="s">
        <v>211</v>
      </c>
    </row>
    <row r="66" spans="1:13" x14ac:dyDescent="0.15">
      <c r="A66" s="82" t="s">
        <v>201</v>
      </c>
      <c r="B66" s="83">
        <f>floors!$C$2</f>
        <v>20016</v>
      </c>
      <c r="C66" s="84" t="str">
        <f ca="1">VLOOKUP($B66,OFFSET([2]quests!$A$1,0,0,COUNTA([2]quests!$A:$A),MATCH(C$1,[2]quests!$1:$1,0)-MATCH($B$1,[2]quests!$1:$1,0)+1),MATCH(C$1,[2]quests!$1:$1,0)-MATCH($B$1,[2]quests!$1:$1,0)+1,FALSE)</f>
        <v>寡黙な翼竜の侵攻</v>
      </c>
      <c r="D66" s="84" t="str">
        <f ca="1">VLOOKUP($B66,OFFSET([2]quests!$A$1,0,0,COUNTA([2]quests!$A:$A),MATCH(D$1,[2]quests!$1:$1,0)-MATCH($B$1,[2]quests!$1:$1,0)+1),MATCH(D$1,[2]quests!$1:$1,0)-MATCH($B$1,[2]quests!$1:$1,0)+1,FALSE)</f>
        <v>ギリシャ神話01</v>
      </c>
      <c r="E66" s="88">
        <v>3</v>
      </c>
      <c r="F66" s="84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【上級】寡黙な翼竜の侵攻</v>
      </c>
      <c r="G66" s="84" t="str">
        <f ca="1">VLOOKUP($B66&amp;"_"&amp;$E66,OFFSET([2]stages!$A$1,0,0,COUNTA([2]stages!$A:$A),MATCH(G$1,[2]stages!$2:$2,0)-MATCH("temp_stage",[2]stages!$2:$2,0)+1),MATCH(G$1,[2]stages!$2:$2,0)-MATCH("temp_stage",[2]stages!$2:$2,0)+1,FALSE)</f>
        <v>ギリシャ神話01</v>
      </c>
      <c r="H66" s="86">
        <v>0</v>
      </c>
      <c r="I66" s="98">
        <v>11</v>
      </c>
      <c r="J66" s="85" t="s">
        <v>198</v>
      </c>
      <c r="K66" s="94" t="str">
        <f>VLOOKUP(I66,[6]stage_hints!$A:$C,3,FALSE)</f>
        <v>ランク解放クエスト</v>
      </c>
      <c r="L66" s="95" t="str">
        <f>VLOOKUP(I66,[6]stage_hints!$A:$D,4,FALSE)</f>
        <v>一定ランクに到達すると_x000D_報酬付きのランク開放クエストが現れます</v>
      </c>
      <c r="M66" s="57" t="s">
        <v>211</v>
      </c>
    </row>
    <row r="67" spans="1:13" x14ac:dyDescent="0.15">
      <c r="A67" s="82" t="s">
        <v>201</v>
      </c>
      <c r="B67" s="83">
        <f>floors!$C$2</f>
        <v>20016</v>
      </c>
      <c r="C67" s="84" t="str">
        <f ca="1">VLOOKUP($B67,OFFSET([2]quests!$A$1,0,0,COUNTA([2]quests!$A:$A),MATCH(C$1,[2]quests!$1:$1,0)-MATCH($B$1,[2]quests!$1:$1,0)+1),MATCH(C$1,[2]quests!$1:$1,0)-MATCH($B$1,[2]quests!$1:$1,0)+1,FALSE)</f>
        <v>寡黙な翼竜の侵攻</v>
      </c>
      <c r="D67" s="84" t="str">
        <f ca="1">VLOOKUP($B67,OFFSET([2]quests!$A$1,0,0,COUNTA([2]quests!$A:$A),MATCH(D$1,[2]quests!$1:$1,0)-MATCH($B$1,[2]quests!$1:$1,0)+1),MATCH(D$1,[2]quests!$1:$1,0)-MATCH($B$1,[2]quests!$1:$1,0)+1,FALSE)</f>
        <v>ギリシャ神話01</v>
      </c>
      <c r="E67" s="88">
        <v>3</v>
      </c>
      <c r="F67" s="84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【上級】寡黙な翼竜の侵攻</v>
      </c>
      <c r="G67" s="84" t="str">
        <f ca="1">VLOOKUP($B67&amp;"_"&amp;$E67,OFFSET([2]stages!$A$1,0,0,COUNTA([2]stages!$A:$A),MATCH(G$1,[2]stages!$2:$2,0)-MATCH("temp_stage",[2]stages!$2:$2,0)+1),MATCH(G$1,[2]stages!$2:$2,0)-MATCH("temp_stage",[2]stages!$2:$2,0)+1,FALSE)</f>
        <v>ギリシャ神話01</v>
      </c>
      <c r="H67" s="86">
        <v>0</v>
      </c>
      <c r="I67" s="98">
        <v>12</v>
      </c>
      <c r="J67" s="85" t="s">
        <v>198</v>
      </c>
      <c r="K67" s="94" t="str">
        <f>VLOOKUP(I67,[6]stage_hints!$A:$C,3,FALSE)</f>
        <v>ユニットのお気に入り登録</v>
      </c>
      <c r="L67" s="95" t="str">
        <f>VLOOKUP(I67,[6]stage_hints!$A:$D,4,FALSE)</f>
        <v>大事なユニットを誤って消さないように_x000D_フォルダから「お気に入り登録」しましょう</v>
      </c>
      <c r="M67" s="57" t="s">
        <v>211</v>
      </c>
    </row>
    <row r="68" spans="1:13" x14ac:dyDescent="0.15">
      <c r="A68" s="82" t="s">
        <v>201</v>
      </c>
      <c r="B68" s="83">
        <f>floors!$C$2</f>
        <v>20016</v>
      </c>
      <c r="C68" s="84" t="str">
        <f ca="1">VLOOKUP($B68,OFFSET([2]quests!$A$1,0,0,COUNTA([2]quests!$A:$A),MATCH(C$1,[2]quests!$1:$1,0)-MATCH($B$1,[2]quests!$1:$1,0)+1),MATCH(C$1,[2]quests!$1:$1,0)-MATCH($B$1,[2]quests!$1:$1,0)+1,FALSE)</f>
        <v>寡黙な翼竜の侵攻</v>
      </c>
      <c r="D68" s="84" t="str">
        <f ca="1">VLOOKUP($B68,OFFSET([2]quests!$A$1,0,0,COUNTA([2]quests!$A:$A),MATCH(D$1,[2]quests!$1:$1,0)-MATCH($B$1,[2]quests!$1:$1,0)+1),MATCH(D$1,[2]quests!$1:$1,0)-MATCH($B$1,[2]quests!$1:$1,0)+1,FALSE)</f>
        <v>ギリシャ神話01</v>
      </c>
      <c r="E68" s="88">
        <v>3</v>
      </c>
      <c r="F68" s="84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【上級】寡黙な翼竜の侵攻</v>
      </c>
      <c r="G68" s="84" t="str">
        <f ca="1">VLOOKUP($B68&amp;"_"&amp;$E68,OFFSET([2]stages!$A$1,0,0,COUNTA([2]stages!$A:$A),MATCH(G$1,[2]stages!$2:$2,0)-MATCH("temp_stage",[2]stages!$2:$2,0)+1),MATCH(G$1,[2]stages!$2:$2,0)-MATCH("temp_stage",[2]stages!$2:$2,0)+1,FALSE)</f>
        <v>ギリシャ神話01</v>
      </c>
      <c r="H68" s="86">
        <v>0</v>
      </c>
      <c r="I68" s="98">
        <v>13</v>
      </c>
      <c r="J68" s="85" t="s">
        <v>198</v>
      </c>
      <c r="K68" s="94" t="str">
        <f>VLOOKUP(I68,[6]stage_hints!$A:$C,3,FALSE)</f>
        <v>ユニットの覚醒</v>
      </c>
      <c r="L68" s="95" t="str">
        <f>VLOOKUP(I68,[6]stage_hints!$A:$D,4,FALSE)</f>
        <v>ユニットを覚醒させると_x000D_比べものにならない強さが手に入ります</v>
      </c>
      <c r="M68" s="57" t="s">
        <v>211</v>
      </c>
    </row>
    <row r="69" spans="1:13" x14ac:dyDescent="0.15">
      <c r="A69" s="82" t="s">
        <v>201</v>
      </c>
      <c r="B69" s="83">
        <f>floors!$C$2</f>
        <v>20016</v>
      </c>
      <c r="C69" s="84" t="str">
        <f ca="1">VLOOKUP($B69,OFFSET([2]quests!$A$1,0,0,COUNTA([2]quests!$A:$A),MATCH(C$1,[2]quests!$1:$1,0)-MATCH($B$1,[2]quests!$1:$1,0)+1),MATCH(C$1,[2]quests!$1:$1,0)-MATCH($B$1,[2]quests!$1:$1,0)+1,FALSE)</f>
        <v>寡黙な翼竜の侵攻</v>
      </c>
      <c r="D69" s="84" t="str">
        <f ca="1">VLOOKUP($B69,OFFSET([2]quests!$A$1,0,0,COUNTA([2]quests!$A:$A),MATCH(D$1,[2]quests!$1:$1,0)-MATCH($B$1,[2]quests!$1:$1,0)+1),MATCH(D$1,[2]quests!$1:$1,0)-MATCH($B$1,[2]quests!$1:$1,0)+1,FALSE)</f>
        <v>ギリシャ神話01</v>
      </c>
      <c r="E69" s="88">
        <v>3</v>
      </c>
      <c r="F69" s="84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【上級】寡黙な翼竜の侵攻</v>
      </c>
      <c r="G69" s="84" t="str">
        <f ca="1">VLOOKUP($B69&amp;"_"&amp;$E69,OFFSET([2]stages!$A$1,0,0,COUNTA([2]stages!$A:$A),MATCH(G$1,[2]stages!$2:$2,0)-MATCH("temp_stage",[2]stages!$2:$2,0)+1),MATCH(G$1,[2]stages!$2:$2,0)-MATCH("temp_stage",[2]stages!$2:$2,0)+1,FALSE)</f>
        <v>ギリシャ神話01</v>
      </c>
      <c r="H69" s="86">
        <v>0</v>
      </c>
      <c r="I69" s="98">
        <v>14</v>
      </c>
      <c r="J69" s="85" t="s">
        <v>198</v>
      </c>
      <c r="K69" s="94" t="str">
        <f>VLOOKUP(I69,[6]stage_hints!$A:$C,3,FALSE)</f>
        <v>覚醒するにはレベルを最大に</v>
      </c>
      <c r="L69" s="95" t="str">
        <f>VLOOKUP(I69,[6]stage_hints!$A:$D,4,FALSE)</f>
        <v>覚醒するにはユニットのレベルを_x000D_最大まで上げる必要があります</v>
      </c>
      <c r="M69" s="57" t="s">
        <v>211</v>
      </c>
    </row>
    <row r="70" spans="1:13" x14ac:dyDescent="0.15">
      <c r="A70" s="82" t="s">
        <v>201</v>
      </c>
      <c r="B70" s="83">
        <f>floors!$C$2</f>
        <v>20016</v>
      </c>
      <c r="C70" s="84" t="str">
        <f ca="1">VLOOKUP($B70,OFFSET([2]quests!$A$1,0,0,COUNTA([2]quests!$A:$A),MATCH(C$1,[2]quests!$1:$1,0)-MATCH($B$1,[2]quests!$1:$1,0)+1),MATCH(C$1,[2]quests!$1:$1,0)-MATCH($B$1,[2]quests!$1:$1,0)+1,FALSE)</f>
        <v>寡黙な翼竜の侵攻</v>
      </c>
      <c r="D70" s="84" t="str">
        <f ca="1">VLOOKUP($B70,OFFSET([2]quests!$A$1,0,0,COUNTA([2]quests!$A:$A),MATCH(D$1,[2]quests!$1:$1,0)-MATCH($B$1,[2]quests!$1:$1,0)+1),MATCH(D$1,[2]quests!$1:$1,0)-MATCH($B$1,[2]quests!$1:$1,0)+1,FALSE)</f>
        <v>ギリシャ神話01</v>
      </c>
      <c r="E70" s="88">
        <v>3</v>
      </c>
      <c r="F70" s="84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【上級】寡黙な翼竜の侵攻</v>
      </c>
      <c r="G70" s="84" t="str">
        <f ca="1">VLOOKUP($B70&amp;"_"&amp;$E70,OFFSET([2]stages!$A$1,0,0,COUNTA([2]stages!$A:$A),MATCH(G$1,[2]stages!$2:$2,0)-MATCH("temp_stage",[2]stages!$2:$2,0)+1),MATCH(G$1,[2]stages!$2:$2,0)-MATCH("temp_stage",[2]stages!$2:$2,0)+1,FALSE)</f>
        <v>ギリシャ神話01</v>
      </c>
      <c r="H70" s="86">
        <v>0</v>
      </c>
      <c r="I70" s="98">
        <v>15</v>
      </c>
      <c r="J70" s="85" t="s">
        <v>198</v>
      </c>
      <c r="K70" s="94" t="str">
        <f>VLOOKUP(I70,[6]stage_hints!$A:$C,3,FALSE)</f>
        <v>覚醒素材を獲得</v>
      </c>
      <c r="L70" s="95" t="str">
        <f>VLOOKUP(I70,[6]stage_hints!$A:$D,4,FALSE)</f>
        <v>「曜日クエスト」では_x000D_ユニットの覚醒に必要な素材が手に入ります</v>
      </c>
      <c r="M70" s="57" t="s">
        <v>211</v>
      </c>
    </row>
    <row r="71" spans="1:13" x14ac:dyDescent="0.15">
      <c r="A71" s="82" t="s">
        <v>201</v>
      </c>
      <c r="B71" s="83">
        <f>floors!$C$2</f>
        <v>20016</v>
      </c>
      <c r="C71" s="84" t="str">
        <f ca="1">VLOOKUP($B71,OFFSET([2]quests!$A$1,0,0,COUNTA([2]quests!$A:$A),MATCH(C$1,[2]quests!$1:$1,0)-MATCH($B$1,[2]quests!$1:$1,0)+1),MATCH(C$1,[2]quests!$1:$1,0)-MATCH($B$1,[2]quests!$1:$1,0)+1,FALSE)</f>
        <v>寡黙な翼竜の侵攻</v>
      </c>
      <c r="D71" s="84" t="str">
        <f ca="1">VLOOKUP($B71,OFFSET([2]quests!$A$1,0,0,COUNTA([2]quests!$A:$A),MATCH(D$1,[2]quests!$1:$1,0)-MATCH($B$1,[2]quests!$1:$1,0)+1),MATCH(D$1,[2]quests!$1:$1,0)-MATCH($B$1,[2]quests!$1:$1,0)+1,FALSE)</f>
        <v>ギリシャ神話01</v>
      </c>
      <c r="E71" s="88">
        <v>3</v>
      </c>
      <c r="F71" s="84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【上級】寡黙な翼竜の侵攻</v>
      </c>
      <c r="G71" s="84" t="str">
        <f ca="1">VLOOKUP($B71&amp;"_"&amp;$E71,OFFSET([2]stages!$A$1,0,0,COUNTA([2]stages!$A:$A),MATCH(G$1,[2]stages!$2:$2,0)-MATCH("temp_stage",[2]stages!$2:$2,0)+1),MATCH(G$1,[2]stages!$2:$2,0)-MATCH("temp_stage",[2]stages!$2:$2,0)+1,FALSE)</f>
        <v>ギリシャ神話01</v>
      </c>
      <c r="H71" s="86">
        <v>0</v>
      </c>
      <c r="I71" s="98">
        <v>16</v>
      </c>
      <c r="J71" s="85" t="s">
        <v>198</v>
      </c>
      <c r="K71" s="94" t="str">
        <f>VLOOKUP(I71,[6]stage_hints!$A:$C,3,FALSE)</f>
        <v>マルチプレイのメリット（その1）</v>
      </c>
      <c r="L71" s="95" t="str">
        <f>VLOOKUP(I71,[6]stage_hints!$A:$D,4,FALSE)</f>
        <v>他のプレイヤーとマルチプレイで遊ぶと_x000D_ポリゴンがもらえます（100人まで）</v>
      </c>
      <c r="M71" s="57" t="s">
        <v>211</v>
      </c>
    </row>
    <row r="72" spans="1:13" x14ac:dyDescent="0.15">
      <c r="A72" s="82" t="s">
        <v>201</v>
      </c>
      <c r="B72" s="83">
        <f>floors!$C$2</f>
        <v>20016</v>
      </c>
      <c r="C72" s="84" t="str">
        <f ca="1">VLOOKUP($B72,OFFSET([2]quests!$A$1,0,0,COUNTA([2]quests!$A:$A),MATCH(C$1,[2]quests!$1:$1,0)-MATCH($B$1,[2]quests!$1:$1,0)+1),MATCH(C$1,[2]quests!$1:$1,0)-MATCH($B$1,[2]quests!$1:$1,0)+1,FALSE)</f>
        <v>寡黙な翼竜の侵攻</v>
      </c>
      <c r="D72" s="84" t="str">
        <f ca="1">VLOOKUP($B72,OFFSET([2]quests!$A$1,0,0,COUNTA([2]quests!$A:$A),MATCH(D$1,[2]quests!$1:$1,0)-MATCH($B$1,[2]quests!$1:$1,0)+1),MATCH(D$1,[2]quests!$1:$1,0)-MATCH($B$1,[2]quests!$1:$1,0)+1,FALSE)</f>
        <v>ギリシャ神話01</v>
      </c>
      <c r="E72" s="88">
        <v>3</v>
      </c>
      <c r="F72" s="84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【上級】寡黙な翼竜の侵攻</v>
      </c>
      <c r="G72" s="84" t="str">
        <f ca="1">VLOOKUP($B72&amp;"_"&amp;$E72,OFFSET([2]stages!$A$1,0,0,COUNTA([2]stages!$A:$A),MATCH(G$1,[2]stages!$2:$2,0)-MATCH("temp_stage",[2]stages!$2:$2,0)+1),MATCH(G$1,[2]stages!$2:$2,0)-MATCH("temp_stage",[2]stages!$2:$2,0)+1,FALSE)</f>
        <v>ギリシャ神話01</v>
      </c>
      <c r="H72" s="86">
        <v>0</v>
      </c>
      <c r="I72" s="98">
        <v>17</v>
      </c>
      <c r="J72" s="85" t="s">
        <v>198</v>
      </c>
      <c r="K72" s="94" t="str">
        <f>VLOOKUP(I72,[6]stage_hints!$A:$C,3,FALSE)</f>
        <v>リンクガチャ</v>
      </c>
      <c r="L72" s="95" t="str">
        <f>VLOOKUP(I72,[6]stage_hints!$A:$D,4,FALSE)</f>
        <v>無料のリンクガチャを回して_x000D_経験値素材や売却素材を獲得しましょう</v>
      </c>
      <c r="M72" s="57" t="s">
        <v>211</v>
      </c>
    </row>
    <row r="73" spans="1:13" x14ac:dyDescent="0.15">
      <c r="A73" s="82" t="s">
        <v>201</v>
      </c>
      <c r="B73" s="83">
        <f>floors!$C$2</f>
        <v>20016</v>
      </c>
      <c r="C73" s="84" t="str">
        <f ca="1">VLOOKUP($B73,OFFSET([2]quests!$A$1,0,0,COUNTA([2]quests!$A:$A),MATCH(C$1,[2]quests!$1:$1,0)-MATCH($B$1,[2]quests!$1:$1,0)+1),MATCH(C$1,[2]quests!$1:$1,0)-MATCH($B$1,[2]quests!$1:$1,0)+1,FALSE)</f>
        <v>寡黙な翼竜の侵攻</v>
      </c>
      <c r="D73" s="84" t="str">
        <f ca="1">VLOOKUP($B73,OFFSET([2]quests!$A$1,0,0,COUNTA([2]quests!$A:$A),MATCH(D$1,[2]quests!$1:$1,0)-MATCH($B$1,[2]quests!$1:$1,0)+1),MATCH(D$1,[2]quests!$1:$1,0)-MATCH($B$1,[2]quests!$1:$1,0)+1,FALSE)</f>
        <v>ギリシャ神話01</v>
      </c>
      <c r="E73" s="88">
        <v>3</v>
      </c>
      <c r="F73" s="84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【上級】寡黙な翼竜の侵攻</v>
      </c>
      <c r="G73" s="84" t="str">
        <f ca="1">VLOOKUP($B73&amp;"_"&amp;$E73,OFFSET([2]stages!$A$1,0,0,COUNTA([2]stages!$A:$A),MATCH(G$1,[2]stages!$2:$2,0)-MATCH("temp_stage",[2]stages!$2:$2,0)+1),MATCH(G$1,[2]stages!$2:$2,0)-MATCH("temp_stage",[2]stages!$2:$2,0)+1,FALSE)</f>
        <v>ギリシャ神話01</v>
      </c>
      <c r="H73" s="86">
        <v>0</v>
      </c>
      <c r="I73" s="98">
        <v>18</v>
      </c>
      <c r="J73" s="85" t="s">
        <v>198</v>
      </c>
      <c r="K73" s="94" t="str">
        <f>VLOOKUP(I73,[6]stage_hints!$A:$C,3,FALSE)</f>
        <v>マルチプレイのメリット（その2）</v>
      </c>
      <c r="L73" s="95" t="str">
        <f>VLOOKUP(I73,[6]stage_hints!$A:$D,4,FALSE)</f>
        <v>マルチプレイならリンクが2倍もらえます_x000D_リンクガチャをたくさん回しましょう</v>
      </c>
      <c r="M73" s="57" t="s">
        <v>211</v>
      </c>
    </row>
    <row r="74" spans="1:13" x14ac:dyDescent="0.15">
      <c r="A74" s="82" t="s">
        <v>201</v>
      </c>
      <c r="B74" s="83">
        <f>floors!$C$2</f>
        <v>20016</v>
      </c>
      <c r="C74" s="84" t="str">
        <f ca="1">VLOOKUP($B74,OFFSET([2]quests!$A$1,0,0,COUNTA([2]quests!$A:$A),MATCH(C$1,[2]quests!$1:$1,0)-MATCH($B$1,[2]quests!$1:$1,0)+1),MATCH(C$1,[2]quests!$1:$1,0)-MATCH($B$1,[2]quests!$1:$1,0)+1,FALSE)</f>
        <v>寡黙な翼竜の侵攻</v>
      </c>
      <c r="D74" s="84" t="str">
        <f ca="1">VLOOKUP($B74,OFFSET([2]quests!$A$1,0,0,COUNTA([2]quests!$A:$A),MATCH(D$1,[2]quests!$1:$1,0)-MATCH($B$1,[2]quests!$1:$1,0)+1),MATCH(D$1,[2]quests!$1:$1,0)-MATCH($B$1,[2]quests!$1:$1,0)+1,FALSE)</f>
        <v>ギリシャ神話01</v>
      </c>
      <c r="E74" s="88">
        <v>3</v>
      </c>
      <c r="F74" s="84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【上級】寡黙な翼竜の侵攻</v>
      </c>
      <c r="G74" s="84" t="str">
        <f ca="1">VLOOKUP($B74&amp;"_"&amp;$E74,OFFSET([2]stages!$A$1,0,0,COUNTA([2]stages!$A:$A),MATCH(G$1,[2]stages!$2:$2,0)-MATCH("temp_stage",[2]stages!$2:$2,0)+1),MATCH(G$1,[2]stages!$2:$2,0)-MATCH("temp_stage",[2]stages!$2:$2,0)+1,FALSE)</f>
        <v>ギリシャ神話01</v>
      </c>
      <c r="H74" s="86">
        <v>0</v>
      </c>
      <c r="I74" s="98">
        <v>19</v>
      </c>
      <c r="J74" s="85" t="s">
        <v>198</v>
      </c>
      <c r="K74" s="94" t="str">
        <f>VLOOKUP(I74,[6]stage_hints!$A:$C,3,FALSE)</f>
        <v>ソロ専用タワーオブザクイーン</v>
      </c>
      <c r="L74" s="95" t="str">
        <f>VLOOKUP(I74,[6]stage_hints!$A:$D,4,FALSE)</f>
        <v>ソロ専用の「タワーオブザクイーン」は_x000D_期間限定で定期的に開催されます_x000D_ここでしか獲得できない報酬もあるようです</v>
      </c>
      <c r="M74" s="57" t="s">
        <v>211</v>
      </c>
    </row>
    <row r="75" spans="1:13" x14ac:dyDescent="0.15">
      <c r="A75" s="82" t="s">
        <v>201</v>
      </c>
      <c r="B75" s="83">
        <f>floors!$C$2</f>
        <v>20016</v>
      </c>
      <c r="C75" s="84" t="str">
        <f ca="1">VLOOKUP($B75,OFFSET([2]quests!$A$1,0,0,COUNTA([2]quests!$A:$A),MATCH(C$1,[2]quests!$1:$1,0)-MATCH($B$1,[2]quests!$1:$1,0)+1),MATCH(C$1,[2]quests!$1:$1,0)-MATCH($B$1,[2]quests!$1:$1,0)+1,FALSE)</f>
        <v>寡黙な翼竜の侵攻</v>
      </c>
      <c r="D75" s="84" t="str">
        <f ca="1">VLOOKUP($B75,OFFSET([2]quests!$A$1,0,0,COUNTA([2]quests!$A:$A),MATCH(D$1,[2]quests!$1:$1,0)-MATCH($B$1,[2]quests!$1:$1,0)+1),MATCH(D$1,[2]quests!$1:$1,0)-MATCH($B$1,[2]quests!$1:$1,0)+1,FALSE)</f>
        <v>ギリシャ神話01</v>
      </c>
      <c r="E75" s="88">
        <v>3</v>
      </c>
      <c r="F75" s="84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【上級】寡黙な翼竜の侵攻</v>
      </c>
      <c r="G75" s="84" t="str">
        <f ca="1">VLOOKUP($B75&amp;"_"&amp;$E75,OFFSET([2]stages!$A$1,0,0,COUNTA([2]stages!$A:$A),MATCH(G$1,[2]stages!$2:$2,0)-MATCH("temp_stage",[2]stages!$2:$2,0)+1),MATCH(G$1,[2]stages!$2:$2,0)-MATCH("temp_stage",[2]stages!$2:$2,0)+1,FALSE)</f>
        <v>ギリシャ神話01</v>
      </c>
      <c r="H75" s="86">
        <v>0</v>
      </c>
      <c r="I75" s="98">
        <v>20</v>
      </c>
      <c r="J75" s="85" t="s">
        <v>198</v>
      </c>
      <c r="K75" s="94" t="str">
        <f>VLOOKUP(I75,[6]stage_hints!$A:$C,3,FALSE)</f>
        <v>マルチプレイのメリット（その3）</v>
      </c>
      <c r="L75" s="95" t="str">
        <f>VLOOKUP(I75,[6]stage_hints!$A:$D,4,FALSE)</f>
        <v>マルチプレイへの参加はエナジー消費ゼロ_x000D_いつでも好きなだけ遊ぶことができます</v>
      </c>
      <c r="M75" s="57" t="s">
        <v>211</v>
      </c>
    </row>
    <row r="76" spans="1:13" x14ac:dyDescent="0.15">
      <c r="A76" s="82" t="s">
        <v>201</v>
      </c>
      <c r="B76" s="83">
        <f>floors!$C$2</f>
        <v>20016</v>
      </c>
      <c r="C76" s="84" t="str">
        <f ca="1">VLOOKUP($B76,OFFSET([2]quests!$A$1,0,0,COUNTA([2]quests!$A:$A),MATCH(C$1,[2]quests!$1:$1,0)-MATCH($B$1,[2]quests!$1:$1,0)+1),MATCH(C$1,[2]quests!$1:$1,0)-MATCH($B$1,[2]quests!$1:$1,0)+1,FALSE)</f>
        <v>寡黙な翼竜の侵攻</v>
      </c>
      <c r="D76" s="84" t="str">
        <f ca="1">VLOOKUP($B76,OFFSET([2]quests!$A$1,0,0,COUNTA([2]quests!$A:$A),MATCH(D$1,[2]quests!$1:$1,0)-MATCH($B$1,[2]quests!$1:$1,0)+1),MATCH(D$1,[2]quests!$1:$1,0)-MATCH($B$1,[2]quests!$1:$1,0)+1,FALSE)</f>
        <v>ギリシャ神話01</v>
      </c>
      <c r="E76" s="88">
        <v>3</v>
      </c>
      <c r="F76" s="84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【上級】寡黙な翼竜の侵攻</v>
      </c>
      <c r="G76" s="84" t="str">
        <f ca="1">VLOOKUP($B76&amp;"_"&amp;$E76,OFFSET([2]stages!$A$1,0,0,COUNTA([2]stages!$A:$A),MATCH(G$1,[2]stages!$2:$2,0)-MATCH("temp_stage",[2]stages!$2:$2,0)+1),MATCH(G$1,[2]stages!$2:$2,0)-MATCH("temp_stage",[2]stages!$2:$2,0)+1,FALSE)</f>
        <v>ギリシャ神話01</v>
      </c>
      <c r="H76" s="86">
        <v>0</v>
      </c>
      <c r="I76" s="98">
        <v>21</v>
      </c>
      <c r="J76" s="85" t="s">
        <v>198</v>
      </c>
      <c r="K76" s="94" t="str">
        <f>VLOOKUP(I76,[6]stage_hints!$A:$C,3,FALSE)</f>
        <v>スキルを有効に</v>
      </c>
      <c r="L76" s="95" t="str">
        <f>VLOOKUP(I76,[6]stage_hints!$A:$D,4,FALSE)</f>
        <v>ターン経過でユニットのスキルが使えます_x000D_強力スキルでバトルを有利に進めましょう</v>
      </c>
      <c r="M76" s="57" t="s">
        <v>211</v>
      </c>
    </row>
    <row r="77" spans="1:13" x14ac:dyDescent="0.15">
      <c r="A77" s="82" t="s">
        <v>201</v>
      </c>
      <c r="B77" s="83">
        <f>floors!$C$2</f>
        <v>20016</v>
      </c>
      <c r="C77" s="84" t="str">
        <f ca="1">VLOOKUP($B77,OFFSET([2]quests!$A$1,0,0,COUNTA([2]quests!$A:$A),MATCH(C$1,[2]quests!$1:$1,0)-MATCH($B$1,[2]quests!$1:$1,0)+1),MATCH(C$1,[2]quests!$1:$1,0)-MATCH($B$1,[2]quests!$1:$1,0)+1,FALSE)</f>
        <v>寡黙な翼竜の侵攻</v>
      </c>
      <c r="D77" s="84" t="str">
        <f ca="1">VLOOKUP($B77,OFFSET([2]quests!$A$1,0,0,COUNTA([2]quests!$A:$A),MATCH(D$1,[2]quests!$1:$1,0)-MATCH($B$1,[2]quests!$1:$1,0)+1),MATCH(D$1,[2]quests!$1:$1,0)-MATCH($B$1,[2]quests!$1:$1,0)+1,FALSE)</f>
        <v>ギリシャ神話01</v>
      </c>
      <c r="E77" s="88">
        <v>3</v>
      </c>
      <c r="F77" s="84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【上級】寡黙な翼竜の侵攻</v>
      </c>
      <c r="G77" s="84" t="str">
        <f ca="1">VLOOKUP($B77&amp;"_"&amp;$E77,OFFSET([2]stages!$A$1,0,0,COUNTA([2]stages!$A:$A),MATCH(G$1,[2]stages!$2:$2,0)-MATCH("temp_stage",[2]stages!$2:$2,0)+1),MATCH(G$1,[2]stages!$2:$2,0)-MATCH("temp_stage",[2]stages!$2:$2,0)+1,FALSE)</f>
        <v>ギリシャ神話01</v>
      </c>
      <c r="H77" s="86">
        <v>0</v>
      </c>
      <c r="I77" s="98">
        <v>22</v>
      </c>
      <c r="J77" s="85" t="s">
        <v>198</v>
      </c>
      <c r="K77" s="94" t="str">
        <f>VLOOKUP(I77,[6]stage_hints!$A:$C,3,FALSE)</f>
        <v>フィーバーで一発逆転（その1）</v>
      </c>
      <c r="L77" s="95" t="str">
        <f>VLOOKUP(I77,[6]stage_hints!$A:$D,4,FALSE)</f>
        <v>フィーバーは攻撃と回復を兼ね備えます_x000D_ピンチからの一発逆転を狙いましょう</v>
      </c>
      <c r="M77" s="57" t="s">
        <v>211</v>
      </c>
    </row>
    <row r="78" spans="1:13" x14ac:dyDescent="0.15">
      <c r="A78" s="82" t="s">
        <v>201</v>
      </c>
      <c r="B78" s="83">
        <f>floors!$C$2</f>
        <v>20016</v>
      </c>
      <c r="C78" s="84" t="str">
        <f ca="1">VLOOKUP($B78,OFFSET([2]quests!$A$1,0,0,COUNTA([2]quests!$A:$A),MATCH(C$1,[2]quests!$1:$1,0)-MATCH($B$1,[2]quests!$1:$1,0)+1),MATCH(C$1,[2]quests!$1:$1,0)-MATCH($B$1,[2]quests!$1:$1,0)+1,FALSE)</f>
        <v>寡黙な翼竜の侵攻</v>
      </c>
      <c r="D78" s="84" t="str">
        <f ca="1">VLOOKUP($B78,OFFSET([2]quests!$A$1,0,0,COUNTA([2]quests!$A:$A),MATCH(D$1,[2]quests!$1:$1,0)-MATCH($B$1,[2]quests!$1:$1,0)+1),MATCH(D$1,[2]quests!$1:$1,0)-MATCH($B$1,[2]quests!$1:$1,0)+1,FALSE)</f>
        <v>ギリシャ神話01</v>
      </c>
      <c r="E78" s="88">
        <v>3</v>
      </c>
      <c r="F78" s="84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【上級】寡黙な翼竜の侵攻</v>
      </c>
      <c r="G78" s="84" t="str">
        <f ca="1">VLOOKUP($B78&amp;"_"&amp;$E78,OFFSET([2]stages!$A$1,0,0,COUNTA([2]stages!$A:$A),MATCH(G$1,[2]stages!$2:$2,0)-MATCH("temp_stage",[2]stages!$2:$2,0)+1),MATCH(G$1,[2]stages!$2:$2,0)-MATCH("temp_stage",[2]stages!$2:$2,0)+1,FALSE)</f>
        <v>ギリシャ神話01</v>
      </c>
      <c r="H78" s="86">
        <v>0</v>
      </c>
      <c r="I78" s="98">
        <v>23</v>
      </c>
      <c r="J78" s="85" t="s">
        <v>198</v>
      </c>
      <c r="K78" s="94" t="str">
        <f>VLOOKUP(I78,[6]stage_hints!$A:$C,3,FALSE)</f>
        <v>フィーバーで一発逆転（その2）</v>
      </c>
      <c r="L78" s="95" t="str">
        <f>VLOOKUP(I78,[6]stage_hints!$A:$D,4,FALSE)</f>
        <v>フィーバー中は虹色のボムパネルを狙って_x000D_画面上のパネルを一気に破壊しましょう</v>
      </c>
      <c r="M78" s="57" t="s">
        <v>211</v>
      </c>
    </row>
    <row r="79" spans="1:13" x14ac:dyDescent="0.15">
      <c r="A79" s="82" t="s">
        <v>201</v>
      </c>
      <c r="B79" s="83">
        <f>floors!$C$2</f>
        <v>20016</v>
      </c>
      <c r="C79" s="84" t="str">
        <f ca="1">VLOOKUP($B79,OFFSET([2]quests!$A$1,0,0,COUNTA([2]quests!$A:$A),MATCH(C$1,[2]quests!$1:$1,0)-MATCH($B$1,[2]quests!$1:$1,0)+1),MATCH(C$1,[2]quests!$1:$1,0)-MATCH($B$1,[2]quests!$1:$1,0)+1,FALSE)</f>
        <v>寡黙な翼竜の侵攻</v>
      </c>
      <c r="D79" s="84" t="str">
        <f ca="1">VLOOKUP($B79,OFFSET([2]quests!$A$1,0,0,COUNTA([2]quests!$A:$A),MATCH(D$1,[2]quests!$1:$1,0)-MATCH($B$1,[2]quests!$1:$1,0)+1),MATCH(D$1,[2]quests!$1:$1,0)-MATCH($B$1,[2]quests!$1:$1,0)+1,FALSE)</f>
        <v>ギリシャ神話01</v>
      </c>
      <c r="E79" s="88">
        <v>3</v>
      </c>
      <c r="F79" s="84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【上級】寡黙な翼竜の侵攻</v>
      </c>
      <c r="G79" s="84" t="str">
        <f ca="1">VLOOKUP($B79&amp;"_"&amp;$E79,OFFSET([2]stages!$A$1,0,0,COUNTA([2]stages!$A:$A),MATCH(G$1,[2]stages!$2:$2,0)-MATCH("temp_stage",[2]stages!$2:$2,0)+1),MATCH(G$1,[2]stages!$2:$2,0)-MATCH("temp_stage",[2]stages!$2:$2,0)+1,FALSE)</f>
        <v>ギリシャ神話01</v>
      </c>
      <c r="H79" s="86">
        <v>0</v>
      </c>
      <c r="I79" s="98">
        <v>24</v>
      </c>
      <c r="J79" s="85" t="s">
        <v>198</v>
      </c>
      <c r="K79" s="94" t="str">
        <f>VLOOKUP(I79,[6]stage_hints!$A:$C,3,FALSE)</f>
        <v>果実を使って限界突破</v>
      </c>
      <c r="L79" s="95" t="str">
        <f>VLOOKUP(I79,[6]stage_hints!$A:$D,4,FALSE)</f>
        <v>攻めの果実 癒しの果実_x000D_生命の果実をユニット強化に使うと_x000D_ステータスが限界突破します（計99個迄）</v>
      </c>
      <c r="M79" s="57" t="s">
        <v>211</v>
      </c>
    </row>
    <row r="80" spans="1:13" x14ac:dyDescent="0.15">
      <c r="A80" s="82" t="s">
        <v>201</v>
      </c>
      <c r="B80" s="83">
        <f>floors!$C$2</f>
        <v>20016</v>
      </c>
      <c r="C80" s="84" t="str">
        <f ca="1">VLOOKUP($B80,OFFSET([2]quests!$A$1,0,0,COUNTA([2]quests!$A:$A),MATCH(C$1,[2]quests!$1:$1,0)-MATCH($B$1,[2]quests!$1:$1,0)+1),MATCH(C$1,[2]quests!$1:$1,0)-MATCH($B$1,[2]quests!$1:$1,0)+1,FALSE)</f>
        <v>寡黙な翼竜の侵攻</v>
      </c>
      <c r="D80" s="84" t="str">
        <f ca="1">VLOOKUP($B80,OFFSET([2]quests!$A$1,0,0,COUNTA([2]quests!$A:$A),MATCH(D$1,[2]quests!$1:$1,0)-MATCH($B$1,[2]quests!$1:$1,0)+1),MATCH(D$1,[2]quests!$1:$1,0)-MATCH($B$1,[2]quests!$1:$1,0)+1,FALSE)</f>
        <v>ギリシャ神話01</v>
      </c>
      <c r="E80" s="88">
        <v>3</v>
      </c>
      <c r="F80" s="84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【上級】寡黙な翼竜の侵攻</v>
      </c>
      <c r="G80" s="84" t="str">
        <f ca="1">VLOOKUP($B80&amp;"_"&amp;$E80,OFFSET([2]stages!$A$1,0,0,COUNTA([2]stages!$A:$A),MATCH(G$1,[2]stages!$2:$2,0)-MATCH("temp_stage",[2]stages!$2:$2,0)+1),MATCH(G$1,[2]stages!$2:$2,0)-MATCH("temp_stage",[2]stages!$2:$2,0)+1,FALSE)</f>
        <v>ギリシャ神話01</v>
      </c>
      <c r="H80" s="86">
        <v>0</v>
      </c>
      <c r="I80" s="98">
        <v>25</v>
      </c>
      <c r="J80" s="85" t="s">
        <v>198</v>
      </c>
      <c r="K80" s="94" t="str">
        <f>VLOOKUP(I80,[6]stage_hints!$A:$C,3,FALSE)</f>
        <v>スキルレベルアップ</v>
      </c>
      <c r="L80" s="95" t="str">
        <f>VLOOKUP(I80,[6]stage_hints!$A:$D,4,FALSE)</f>
        <v>「秘術の果実」を強化に使うと_x000D_スキルレベルを上げることができます</v>
      </c>
      <c r="M80" s="57" t="s">
        <v>211</v>
      </c>
    </row>
    <row r="81" spans="1:13" x14ac:dyDescent="0.15">
      <c r="A81" s="82" t="s">
        <v>201</v>
      </c>
      <c r="B81" s="83">
        <f>floors!$C$2</f>
        <v>20016</v>
      </c>
      <c r="C81" s="84" t="str">
        <f ca="1">VLOOKUP($B81,OFFSET([2]quests!$A$1,0,0,COUNTA([2]quests!$A:$A),MATCH(C$1,[2]quests!$1:$1,0)-MATCH($B$1,[2]quests!$1:$1,0)+1),MATCH(C$1,[2]quests!$1:$1,0)-MATCH($B$1,[2]quests!$1:$1,0)+1,FALSE)</f>
        <v>寡黙な翼竜の侵攻</v>
      </c>
      <c r="D81" s="84" t="str">
        <f ca="1">VLOOKUP($B81,OFFSET([2]quests!$A$1,0,0,COUNTA([2]quests!$A:$A),MATCH(D$1,[2]quests!$1:$1,0)-MATCH($B$1,[2]quests!$1:$1,0)+1),MATCH(D$1,[2]quests!$1:$1,0)-MATCH($B$1,[2]quests!$1:$1,0)+1,FALSE)</f>
        <v>ギリシャ神話01</v>
      </c>
      <c r="E81" s="88">
        <v>3</v>
      </c>
      <c r="F81" s="84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【上級】寡黙な翼竜の侵攻</v>
      </c>
      <c r="G81" s="84" t="str">
        <f ca="1">VLOOKUP($B81&amp;"_"&amp;$E81,OFFSET([2]stages!$A$1,0,0,COUNTA([2]stages!$A:$A),MATCH(G$1,[2]stages!$2:$2,0)-MATCH("temp_stage",[2]stages!$2:$2,0)+1),MATCH(G$1,[2]stages!$2:$2,0)-MATCH("temp_stage",[2]stages!$2:$2,0)+1,FALSE)</f>
        <v>ギリシャ神話01</v>
      </c>
      <c r="H81" s="86">
        <v>0</v>
      </c>
      <c r="I81" s="98">
        <v>26</v>
      </c>
      <c r="J81" s="85" t="s">
        <v>198</v>
      </c>
      <c r="K81" s="94" t="str">
        <f>VLOOKUP(I81,[6]stage_hints!$A:$C,3,FALSE)</f>
        <v>スキルレベルの効果</v>
      </c>
      <c r="L81" s="95" t="str">
        <f>VLOOKUP(I81,[6]stage_hints!$A:$D,4,FALSE)</f>
        <v>スキルレベルが上がると_x000D_短いターンでスキルを使うことができます</v>
      </c>
      <c r="M81" s="57" t="s">
        <v>211</v>
      </c>
    </row>
    <row r="82" spans="1:13" x14ac:dyDescent="0.15">
      <c r="A82" s="82" t="s">
        <v>201</v>
      </c>
      <c r="B82" s="83">
        <f>floors!$C$2</f>
        <v>20016</v>
      </c>
      <c r="C82" s="84" t="str">
        <f ca="1">VLOOKUP($B82,OFFSET([2]quests!$A$1,0,0,COUNTA([2]quests!$A:$A),MATCH(C$1,[2]quests!$1:$1,0)-MATCH($B$1,[2]quests!$1:$1,0)+1),MATCH(C$1,[2]quests!$1:$1,0)-MATCH($B$1,[2]quests!$1:$1,0)+1,FALSE)</f>
        <v>寡黙な翼竜の侵攻</v>
      </c>
      <c r="D82" s="84" t="str">
        <f ca="1">VLOOKUP($B82,OFFSET([2]quests!$A$1,0,0,COUNTA([2]quests!$A:$A),MATCH(D$1,[2]quests!$1:$1,0)-MATCH($B$1,[2]quests!$1:$1,0)+1),MATCH(D$1,[2]quests!$1:$1,0)-MATCH($B$1,[2]quests!$1:$1,0)+1,FALSE)</f>
        <v>ギリシャ神話01</v>
      </c>
      <c r="E82" s="88">
        <v>3</v>
      </c>
      <c r="F82" s="84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【上級】寡黙な翼竜の侵攻</v>
      </c>
      <c r="G82" s="84" t="str">
        <f ca="1">VLOOKUP($B82&amp;"_"&amp;$E82,OFFSET([2]stages!$A$1,0,0,COUNTA([2]stages!$A:$A),MATCH(G$1,[2]stages!$2:$2,0)-MATCH("temp_stage",[2]stages!$2:$2,0)+1),MATCH(G$1,[2]stages!$2:$2,0)-MATCH("temp_stage",[2]stages!$2:$2,0)+1,FALSE)</f>
        <v>ギリシャ神話01</v>
      </c>
      <c r="H82" s="86">
        <v>0</v>
      </c>
      <c r="I82" s="98">
        <v>27</v>
      </c>
      <c r="J82" s="85" t="s">
        <v>198</v>
      </c>
      <c r="K82" s="94" t="str">
        <f>VLOOKUP(I82,[6]stage_hints!$A:$C,3,FALSE)</f>
        <v>ホーム画面からデッキを編成</v>
      </c>
      <c r="L82" s="95" t="str">
        <f>VLOOKUP(I82,[6]stage_hints!$A:$D,4,FALSE)</f>
        <v>ホーム画面でユニットを長押しすると_x000D_すぐにパーティ編成に移動できます</v>
      </c>
      <c r="M82" s="57" t="s">
        <v>211</v>
      </c>
    </row>
    <row r="83" spans="1:13" x14ac:dyDescent="0.15">
      <c r="A83" s="82" t="s">
        <v>201</v>
      </c>
      <c r="B83" s="83">
        <f>floors!$C$2</f>
        <v>20016</v>
      </c>
      <c r="C83" s="84" t="str">
        <f ca="1">VLOOKUP($B83,OFFSET([2]quests!$A$1,0,0,COUNTA([2]quests!$A:$A),MATCH(C$1,[2]quests!$1:$1,0)-MATCH($B$1,[2]quests!$1:$1,0)+1),MATCH(C$1,[2]quests!$1:$1,0)-MATCH($B$1,[2]quests!$1:$1,0)+1,FALSE)</f>
        <v>寡黙な翼竜の侵攻</v>
      </c>
      <c r="D83" s="84" t="str">
        <f ca="1">VLOOKUP($B83,OFFSET([2]quests!$A$1,0,0,COUNTA([2]quests!$A:$A),MATCH(D$1,[2]quests!$1:$1,0)-MATCH($B$1,[2]quests!$1:$1,0)+1),MATCH(D$1,[2]quests!$1:$1,0)-MATCH($B$1,[2]quests!$1:$1,0)+1,FALSE)</f>
        <v>ギリシャ神話01</v>
      </c>
      <c r="E83" s="88">
        <v>3</v>
      </c>
      <c r="F83" s="84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【上級】寡黙な翼竜の侵攻</v>
      </c>
      <c r="G83" s="84" t="str">
        <f ca="1">VLOOKUP($B83&amp;"_"&amp;$E83,OFFSET([2]stages!$A$1,0,0,COUNTA([2]stages!$A:$A),MATCH(G$1,[2]stages!$2:$2,0)-MATCH("temp_stage",[2]stages!$2:$2,0)+1),MATCH(G$1,[2]stages!$2:$2,0)-MATCH("temp_stage",[2]stages!$2:$2,0)+1,FALSE)</f>
        <v>ギリシャ神話01</v>
      </c>
      <c r="H83" s="86">
        <v>0</v>
      </c>
      <c r="I83" s="98">
        <v>28</v>
      </c>
      <c r="J83" s="85" t="s">
        <v>198</v>
      </c>
      <c r="K83" s="94" t="str">
        <f>VLOOKUP(I83,[6]stage_hints!$A:$C,3,FALSE)</f>
        <v>ステータス情報は長押しで</v>
      </c>
      <c r="L83" s="95" t="str">
        <f>VLOOKUP(I83,[6]stage_hints!$A:$D,4,FALSE)</f>
        <v>ユニットのアイコンを長押しすると_x000D_ステータス情報を確認することができます</v>
      </c>
      <c r="M83" s="57" t="s">
        <v>211</v>
      </c>
    </row>
    <row r="84" spans="1:13" x14ac:dyDescent="0.15">
      <c r="A84" s="82" t="s">
        <v>201</v>
      </c>
      <c r="B84" s="83">
        <f>floors!$C$2</f>
        <v>20016</v>
      </c>
      <c r="C84" s="84" t="str">
        <f ca="1">VLOOKUP($B84,OFFSET([2]quests!$A$1,0,0,COUNTA([2]quests!$A:$A),MATCH(C$1,[2]quests!$1:$1,0)-MATCH($B$1,[2]quests!$1:$1,0)+1),MATCH(C$1,[2]quests!$1:$1,0)-MATCH($B$1,[2]quests!$1:$1,0)+1,FALSE)</f>
        <v>寡黙な翼竜の侵攻</v>
      </c>
      <c r="D84" s="84" t="str">
        <f ca="1">VLOOKUP($B84,OFFSET([2]quests!$A$1,0,0,COUNTA([2]quests!$A:$A),MATCH(D$1,[2]quests!$1:$1,0)-MATCH($B$1,[2]quests!$1:$1,0)+1),MATCH(D$1,[2]quests!$1:$1,0)-MATCH($B$1,[2]quests!$1:$1,0)+1,FALSE)</f>
        <v>ギリシャ神話01</v>
      </c>
      <c r="E84" s="88">
        <v>3</v>
      </c>
      <c r="F84" s="84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【上級】寡黙な翼竜の侵攻</v>
      </c>
      <c r="G84" s="84" t="str">
        <f ca="1">VLOOKUP($B84&amp;"_"&amp;$E84,OFFSET([2]stages!$A$1,0,0,COUNTA([2]stages!$A:$A),MATCH(G$1,[2]stages!$2:$2,0)-MATCH("temp_stage",[2]stages!$2:$2,0)+1),MATCH(G$1,[2]stages!$2:$2,0)-MATCH("temp_stage",[2]stages!$2:$2,0)+1,FALSE)</f>
        <v>ギリシャ神話01</v>
      </c>
      <c r="H84" s="86">
        <v>0</v>
      </c>
      <c r="I84" s="98">
        <v>29</v>
      </c>
      <c r="J84" s="85" t="s">
        <v>198</v>
      </c>
      <c r="K84" s="94" t="str">
        <f>VLOOKUP(I84,[6]stage_hints!$A:$C,3,FALSE)</f>
        <v>「バグ」のメリット</v>
      </c>
      <c r="L84" s="95" t="str">
        <f>VLOOKUP(I84,[6]stage_hints!$A:$D,4,FALSE)</f>
        <v>ユニットの「バグ」を増やすと_x000D_報酬をもらえる確率がアップします</v>
      </c>
      <c r="M84" s="57" t="s">
        <v>211</v>
      </c>
    </row>
    <row r="85" spans="1:13" x14ac:dyDescent="0.15">
      <c r="A85" s="82" t="s">
        <v>201</v>
      </c>
      <c r="B85" s="83">
        <f>floors!$C$2</f>
        <v>20016</v>
      </c>
      <c r="C85" s="84" t="str">
        <f ca="1">VLOOKUP($B85,OFFSET([2]quests!$A$1,0,0,COUNTA([2]quests!$A:$A),MATCH(C$1,[2]quests!$1:$1,0)-MATCH($B$1,[2]quests!$1:$1,0)+1),MATCH(C$1,[2]quests!$1:$1,0)-MATCH($B$1,[2]quests!$1:$1,0)+1,FALSE)</f>
        <v>寡黙な翼竜の侵攻</v>
      </c>
      <c r="D85" s="84" t="str">
        <f ca="1">VLOOKUP($B85,OFFSET([2]quests!$A$1,0,0,COUNTA([2]quests!$A:$A),MATCH(D$1,[2]quests!$1:$1,0)-MATCH($B$1,[2]quests!$1:$1,0)+1),MATCH(D$1,[2]quests!$1:$1,0)-MATCH($B$1,[2]quests!$1:$1,0)+1,FALSE)</f>
        <v>ギリシャ神話01</v>
      </c>
      <c r="E85" s="88">
        <v>3</v>
      </c>
      <c r="F85" s="84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【上級】寡黙な翼竜の侵攻</v>
      </c>
      <c r="G85" s="84" t="str">
        <f ca="1">VLOOKUP($B85&amp;"_"&amp;$E85,OFFSET([2]stages!$A$1,0,0,COUNTA([2]stages!$A:$A),MATCH(G$1,[2]stages!$2:$2,0)-MATCH("temp_stage",[2]stages!$2:$2,0)+1),MATCH(G$1,[2]stages!$2:$2,0)-MATCH("temp_stage",[2]stages!$2:$2,0)+1,FALSE)</f>
        <v>ギリシャ神話01</v>
      </c>
      <c r="H85" s="86">
        <v>0</v>
      </c>
      <c r="I85" s="98">
        <v>30</v>
      </c>
      <c r="J85" s="85" t="s">
        <v>198</v>
      </c>
      <c r="K85" s="94" t="str">
        <f>VLOOKUP(I85,[6]stage_hints!$A:$C,3,FALSE)</f>
        <v>「バグ」の増やし方</v>
      </c>
      <c r="L85" s="95" t="str">
        <f>VLOOKUP(I85,[6]stage_hints!$A:$D,4,FALSE)</f>
        <v>同じユニット同士を強化で合成すると_x000D_「バグ」を増やすことができます</v>
      </c>
      <c r="M85" s="57" t="s">
        <v>211</v>
      </c>
    </row>
    <row r="86" spans="1:13" x14ac:dyDescent="0.15">
      <c r="A86" s="82" t="s">
        <v>201</v>
      </c>
      <c r="B86" s="83">
        <f>floors!$C$2</f>
        <v>20016</v>
      </c>
      <c r="C86" s="84" t="str">
        <f ca="1">VLOOKUP($B86,OFFSET([2]quests!$A$1,0,0,COUNTA([2]quests!$A:$A),MATCH(C$1,[2]quests!$1:$1,0)-MATCH($B$1,[2]quests!$1:$1,0)+1),MATCH(C$1,[2]quests!$1:$1,0)-MATCH($B$1,[2]quests!$1:$1,0)+1,FALSE)</f>
        <v>寡黙な翼竜の侵攻</v>
      </c>
      <c r="D86" s="84" t="str">
        <f ca="1">VLOOKUP($B86,OFFSET([2]quests!$A$1,0,0,COUNTA([2]quests!$A:$A),MATCH(D$1,[2]quests!$1:$1,0)-MATCH($B$1,[2]quests!$1:$1,0)+1),MATCH(D$1,[2]quests!$1:$1,0)-MATCH($B$1,[2]quests!$1:$1,0)+1,FALSE)</f>
        <v>ギリシャ神話01</v>
      </c>
      <c r="E86" s="88">
        <v>3</v>
      </c>
      <c r="F86" s="84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【上級】寡黙な翼竜の侵攻</v>
      </c>
      <c r="G86" s="84" t="str">
        <f ca="1">VLOOKUP($B86&amp;"_"&amp;$E86,OFFSET([2]stages!$A$1,0,0,COUNTA([2]stages!$A:$A),MATCH(G$1,[2]stages!$2:$2,0)-MATCH("temp_stage",[2]stages!$2:$2,0)+1),MATCH(G$1,[2]stages!$2:$2,0)-MATCH("temp_stage",[2]stages!$2:$2,0)+1,FALSE)</f>
        <v>ギリシャ神話01</v>
      </c>
      <c r="H86" s="86">
        <v>0</v>
      </c>
      <c r="I86" s="98">
        <v>31</v>
      </c>
      <c r="J86" s="85" t="s">
        <v>198</v>
      </c>
      <c r="K86" s="94" t="str">
        <f>VLOOKUP(I86,[6]stage_hints!$A:$C,3,FALSE)</f>
        <v>イベントはお知らせでチェック</v>
      </c>
      <c r="L86" s="95" t="str">
        <f>VLOOKUP(I86,[6]stage_hints!$A:$D,4,FALSE)</f>
        <v>イベント限定ユニットを取り忘れないように_x000D_お知らせをこまめにチェックしましょう</v>
      </c>
      <c r="M86" s="57" t="s">
        <v>211</v>
      </c>
    </row>
    <row r="87" spans="1:13" x14ac:dyDescent="0.15">
      <c r="A87" s="82" t="s">
        <v>201</v>
      </c>
      <c r="B87" s="83">
        <f>floors!$C$2</f>
        <v>20016</v>
      </c>
      <c r="C87" s="84" t="str">
        <f ca="1">VLOOKUP($B87,OFFSET([2]quests!$A$1,0,0,COUNTA([2]quests!$A:$A),MATCH(C$1,[2]quests!$1:$1,0)-MATCH($B$1,[2]quests!$1:$1,0)+1),MATCH(C$1,[2]quests!$1:$1,0)-MATCH($B$1,[2]quests!$1:$1,0)+1,FALSE)</f>
        <v>寡黙な翼竜の侵攻</v>
      </c>
      <c r="D87" s="84" t="str">
        <f ca="1">VLOOKUP($B87,OFFSET([2]quests!$A$1,0,0,COUNTA([2]quests!$A:$A),MATCH(D$1,[2]quests!$1:$1,0)-MATCH($B$1,[2]quests!$1:$1,0)+1),MATCH(D$1,[2]quests!$1:$1,0)-MATCH($B$1,[2]quests!$1:$1,0)+1,FALSE)</f>
        <v>ギリシャ神話01</v>
      </c>
      <c r="E87" s="88">
        <v>3</v>
      </c>
      <c r="F87" s="84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【上級】寡黙な翼竜の侵攻</v>
      </c>
      <c r="G87" s="84" t="str">
        <f ca="1">VLOOKUP($B87&amp;"_"&amp;$E87,OFFSET([2]stages!$A$1,0,0,COUNTA([2]stages!$A:$A),MATCH(G$1,[2]stages!$2:$2,0)-MATCH("temp_stage",[2]stages!$2:$2,0)+1),MATCH(G$1,[2]stages!$2:$2,0)-MATCH("temp_stage",[2]stages!$2:$2,0)+1,FALSE)</f>
        <v>ギリシャ神話01</v>
      </c>
      <c r="H87" s="86">
        <v>0</v>
      </c>
      <c r="I87" s="98">
        <v>32</v>
      </c>
      <c r="J87" s="85" t="s">
        <v>198</v>
      </c>
      <c r="K87" s="94" t="str">
        <f>VLOOKUP(I87,[6]stage_hints!$A:$C,3,FALSE)</f>
        <v>敵の連続攻撃には</v>
      </c>
      <c r="L87" s="95" t="str">
        <f>VLOOKUP(I87,[6]stage_hints!$A:$D,4,FALSE)</f>
        <v>カウンタースキルを持つユニットがいれば_x000D_ダメージ回数分の反撃ができます</v>
      </c>
      <c r="M87" s="57" t="s">
        <v>211</v>
      </c>
    </row>
    <row r="88" spans="1:13" x14ac:dyDescent="0.15">
      <c r="A88" s="82" t="s">
        <v>201</v>
      </c>
      <c r="B88" s="83">
        <f>floors!$C$2</f>
        <v>20016</v>
      </c>
      <c r="C88" s="84" t="str">
        <f ca="1">VLOOKUP($B88,OFFSET([2]quests!$A$1,0,0,COUNTA([2]quests!$A:$A),MATCH(C$1,[2]quests!$1:$1,0)-MATCH($B$1,[2]quests!$1:$1,0)+1),MATCH(C$1,[2]quests!$1:$1,0)-MATCH($B$1,[2]quests!$1:$1,0)+1,FALSE)</f>
        <v>寡黙な翼竜の侵攻</v>
      </c>
      <c r="D88" s="84" t="str">
        <f ca="1">VLOOKUP($B88,OFFSET([2]quests!$A$1,0,0,COUNTA([2]quests!$A:$A),MATCH(D$1,[2]quests!$1:$1,0)-MATCH($B$1,[2]quests!$1:$1,0)+1),MATCH(D$1,[2]quests!$1:$1,0)-MATCH($B$1,[2]quests!$1:$1,0)+1,FALSE)</f>
        <v>ギリシャ神話01</v>
      </c>
      <c r="E88" s="88">
        <v>3</v>
      </c>
      <c r="F88" s="84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【上級】寡黙な翼竜の侵攻</v>
      </c>
      <c r="G88" s="84" t="str">
        <f ca="1">VLOOKUP($B88&amp;"_"&amp;$E88,OFFSET([2]stages!$A$1,0,0,COUNTA([2]stages!$A:$A),MATCH(G$1,[2]stages!$2:$2,0)-MATCH("temp_stage",[2]stages!$2:$2,0)+1),MATCH(G$1,[2]stages!$2:$2,0)-MATCH("temp_stage",[2]stages!$2:$2,0)+1,FALSE)</f>
        <v>ギリシャ神話01</v>
      </c>
      <c r="H88" s="86">
        <v>0</v>
      </c>
      <c r="I88" s="98">
        <v>33</v>
      </c>
      <c r="J88" s="85" t="s">
        <v>198</v>
      </c>
      <c r="K88" s="94" t="str">
        <f>VLOOKUP(I88,[6]stage_hints!$A:$C,3,FALSE)</f>
        <v>敵のカウンター攻撃には</v>
      </c>
      <c r="L88" s="95" t="str">
        <f>VLOOKUP(I88,[6]stage_hints!$A:$D,4,FALSE)</f>
        <v>カウンターブレイクスキルを持っていれば_x000D_敵のカウンターを解除して攻撃ができます</v>
      </c>
      <c r="M88" s="57" t="s">
        <v>211</v>
      </c>
    </row>
    <row r="89" spans="1:13" x14ac:dyDescent="0.15">
      <c r="A89" s="82" t="s">
        <v>201</v>
      </c>
      <c r="B89" s="83">
        <f>floors!$C$2</f>
        <v>20016</v>
      </c>
      <c r="C89" s="84" t="str">
        <f ca="1">VLOOKUP($B89,OFFSET([2]quests!$A$1,0,0,COUNTA([2]quests!$A:$A),MATCH(C$1,[2]quests!$1:$1,0)-MATCH($B$1,[2]quests!$1:$1,0)+1),MATCH(C$1,[2]quests!$1:$1,0)-MATCH($B$1,[2]quests!$1:$1,0)+1,FALSE)</f>
        <v>寡黙な翼竜の侵攻</v>
      </c>
      <c r="D89" s="84" t="str">
        <f ca="1">VLOOKUP($B89,OFFSET([2]quests!$A$1,0,0,COUNTA([2]quests!$A:$A),MATCH(D$1,[2]quests!$1:$1,0)-MATCH($B$1,[2]quests!$1:$1,0)+1),MATCH(D$1,[2]quests!$1:$1,0)-MATCH($B$1,[2]quests!$1:$1,0)+1,FALSE)</f>
        <v>ギリシャ神話01</v>
      </c>
      <c r="E89" s="88">
        <v>3</v>
      </c>
      <c r="F89" s="84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【上級】寡黙な翼竜の侵攻</v>
      </c>
      <c r="G89" s="84" t="str">
        <f ca="1">VLOOKUP($B89&amp;"_"&amp;$E89,OFFSET([2]stages!$A$1,0,0,COUNTA([2]stages!$A:$A),MATCH(G$1,[2]stages!$2:$2,0)-MATCH("temp_stage",[2]stages!$2:$2,0)+1),MATCH(G$1,[2]stages!$2:$2,0)-MATCH("temp_stage",[2]stages!$2:$2,0)+1,FALSE)</f>
        <v>ギリシャ神話01</v>
      </c>
      <c r="H89" s="86">
        <v>0</v>
      </c>
      <c r="I89" s="98">
        <v>34</v>
      </c>
      <c r="J89" s="85" t="s">
        <v>198</v>
      </c>
      <c r="K89" s="94" t="str">
        <f>VLOOKUP(I89,[6]stage_hints!$A:$C,3,FALSE)</f>
        <v>ステータスをスキルで下げられたら</v>
      </c>
      <c r="L89" s="95" t="str">
        <f>VLOOKUP(I89,[6]stage_hints!$A:$D,4,FALSE)</f>
        <v>ステータスダウンのスキルを受けたら_x000D_ステータスアップスキルで上書きしましょう</v>
      </c>
      <c r="M89" s="57" t="s">
        <v>211</v>
      </c>
    </row>
    <row r="90" spans="1:13" x14ac:dyDescent="0.15">
      <c r="A90" s="82" t="s">
        <v>201</v>
      </c>
      <c r="B90" s="83">
        <f>floors!$C$2</f>
        <v>20016</v>
      </c>
      <c r="C90" s="84" t="str">
        <f ca="1">VLOOKUP($B90,OFFSET([2]quests!$A$1,0,0,COUNTA([2]quests!$A:$A),MATCH(C$1,[2]quests!$1:$1,0)-MATCH($B$1,[2]quests!$1:$1,0)+1),MATCH(C$1,[2]quests!$1:$1,0)-MATCH($B$1,[2]quests!$1:$1,0)+1,FALSE)</f>
        <v>寡黙な翼竜の侵攻</v>
      </c>
      <c r="D90" s="84" t="str">
        <f ca="1">VLOOKUP($B90,OFFSET([2]quests!$A$1,0,0,COUNTA([2]quests!$A:$A),MATCH(D$1,[2]quests!$1:$1,0)-MATCH($B$1,[2]quests!$1:$1,0)+1),MATCH(D$1,[2]quests!$1:$1,0)-MATCH($B$1,[2]quests!$1:$1,0)+1,FALSE)</f>
        <v>ギリシャ神話01</v>
      </c>
      <c r="E90" s="88">
        <v>3</v>
      </c>
      <c r="F90" s="84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【上級】寡黙な翼竜の侵攻</v>
      </c>
      <c r="G90" s="84" t="str">
        <f ca="1">VLOOKUP($B90&amp;"_"&amp;$E90,OFFSET([2]stages!$A$1,0,0,COUNTA([2]stages!$A:$A),MATCH(G$1,[2]stages!$2:$2,0)-MATCH("temp_stage",[2]stages!$2:$2,0)+1),MATCH(G$1,[2]stages!$2:$2,0)-MATCH("temp_stage",[2]stages!$2:$2,0)+1,FALSE)</f>
        <v>ギリシャ神話01</v>
      </c>
      <c r="H90" s="86">
        <v>0</v>
      </c>
      <c r="I90" s="98">
        <v>35</v>
      </c>
      <c r="J90" s="85" t="s">
        <v>198</v>
      </c>
      <c r="K90" s="94" t="str">
        <f>VLOOKUP(I90,[6]stage_hints!$A:$C,3,FALSE)</f>
        <v>敵のステータスがスキルで上がったら</v>
      </c>
      <c r="L90" s="95" t="str">
        <f>VLOOKUP(I90,[6]stage_hints!$A:$D,4,FALSE)</f>
        <v>敵のステータスがスキルでアップしたときは_x000D_ステータスダウンスキルで上書きしましょう</v>
      </c>
      <c r="M90" s="57" t="s">
        <v>211</v>
      </c>
    </row>
    <row r="91" spans="1:13" x14ac:dyDescent="0.15">
      <c r="A91" s="82" t="s">
        <v>201</v>
      </c>
      <c r="B91" s="83">
        <f>floors!$C$2</f>
        <v>20016</v>
      </c>
      <c r="C91" s="84" t="str">
        <f ca="1">VLOOKUP($B91,OFFSET([2]quests!$A$1,0,0,COUNTA([2]quests!$A:$A),MATCH(C$1,[2]quests!$1:$1,0)-MATCH($B$1,[2]quests!$1:$1,0)+1),MATCH(C$1,[2]quests!$1:$1,0)-MATCH($B$1,[2]quests!$1:$1,0)+1,FALSE)</f>
        <v>寡黙な翼竜の侵攻</v>
      </c>
      <c r="D91" s="84" t="str">
        <f ca="1">VLOOKUP($B91,OFFSET([2]quests!$A$1,0,0,COUNTA([2]quests!$A:$A),MATCH(D$1,[2]quests!$1:$1,0)-MATCH($B$1,[2]quests!$1:$1,0)+1),MATCH(D$1,[2]quests!$1:$1,0)-MATCH($B$1,[2]quests!$1:$1,0)+1,FALSE)</f>
        <v>ギリシャ神話01</v>
      </c>
      <c r="E91" s="88">
        <v>3</v>
      </c>
      <c r="F91" s="84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【上級】寡黙な翼竜の侵攻</v>
      </c>
      <c r="G91" s="84" t="str">
        <f ca="1">VLOOKUP($B91&amp;"_"&amp;$E91,OFFSET([2]stages!$A$1,0,0,COUNTA([2]stages!$A:$A),MATCH(G$1,[2]stages!$2:$2,0)-MATCH("temp_stage",[2]stages!$2:$2,0)+1),MATCH(G$1,[2]stages!$2:$2,0)-MATCH("temp_stage",[2]stages!$2:$2,0)+1,FALSE)</f>
        <v>ギリシャ神話01</v>
      </c>
      <c r="H91" s="86">
        <v>0</v>
      </c>
      <c r="I91" s="98">
        <v>36</v>
      </c>
      <c r="J91" s="85" t="s">
        <v>198</v>
      </c>
      <c r="K91" s="94" t="str">
        <f>VLOOKUP(I91,[6]stage_hints!$A:$C,3,FALSE)</f>
        <v>タワーオブザクイーンのボス</v>
      </c>
      <c r="L91" s="95" t="str">
        <f>VLOOKUP(I91,[6]stage_hints!$A:$D,4,FALSE)</f>
        <v>「タワーオブザクイーン」最上階のボスは_x000D_15階の初回クリア報酬で獲得できるほか_x000D_その階にて低確率でドロップもします</v>
      </c>
      <c r="M91" s="57" t="s">
        <v>211</v>
      </c>
    </row>
    <row r="92" spans="1:13" x14ac:dyDescent="0.15">
      <c r="A92" s="82" t="s">
        <v>201</v>
      </c>
      <c r="B92" s="83">
        <f>floors!$C$2</f>
        <v>20016</v>
      </c>
      <c r="C92" s="84" t="str">
        <f ca="1">VLOOKUP($B92,OFFSET([2]quests!$A$1,0,0,COUNTA([2]quests!$A:$A),MATCH(C$1,[2]quests!$1:$1,0)-MATCH($B$1,[2]quests!$1:$1,0)+1),MATCH(C$1,[2]quests!$1:$1,0)-MATCH($B$1,[2]quests!$1:$1,0)+1,FALSE)</f>
        <v>寡黙な翼竜の侵攻</v>
      </c>
      <c r="D92" s="84" t="str">
        <f ca="1">VLOOKUP($B92,OFFSET([2]quests!$A$1,0,0,COUNTA([2]quests!$A:$A),MATCH(D$1,[2]quests!$1:$1,0)-MATCH($B$1,[2]quests!$1:$1,0)+1),MATCH(D$1,[2]quests!$1:$1,0)-MATCH($B$1,[2]quests!$1:$1,0)+1,FALSE)</f>
        <v>ギリシャ神話01</v>
      </c>
      <c r="E92" s="88">
        <v>3</v>
      </c>
      <c r="F92" s="84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【上級】寡黙な翼竜の侵攻</v>
      </c>
      <c r="G92" s="84" t="str">
        <f ca="1">VLOOKUP($B92&amp;"_"&amp;$E92,OFFSET([2]stages!$A$1,0,0,COUNTA([2]stages!$A:$A),MATCH(G$1,[2]stages!$2:$2,0)-MATCH("temp_stage",[2]stages!$2:$2,0)+1),MATCH(G$1,[2]stages!$2:$2,0)-MATCH("temp_stage",[2]stages!$2:$2,0)+1,FALSE)</f>
        <v>ギリシャ神話01</v>
      </c>
      <c r="H92" s="86">
        <v>0</v>
      </c>
      <c r="I92" s="98">
        <v>37</v>
      </c>
      <c r="J92" s="85" t="s">
        <v>198</v>
      </c>
      <c r="K92" s="94" t="str">
        <f>VLOOKUP(I92,[6]stage_hints!$A:$C,3,FALSE)</f>
        <v>限界突破値の引き継ぎ</v>
      </c>
      <c r="L92" s="95" t="str">
        <f>VLOOKUP(I92,[6]stage_hints!$A:$D,4,FALSE)</f>
        <v>同じユニットを強化で合成すると_x000D_限界突破値を引き継げます（覚醒前後も可）</v>
      </c>
      <c r="M92" s="57" t="s">
        <v>211</v>
      </c>
    </row>
    <row r="93" spans="1:13" x14ac:dyDescent="0.15">
      <c r="A93" s="82" t="s">
        <v>201</v>
      </c>
      <c r="B93" s="83">
        <f>floors!$C$2</f>
        <v>20016</v>
      </c>
      <c r="C93" s="84" t="str">
        <f ca="1">VLOOKUP($B93,OFFSET([2]quests!$A$1,0,0,COUNTA([2]quests!$A:$A),MATCH(C$1,[2]quests!$1:$1,0)-MATCH($B$1,[2]quests!$1:$1,0)+1),MATCH(C$1,[2]quests!$1:$1,0)-MATCH($B$1,[2]quests!$1:$1,0)+1,FALSE)</f>
        <v>寡黙な翼竜の侵攻</v>
      </c>
      <c r="D93" s="84" t="str">
        <f ca="1">VLOOKUP($B93,OFFSET([2]quests!$A$1,0,0,COUNTA([2]quests!$A:$A),MATCH(D$1,[2]quests!$1:$1,0)-MATCH($B$1,[2]quests!$1:$1,0)+1),MATCH(D$1,[2]quests!$1:$1,0)-MATCH($B$1,[2]quests!$1:$1,0)+1,FALSE)</f>
        <v>ギリシャ神話01</v>
      </c>
      <c r="E93" s="88">
        <v>3</v>
      </c>
      <c r="F93" s="84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【上級】寡黙な翼竜の侵攻</v>
      </c>
      <c r="G93" s="84" t="str">
        <f ca="1">VLOOKUP($B93&amp;"_"&amp;$E93,OFFSET([2]stages!$A$1,0,0,COUNTA([2]stages!$A:$A),MATCH(G$1,[2]stages!$2:$2,0)-MATCH("temp_stage",[2]stages!$2:$2,0)+1),MATCH(G$1,[2]stages!$2:$2,0)-MATCH("temp_stage",[2]stages!$2:$2,0)+1,FALSE)</f>
        <v>ギリシャ神話01</v>
      </c>
      <c r="H93" s="86">
        <v>0</v>
      </c>
      <c r="I93" s="110">
        <v>39</v>
      </c>
      <c r="J93" s="85" t="s">
        <v>198</v>
      </c>
      <c r="K93" s="94" t="str">
        <f>VLOOKUP(I93,[6]stage_hints!$A:$C,3,FALSE)</f>
        <v>システム適合者を確認</v>
      </c>
      <c r="L93" s="95" t="str">
        <f>VLOOKUP(I93,[6]stage_hints!$A:$D,4,FALSE)</f>
        <v>ALICEが 「アナタ」を呼んでいます</v>
      </c>
      <c r="M93" s="57" t="s">
        <v>211</v>
      </c>
    </row>
    <row r="94" spans="1:13" x14ac:dyDescent="0.15">
      <c r="A94" s="103"/>
      <c r="B94" s="104"/>
      <c r="C94" s="105"/>
      <c r="D94" s="105"/>
      <c r="E94" s="106"/>
      <c r="F94" s="105"/>
      <c r="G94" s="105"/>
      <c r="H94" s="105"/>
      <c r="I94" s="107"/>
      <c r="J94" s="108"/>
      <c r="K94" s="106"/>
      <c r="L94" s="109"/>
      <c r="M94" s="107"/>
    </row>
    <row r="95" spans="1:13" x14ac:dyDescent="0.15">
      <c r="A95" s="103"/>
      <c r="B95" s="104"/>
      <c r="C95" s="105"/>
      <c r="D95" s="105"/>
      <c r="E95" s="106"/>
      <c r="F95" s="105"/>
      <c r="G95" s="105"/>
      <c r="H95" s="105"/>
      <c r="I95" s="107"/>
      <c r="J95" s="108"/>
      <c r="K95" s="106"/>
      <c r="L95" s="109"/>
      <c r="M95" s="107"/>
    </row>
    <row r="96" spans="1:13" x14ac:dyDescent="0.15">
      <c r="A96" s="103"/>
      <c r="B96" s="104"/>
      <c r="C96" s="105"/>
      <c r="D96" s="105"/>
      <c r="E96" s="106"/>
      <c r="F96" s="105"/>
      <c r="G96" s="105"/>
      <c r="H96" s="105"/>
      <c r="I96" s="107"/>
      <c r="J96" s="108"/>
      <c r="K96" s="106"/>
      <c r="L96" s="109"/>
      <c r="M96" s="107"/>
    </row>
    <row r="97" spans="1:13" x14ac:dyDescent="0.15">
      <c r="A97" s="103"/>
      <c r="B97" s="104"/>
      <c r="C97" s="105"/>
      <c r="D97" s="105"/>
      <c r="E97" s="106"/>
      <c r="F97" s="105"/>
      <c r="G97" s="105"/>
      <c r="H97" s="105"/>
      <c r="I97" s="107"/>
      <c r="J97" s="108"/>
      <c r="K97" s="106"/>
      <c r="L97" s="109"/>
      <c r="M97" s="107"/>
    </row>
    <row r="98" spans="1:13" x14ac:dyDescent="0.15">
      <c r="A98" s="103"/>
      <c r="B98" s="104"/>
      <c r="C98" s="105"/>
      <c r="D98" s="105"/>
      <c r="E98" s="106"/>
      <c r="F98" s="105"/>
      <c r="G98" s="105"/>
      <c r="H98" s="105"/>
      <c r="I98" s="107"/>
      <c r="J98" s="108"/>
      <c r="K98" s="106"/>
      <c r="L98" s="109"/>
      <c r="M98" s="107"/>
    </row>
    <row r="99" spans="1:13" x14ac:dyDescent="0.15">
      <c r="A99" s="103"/>
      <c r="B99" s="104"/>
      <c r="C99" s="105"/>
      <c r="D99" s="105"/>
      <c r="E99" s="106"/>
      <c r="F99" s="105"/>
      <c r="G99" s="105"/>
      <c r="H99" s="105"/>
      <c r="I99" s="107"/>
      <c r="J99" s="108"/>
      <c r="K99" s="106"/>
      <c r="L99" s="109"/>
      <c r="M99" s="107"/>
    </row>
    <row r="100" spans="1:13" x14ac:dyDescent="0.15">
      <c r="A100" s="103"/>
      <c r="B100" s="104"/>
      <c r="C100" s="105"/>
      <c r="D100" s="105"/>
      <c r="E100" s="106"/>
      <c r="F100" s="105"/>
      <c r="G100" s="105"/>
      <c r="H100" s="105"/>
      <c r="I100" s="107"/>
      <c r="J100" s="108"/>
      <c r="K100" s="106"/>
      <c r="L100" s="109"/>
      <c r="M100" s="107"/>
    </row>
    <row r="101" spans="1:13" x14ac:dyDescent="0.15">
      <c r="A101" s="103"/>
      <c r="B101" s="104"/>
      <c r="C101" s="105"/>
      <c r="D101" s="105"/>
      <c r="E101" s="106"/>
      <c r="F101" s="105"/>
      <c r="G101" s="105"/>
      <c r="H101" s="105"/>
      <c r="I101" s="107"/>
      <c r="J101" s="108"/>
      <c r="K101" s="106"/>
      <c r="L101" s="109"/>
      <c r="M101" s="107"/>
    </row>
    <row r="102" spans="1:13" x14ac:dyDescent="0.15">
      <c r="A102" s="103"/>
      <c r="B102" s="104"/>
      <c r="C102" s="105"/>
      <c r="D102" s="105"/>
      <c r="E102" s="106"/>
      <c r="F102" s="105"/>
      <c r="G102" s="105"/>
      <c r="H102" s="105"/>
      <c r="I102" s="107"/>
      <c r="J102" s="108"/>
      <c r="K102" s="106"/>
      <c r="L102" s="109"/>
      <c r="M102" s="107"/>
    </row>
    <row r="103" spans="1:13" x14ac:dyDescent="0.15">
      <c r="A103" s="103"/>
      <c r="B103" s="104"/>
      <c r="C103" s="105"/>
      <c r="D103" s="105"/>
      <c r="E103" s="106"/>
      <c r="F103" s="105"/>
      <c r="G103" s="105"/>
      <c r="H103" s="105"/>
      <c r="I103" s="107"/>
      <c r="J103" s="108"/>
      <c r="K103" s="106"/>
      <c r="L103" s="109"/>
      <c r="M103" s="107"/>
    </row>
    <row r="104" spans="1:13" x14ac:dyDescent="0.15">
      <c r="A104" s="103"/>
      <c r="B104" s="104"/>
      <c r="C104" s="105"/>
      <c r="D104" s="105"/>
      <c r="E104" s="106"/>
      <c r="F104" s="105"/>
      <c r="G104" s="105"/>
      <c r="H104" s="105"/>
      <c r="I104" s="107"/>
      <c r="J104" s="108"/>
      <c r="K104" s="106"/>
      <c r="L104" s="109"/>
      <c r="M104" s="107"/>
    </row>
    <row r="105" spans="1:13" x14ac:dyDescent="0.15">
      <c r="A105" s="103"/>
      <c r="B105" s="104"/>
      <c r="C105" s="105"/>
      <c r="D105" s="105"/>
      <c r="E105" s="106"/>
      <c r="F105" s="105"/>
      <c r="G105" s="105"/>
      <c r="H105" s="105"/>
      <c r="I105" s="107"/>
      <c r="J105" s="108"/>
      <c r="K105" s="106"/>
      <c r="L105" s="109"/>
      <c r="M105" s="107"/>
    </row>
    <row r="106" spans="1:13" x14ac:dyDescent="0.15">
      <c r="A106" s="103"/>
      <c r="B106" s="104"/>
      <c r="C106" s="105"/>
      <c r="D106" s="105"/>
      <c r="E106" s="106"/>
      <c r="F106" s="105"/>
      <c r="G106" s="105"/>
      <c r="H106" s="105"/>
      <c r="I106" s="107"/>
      <c r="J106" s="108"/>
      <c r="K106" s="106"/>
      <c r="L106" s="109"/>
      <c r="M106" s="107"/>
    </row>
    <row r="107" spans="1:13" x14ac:dyDescent="0.15">
      <c r="A107" s="103"/>
      <c r="B107" s="104"/>
      <c r="C107" s="105"/>
      <c r="D107" s="105"/>
      <c r="E107" s="106"/>
      <c r="F107" s="105"/>
      <c r="G107" s="105"/>
      <c r="H107" s="105"/>
      <c r="I107" s="107"/>
      <c r="J107" s="108"/>
      <c r="K107" s="106"/>
      <c r="L107" s="109"/>
      <c r="M107" s="107"/>
    </row>
    <row r="108" spans="1:13" x14ac:dyDescent="0.15">
      <c r="A108" s="103"/>
      <c r="B108" s="104"/>
      <c r="C108" s="105"/>
      <c r="D108" s="105"/>
      <c r="E108" s="106"/>
      <c r="F108" s="105"/>
      <c r="G108" s="105"/>
      <c r="H108" s="105"/>
      <c r="I108" s="107"/>
      <c r="J108" s="108"/>
      <c r="K108" s="106"/>
      <c r="L108" s="109"/>
      <c r="M108" s="107"/>
    </row>
    <row r="109" spans="1:13" x14ac:dyDescent="0.15">
      <c r="A109" s="103"/>
      <c r="B109" s="104"/>
      <c r="C109" s="105"/>
      <c r="D109" s="105"/>
      <c r="E109" s="106"/>
      <c r="F109" s="105"/>
      <c r="G109" s="105"/>
      <c r="H109" s="105"/>
      <c r="I109" s="107"/>
      <c r="J109" s="108"/>
      <c r="K109" s="106"/>
      <c r="L109" s="109"/>
      <c r="M109" s="107"/>
    </row>
    <row r="110" spans="1:13" x14ac:dyDescent="0.15">
      <c r="A110" s="103"/>
      <c r="B110" s="104"/>
      <c r="C110" s="105"/>
      <c r="D110" s="105"/>
      <c r="E110" s="106"/>
      <c r="F110" s="105"/>
      <c r="G110" s="105"/>
      <c r="H110" s="105"/>
      <c r="I110" s="107"/>
      <c r="J110" s="108"/>
      <c r="K110" s="106"/>
      <c r="L110" s="109"/>
      <c r="M110" s="107"/>
    </row>
    <row r="111" spans="1:13" x14ac:dyDescent="0.15">
      <c r="A111" s="103"/>
      <c r="B111" s="104"/>
      <c r="C111" s="105"/>
      <c r="D111" s="105"/>
      <c r="E111" s="106"/>
      <c r="F111" s="105"/>
      <c r="G111" s="105"/>
      <c r="H111" s="105"/>
      <c r="I111" s="107"/>
      <c r="J111" s="108"/>
      <c r="K111" s="106"/>
      <c r="L111" s="109"/>
      <c r="M111" s="107"/>
    </row>
    <row r="112" spans="1:13" x14ac:dyDescent="0.15">
      <c r="A112" s="103"/>
      <c r="B112" s="104"/>
      <c r="C112" s="105"/>
      <c r="D112" s="105"/>
      <c r="E112" s="106"/>
      <c r="F112" s="105"/>
      <c r="G112" s="105"/>
      <c r="H112" s="105"/>
      <c r="I112" s="107"/>
      <c r="J112" s="108"/>
      <c r="K112" s="106"/>
      <c r="L112" s="109"/>
      <c r="M112" s="107"/>
    </row>
    <row r="113" spans="1:13" x14ac:dyDescent="0.15">
      <c r="A113" s="103"/>
      <c r="B113" s="104"/>
      <c r="C113" s="105"/>
      <c r="D113" s="105"/>
      <c r="E113" s="106"/>
      <c r="F113" s="105"/>
      <c r="G113" s="105"/>
      <c r="H113" s="105"/>
      <c r="I113" s="107"/>
      <c r="J113" s="108"/>
      <c r="K113" s="106"/>
      <c r="L113" s="109"/>
      <c r="M113" s="107"/>
    </row>
    <row r="114" spans="1:13" x14ac:dyDescent="0.15">
      <c r="A114" s="103"/>
      <c r="B114" s="104"/>
      <c r="C114" s="105"/>
      <c r="D114" s="105"/>
      <c r="E114" s="106"/>
      <c r="F114" s="105"/>
      <c r="G114" s="105"/>
      <c r="H114" s="105"/>
      <c r="I114" s="107"/>
      <c r="J114" s="108"/>
      <c r="K114" s="106"/>
      <c r="L114" s="109"/>
      <c r="M114" s="107"/>
    </row>
    <row r="115" spans="1:13" x14ac:dyDescent="0.15">
      <c r="A115" s="103"/>
      <c r="B115" s="104"/>
      <c r="C115" s="105"/>
      <c r="D115" s="105"/>
      <c r="E115" s="106"/>
      <c r="F115" s="105"/>
      <c r="G115" s="105"/>
      <c r="H115" s="105"/>
      <c r="I115" s="107"/>
      <c r="J115" s="108"/>
      <c r="K115" s="106"/>
      <c r="L115" s="109"/>
      <c r="M115" s="107"/>
    </row>
    <row r="116" spans="1:13" x14ac:dyDescent="0.15">
      <c r="A116" s="103"/>
      <c r="B116" s="104"/>
      <c r="C116" s="105"/>
      <c r="D116" s="105"/>
      <c r="E116" s="106"/>
      <c r="F116" s="105"/>
      <c r="G116" s="105"/>
      <c r="H116" s="105"/>
      <c r="I116" s="107"/>
      <c r="J116" s="108"/>
      <c r="K116" s="106"/>
      <c r="L116" s="109"/>
      <c r="M116" s="107"/>
    </row>
    <row r="117" spans="1:13" x14ac:dyDescent="0.15">
      <c r="A117" s="103"/>
      <c r="B117" s="104"/>
      <c r="C117" s="105"/>
      <c r="D117" s="105"/>
      <c r="E117" s="106"/>
      <c r="F117" s="105"/>
      <c r="G117" s="105"/>
      <c r="H117" s="105"/>
      <c r="I117" s="107"/>
      <c r="J117" s="108"/>
      <c r="K117" s="106"/>
      <c r="L117" s="109"/>
      <c r="M117" s="107"/>
    </row>
    <row r="118" spans="1:13" x14ac:dyDescent="0.15">
      <c r="A118" s="103"/>
      <c r="B118" s="104"/>
      <c r="C118" s="105"/>
      <c r="D118" s="105"/>
      <c r="E118" s="106"/>
      <c r="F118" s="105"/>
      <c r="G118" s="105"/>
      <c r="H118" s="105"/>
      <c r="I118" s="107"/>
      <c r="J118" s="108"/>
      <c r="K118" s="106"/>
      <c r="L118" s="109"/>
      <c r="M118" s="107"/>
    </row>
    <row r="119" spans="1:13" x14ac:dyDescent="0.15">
      <c r="A119" s="103"/>
      <c r="B119" s="104"/>
      <c r="C119" s="105"/>
      <c r="D119" s="105"/>
      <c r="E119" s="106"/>
      <c r="F119" s="105"/>
      <c r="G119" s="105"/>
      <c r="H119" s="105"/>
      <c r="I119" s="107"/>
      <c r="J119" s="108"/>
      <c r="K119" s="106"/>
      <c r="L119" s="109"/>
      <c r="M119" s="107"/>
    </row>
    <row r="120" spans="1:13" x14ac:dyDescent="0.15">
      <c r="A120" s="103"/>
      <c r="B120" s="104"/>
      <c r="C120" s="105"/>
      <c r="D120" s="105"/>
      <c r="E120" s="106"/>
      <c r="F120" s="105"/>
      <c r="G120" s="105"/>
      <c r="H120" s="105"/>
      <c r="I120" s="107"/>
      <c r="J120" s="108"/>
      <c r="K120" s="106"/>
      <c r="L120" s="109"/>
      <c r="M120" s="107"/>
    </row>
    <row r="121" spans="1:13" x14ac:dyDescent="0.15">
      <c r="A121" s="103"/>
      <c r="B121" s="104"/>
      <c r="C121" s="105"/>
      <c r="D121" s="105"/>
      <c r="E121" s="106"/>
      <c r="F121" s="105"/>
      <c r="G121" s="105"/>
      <c r="H121" s="105"/>
      <c r="I121" s="107"/>
      <c r="J121" s="108"/>
      <c r="K121" s="106"/>
      <c r="L121" s="109"/>
      <c r="M121" s="107"/>
    </row>
    <row r="122" spans="1:13" x14ac:dyDescent="0.15">
      <c r="A122" s="103"/>
      <c r="B122" s="104"/>
      <c r="C122" s="105"/>
      <c r="D122" s="105"/>
      <c r="E122" s="106"/>
      <c r="F122" s="105"/>
      <c r="G122" s="105"/>
      <c r="H122" s="105"/>
      <c r="I122" s="107"/>
      <c r="J122" s="108"/>
      <c r="K122" s="106"/>
      <c r="L122" s="109"/>
      <c r="M122" s="107"/>
    </row>
    <row r="123" spans="1:13" x14ac:dyDescent="0.15">
      <c r="A123" s="103"/>
      <c r="B123" s="104"/>
      <c r="C123" s="105"/>
      <c r="D123" s="105"/>
      <c r="E123" s="106"/>
      <c r="F123" s="105"/>
      <c r="G123" s="105"/>
      <c r="H123" s="105"/>
      <c r="I123" s="107"/>
      <c r="J123" s="108"/>
      <c r="K123" s="106"/>
      <c r="L123" s="109"/>
      <c r="M123" s="107"/>
    </row>
    <row r="124" spans="1:13" x14ac:dyDescent="0.15">
      <c r="A124" s="103"/>
      <c r="B124" s="104"/>
      <c r="C124" s="105"/>
      <c r="D124" s="105"/>
      <c r="E124" s="106"/>
      <c r="F124" s="105"/>
      <c r="G124" s="105"/>
      <c r="H124" s="105"/>
      <c r="I124" s="107"/>
      <c r="J124" s="108"/>
      <c r="K124" s="106"/>
      <c r="L124" s="109"/>
      <c r="M124" s="107"/>
    </row>
    <row r="125" spans="1:13" x14ac:dyDescent="0.15">
      <c r="A125" s="103"/>
      <c r="B125" s="104"/>
      <c r="C125" s="105"/>
      <c r="D125" s="105"/>
      <c r="E125" s="106"/>
      <c r="F125" s="105"/>
      <c r="G125" s="105"/>
      <c r="H125" s="105"/>
      <c r="I125" s="107"/>
      <c r="J125" s="108"/>
      <c r="K125" s="106"/>
      <c r="L125" s="109"/>
      <c r="M125" s="107"/>
    </row>
    <row r="126" spans="1:13" x14ac:dyDescent="0.15">
      <c r="A126" s="103"/>
      <c r="B126" s="104"/>
      <c r="C126" s="105"/>
      <c r="D126" s="105"/>
      <c r="E126" s="106"/>
      <c r="F126" s="105"/>
      <c r="G126" s="105"/>
      <c r="H126" s="105"/>
      <c r="I126" s="107"/>
      <c r="J126" s="108"/>
      <c r="K126" s="106"/>
      <c r="L126" s="109"/>
      <c r="M126" s="107"/>
    </row>
    <row r="127" spans="1:13" x14ac:dyDescent="0.15">
      <c r="A127" s="103"/>
      <c r="B127" s="104"/>
      <c r="C127" s="105"/>
      <c r="D127" s="105"/>
      <c r="E127" s="106"/>
      <c r="F127" s="105"/>
      <c r="G127" s="105"/>
      <c r="H127" s="105"/>
      <c r="I127" s="107"/>
      <c r="J127" s="108"/>
      <c r="K127" s="106"/>
      <c r="L127" s="109"/>
      <c r="M127" s="107"/>
    </row>
    <row r="128" spans="1:13" x14ac:dyDescent="0.15">
      <c r="A128" s="103"/>
      <c r="B128" s="104"/>
      <c r="C128" s="105"/>
      <c r="D128" s="105"/>
      <c r="E128" s="106"/>
      <c r="F128" s="105"/>
      <c r="G128" s="105"/>
      <c r="H128" s="105"/>
      <c r="I128" s="107"/>
      <c r="J128" s="108"/>
      <c r="K128" s="106"/>
      <c r="L128" s="109"/>
      <c r="M128" s="107"/>
    </row>
    <row r="129" spans="1:13" x14ac:dyDescent="0.15">
      <c r="A129" s="103"/>
      <c r="B129" s="104"/>
      <c r="C129" s="105"/>
      <c r="D129" s="105"/>
      <c r="E129" s="106"/>
      <c r="F129" s="105"/>
      <c r="G129" s="105"/>
      <c r="H129" s="105"/>
      <c r="I129" s="107"/>
      <c r="J129" s="108"/>
      <c r="K129" s="106"/>
      <c r="L129" s="109"/>
      <c r="M129" s="107"/>
    </row>
    <row r="130" spans="1:13" x14ac:dyDescent="0.15">
      <c r="A130" s="103"/>
      <c r="B130" s="104"/>
      <c r="C130" s="105"/>
      <c r="D130" s="105"/>
      <c r="E130" s="106"/>
      <c r="F130" s="105"/>
      <c r="G130" s="105"/>
      <c r="H130" s="105"/>
      <c r="I130" s="107"/>
      <c r="J130" s="108"/>
      <c r="K130" s="106"/>
      <c r="L130" s="109"/>
      <c r="M130" s="107"/>
    </row>
    <row r="131" spans="1:13" x14ac:dyDescent="0.15">
      <c r="A131" s="103"/>
      <c r="B131" s="104"/>
      <c r="C131" s="105"/>
      <c r="D131" s="105"/>
      <c r="E131" s="106"/>
      <c r="F131" s="105"/>
      <c r="G131" s="105"/>
      <c r="H131" s="105"/>
      <c r="I131" s="107"/>
      <c r="J131" s="108"/>
      <c r="K131" s="106"/>
      <c r="L131" s="109"/>
      <c r="M131" s="107"/>
    </row>
    <row r="132" spans="1:13" x14ac:dyDescent="0.15">
      <c r="A132" s="103"/>
      <c r="B132" s="104"/>
      <c r="C132" s="105"/>
      <c r="D132" s="105"/>
      <c r="E132" s="106"/>
      <c r="F132" s="105"/>
      <c r="G132" s="105"/>
      <c r="H132" s="105"/>
      <c r="I132" s="107"/>
      <c r="J132" s="108"/>
      <c r="K132" s="106"/>
      <c r="L132" s="109"/>
      <c r="M132" s="107"/>
    </row>
    <row r="133" spans="1:13" x14ac:dyDescent="0.15">
      <c r="A133" s="103"/>
      <c r="B133" s="104"/>
      <c r="C133" s="105"/>
      <c r="D133" s="105"/>
      <c r="E133" s="106"/>
      <c r="F133" s="105"/>
      <c r="G133" s="105"/>
      <c r="H133" s="105"/>
      <c r="I133" s="107"/>
      <c r="J133" s="108"/>
      <c r="K133" s="106"/>
      <c r="L133" s="109"/>
      <c r="M133" s="107"/>
    </row>
    <row r="134" spans="1:13" x14ac:dyDescent="0.15">
      <c r="A134" s="103"/>
      <c r="B134" s="104"/>
      <c r="C134" s="105"/>
      <c r="D134" s="105"/>
      <c r="E134" s="106"/>
      <c r="F134" s="105"/>
      <c r="G134" s="105"/>
      <c r="H134" s="105"/>
      <c r="I134" s="107"/>
      <c r="J134" s="108"/>
      <c r="K134" s="106"/>
      <c r="L134" s="109"/>
      <c r="M134" s="107"/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9"/>
  <sheetViews>
    <sheetView showGridLines="0" topLeftCell="E1" workbookViewId="0">
      <pane ySplit="1" topLeftCell="A12" activePane="bottomLeft" state="frozen"/>
      <selection pane="bottomLeft" activeCell="M20" sqref="M20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188</v>
      </c>
      <c r="B1" s="73" t="s">
        <v>151</v>
      </c>
      <c r="C1" s="78" t="s">
        <v>190</v>
      </c>
      <c r="D1" s="78" t="s">
        <v>33</v>
      </c>
      <c r="E1" s="73" t="s">
        <v>191</v>
      </c>
      <c r="F1" s="78" t="s">
        <v>18</v>
      </c>
      <c r="G1" s="78" t="s">
        <v>33</v>
      </c>
      <c r="H1" s="73" t="s">
        <v>193</v>
      </c>
      <c r="I1" s="90" t="s">
        <v>194</v>
      </c>
      <c r="J1" s="92" t="s">
        <v>195</v>
      </c>
      <c r="K1" s="80" t="s">
        <v>127</v>
      </c>
      <c r="L1" s="79" t="s">
        <v>187</v>
      </c>
      <c r="M1" s="93" t="s">
        <v>186</v>
      </c>
      <c r="N1" s="81" t="s">
        <v>196</v>
      </c>
    </row>
    <row r="2" spans="1:14" ht="28" x14ac:dyDescent="0.15">
      <c r="A2" s="82" t="s">
        <v>197</v>
      </c>
      <c r="B2" s="83">
        <f>floors!$C$2</f>
        <v>20016</v>
      </c>
      <c r="C2" s="84" t="str">
        <f ca="1">VLOOKUP($B2,OFFSET([2]quests!$A$1,0,0,COUNTA([2]quests!$A:$A),MATCH(C$1,[2]quests!$1:$1,0)-MATCH($B$1,[2]quests!$1:$1,0)+1),MATCH(C$1,[2]quests!$1:$1,0)-MATCH($B$1,[2]quests!$1:$1,0)+1,FALSE)</f>
        <v>寡黙な翼竜の侵攻</v>
      </c>
      <c r="D2" s="84" t="str">
        <f ca="1">VLOOKUP($B2,OFFSET([2]quests!$A$1,0,0,COUNTA([2]quests!$A:$A),MATCH(D$1,[2]quests!$1:$1,0)-MATCH($B$1,[2]quests!$1:$1,0)+1),MATCH(D$1,[2]quests!$1:$1,0)-MATCH($B$1,[2]quests!$1:$1,0)+1,FALSE)</f>
        <v>ギリシャ神話01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【初級】寡黙な翼竜の侵攻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ギリシャ神話01</v>
      </c>
      <c r="H2" s="86">
        <v>1</v>
      </c>
      <c r="I2" s="91">
        <f t="shared" ref="I2:I19" si="0">ROW()-1</f>
        <v>1</v>
      </c>
      <c r="J2" s="87" t="str">
        <f t="shared" ref="J2:J19" si="1">B2&amp;TEXT(I2,"00")</f>
        <v>2001601</v>
      </c>
      <c r="K2" s="85" t="s">
        <v>198</v>
      </c>
      <c r="L2" s="88" t="s">
        <v>199</v>
      </c>
      <c r="M2" s="129" t="s">
        <v>245</v>
      </c>
      <c r="N2" s="57" t="s">
        <v>200</v>
      </c>
    </row>
    <row r="3" spans="1:14" ht="56" x14ac:dyDescent="0.15">
      <c r="A3" s="82" t="s">
        <v>197</v>
      </c>
      <c r="B3" s="83">
        <f>floors!$C$2</f>
        <v>20016</v>
      </c>
      <c r="C3" s="84" t="str">
        <f ca="1">VLOOKUP($B3,OFFSET([2]quests!$A$1,0,0,COUNTA([2]quests!$A:$A),MATCH(C$1,[2]quests!$1:$1,0)-MATCH($B$1,[2]quests!$1:$1,0)+1),MATCH(C$1,[2]quests!$1:$1,0)-MATCH($B$1,[2]quests!$1:$1,0)+1,FALSE)</f>
        <v>寡黙な翼竜の侵攻</v>
      </c>
      <c r="D3" s="84" t="str">
        <f ca="1">VLOOKUP($B3,OFFSET([2]quests!$A$1,0,0,COUNTA([2]quests!$A:$A),MATCH(D$1,[2]quests!$1:$1,0)-MATCH($B$1,[2]quests!$1:$1,0)+1),MATCH(D$1,[2]quests!$1:$1,0)-MATCH($B$1,[2]quests!$1:$1,0)+1,FALSE)</f>
        <v>ギリシャ神話01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【初級】寡黙な翼竜の侵攻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ギリシャ神話01</v>
      </c>
      <c r="H3" s="86">
        <v>2</v>
      </c>
      <c r="I3" s="91">
        <f t="shared" si="0"/>
        <v>2</v>
      </c>
      <c r="J3" s="87" t="str">
        <f t="shared" si="1"/>
        <v>2001602</v>
      </c>
      <c r="K3" s="85" t="s">
        <v>198</v>
      </c>
      <c r="L3" s="88" t="s">
        <v>199</v>
      </c>
      <c r="M3" s="129" t="s">
        <v>246</v>
      </c>
      <c r="N3" s="57" t="s">
        <v>200</v>
      </c>
    </row>
    <row r="4" spans="1:14" ht="56" x14ac:dyDescent="0.15">
      <c r="A4" s="82" t="s">
        <v>197</v>
      </c>
      <c r="B4" s="83">
        <f>floors!$C$2</f>
        <v>20016</v>
      </c>
      <c r="C4" s="84" t="str">
        <f ca="1">VLOOKUP($B4,OFFSET([2]quests!$A$1,0,0,COUNTA([2]quests!$A:$A),MATCH(C$1,[2]quests!$1:$1,0)-MATCH($B$1,[2]quests!$1:$1,0)+1),MATCH(C$1,[2]quests!$1:$1,0)-MATCH($B$1,[2]quests!$1:$1,0)+1,FALSE)</f>
        <v>寡黙な翼竜の侵攻</v>
      </c>
      <c r="D4" s="84" t="str">
        <f ca="1">VLOOKUP($B4,OFFSET([2]quests!$A$1,0,0,COUNTA([2]quests!$A:$A),MATCH(D$1,[2]quests!$1:$1,0)-MATCH($B$1,[2]quests!$1:$1,0)+1),MATCH(D$1,[2]quests!$1:$1,0)-MATCH($B$1,[2]quests!$1:$1,0)+1,FALSE)</f>
        <v>ギリシャ神話01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【初級】寡黙な翼竜の侵攻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ギリシャ神話01</v>
      </c>
      <c r="H4" s="86">
        <v>3</v>
      </c>
      <c r="I4" s="91">
        <f t="shared" si="0"/>
        <v>3</v>
      </c>
      <c r="J4" s="87" t="str">
        <f t="shared" si="1"/>
        <v>2001603</v>
      </c>
      <c r="K4" s="85" t="s">
        <v>198</v>
      </c>
      <c r="L4" s="88" t="s">
        <v>199</v>
      </c>
      <c r="M4" s="129" t="s">
        <v>251</v>
      </c>
      <c r="N4" s="57" t="s">
        <v>200</v>
      </c>
    </row>
    <row r="5" spans="1:14" ht="56" x14ac:dyDescent="0.15">
      <c r="A5" s="82" t="s">
        <v>197</v>
      </c>
      <c r="B5" s="83">
        <f>floors!$C$2</f>
        <v>20016</v>
      </c>
      <c r="C5" s="84" t="str">
        <f ca="1">VLOOKUP($B5,OFFSET([2]quests!$A$1,0,0,COUNTA([2]quests!$A:$A),MATCH(C$1,[2]quests!$1:$1,0)-MATCH($B$1,[2]quests!$1:$1,0)+1),MATCH(C$1,[2]quests!$1:$1,0)-MATCH($B$1,[2]quests!$1:$1,0)+1,FALSE)</f>
        <v>寡黙な翼竜の侵攻</v>
      </c>
      <c r="D5" s="84" t="str">
        <f ca="1">VLOOKUP($B5,OFFSET([2]quests!$A$1,0,0,COUNTA([2]quests!$A:$A),MATCH(D$1,[2]quests!$1:$1,0)-MATCH($B$1,[2]quests!$1:$1,0)+1),MATCH(D$1,[2]quests!$1:$1,0)-MATCH($B$1,[2]quests!$1:$1,0)+1,FALSE)</f>
        <v>ギリシャ神話01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【初級】寡黙な翼竜の侵攻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ギリシャ神話01</v>
      </c>
      <c r="H5" s="86">
        <v>4</v>
      </c>
      <c r="I5" s="91">
        <f t="shared" si="0"/>
        <v>4</v>
      </c>
      <c r="J5" s="87" t="str">
        <f t="shared" ref="J5:J6" si="2">B5&amp;TEXT(I5,"00")</f>
        <v>2001604</v>
      </c>
      <c r="K5" s="85" t="s">
        <v>128</v>
      </c>
      <c r="L5" s="88" t="s">
        <v>199</v>
      </c>
      <c r="M5" s="129" t="s">
        <v>247</v>
      </c>
      <c r="N5" s="57" t="s">
        <v>200</v>
      </c>
    </row>
    <row r="6" spans="1:14" ht="28" x14ac:dyDescent="0.15">
      <c r="A6" s="82" t="s">
        <v>197</v>
      </c>
      <c r="B6" s="83">
        <f>floors!$C$2</f>
        <v>20016</v>
      </c>
      <c r="C6" s="84" t="str">
        <f ca="1">VLOOKUP($B6,OFFSET([2]quests!$A$1,0,0,COUNTA([2]quests!$A:$A),MATCH(C$1,[2]quests!$1:$1,0)-MATCH($B$1,[2]quests!$1:$1,0)+1),MATCH(C$1,[2]quests!$1:$1,0)-MATCH($B$1,[2]quests!$1:$1,0)+1,FALSE)</f>
        <v>寡黙な翼竜の侵攻</v>
      </c>
      <c r="D6" s="84" t="str">
        <f ca="1">VLOOKUP($B6,OFFSET([2]quests!$A$1,0,0,COUNTA([2]quests!$A:$A),MATCH(D$1,[2]quests!$1:$1,0)-MATCH($B$1,[2]quests!$1:$1,0)+1),MATCH(D$1,[2]quests!$1:$1,0)-MATCH($B$1,[2]quests!$1:$1,0)+1,FALSE)</f>
        <v>ギリシャ神話01</v>
      </c>
      <c r="E6" s="85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【初級】寡黙な翼竜の侵攻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ギリシャ神話01</v>
      </c>
      <c r="H6" s="86">
        <v>4</v>
      </c>
      <c r="I6" s="91">
        <f t="shared" si="0"/>
        <v>5</v>
      </c>
      <c r="J6" s="87" t="str">
        <f t="shared" si="2"/>
        <v>2001605</v>
      </c>
      <c r="K6" s="85" t="s">
        <v>128</v>
      </c>
      <c r="L6" s="88" t="s">
        <v>199</v>
      </c>
      <c r="M6" s="129" t="s">
        <v>248</v>
      </c>
      <c r="N6" s="57" t="s">
        <v>200</v>
      </c>
    </row>
    <row r="7" spans="1:14" ht="56" x14ac:dyDescent="0.15">
      <c r="A7" s="82" t="s">
        <v>197</v>
      </c>
      <c r="B7" s="83">
        <f>floors!$C$2</f>
        <v>20016</v>
      </c>
      <c r="C7" s="84" t="str">
        <f ca="1">VLOOKUP($B7,OFFSET([2]quests!$A$1,0,0,COUNTA([2]quests!$A:$A),MATCH(C$1,[2]quests!$1:$1,0)-MATCH($B$1,[2]quests!$1:$1,0)+1),MATCH(C$1,[2]quests!$1:$1,0)-MATCH($B$1,[2]quests!$1:$1,0)+1,FALSE)</f>
        <v>寡黙な翼竜の侵攻</v>
      </c>
      <c r="D7" s="84" t="str">
        <f ca="1">VLOOKUP($B7,OFFSET([2]quests!$A$1,0,0,COUNTA([2]quests!$A:$A),MATCH(D$1,[2]quests!$1:$1,0)-MATCH($B$1,[2]quests!$1:$1,0)+1),MATCH(D$1,[2]quests!$1:$1,0)-MATCH($B$1,[2]quests!$1:$1,0)+1,FALSE)</f>
        <v>ギリシャ神話01</v>
      </c>
      <c r="E7" s="85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【初級】寡黙な翼竜の侵攻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ギリシャ神話01</v>
      </c>
      <c r="H7" s="86">
        <v>4</v>
      </c>
      <c r="I7" s="91">
        <f t="shared" si="0"/>
        <v>6</v>
      </c>
      <c r="J7" s="87" t="str">
        <f t="shared" si="1"/>
        <v>2001606</v>
      </c>
      <c r="K7" s="85" t="s">
        <v>198</v>
      </c>
      <c r="L7" s="88" t="s">
        <v>199</v>
      </c>
      <c r="M7" s="129" t="s">
        <v>255</v>
      </c>
      <c r="N7" s="57" t="s">
        <v>200</v>
      </c>
    </row>
    <row r="8" spans="1:14" ht="28" x14ac:dyDescent="0.15">
      <c r="A8" s="82" t="s">
        <v>197</v>
      </c>
      <c r="B8" s="83">
        <f>floors!$C$2</f>
        <v>20016</v>
      </c>
      <c r="C8" s="84" t="str">
        <f ca="1">VLOOKUP($B8,OFFSET([2]quests!$A$1,0,0,COUNTA([2]quests!$A:$A),MATCH(C$1,[2]quests!$1:$1,0)-MATCH($B$1,[2]quests!$1:$1,0)+1),MATCH(C$1,[2]quests!$1:$1,0)-MATCH($B$1,[2]quests!$1:$1,0)+1,FALSE)</f>
        <v>寡黙な翼竜の侵攻</v>
      </c>
      <c r="D8" s="84" t="str">
        <f ca="1">VLOOKUP($B8,OFFSET([2]quests!$A$1,0,0,COUNTA([2]quests!$A:$A),MATCH(D$1,[2]quests!$1:$1,0)-MATCH($B$1,[2]quests!$1:$1,0)+1),MATCH(D$1,[2]quests!$1:$1,0)-MATCH($B$1,[2]quests!$1:$1,0)+1,FALSE)</f>
        <v>ギリシャ神話01</v>
      </c>
      <c r="E8" s="85">
        <v>2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【中級】寡黙な翼竜の侵攻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ギリシャ神話01</v>
      </c>
      <c r="H8" s="86">
        <v>1</v>
      </c>
      <c r="I8" s="91">
        <f t="shared" si="0"/>
        <v>7</v>
      </c>
      <c r="J8" s="87" t="str">
        <f t="shared" si="1"/>
        <v>2001607</v>
      </c>
      <c r="K8" s="85" t="s">
        <v>128</v>
      </c>
      <c r="L8" s="88" t="s">
        <v>199</v>
      </c>
      <c r="M8" s="129" t="s">
        <v>245</v>
      </c>
      <c r="N8" s="57" t="s">
        <v>200</v>
      </c>
    </row>
    <row r="9" spans="1:14" ht="56" x14ac:dyDescent="0.15">
      <c r="A9" s="82" t="s">
        <v>197</v>
      </c>
      <c r="B9" s="83">
        <f>floors!$C$2</f>
        <v>20016</v>
      </c>
      <c r="C9" s="84" t="str">
        <f ca="1">VLOOKUP($B9,OFFSET([2]quests!$A$1,0,0,COUNTA([2]quests!$A:$A),MATCH(C$1,[2]quests!$1:$1,0)-MATCH($B$1,[2]quests!$1:$1,0)+1),MATCH(C$1,[2]quests!$1:$1,0)-MATCH($B$1,[2]quests!$1:$1,0)+1,FALSE)</f>
        <v>寡黙な翼竜の侵攻</v>
      </c>
      <c r="D9" s="84" t="str">
        <f ca="1">VLOOKUP($B9,OFFSET([2]quests!$A$1,0,0,COUNTA([2]quests!$A:$A),MATCH(D$1,[2]quests!$1:$1,0)-MATCH($B$1,[2]quests!$1:$1,0)+1),MATCH(D$1,[2]quests!$1:$1,0)-MATCH($B$1,[2]quests!$1:$1,0)+1,FALSE)</f>
        <v>ギリシャ神話01</v>
      </c>
      <c r="E9" s="85">
        <v>2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【中級】寡黙な翼竜の侵攻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ギリシャ神話01</v>
      </c>
      <c r="H9" s="86">
        <v>2</v>
      </c>
      <c r="I9" s="91">
        <f t="shared" si="0"/>
        <v>8</v>
      </c>
      <c r="J9" s="87" t="str">
        <f t="shared" si="1"/>
        <v>2001608</v>
      </c>
      <c r="K9" s="85" t="s">
        <v>128</v>
      </c>
      <c r="L9" s="88" t="s">
        <v>199</v>
      </c>
      <c r="M9" s="129" t="s">
        <v>246</v>
      </c>
      <c r="N9" s="57" t="s">
        <v>200</v>
      </c>
    </row>
    <row r="10" spans="1:14" ht="56" x14ac:dyDescent="0.15">
      <c r="A10" s="82" t="s">
        <v>197</v>
      </c>
      <c r="B10" s="83">
        <f>floors!$C$2</f>
        <v>20016</v>
      </c>
      <c r="C10" s="84" t="str">
        <f ca="1">VLOOKUP($B10,OFFSET([2]quests!$A$1,0,0,COUNTA([2]quests!$A:$A),MATCH(C$1,[2]quests!$1:$1,0)-MATCH($B$1,[2]quests!$1:$1,0)+1),MATCH(C$1,[2]quests!$1:$1,0)-MATCH($B$1,[2]quests!$1:$1,0)+1,FALSE)</f>
        <v>寡黙な翼竜の侵攻</v>
      </c>
      <c r="D10" s="84" t="str">
        <f ca="1">VLOOKUP($B10,OFFSET([2]quests!$A$1,0,0,COUNTA([2]quests!$A:$A),MATCH(D$1,[2]quests!$1:$1,0)-MATCH($B$1,[2]quests!$1:$1,0)+1),MATCH(D$1,[2]quests!$1:$1,0)-MATCH($B$1,[2]quests!$1:$1,0)+1,FALSE)</f>
        <v>ギリシャ神話01</v>
      </c>
      <c r="E10" s="85">
        <v>2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【中級】寡黙な翼竜の侵攻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ギリシャ神話01</v>
      </c>
      <c r="H10" s="86">
        <v>3</v>
      </c>
      <c r="I10" s="91">
        <f t="shared" si="0"/>
        <v>9</v>
      </c>
      <c r="J10" s="87" t="str">
        <f t="shared" si="1"/>
        <v>2001609</v>
      </c>
      <c r="K10" s="85" t="s">
        <v>128</v>
      </c>
      <c r="L10" s="88" t="s">
        <v>199</v>
      </c>
      <c r="M10" s="129" t="s">
        <v>253</v>
      </c>
      <c r="N10" s="57" t="s">
        <v>200</v>
      </c>
    </row>
    <row r="11" spans="1:14" ht="56" x14ac:dyDescent="0.15">
      <c r="A11" s="82" t="s">
        <v>197</v>
      </c>
      <c r="B11" s="83">
        <f>floors!$C$2</f>
        <v>20016</v>
      </c>
      <c r="C11" s="84" t="str">
        <f ca="1">VLOOKUP($B11,OFFSET([2]quests!$A$1,0,0,COUNTA([2]quests!$A:$A),MATCH(C$1,[2]quests!$1:$1,0)-MATCH($B$1,[2]quests!$1:$1,0)+1),MATCH(C$1,[2]quests!$1:$1,0)-MATCH($B$1,[2]quests!$1:$1,0)+1,FALSE)</f>
        <v>寡黙な翼竜の侵攻</v>
      </c>
      <c r="D11" s="84" t="str">
        <f ca="1">VLOOKUP($B11,OFFSET([2]quests!$A$1,0,0,COUNTA([2]quests!$A:$A),MATCH(D$1,[2]quests!$1:$1,0)-MATCH($B$1,[2]quests!$1:$1,0)+1),MATCH(D$1,[2]quests!$1:$1,0)-MATCH($B$1,[2]quests!$1:$1,0)+1,FALSE)</f>
        <v>ギリシャ神話01</v>
      </c>
      <c r="E11" s="85">
        <v>2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【中級】寡黙な翼竜の侵攻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ギリシャ神話01</v>
      </c>
      <c r="H11" s="86">
        <v>4</v>
      </c>
      <c r="I11" s="91">
        <f t="shared" si="0"/>
        <v>10</v>
      </c>
      <c r="J11" s="87" t="str">
        <f t="shared" ref="J11:J12" si="3">B11&amp;TEXT(I11,"00")</f>
        <v>2001610</v>
      </c>
      <c r="K11" s="85" t="s">
        <v>128</v>
      </c>
      <c r="L11" s="88" t="s">
        <v>199</v>
      </c>
      <c r="M11" s="129" t="s">
        <v>247</v>
      </c>
      <c r="N11" s="57" t="s">
        <v>200</v>
      </c>
    </row>
    <row r="12" spans="1:14" ht="28" x14ac:dyDescent="0.15">
      <c r="A12" s="82" t="s">
        <v>197</v>
      </c>
      <c r="B12" s="83">
        <f>floors!$C$2</f>
        <v>20016</v>
      </c>
      <c r="C12" s="84" t="str">
        <f ca="1">VLOOKUP($B12,OFFSET([2]quests!$A$1,0,0,COUNTA([2]quests!$A:$A),MATCH(C$1,[2]quests!$1:$1,0)-MATCH($B$1,[2]quests!$1:$1,0)+1),MATCH(C$1,[2]quests!$1:$1,0)-MATCH($B$1,[2]quests!$1:$1,0)+1,FALSE)</f>
        <v>寡黙な翼竜の侵攻</v>
      </c>
      <c r="D12" s="84" t="str">
        <f ca="1">VLOOKUP($B12,OFFSET([2]quests!$A$1,0,0,COUNTA([2]quests!$A:$A),MATCH(D$1,[2]quests!$1:$1,0)-MATCH($B$1,[2]quests!$1:$1,0)+1),MATCH(D$1,[2]quests!$1:$1,0)-MATCH($B$1,[2]quests!$1:$1,0)+1,FALSE)</f>
        <v>ギリシャ神話01</v>
      </c>
      <c r="E12" s="85">
        <v>2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【中級】寡黙な翼竜の侵攻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ギリシャ神話01</v>
      </c>
      <c r="H12" s="86">
        <v>4</v>
      </c>
      <c r="I12" s="91">
        <f t="shared" si="0"/>
        <v>11</v>
      </c>
      <c r="J12" s="87" t="str">
        <f t="shared" si="3"/>
        <v>2001611</v>
      </c>
      <c r="K12" s="85" t="s">
        <v>128</v>
      </c>
      <c r="L12" s="88" t="s">
        <v>199</v>
      </c>
      <c r="M12" s="129" t="s">
        <v>248</v>
      </c>
      <c r="N12" s="57" t="s">
        <v>200</v>
      </c>
    </row>
    <row r="13" spans="1:14" ht="56" x14ac:dyDescent="0.15">
      <c r="A13" s="82" t="s">
        <v>197</v>
      </c>
      <c r="B13" s="83">
        <f>floors!$C$2</f>
        <v>20016</v>
      </c>
      <c r="C13" s="84" t="str">
        <f ca="1">VLOOKUP($B13,OFFSET([2]quests!$A$1,0,0,COUNTA([2]quests!$A:$A),MATCH(C$1,[2]quests!$1:$1,0)-MATCH($B$1,[2]quests!$1:$1,0)+1),MATCH(C$1,[2]quests!$1:$1,0)-MATCH($B$1,[2]quests!$1:$1,0)+1,FALSE)</f>
        <v>寡黙な翼竜の侵攻</v>
      </c>
      <c r="D13" s="84" t="str">
        <f ca="1">VLOOKUP($B13,OFFSET([2]quests!$A$1,0,0,COUNTA([2]quests!$A:$A),MATCH(D$1,[2]quests!$1:$1,0)-MATCH($B$1,[2]quests!$1:$1,0)+1),MATCH(D$1,[2]quests!$1:$1,0)-MATCH($B$1,[2]quests!$1:$1,0)+1,FALSE)</f>
        <v>ギリシャ神話01</v>
      </c>
      <c r="E13" s="85">
        <v>2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【中級】寡黙な翼竜の侵攻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ギリシャ神話01</v>
      </c>
      <c r="H13" s="86">
        <v>4</v>
      </c>
      <c r="I13" s="91">
        <f t="shared" si="0"/>
        <v>12</v>
      </c>
      <c r="J13" s="87" t="str">
        <f t="shared" si="1"/>
        <v>2001612</v>
      </c>
      <c r="K13" s="85" t="s">
        <v>128</v>
      </c>
      <c r="L13" s="88" t="s">
        <v>199</v>
      </c>
      <c r="M13" s="129" t="s">
        <v>256</v>
      </c>
      <c r="N13" s="57" t="s">
        <v>200</v>
      </c>
    </row>
    <row r="14" spans="1:14" ht="28" x14ac:dyDescent="0.15">
      <c r="A14" s="82" t="s">
        <v>197</v>
      </c>
      <c r="B14" s="83">
        <f>floors!$C$2</f>
        <v>20016</v>
      </c>
      <c r="C14" s="84" t="str">
        <f ca="1">VLOOKUP($B14,OFFSET([2]quests!$A$1,0,0,COUNTA([2]quests!$A:$A),MATCH(C$1,[2]quests!$1:$1,0)-MATCH($B$1,[2]quests!$1:$1,0)+1),MATCH(C$1,[2]quests!$1:$1,0)-MATCH($B$1,[2]quests!$1:$1,0)+1,FALSE)</f>
        <v>寡黙な翼竜の侵攻</v>
      </c>
      <c r="D14" s="84" t="str">
        <f ca="1">VLOOKUP($B14,OFFSET([2]quests!$A$1,0,0,COUNTA([2]quests!$A:$A),MATCH(D$1,[2]quests!$1:$1,0)-MATCH($B$1,[2]quests!$1:$1,0)+1),MATCH(D$1,[2]quests!$1:$1,0)-MATCH($B$1,[2]quests!$1:$1,0)+1,FALSE)</f>
        <v>ギリシャ神話01</v>
      </c>
      <c r="E14" s="85">
        <v>3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【上級】寡黙な翼竜の侵攻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ギリシャ神話01</v>
      </c>
      <c r="H14" s="86">
        <v>1</v>
      </c>
      <c r="I14" s="91">
        <f t="shared" si="0"/>
        <v>13</v>
      </c>
      <c r="J14" s="87" t="str">
        <f t="shared" si="1"/>
        <v>2001613</v>
      </c>
      <c r="K14" s="85" t="s">
        <v>128</v>
      </c>
      <c r="L14" s="88" t="s">
        <v>199</v>
      </c>
      <c r="M14" s="129" t="s">
        <v>245</v>
      </c>
      <c r="N14" s="57" t="s">
        <v>200</v>
      </c>
    </row>
    <row r="15" spans="1:14" ht="56" x14ac:dyDescent="0.15">
      <c r="A15" s="82" t="s">
        <v>197</v>
      </c>
      <c r="B15" s="83">
        <f>floors!$C$2</f>
        <v>20016</v>
      </c>
      <c r="C15" s="84" t="str">
        <f ca="1">VLOOKUP($B15,OFFSET([2]quests!$A$1,0,0,COUNTA([2]quests!$A:$A),MATCH(C$1,[2]quests!$1:$1,0)-MATCH($B$1,[2]quests!$1:$1,0)+1),MATCH(C$1,[2]quests!$1:$1,0)-MATCH($B$1,[2]quests!$1:$1,0)+1,FALSE)</f>
        <v>寡黙な翼竜の侵攻</v>
      </c>
      <c r="D15" s="84" t="str">
        <f ca="1">VLOOKUP($B15,OFFSET([2]quests!$A$1,0,0,COUNTA([2]quests!$A:$A),MATCH(D$1,[2]quests!$1:$1,0)-MATCH($B$1,[2]quests!$1:$1,0)+1),MATCH(D$1,[2]quests!$1:$1,0)-MATCH($B$1,[2]quests!$1:$1,0)+1,FALSE)</f>
        <v>ギリシャ神話01</v>
      </c>
      <c r="E15" s="85">
        <v>3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【上級】寡黙な翼竜の侵攻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ギリシャ神話01</v>
      </c>
      <c r="H15" s="86">
        <v>2</v>
      </c>
      <c r="I15" s="91">
        <f t="shared" si="0"/>
        <v>14</v>
      </c>
      <c r="J15" s="87" t="str">
        <f t="shared" si="1"/>
        <v>2001614</v>
      </c>
      <c r="K15" s="85" t="s">
        <v>128</v>
      </c>
      <c r="L15" s="88" t="s">
        <v>199</v>
      </c>
      <c r="M15" s="129" t="s">
        <v>246</v>
      </c>
      <c r="N15" s="57" t="s">
        <v>200</v>
      </c>
    </row>
    <row r="16" spans="1:14" ht="56" x14ac:dyDescent="0.15">
      <c r="A16" s="82" t="s">
        <v>197</v>
      </c>
      <c r="B16" s="83">
        <f>floors!$C$2</f>
        <v>20016</v>
      </c>
      <c r="C16" s="84" t="str">
        <f ca="1">VLOOKUP($B16,OFFSET([2]quests!$A$1,0,0,COUNTA([2]quests!$A:$A),MATCH(C$1,[2]quests!$1:$1,0)-MATCH($B$1,[2]quests!$1:$1,0)+1),MATCH(C$1,[2]quests!$1:$1,0)-MATCH($B$1,[2]quests!$1:$1,0)+1,FALSE)</f>
        <v>寡黙な翼竜の侵攻</v>
      </c>
      <c r="D16" s="84" t="str">
        <f ca="1">VLOOKUP($B16,OFFSET([2]quests!$A$1,0,0,COUNTA([2]quests!$A:$A),MATCH(D$1,[2]quests!$1:$1,0)-MATCH($B$1,[2]quests!$1:$1,0)+1),MATCH(D$1,[2]quests!$1:$1,0)-MATCH($B$1,[2]quests!$1:$1,0)+1,FALSE)</f>
        <v>ギリシャ神話01</v>
      </c>
      <c r="E16" s="85">
        <v>3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【上級】寡黙な翼竜の侵攻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ギリシャ神話01</v>
      </c>
      <c r="H16" s="86">
        <v>3</v>
      </c>
      <c r="I16" s="91">
        <f t="shared" si="0"/>
        <v>15</v>
      </c>
      <c r="J16" s="87" t="str">
        <f t="shared" si="1"/>
        <v>2001615</v>
      </c>
      <c r="K16" s="85" t="s">
        <v>128</v>
      </c>
      <c r="L16" s="88" t="s">
        <v>199</v>
      </c>
      <c r="M16" s="129" t="s">
        <v>254</v>
      </c>
      <c r="N16" s="57" t="s">
        <v>200</v>
      </c>
    </row>
    <row r="17" spans="1:14" ht="56" x14ac:dyDescent="0.15">
      <c r="A17" s="82" t="s">
        <v>244</v>
      </c>
      <c r="B17" s="83">
        <f>floors!$C$2</f>
        <v>20016</v>
      </c>
      <c r="C17" s="84" t="str">
        <f ca="1">VLOOKUP($B17,OFFSET([2]quests!$A$1,0,0,COUNTA([2]quests!$A:$A),MATCH(C$1,[2]quests!$1:$1,0)-MATCH($B$1,[2]quests!$1:$1,0)+1),MATCH(C$1,[2]quests!$1:$1,0)-MATCH($B$1,[2]quests!$1:$1,0)+1,FALSE)</f>
        <v>寡黙な翼竜の侵攻</v>
      </c>
      <c r="D17" s="84" t="str">
        <f ca="1">VLOOKUP($B17,OFFSET([2]quests!$A$1,0,0,COUNTA([2]quests!$A:$A),MATCH(D$1,[2]quests!$1:$1,0)-MATCH($B$1,[2]quests!$1:$1,0)+1),MATCH(D$1,[2]quests!$1:$1,0)-MATCH($B$1,[2]quests!$1:$1,0)+1,FALSE)</f>
        <v>ギリシャ神話01</v>
      </c>
      <c r="E17" s="85">
        <v>3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【上級】寡黙な翼竜の侵攻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ギリシャ神話01</v>
      </c>
      <c r="H17" s="86">
        <v>4</v>
      </c>
      <c r="I17" s="91">
        <f t="shared" si="0"/>
        <v>16</v>
      </c>
      <c r="J17" s="87" t="str">
        <f t="shared" ref="J17" si="4">B17&amp;TEXT(I17,"00")</f>
        <v>2001616</v>
      </c>
      <c r="K17" s="85" t="s">
        <v>128</v>
      </c>
      <c r="L17" s="88" t="s">
        <v>199</v>
      </c>
      <c r="M17" s="129" t="s">
        <v>247</v>
      </c>
      <c r="N17" s="57" t="s">
        <v>200</v>
      </c>
    </row>
    <row r="18" spans="1:14" ht="28" x14ac:dyDescent="0.15">
      <c r="A18" s="82" t="s">
        <v>244</v>
      </c>
      <c r="B18" s="83">
        <f>floors!$C$2</f>
        <v>20016</v>
      </c>
      <c r="C18" s="84" t="str">
        <f ca="1">VLOOKUP($B18,OFFSET([2]quests!$A$1,0,0,COUNTA([2]quests!$A:$A),MATCH(C$1,[2]quests!$1:$1,0)-MATCH($B$1,[2]quests!$1:$1,0)+1),MATCH(C$1,[2]quests!$1:$1,0)-MATCH($B$1,[2]quests!$1:$1,0)+1,FALSE)</f>
        <v>寡黙な翼竜の侵攻</v>
      </c>
      <c r="D18" s="84" t="str">
        <f ca="1">VLOOKUP($B18,OFFSET([2]quests!$A$1,0,0,COUNTA([2]quests!$A:$A),MATCH(D$1,[2]quests!$1:$1,0)-MATCH($B$1,[2]quests!$1:$1,0)+1),MATCH(D$1,[2]quests!$1:$1,0)-MATCH($B$1,[2]quests!$1:$1,0)+1,FALSE)</f>
        <v>ギリシャ神話01</v>
      </c>
      <c r="E18" s="85">
        <v>3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【上級】寡黙な翼竜の侵攻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ギリシャ神話01</v>
      </c>
      <c r="H18" s="86">
        <v>4</v>
      </c>
      <c r="I18" s="91">
        <f t="shared" si="0"/>
        <v>17</v>
      </c>
      <c r="J18" s="87" t="str">
        <f t="shared" ref="J18" si="5">B18&amp;TEXT(I18,"00")</f>
        <v>2001617</v>
      </c>
      <c r="K18" s="85" t="s">
        <v>128</v>
      </c>
      <c r="L18" s="88" t="s">
        <v>199</v>
      </c>
      <c r="M18" s="129" t="s">
        <v>248</v>
      </c>
      <c r="N18" s="57" t="s">
        <v>200</v>
      </c>
    </row>
    <row r="19" spans="1:14" ht="56" x14ac:dyDescent="0.15">
      <c r="A19" s="82" t="s">
        <v>197</v>
      </c>
      <c r="B19" s="83">
        <f>floors!$C$2</f>
        <v>20016</v>
      </c>
      <c r="C19" s="84" t="str">
        <f ca="1">VLOOKUP($B19,OFFSET([2]quests!$A$1,0,0,COUNTA([2]quests!$A:$A),MATCH(C$1,[2]quests!$1:$1,0)-MATCH($B$1,[2]quests!$1:$1,0)+1),MATCH(C$1,[2]quests!$1:$1,0)-MATCH($B$1,[2]quests!$1:$1,0)+1,FALSE)</f>
        <v>寡黙な翼竜の侵攻</v>
      </c>
      <c r="D19" s="84" t="str">
        <f ca="1">VLOOKUP($B19,OFFSET([2]quests!$A$1,0,0,COUNTA([2]quests!$A:$A),MATCH(D$1,[2]quests!$1:$1,0)-MATCH($B$1,[2]quests!$1:$1,0)+1),MATCH(D$1,[2]quests!$1:$1,0)-MATCH($B$1,[2]quests!$1:$1,0)+1,FALSE)</f>
        <v>ギリシャ神話01</v>
      </c>
      <c r="E19" s="85">
        <v>3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【上級】寡黙な翼竜の侵攻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ギリシャ神話01</v>
      </c>
      <c r="H19" s="86">
        <v>4</v>
      </c>
      <c r="I19" s="91">
        <f t="shared" si="0"/>
        <v>18</v>
      </c>
      <c r="J19" s="87" t="str">
        <f t="shared" si="1"/>
        <v>2001618</v>
      </c>
      <c r="K19" s="85" t="s">
        <v>128</v>
      </c>
      <c r="L19" s="88" t="s">
        <v>199</v>
      </c>
      <c r="M19" s="129" t="s">
        <v>252</v>
      </c>
      <c r="N19" s="57" t="s">
        <v>200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2017-03-08T03:40:10Z</dcterms:modified>
</cp:coreProperties>
</file>