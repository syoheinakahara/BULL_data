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780" yWindow="-21140" windowWidth="32480" windowHeight="18640" tabRatio="943" firstSheet="1" activeTab="2"/>
  </bookViews>
  <sheets>
    <sheet name="確率の考え方" sheetId="110" r:id="rId1"/>
    <sheet name="Sheet1" sheetId="107" r:id="rId2"/>
    <sheet name="output" sheetId="103" r:id="rId3"/>
    <sheet name="input_543100" sheetId="153" r:id="rId4"/>
    <sheet name="tables_543100" sheetId="154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tables_543100!$A$1:$V$294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53" l="1"/>
  <c r="O44" i="154"/>
  <c r="O47" i="154"/>
  <c r="O50" i="154"/>
  <c r="O53" i="154"/>
  <c r="O2" i="154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O42" i="154"/>
  <c r="O43" i="154"/>
  <c r="O45" i="154"/>
  <c r="O46" i="154"/>
  <c r="O48" i="154"/>
  <c r="O49" i="154"/>
  <c r="O51" i="154"/>
  <c r="O52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O138" i="154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F45" i="153"/>
  <c r="G45" i="153"/>
  <c r="B18" i="153"/>
  <c r="B35" i="153"/>
  <c r="H38" i="153"/>
  <c r="B27" i="153"/>
  <c r="B23" i="153"/>
  <c r="B22" i="153"/>
  <c r="B20" i="153"/>
  <c r="B17" i="153"/>
  <c r="B30" i="153"/>
  <c r="B28" i="153"/>
  <c r="B29" i="153"/>
  <c r="B34" i="153"/>
  <c r="B32" i="153"/>
  <c r="B31" i="153"/>
  <c r="E31" i="153"/>
  <c r="G31" i="153"/>
  <c r="H31" i="153"/>
  <c r="I31" i="153"/>
  <c r="J31" i="153"/>
  <c r="F31" i="153"/>
  <c r="C31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8" i="153"/>
  <c r="E19" i="153"/>
  <c r="B19" i="153"/>
  <c r="E24" i="153"/>
  <c r="B24" i="153"/>
  <c r="I356" i="154"/>
  <c r="D356" i="154"/>
  <c r="J356" i="154"/>
  <c r="E356" i="154"/>
  <c r="F356" i="154"/>
  <c r="C356" i="154"/>
  <c r="A39" i="153"/>
  <c r="R8" i="153"/>
  <c r="O356" i="154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I353" i="154"/>
  <c r="D353" i="154"/>
  <c r="J353" i="154"/>
  <c r="E353" i="154"/>
  <c r="F353" i="154"/>
  <c r="C353" i="154"/>
  <c r="I354" i="154"/>
  <c r="D354" i="154"/>
  <c r="J354" i="154"/>
  <c r="E354" i="154"/>
  <c r="F354" i="154"/>
  <c r="C354" i="154"/>
  <c r="I355" i="154"/>
  <c r="D355" i="154"/>
  <c r="J355" i="154"/>
  <c r="E355" i="154"/>
  <c r="F355" i="154"/>
  <c r="C355" i="154"/>
  <c r="I357" i="154"/>
  <c r="D357" i="154"/>
  <c r="J357" i="154"/>
  <c r="E357" i="154"/>
  <c r="F357" i="154"/>
  <c r="C357" i="154"/>
  <c r="I358" i="154"/>
  <c r="D358" i="154"/>
  <c r="J358" i="154"/>
  <c r="E358" i="154"/>
  <c r="F358" i="154"/>
  <c r="C358" i="154"/>
  <c r="I359" i="154"/>
  <c r="D359" i="154"/>
  <c r="J359" i="154"/>
  <c r="E359" i="154"/>
  <c r="F359" i="154"/>
  <c r="C359" i="154"/>
  <c r="I360" i="154"/>
  <c r="D360" i="154"/>
  <c r="J360" i="154"/>
  <c r="E360" i="154"/>
  <c r="F360" i="154"/>
  <c r="C360" i="154"/>
  <c r="I361" i="154"/>
  <c r="D361" i="154"/>
  <c r="J361" i="154"/>
  <c r="E361" i="154"/>
  <c r="F361" i="154"/>
  <c r="C361" i="154"/>
  <c r="G17" i="153"/>
  <c r="E17" i="153"/>
  <c r="H17" i="153"/>
  <c r="G18" i="153"/>
  <c r="H18" i="153"/>
  <c r="G24" i="153"/>
  <c r="H24" i="153"/>
  <c r="E25" i="153"/>
  <c r="B25" i="153"/>
  <c r="G25" i="153"/>
  <c r="H25" i="153"/>
  <c r="E26" i="153"/>
  <c r="B26" i="153"/>
  <c r="G26" i="153"/>
  <c r="H26" i="153"/>
  <c r="G19" i="153"/>
  <c r="H19" i="153"/>
  <c r="E20" i="153"/>
  <c r="E23" i="153"/>
  <c r="E28" i="153"/>
  <c r="E29" i="153"/>
  <c r="E30" i="153"/>
  <c r="B21" i="153"/>
  <c r="G20" i="153"/>
  <c r="H20" i="153"/>
  <c r="G21" i="153"/>
  <c r="E21" i="153"/>
  <c r="H21" i="153"/>
  <c r="E27" i="153"/>
  <c r="G27" i="153"/>
  <c r="H27" i="153"/>
  <c r="G28" i="153"/>
  <c r="H28" i="153"/>
  <c r="G23" i="153"/>
  <c r="H23" i="153"/>
  <c r="E22" i="153"/>
  <c r="G22" i="153"/>
  <c r="H22" i="153"/>
  <c r="G30" i="153"/>
  <c r="H30" i="153"/>
  <c r="R4" i="153"/>
  <c r="O357" i="154"/>
  <c r="R3" i="153"/>
  <c r="O358" i="154"/>
  <c r="R5" i="153"/>
  <c r="O359" i="154"/>
  <c r="R6" i="153"/>
  <c r="O360" i="154"/>
  <c r="R7" i="153"/>
  <c r="O361" i="154"/>
  <c r="P356" i="154"/>
  <c r="N356" i="154"/>
  <c r="M356" i="154"/>
  <c r="L356" i="154"/>
  <c r="K356" i="154"/>
  <c r="H356" i="154"/>
  <c r="A356" i="154"/>
  <c r="E32" i="153"/>
  <c r="E33" i="153"/>
  <c r="E34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P347" i="154"/>
  <c r="P348" i="154"/>
  <c r="P349" i="154"/>
  <c r="P350" i="154"/>
  <c r="P351" i="154"/>
  <c r="P352" i="154"/>
  <c r="P353" i="154"/>
  <c r="P354" i="154"/>
  <c r="P355" i="154"/>
  <c r="P357" i="154"/>
  <c r="P358" i="154"/>
  <c r="P359" i="154"/>
  <c r="P360" i="154"/>
  <c r="P361" i="154"/>
  <c r="F51" i="153"/>
  <c r="G29" i="153"/>
  <c r="G32" i="153"/>
  <c r="G33" i="153"/>
  <c r="G34" i="153"/>
  <c r="E6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2" i="153"/>
  <c r="C33" i="153"/>
  <c r="C34" i="153"/>
  <c r="C35" i="153"/>
  <c r="D35" i="153"/>
  <c r="H34" i="153"/>
  <c r="I34" i="153"/>
  <c r="J34" i="153"/>
  <c r="F34" i="153"/>
  <c r="D34" i="153"/>
  <c r="H33" i="153"/>
  <c r="I33" i="153"/>
  <c r="J33" i="153"/>
  <c r="F33" i="153"/>
  <c r="D33" i="153"/>
  <c r="H32" i="153"/>
  <c r="I32" i="153"/>
  <c r="J32" i="153"/>
  <c r="F32" i="153"/>
  <c r="D32" i="153"/>
  <c r="I30" i="153"/>
  <c r="J30" i="153"/>
  <c r="F30" i="153"/>
  <c r="H29" i="153"/>
  <c r="I29" i="153"/>
  <c r="J29" i="153"/>
  <c r="F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I20" i="153"/>
  <c r="J20" i="153"/>
  <c r="F20" i="153"/>
  <c r="D20" i="153"/>
  <c r="I19" i="153"/>
  <c r="J19" i="153"/>
  <c r="F19" i="153"/>
  <c r="D19" i="153"/>
  <c r="I18" i="153"/>
  <c r="J18" i="153"/>
  <c r="F18" i="153"/>
  <c r="C18" i="153"/>
  <c r="D18" i="153"/>
  <c r="I17" i="153"/>
  <c r="J17" i="153"/>
  <c r="F17" i="153"/>
  <c r="C17" i="153"/>
  <c r="D17" i="153"/>
  <c r="B10" i="153"/>
  <c r="B6" i="153"/>
  <c r="F44" i="153"/>
  <c r="G44" i="153"/>
  <c r="F43" i="153"/>
  <c r="N361" i="154"/>
  <c r="M361" i="154"/>
  <c r="L361" i="154"/>
  <c r="K361" i="154"/>
  <c r="H361" i="154"/>
  <c r="N360" i="154"/>
  <c r="M360" i="154"/>
  <c r="L360" i="154"/>
  <c r="K360" i="154"/>
  <c r="H360" i="154"/>
  <c r="N359" i="154"/>
  <c r="M359" i="154"/>
  <c r="L359" i="154"/>
  <c r="K359" i="154"/>
  <c r="H359" i="154"/>
  <c r="N358" i="154"/>
  <c r="M358" i="154"/>
  <c r="L358" i="154"/>
  <c r="K358" i="154"/>
  <c r="H358" i="154"/>
  <c r="N357" i="154"/>
  <c r="M357" i="154"/>
  <c r="L357" i="154"/>
  <c r="K357" i="154"/>
  <c r="H357" i="154"/>
  <c r="A361" i="154"/>
  <c r="A360" i="154"/>
  <c r="A359" i="154"/>
  <c r="A358" i="154"/>
  <c r="A357" i="154"/>
  <c r="N355" i="154"/>
  <c r="M355" i="154"/>
  <c r="L355" i="154"/>
  <c r="K355" i="154"/>
  <c r="H355" i="154"/>
  <c r="N354" i="154"/>
  <c r="M354" i="154"/>
  <c r="L354" i="154"/>
  <c r="K354" i="154"/>
  <c r="H354" i="154"/>
  <c r="N353" i="154"/>
  <c r="M353" i="154"/>
  <c r="L353" i="154"/>
  <c r="K353" i="154"/>
  <c r="H353" i="154"/>
  <c r="N352" i="154"/>
  <c r="M352" i="154"/>
  <c r="L352" i="154"/>
  <c r="K352" i="154"/>
  <c r="H352" i="154"/>
  <c r="A355" i="154"/>
  <c r="A354" i="154"/>
  <c r="A353" i="154"/>
  <c r="A352" i="154"/>
  <c r="R9" i="153"/>
  <c r="R10" i="153"/>
  <c r="R11" i="153"/>
  <c r="R12" i="153"/>
  <c r="R13" i="153"/>
  <c r="H349" i="154"/>
  <c r="K349" i="154"/>
  <c r="L349" i="154"/>
  <c r="M349" i="154"/>
  <c r="N349" i="154"/>
  <c r="H350" i="154"/>
  <c r="K350" i="154"/>
  <c r="L350" i="154"/>
  <c r="M350" i="154"/>
  <c r="N350" i="154"/>
  <c r="H351" i="154"/>
  <c r="K351" i="154"/>
  <c r="L351" i="154"/>
  <c r="M351" i="154"/>
  <c r="N351" i="154"/>
  <c r="A349" i="154"/>
  <c r="A350" i="154"/>
  <c r="A351" i="154"/>
  <c r="H341" i="154"/>
  <c r="K341" i="154"/>
  <c r="L341" i="154"/>
  <c r="M341" i="154"/>
  <c r="N341" i="154"/>
  <c r="H342" i="154"/>
  <c r="K342" i="154"/>
  <c r="L342" i="154"/>
  <c r="M342" i="154"/>
  <c r="N342" i="154"/>
  <c r="H343" i="154"/>
  <c r="K343" i="154"/>
  <c r="L343" i="154"/>
  <c r="M343" i="154"/>
  <c r="N343" i="154"/>
  <c r="H344" i="154"/>
  <c r="K344" i="154"/>
  <c r="L344" i="154"/>
  <c r="M344" i="154"/>
  <c r="N344" i="154"/>
  <c r="H345" i="154"/>
  <c r="K345" i="154"/>
  <c r="L345" i="154"/>
  <c r="M345" i="154"/>
  <c r="N345" i="154"/>
  <c r="H346" i="154"/>
  <c r="K346" i="154"/>
  <c r="L346" i="154"/>
  <c r="M346" i="154"/>
  <c r="N346" i="154"/>
  <c r="H347" i="154"/>
  <c r="K347" i="154"/>
  <c r="L347" i="154"/>
  <c r="M347" i="154"/>
  <c r="N347" i="154"/>
  <c r="H348" i="154"/>
  <c r="K348" i="154"/>
  <c r="L348" i="154"/>
  <c r="M348" i="154"/>
  <c r="N348" i="154"/>
  <c r="A341" i="154"/>
  <c r="A342" i="154"/>
  <c r="A343" i="154"/>
  <c r="A344" i="154"/>
  <c r="A345" i="154"/>
  <c r="A346" i="154"/>
  <c r="A347" i="154"/>
  <c r="A348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52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4"/>
  <c r="H285" i="154"/>
  <c r="K285" i="154"/>
  <c r="L285" i="154"/>
  <c r="M285" i="154"/>
  <c r="N285" i="154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3" i="153"/>
  <c r="B45" i="153"/>
  <c r="B46" i="153"/>
  <c r="B47" i="153"/>
  <c r="B48" i="153"/>
  <c r="B49" i="153"/>
  <c r="G43" i="153"/>
  <c r="R20" i="153"/>
  <c r="P20" i="153"/>
  <c r="O20" i="153"/>
  <c r="M20" i="153"/>
  <c r="R19" i="153"/>
  <c r="P19" i="153"/>
  <c r="O19" i="153"/>
  <c r="M19" i="153"/>
  <c r="R18" i="153"/>
  <c r="P18" i="153"/>
  <c r="O18" i="153"/>
  <c r="M18" i="153"/>
  <c r="R17" i="153"/>
  <c r="P17" i="153"/>
  <c r="O17" i="153"/>
  <c r="M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P13" i="153"/>
  <c r="O13" i="153"/>
  <c r="M13" i="153"/>
  <c r="V12" i="153"/>
  <c r="P12" i="153"/>
  <c r="O12" i="153"/>
  <c r="M12" i="153"/>
  <c r="V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F48" i="153"/>
  <c r="F49" i="153"/>
  <c r="B44" i="153"/>
  <c r="B50" i="153"/>
  <c r="C43" i="153"/>
  <c r="C44" i="153"/>
  <c r="C45" i="153"/>
  <c r="C46" i="153"/>
  <c r="C47" i="153"/>
  <c r="C48" i="153"/>
  <c r="C49" i="153"/>
  <c r="C50" i="153"/>
  <c r="F50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<sst xmlns="http://schemas.openxmlformats.org/spreadsheetml/2006/main" count="383" uniqueCount="243">
  <si>
    <t>character_id</t>
  </si>
  <si>
    <t>character_id</t>
    <phoneticPr fontId="24"/>
  </si>
  <si>
    <t>weight</t>
    <phoneticPr fontId="24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</si>
  <si>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</si>
  <si>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</si>
  <si>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</si>
  <si>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</si>
  <si>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</si>
  <si>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</si>
  <si>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</si>
  <si>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4"/>
  </si>
  <si>
    <t>weight</t>
    <phoneticPr fontId="24"/>
  </si>
  <si>
    <t>gift_id</t>
    <phoneticPr fontId="24"/>
  </si>
  <si>
    <t>gift_id</t>
    <phoneticPr fontId="24"/>
  </si>
  <si>
    <t>gift_id</t>
    <phoneticPr fontId="24"/>
  </si>
  <si>
    <t>gift_value</t>
    <phoneticPr fontId="24"/>
  </si>
  <si>
    <t>gift_value</t>
    <phoneticPr fontId="24"/>
  </si>
  <si>
    <t>gift_count</t>
    <phoneticPr fontId="24"/>
  </si>
  <si>
    <t>language</t>
    <phoneticPr fontId="24"/>
  </si>
  <si>
    <t>title</t>
    <phoneticPr fontId="24"/>
  </si>
  <si>
    <t>detail</t>
    <phoneticPr fontId="24"/>
  </si>
  <si>
    <t>message</t>
    <phoneticPr fontId="24"/>
  </si>
  <si>
    <t>gift_type</t>
    <phoneticPr fontId="24"/>
  </si>
  <si>
    <t>備考</t>
    <rPh sb="0" eb="2">
      <t>ビコウ</t>
    </rPh>
    <phoneticPr fontId="24"/>
  </si>
  <si>
    <t>character_id</t>
    <phoneticPr fontId="24"/>
  </si>
  <si>
    <t>name</t>
    <phoneticPr fontId="24"/>
  </si>
  <si>
    <t>drop_label</t>
    <phoneticPr fontId="24"/>
  </si>
  <si>
    <t>rare</t>
    <phoneticPr fontId="24"/>
  </si>
  <si>
    <t>character_type_id</t>
    <phoneticPr fontId="24"/>
  </si>
  <si>
    <t>character_tribe_id</t>
    <phoneticPr fontId="24"/>
  </si>
  <si>
    <t>unit_level</t>
    <phoneticPr fontId="24"/>
  </si>
  <si>
    <t>接頭語</t>
    <rPh sb="0" eb="3">
      <t>セットウゴ</t>
    </rPh>
    <phoneticPr fontId="57"/>
  </si>
  <si>
    <t>識別子</t>
    <rPh sb="0" eb="3">
      <t>シキベツシ</t>
    </rPh>
    <phoneticPr fontId="57"/>
  </si>
  <si>
    <t>形式</t>
    <rPh sb="0" eb="2">
      <t>ケイシキ</t>
    </rPh>
    <phoneticPr fontId="57"/>
  </si>
  <si>
    <t>出力ファイル名</t>
    <rPh sb="0" eb="2">
      <t>シュツリョク</t>
    </rPh>
    <rPh sb="6" eb="7">
      <t>メイ</t>
    </rPh>
    <phoneticPr fontId="57"/>
  </si>
  <si>
    <t>入力シート名</t>
    <rPh sb="0" eb="2">
      <t>ニュウリョク</t>
    </rPh>
    <rPh sb="5" eb="6">
      <t>メイ</t>
    </rPh>
    <phoneticPr fontId="57"/>
  </si>
  <si>
    <t>出力データ</t>
    <rPh sb="0" eb="2">
      <t>シュツリョク</t>
    </rPh>
    <phoneticPr fontId="57"/>
  </si>
  <si>
    <t>.tmp</t>
    <phoneticPr fontId="57"/>
  </si>
  <si>
    <t>.tmp</t>
    <phoneticPr fontId="57"/>
  </si>
  <si>
    <t>gacha_bonus_tables</t>
    <phoneticPr fontId="57"/>
  </si>
  <si>
    <t>gifts_tmp_</t>
    <phoneticPr fontId="24"/>
  </si>
  <si>
    <t>gifts_i18n_</t>
    <phoneticPr fontId="24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</si>
  <si>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4"/>
  </si>
  <si>
    <t>出力flg</t>
    <rPh sb="0" eb="2">
      <t>シュツリョク</t>
    </rPh>
    <phoneticPr fontId="57"/>
  </si>
  <si>
    <t>color</t>
    <phoneticPr fontId="24"/>
  </si>
  <si>
    <t>レアリティ別確率</t>
    <rPh sb="5" eb="6">
      <t>ベツ</t>
    </rPh>
    <rPh sb="6" eb="8">
      <t>カクリツ</t>
    </rPh>
    <phoneticPr fontId="24"/>
  </si>
  <si>
    <t>ラベル別確率</t>
    <rPh sb="3" eb="4">
      <t>ベツ</t>
    </rPh>
    <rPh sb="4" eb="6">
      <t>カクリツ</t>
    </rPh>
    <phoneticPr fontId="24"/>
  </si>
  <si>
    <t>SSS</t>
    <phoneticPr fontId="24"/>
  </si>
  <si>
    <t>SS</t>
    <phoneticPr fontId="24"/>
  </si>
  <si>
    <t>ラベル*レアリティ標準確率</t>
    <rPh sb="9" eb="11">
      <t>ヒョウジュン</t>
    </rPh>
    <rPh sb="11" eb="13">
      <t>カクリツ</t>
    </rPh>
    <phoneticPr fontId="24"/>
  </si>
  <si>
    <t>性別</t>
    <rPh sb="0" eb="2">
      <t>セイベツ</t>
    </rPh>
    <phoneticPr fontId="24"/>
  </si>
  <si>
    <t>合計</t>
    <rPh sb="0" eb="2">
      <t>ゴウケイ</t>
    </rPh>
    <phoneticPr fontId="24"/>
  </si>
  <si>
    <t>グループ</t>
    <phoneticPr fontId="24"/>
  </si>
  <si>
    <t>ピックアップ確率</t>
    <rPh sb="6" eb="8">
      <t>カクリツ</t>
    </rPh>
    <phoneticPr fontId="24"/>
  </si>
  <si>
    <t>残り確率</t>
    <rPh sb="0" eb="1">
      <t>ノコ</t>
    </rPh>
    <rPh sb="2" eb="4">
      <t>カクリツ</t>
    </rPh>
    <phoneticPr fontId="24"/>
  </si>
  <si>
    <t>確率</t>
    <rPh sb="0" eb="2">
      <t>カクリツ</t>
    </rPh>
    <phoneticPr fontId="24"/>
  </si>
  <si>
    <t>所属グループ</t>
    <rPh sb="0" eb="2">
      <t>ショゾク</t>
    </rPh>
    <phoneticPr fontId="24"/>
  </si>
  <si>
    <t>名前</t>
    <rPh sb="0" eb="2">
      <t>ナマエ</t>
    </rPh>
    <phoneticPr fontId="24"/>
  </si>
  <si>
    <t>レアリティ</t>
    <phoneticPr fontId="24"/>
  </si>
  <si>
    <t>ラベル</t>
    <phoneticPr fontId="24"/>
  </si>
  <si>
    <t>R3</t>
    <phoneticPr fontId="24"/>
  </si>
  <si>
    <t>R4</t>
    <phoneticPr fontId="24"/>
  </si>
  <si>
    <t>R5</t>
    <phoneticPr fontId="24"/>
  </si>
  <si>
    <t>個別確率</t>
    <rPh sb="0" eb="4">
      <t>コベツカクリツ</t>
    </rPh>
    <phoneticPr fontId="24"/>
  </si>
  <si>
    <t>該当数(ピックアップ除く)</t>
    <rPh sb="0" eb="2">
      <t>ガイトウ</t>
    </rPh>
    <rPh sb="2" eb="3">
      <t>スウ</t>
    </rPh>
    <rPh sb="10" eb="11">
      <t>ノゾ</t>
    </rPh>
    <phoneticPr fontId="24"/>
  </si>
  <si>
    <t>個別weight</t>
    <rPh sb="0" eb="2">
      <t>コベツ</t>
    </rPh>
    <phoneticPr fontId="24"/>
  </si>
  <si>
    <t>グループweight</t>
    <phoneticPr fontId="24"/>
  </si>
  <si>
    <t>端数</t>
    <rPh sb="0" eb="2">
      <t>ハスウ</t>
    </rPh>
    <phoneticPr fontId="24"/>
  </si>
  <si>
    <t>--検算用--</t>
    <rPh sb="3" eb="6">
      <t>ケンザンヨウ</t>
    </rPh>
    <phoneticPr fontId="24"/>
  </si>
  <si>
    <t>端数逆数</t>
    <rPh sb="0" eb="2">
      <t>ハスウ</t>
    </rPh>
    <rPh sb="2" eb="4">
      <t>ギャクスウ</t>
    </rPh>
    <phoneticPr fontId="24"/>
  </si>
  <si>
    <t>テーブルを増やしたい場合</t>
    <rPh sb="5" eb="6">
      <t>フ</t>
    </rPh>
    <rPh sb="10" eb="12">
      <t>バアイ</t>
    </rPh>
    <phoneticPr fontId="24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</si>
  <si>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4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</si>
  <si>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4"/>
  </si>
  <si>
    <t>３．outputシートで２で作ったtablesを指定する</t>
    <rPh sb="14" eb="15">
      <t>ツク</t>
    </rPh>
    <rPh sb="24" eb="26">
      <t>シテイ</t>
    </rPh>
    <phoneticPr fontId="24"/>
  </si>
  <si>
    <t>テーブルid</t>
    <phoneticPr fontId="24"/>
  </si>
  <si>
    <t>→ピックアップの確率は右のほうにいます</t>
    <rPh sb="8" eb="10">
      <t>カクリツ</t>
    </rPh>
    <rPh sb="11" eb="12">
      <t>ミギ</t>
    </rPh>
    <phoneticPr fontId="24"/>
  </si>
  <si>
    <t>table_no</t>
    <phoneticPr fontId="24"/>
  </si>
  <si>
    <t>table_no</t>
    <phoneticPr fontId="24"/>
  </si>
  <si>
    <t>skill_level</t>
  </si>
  <si>
    <t>level</t>
  </si>
  <si>
    <t>drop_label2</t>
    <phoneticPr fontId="24"/>
  </si>
  <si>
    <t>Premium</t>
    <phoneticPr fontId="24"/>
  </si>
  <si>
    <t>Premium3</t>
    <phoneticPr fontId="24"/>
  </si>
  <si>
    <t>Premium4</t>
    <phoneticPr fontId="24"/>
  </si>
  <si>
    <t>Premium5</t>
    <phoneticPr fontId="24"/>
  </si>
  <si>
    <t>グループ確率</t>
    <rPh sb="4" eb="6">
      <t>カクリツ</t>
    </rPh>
    <phoneticPr fontId="24"/>
  </si>
  <si>
    <t>レア度別確率</t>
    <rPh sb="2" eb="4">
      <t>ドベツ</t>
    </rPh>
    <rPh sb="4" eb="6">
      <t>カクリツ</t>
    </rPh>
    <phoneticPr fontId="24"/>
  </si>
  <si>
    <t>color2</t>
    <phoneticPr fontId="24"/>
  </si>
  <si>
    <t>Premium3</t>
  </si>
  <si>
    <t>Premium4</t>
  </si>
  <si>
    <t>Premium5</t>
  </si>
  <si>
    <t>PremiumSS4</t>
    <phoneticPr fontId="24"/>
  </si>
  <si>
    <t>PremiumSS5</t>
    <phoneticPr fontId="24"/>
  </si>
  <si>
    <t>PremiumSSS5</t>
    <phoneticPr fontId="24"/>
  </si>
  <si>
    <t>PremiumSSS4</t>
    <phoneticPr fontId="24"/>
  </si>
  <si>
    <t>gacha_select_tables_</t>
    <phoneticPr fontId="24"/>
  </si>
  <si>
    <t>ラベル確率で考えましょう</t>
    <rPh sb="6" eb="7">
      <t>カンガエマショウ</t>
    </rPh>
    <phoneticPr fontId="57"/>
  </si>
  <si>
    <t>ラベル</t>
    <phoneticPr fontId="57"/>
  </si>
  <si>
    <t>レアリティ</t>
    <phoneticPr fontId="57"/>
  </si>
  <si>
    <t>{W}</t>
    <phoneticPr fontId="57"/>
  </si>
  <si>
    <t>{N,S}</t>
    <phoneticPr fontId="57"/>
  </si>
  <si>
    <t>{N,S}R3less</t>
    <phoneticPr fontId="57"/>
  </si>
  <si>
    <t>{N,S}R6release</t>
    <phoneticPr fontId="57"/>
  </si>
  <si>
    <t>{SS}</t>
    <phoneticPr fontId="57"/>
  </si>
  <si>
    <t>{SS}R6only</t>
    <phoneticPr fontId="57"/>
  </si>
  <si>
    <t>小計</t>
    <rPh sb="0" eb="2">
      <t>ショウケイ</t>
    </rPh>
    <phoneticPr fontId="57"/>
  </si>
  <si>
    <t>A</t>
    <phoneticPr fontId="57"/>
  </si>
  <si>
    <t>C</t>
    <phoneticPr fontId="57"/>
  </si>
  <si>
    <t>H</t>
    <phoneticPr fontId="57"/>
  </si>
  <si>
    <t>B</t>
    <phoneticPr fontId="57"/>
  </si>
  <si>
    <t>D</t>
    <phoneticPr fontId="57"/>
  </si>
  <si>
    <t>F</t>
    <phoneticPr fontId="57"/>
  </si>
  <si>
    <t>I</t>
    <phoneticPr fontId="57"/>
  </si>
  <si>
    <t>K</t>
    <phoneticPr fontId="57"/>
  </si>
  <si>
    <t>E</t>
    <phoneticPr fontId="57"/>
  </si>
  <si>
    <t>G</t>
    <phoneticPr fontId="57"/>
  </si>
  <si>
    <t>J</t>
    <phoneticPr fontId="57"/>
  </si>
  <si>
    <t>L</t>
    <phoneticPr fontId="57"/>
  </si>
  <si>
    <t>M</t>
    <phoneticPr fontId="57"/>
  </si>
  <si>
    <t>→</t>
    <phoneticPr fontId="57"/>
  </si>
  <si>
    <t>1-SS率</t>
    <rPh sb="4" eb="5">
      <t>リツ</t>
    </rPh>
    <phoneticPr fontId="57"/>
  </si>
  <si>
    <t>SS率</t>
    <rPh sb="2" eb="3">
      <t>リツ</t>
    </rPh>
    <phoneticPr fontId="57"/>
  </si>
  <si>
    <t>考え方を変える</t>
    <rPh sb="0" eb="1">
      <t>カンガエカタ</t>
    </rPh>
    <rPh sb="4" eb="5">
      <t>カエル</t>
    </rPh>
    <phoneticPr fontId="57"/>
  </si>
  <si>
    <t>SS4%は確定事項</t>
    <rPh sb="5" eb="7">
      <t>カクテイ</t>
    </rPh>
    <rPh sb="7" eb="9">
      <t>ジコウ</t>
    </rPh>
    <phoneticPr fontId="57"/>
  </si>
  <si>
    <t>当たりは分配</t>
    <rPh sb="0" eb="1">
      <t>アタリ</t>
    </rPh>
    <rPh sb="4" eb="6">
      <t>ブンパイ</t>
    </rPh>
    <phoneticPr fontId="57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</si>
  <si>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7"/>
  </si>
  <si>
    <t>=</t>
    <phoneticPr fontId="57"/>
  </si>
  <si>
    <t>X*{SS R5only}</t>
    <phoneticPr fontId="57"/>
  </si>
  <si>
    <t>K</t>
    <phoneticPr fontId="57"/>
  </si>
  <si>
    <t>=</t>
    <phoneticPr fontId="57"/>
  </si>
  <si>
    <t>X*{SS}*(R3率+R4率)</t>
    <rPh sb="10" eb="11">
      <t>リツ</t>
    </rPh>
    <rPh sb="14" eb="15">
      <t>リツ</t>
    </rPh>
    <phoneticPr fontId="57"/>
  </si>
  <si>
    <t>L</t>
    <phoneticPr fontId="57"/>
  </si>
  <si>
    <t>X*{SS}*R5率</t>
    <rPh sb="9" eb="10">
      <t>リツ</t>
    </rPh>
    <phoneticPr fontId="57"/>
  </si>
  <si>
    <t>X*{R6release}*R3率</t>
    <rPh sb="16" eb="17">
      <t>リツ</t>
    </rPh>
    <phoneticPr fontId="57"/>
  </si>
  <si>
    <t>X*{R6release}*R4率</t>
    <rPh sb="16" eb="17">
      <t>リツ</t>
    </rPh>
    <phoneticPr fontId="57"/>
  </si>
  <si>
    <t>J</t>
    <phoneticPr fontId="57"/>
  </si>
  <si>
    <t>X*{R6release}*R5率</t>
    <rPh sb="16" eb="17">
      <t>リツ</t>
    </rPh>
    <phoneticPr fontId="57"/>
  </si>
  <si>
    <t>ハズレで確率を整える</t>
    <rPh sb="4" eb="6">
      <t>カクリツ</t>
    </rPh>
    <rPh sb="7" eb="8">
      <t>トトノエル</t>
    </rPh>
    <phoneticPr fontId="57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</si>
  <si>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7"/>
  </si>
  <si>
    <t>A + C</t>
    <phoneticPr fontId="57"/>
  </si>
  <si>
    <t>=</t>
    <phoneticPr fontId="57"/>
  </si>
  <si>
    <t>50%-H</t>
    <phoneticPr fontId="57"/>
  </si>
  <si>
    <t>①</t>
    <phoneticPr fontId="57"/>
  </si>
  <si>
    <t>B + D + F</t>
    <phoneticPr fontId="57"/>
  </si>
  <si>
    <t>45%-I-K</t>
    <phoneticPr fontId="57"/>
  </si>
  <si>
    <t>②</t>
    <phoneticPr fontId="57"/>
  </si>
  <si>
    <t>E+G</t>
    <phoneticPr fontId="57"/>
  </si>
  <si>
    <t>5%-J-L-M</t>
    <phoneticPr fontId="57"/>
  </si>
  <si>
    <t>③</t>
    <phoneticPr fontId="57"/>
  </si>
  <si>
    <t>A+B</t>
    <phoneticPr fontId="57"/>
  </si>
  <si>
    <t>Y*{W}</t>
    <phoneticPr fontId="57"/>
  </si>
  <si>
    <t>④</t>
    <phoneticPr fontId="57"/>
  </si>
  <si>
    <t>C+D+E</t>
    <phoneticPr fontId="57"/>
  </si>
  <si>
    <t>Y*{N,S}</t>
    <phoneticPr fontId="57"/>
  </si>
  <si>
    <t>⑤</t>
    <phoneticPr fontId="57"/>
  </si>
  <si>
    <t>F+G</t>
    <phoneticPr fontId="57"/>
  </si>
  <si>
    <t>Y*{N,S R3less}</t>
    <phoneticPr fontId="57"/>
  </si>
  <si>
    <t>⑥</t>
    <phoneticPr fontId="57"/>
  </si>
  <si>
    <t>A+B+C+D+E+F+G</t>
    <phoneticPr fontId="57"/>
  </si>
  <si>
    <t>⑦</t>
    <phoneticPr fontId="57"/>
  </si>
  <si>
    <t>←これは4,5,6で作れるのでダメだわ</t>
    <rPh sb="10" eb="11">
      <t>ツクレル</t>
    </rPh>
    <phoneticPr fontId="57"/>
  </si>
  <si>
    <t>E*R3率/R5率</t>
    <rPh sb="4" eb="5">
      <t>リツ</t>
    </rPh>
    <rPh sb="8" eb="9">
      <t>リツ</t>
    </rPh>
    <phoneticPr fontId="57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</si>
  <si>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7"/>
  </si>
  <si>
    <t>E*R4率/R5率</t>
    <rPh sb="4" eb="5">
      <t>リツ</t>
    </rPh>
    <rPh sb="8" eb="9">
      <t>リツ</t>
    </rPh>
    <phoneticPr fontId="57"/>
  </si>
  <si>
    <t>∴</t>
    <phoneticPr fontId="57"/>
  </si>
  <si>
    <t>E</t>
    <phoneticPr fontId="57"/>
  </si>
  <si>
    <t>Y*{N,S}*R5率</t>
    <rPh sb="10" eb="11">
      <t>リツ</t>
    </rPh>
    <phoneticPr fontId="57"/>
  </si>
  <si>
    <t>Y*{N,S}*R4率</t>
    <rPh sb="10" eb="11">
      <t>リツ</t>
    </rPh>
    <phoneticPr fontId="57"/>
  </si>
  <si>
    <t>Y*{N,S}*R3率</t>
    <rPh sb="10" eb="11">
      <t>リツ</t>
    </rPh>
    <phoneticPr fontId="57"/>
  </si>
  <si>
    <t>50%-H-C</t>
    <phoneticPr fontId="57"/>
  </si>
  <si>
    <t>Y*{W}-A</t>
    <phoneticPr fontId="57"/>
  </si>
  <si>
    <t>5%-J-L-M-E</t>
    <phoneticPr fontId="57"/>
  </si>
  <si>
    <t>Y*{N,S R3less} - G</t>
    <phoneticPr fontId="57"/>
  </si>
  <si>
    <t>R6境界前後</t>
    <rPh sb="2" eb="4">
      <t>キョウカイ</t>
    </rPh>
    <rPh sb="4" eb="6">
      <t>ゼンゴ</t>
    </rPh>
    <phoneticPr fontId="24"/>
  </si>
  <si>
    <t>R6事後開放N,S</t>
    <rPh sb="2" eb="6">
      <t>ジゴカイホウ</t>
    </rPh>
    <phoneticPr fontId="24"/>
  </si>
  <si>
    <t>PremiumW3</t>
    <phoneticPr fontId="24"/>
  </si>
  <si>
    <t>PremiumW4</t>
    <phoneticPr fontId="24"/>
  </si>
  <si>
    <t>ラベル確率</t>
    <rPh sb="3" eb="5">
      <t>カクリツ</t>
    </rPh>
    <phoneticPr fontId="24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</si>
  <si>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</si>
  <si>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</si>
  <si>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</si>
  <si>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</si>
  <si>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</si>
  <si>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4"/>
  </si>
  <si>
    <t>PremiumSS5R5only</t>
  </si>
  <si>
    <t>計算用中間データ</t>
    <rPh sb="0" eb="3">
      <t>ケイサンヨウ</t>
    </rPh>
    <rPh sb="3" eb="5">
      <t>チュウカン</t>
    </rPh>
    <phoneticPr fontId="24"/>
  </si>
  <si>
    <t>X</t>
    <phoneticPr fontId="24"/>
  </si>
  <si>
    <t>Y</t>
    <phoneticPr fontId="24"/>
  </si>
  <si>
    <t>対象数</t>
    <rPh sb="0" eb="3">
      <t>タイショウスウ</t>
    </rPh>
    <phoneticPr fontId="24"/>
  </si>
  <si>
    <t>PremiumW</t>
    <phoneticPr fontId="24"/>
  </si>
  <si>
    <t>PremiumN</t>
    <phoneticPr fontId="24"/>
  </si>
  <si>
    <t>PremiumS</t>
    <phoneticPr fontId="24"/>
  </si>
  <si>
    <t>PremiumSS</t>
    <phoneticPr fontId="24"/>
  </si>
  <si>
    <t>除外確率</t>
    <rPh sb="0" eb="2">
      <t>ジョガイ</t>
    </rPh>
    <rPh sb="2" eb="4">
      <t>カクリツ</t>
    </rPh>
    <phoneticPr fontId="24"/>
  </si>
  <si>
    <t>除外数</t>
    <rPh sb="0" eb="3">
      <t>ジョガイスウ</t>
    </rPh>
    <phoneticPr fontId="24"/>
  </si>
  <si>
    <t>もうここは手で入れよう…</t>
    <rPh sb="5" eb="6">
      <t>テ</t>
    </rPh>
    <rPh sb="7" eb="8">
      <t>イレヨウ</t>
    </rPh>
    <phoneticPr fontId="24"/>
  </si>
  <si>
    <t>通常weight</t>
    <rPh sb="0" eb="2">
      <t>ツウジョウ</t>
    </rPh>
    <phoneticPr fontId="24"/>
  </si>
  <si>
    <t>A</t>
    <phoneticPr fontId="24"/>
  </si>
  <si>
    <t>B</t>
    <phoneticPr fontId="24"/>
  </si>
  <si>
    <t>PremiumW4</t>
    <phoneticPr fontId="24"/>
  </si>
  <si>
    <t>C</t>
    <phoneticPr fontId="24"/>
  </si>
  <si>
    <t>Premium3</t>
    <phoneticPr fontId="24"/>
  </si>
  <si>
    <t>D</t>
    <phoneticPr fontId="24"/>
  </si>
  <si>
    <t>Premium4</t>
    <phoneticPr fontId="24"/>
  </si>
  <si>
    <t>E</t>
    <phoneticPr fontId="24"/>
  </si>
  <si>
    <t>Premium5</t>
    <phoneticPr fontId="24"/>
  </si>
  <si>
    <t>F</t>
    <phoneticPr fontId="24"/>
  </si>
  <si>
    <t>Premium4R3less</t>
    <phoneticPr fontId="24"/>
  </si>
  <si>
    <t>G</t>
    <phoneticPr fontId="24"/>
  </si>
  <si>
    <t>Premium5R3less</t>
    <phoneticPr fontId="24"/>
  </si>
  <si>
    <t>H</t>
    <phoneticPr fontId="24"/>
  </si>
  <si>
    <t>I</t>
    <phoneticPr fontId="24"/>
  </si>
  <si>
    <t>J</t>
    <phoneticPr fontId="24"/>
  </si>
  <si>
    <t>K</t>
    <phoneticPr fontId="24"/>
  </si>
  <si>
    <t>Premium3R6release</t>
    <phoneticPr fontId="24"/>
  </si>
  <si>
    <t>Premium4R6release</t>
    <phoneticPr fontId="24"/>
  </si>
  <si>
    <t>Premium5R6release</t>
    <phoneticPr fontId="24"/>
  </si>
  <si>
    <t>PremiumSS4</t>
    <phoneticPr fontId="24"/>
  </si>
  <si>
    <t>PremiumSS5</t>
    <phoneticPr fontId="24"/>
  </si>
  <si>
    <t>L</t>
    <phoneticPr fontId="24"/>
  </si>
  <si>
    <t>M</t>
    <phoneticPr fontId="24"/>
  </si>
  <si>
    <t>PremiumSS5R5only</t>
    <phoneticPr fontId="24"/>
  </si>
  <si>
    <t>50% - H - C</t>
    <phoneticPr fontId="24"/>
  </si>
  <si>
    <t>PremiumSSS4R3less</t>
    <phoneticPr fontId="24"/>
  </si>
  <si>
    <t>PremiumSSS5R3less</t>
    <phoneticPr fontId="24"/>
  </si>
  <si>
    <t>skip</t>
    <phoneticPr fontId="24"/>
  </si>
  <si>
    <t>tables_363104</t>
    <phoneticPr fontId="24"/>
  </si>
  <si>
    <t>tables_363105</t>
    <phoneticPr fontId="24"/>
  </si>
  <si>
    <t>tables_363100</t>
    <phoneticPr fontId="24"/>
  </si>
  <si>
    <t>old</t>
    <phoneticPr fontId="24"/>
  </si>
  <si>
    <t>gacha_settle_tables_</t>
    <phoneticPr fontId="24"/>
  </si>
  <si>
    <t>.tmp</t>
    <phoneticPr fontId="57"/>
  </si>
  <si>
    <t>tables_settle_443100</t>
    <phoneticPr fontId="24"/>
  </si>
  <si>
    <t>PremiumSSw</t>
    <phoneticPr fontId="24"/>
  </si>
  <si>
    <t>skip</t>
    <phoneticPr fontId="24"/>
  </si>
  <si>
    <t>tables_455010</t>
    <phoneticPr fontId="24"/>
  </si>
  <si>
    <t>skip</t>
    <phoneticPr fontId="24"/>
  </si>
  <si>
    <t>tables_543100</t>
    <phoneticPr fontId="24"/>
  </si>
  <si>
    <t>Premium3</t>
    <phoneticPr fontId="24"/>
  </si>
  <si>
    <t>Premium5</t>
    <phoneticPr fontId="24"/>
  </si>
  <si>
    <t>PremiumSS6R5only</t>
    <phoneticPr fontId="24"/>
  </si>
  <si>
    <t>PremiumSSS6R3less</t>
    <phoneticPr fontId="24"/>
  </si>
  <si>
    <t>PremiumSS4R5only</t>
    <phoneticPr fontId="2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</si>
</sst>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5" formatCode="0.000"/>
  </numFmts>
  <fonts count="62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7">
    <xf numFmtId="0" fontId="0" fillId="0" borderId="0"/>
    <xf numFmtId="0" fontId="23" fillId="0" borderId="0"/>
    <xf numFmtId="0" fontId="27" fillId="0" borderId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22" fillId="0" borderId="0"/>
    <xf numFmtId="0" fontId="34" fillId="5" borderId="2" applyNumberFormat="0" applyAlignment="0" applyProtection="0"/>
    <xf numFmtId="0" fontId="35" fillId="6" borderId="0" applyNumberFormat="0" applyBorder="0" applyAlignment="0" applyProtection="0"/>
    <xf numFmtId="0" fontId="36" fillId="7" borderId="3" applyNumberFormat="0" applyAlignment="0" applyProtection="0"/>
    <xf numFmtId="0" fontId="37" fillId="0" borderId="0" applyNumberFormat="0" applyFill="0" applyBorder="0" applyAlignment="0" applyProtection="0"/>
    <xf numFmtId="0" fontId="38" fillId="8" borderId="0" applyNumberFormat="0" applyBorder="0" applyAlignment="0" applyProtection="0"/>
    <xf numFmtId="0" fontId="39" fillId="9" borderId="4" applyNumberFormat="0" applyAlignment="0" applyProtection="0"/>
    <xf numFmtId="0" fontId="40" fillId="0" borderId="0" applyNumberFormat="0" applyFill="0" applyBorder="0" applyAlignment="0" applyProtection="0"/>
    <xf numFmtId="0" fontId="41" fillId="0" borderId="5" applyNumberFormat="0" applyFill="0" applyAlignment="0" applyProtection="0"/>
    <xf numFmtId="0" fontId="42" fillId="0" borderId="6" applyNumberFormat="0" applyFill="0" applyAlignment="0" applyProtection="0"/>
    <xf numFmtId="0" fontId="43" fillId="0" borderId="7" applyNumberFormat="0" applyFill="0" applyAlignment="0" applyProtection="0"/>
    <xf numFmtId="0" fontId="43" fillId="0" borderId="0" applyNumberFormat="0" applyFill="0" applyBorder="0" applyAlignment="0" applyProtection="0"/>
    <xf numFmtId="0" fontId="44" fillId="7" borderId="0" applyNumberFormat="0" applyBorder="0" applyAlignment="0" applyProtection="0"/>
    <xf numFmtId="0" fontId="44" fillId="6" borderId="0" applyNumberFormat="0" applyBorder="0" applyAlignment="0" applyProtection="0"/>
    <xf numFmtId="0" fontId="44" fillId="10" borderId="0" applyNumberFormat="0" applyBorder="0" applyAlignment="0" applyProtection="0"/>
    <xf numFmtId="0" fontId="44" fillId="7" borderId="0" applyNumberFormat="0" applyBorder="0" applyAlignment="0" applyProtection="0"/>
    <xf numFmtId="0" fontId="44" fillId="11" borderId="0" applyNumberFormat="0" applyBorder="0" applyAlignment="0" applyProtection="0"/>
    <xf numFmtId="0" fontId="44" fillId="5" borderId="0" applyNumberFormat="0" applyBorder="0" applyAlignment="0" applyProtection="0"/>
    <xf numFmtId="0" fontId="44" fillId="7" borderId="0" applyNumberFormat="0" applyBorder="0" applyAlignment="0" applyProtection="0"/>
    <xf numFmtId="0" fontId="44" fillId="12" borderId="0" applyNumberFormat="0" applyBorder="0" applyAlignment="0" applyProtection="0"/>
    <xf numFmtId="0" fontId="44" fillId="10" borderId="0" applyNumberFormat="0" applyBorder="0" applyAlignment="0" applyProtection="0"/>
    <xf numFmtId="0" fontId="44" fillId="7" borderId="0" applyNumberFormat="0" applyBorder="0" applyAlignment="0" applyProtection="0"/>
    <xf numFmtId="0" fontId="44" fillId="13" borderId="0" applyNumberFormat="0" applyBorder="0" applyAlignment="0" applyProtection="0"/>
    <xf numFmtId="0" fontId="44" fillId="6" borderId="0" applyNumberFormat="0" applyBorder="0" applyAlignment="0" applyProtection="0"/>
    <xf numFmtId="0" fontId="45" fillId="14" borderId="0" applyNumberFormat="0" applyBorder="0" applyAlignment="0" applyProtection="0"/>
    <xf numFmtId="0" fontId="45" fillId="12" borderId="0" applyNumberFormat="0" applyBorder="0" applyAlignment="0" applyProtection="0"/>
    <xf numFmtId="0" fontId="45" fillId="10" borderId="0" applyNumberFormat="0" applyBorder="0" applyAlignment="0" applyProtection="0"/>
    <xf numFmtId="0" fontId="45" fillId="7" borderId="0" applyNumberFormat="0" applyBorder="0" applyAlignment="0" applyProtection="0"/>
    <xf numFmtId="0" fontId="45" fillId="14" borderId="0" applyNumberFormat="0" applyBorder="0" applyAlignment="0" applyProtection="0"/>
    <xf numFmtId="0" fontId="45" fillId="6" borderId="0" applyNumberFormat="0" applyBorder="0" applyAlignment="0" applyProtection="0"/>
    <xf numFmtId="0" fontId="37" fillId="0" borderId="0" applyNumberFormat="0" applyFill="0" applyBorder="0" applyAlignment="0" applyProtection="0"/>
    <xf numFmtId="0" fontId="45" fillId="14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6" borderId="0" applyNumberFormat="0" applyBorder="0" applyAlignment="0" applyProtection="0"/>
    <xf numFmtId="0" fontId="45" fillId="14" borderId="0" applyNumberFormat="0" applyBorder="0" applyAlignment="0" applyProtection="0"/>
    <xf numFmtId="0" fontId="45" fillId="12" borderId="0" applyNumberFormat="0" applyBorder="0" applyAlignment="0" applyProtection="0"/>
    <xf numFmtId="0" fontId="46" fillId="17" borderId="0" applyNumberFormat="0" applyBorder="0" applyAlignment="0" applyProtection="0"/>
    <xf numFmtId="0" fontId="35" fillId="6" borderId="0" applyNumberFormat="0" applyBorder="0" applyAlignment="0" applyProtection="0"/>
    <xf numFmtId="0" fontId="47" fillId="0" borderId="8" applyNumberFormat="0" applyFill="0" applyAlignment="0" applyProtection="0"/>
    <xf numFmtId="0" fontId="48" fillId="7" borderId="9" applyNumberFormat="0" applyAlignment="0" applyProtection="0"/>
    <xf numFmtId="0" fontId="48" fillId="18" borderId="9" applyNumberFormat="0" applyAlignment="0" applyProtection="0"/>
    <xf numFmtId="0" fontId="36" fillId="6" borderId="3" applyNumberFormat="0" applyAlignment="0" applyProtection="0"/>
    <xf numFmtId="0" fontId="49" fillId="0" borderId="10" applyNumberFormat="0" applyFill="0" applyAlignment="0" applyProtection="0"/>
    <xf numFmtId="0" fontId="50" fillId="18" borderId="3" applyNumberFormat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38" fontId="22" fillId="0" borderId="0" applyFont="0" applyFill="0" applyBorder="0" applyAlignment="0" applyProtection="0">
      <alignment vertical="center"/>
    </xf>
    <xf numFmtId="0" fontId="53" fillId="19" borderId="0" applyNumberFormat="0" applyBorder="0" applyAlignment="0" applyProtection="0"/>
    <xf numFmtId="0" fontId="54" fillId="20" borderId="0" applyNumberFormat="0" applyBorder="0" applyAlignment="0" applyProtection="0"/>
    <xf numFmtId="0" fontId="22" fillId="0" borderId="0"/>
    <xf numFmtId="0" fontId="55" fillId="20" borderId="0" applyNumberFormat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7" fillId="0" borderId="0"/>
    <xf numFmtId="0" fontId="58" fillId="0" borderId="0">
      <alignment vertical="center"/>
    </xf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5" fillId="0" borderId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9" fontId="5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1" fillId="0" borderId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</cellStyleXfs>
  <cellXfs count="99">
    <xf numFmtId="0" fontId="0" fillId="0" borderId="0" xfId="0"/>
    <xf numFmtId="0" fontId="29" fillId="0" borderId="0" xfId="2" applyFont="1" applyAlignment="1">
      <alignment vertical="center"/>
    </xf>
    <xf numFmtId="0" fontId="29" fillId="0" borderId="1" xfId="2" applyFont="1" applyBorder="1" applyAlignment="1">
      <alignment vertical="center"/>
    </xf>
    <xf numFmtId="0" fontId="29" fillId="3" borderId="1" xfId="2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4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horizontal="right" vertical="center"/>
    </xf>
    <xf numFmtId="0" fontId="29" fillId="3" borderId="1" xfId="2" applyFont="1" applyFill="1" applyBorder="1" applyAlignment="1">
      <alignment vertical="center"/>
    </xf>
    <xf numFmtId="0" fontId="30" fillId="4" borderId="1" xfId="0" applyFont="1" applyFill="1" applyBorder="1" applyAlignment="1">
      <alignment vertical="center"/>
    </xf>
    <xf numFmtId="0" fontId="29" fillId="0" borderId="13" xfId="2" applyFont="1" applyBorder="1" applyAlignment="1">
      <alignment vertical="center"/>
    </xf>
    <xf numFmtId="0" fontId="28" fillId="4" borderId="12" xfId="0" applyFont="1" applyFill="1" applyBorder="1" applyAlignment="1">
      <alignment horizontal="right" vertical="center"/>
    </xf>
    <xf numFmtId="0" fontId="28" fillId="4" borderId="14" xfId="0" applyFont="1" applyFill="1" applyBorder="1" applyAlignment="1">
      <alignment horizontal="right" vertical="center"/>
    </xf>
    <xf numFmtId="0" fontId="29" fillId="0" borderId="15" xfId="2" applyFont="1" applyBorder="1" applyAlignment="1">
      <alignment vertical="center"/>
    </xf>
    <xf numFmtId="0" fontId="29" fillId="2" borderId="1" xfId="2" applyFont="1" applyFill="1" applyBorder="1" applyAlignment="1">
      <alignment horizontal="left" vertical="center"/>
    </xf>
    <xf numFmtId="0" fontId="29" fillId="2" borderId="1" xfId="2" applyFont="1" applyFill="1" applyBorder="1" applyAlignment="1">
      <alignment horizontal="center" vertical="center"/>
    </xf>
    <xf numFmtId="0" fontId="31" fillId="21" borderId="1" xfId="2978" applyFont="1" applyFill="1" applyBorder="1"/>
    <xf numFmtId="0" fontId="17" fillId="21" borderId="1" xfId="2978" applyFill="1" applyBorder="1"/>
    <xf numFmtId="0" fontId="17" fillId="0" borderId="0" xfId="2978"/>
    <xf numFmtId="0" fontId="17" fillId="0" borderId="1" xfId="2978" applyBorder="1"/>
    <xf numFmtId="0" fontId="17" fillId="2" borderId="1" xfId="2978" applyFill="1" applyBorder="1"/>
    <xf numFmtId="0" fontId="21" fillId="2" borderId="1" xfId="19" applyFont="1" applyFill="1" applyBorder="1"/>
    <xf numFmtId="0" fontId="22" fillId="2" borderId="1" xfId="19" applyFill="1" applyBorder="1"/>
    <xf numFmtId="0" fontId="20" fillId="2" borderId="1" xfId="19" applyFont="1" applyFill="1" applyBorder="1"/>
    <xf numFmtId="0" fontId="18" fillId="2" borderId="1" xfId="19" applyFont="1" applyFill="1" applyBorder="1"/>
    <xf numFmtId="0" fontId="19" fillId="2" borderId="1" xfId="19" applyFont="1" applyFill="1" applyBorder="1"/>
    <xf numFmtId="0" fontId="17" fillId="2" borderId="1" xfId="19" applyFont="1" applyFill="1" applyBorder="1"/>
    <xf numFmtId="0" fontId="16" fillId="0" borderId="1" xfId="2978" applyFont="1" applyBorder="1"/>
    <xf numFmtId="0" fontId="31" fillId="21" borderId="1" xfId="0" applyFont="1" applyFill="1" applyBorder="1"/>
    <xf numFmtId="0" fontId="56" fillId="22" borderId="1" xfId="0" applyFont="1" applyFill="1" applyBorder="1" applyAlignment="1">
      <alignment horizontal="center" vertical="center"/>
    </xf>
    <xf numFmtId="0" fontId="56" fillId="3" borderId="1" xfId="0" applyFont="1" applyFill="1" applyBorder="1" applyAlignment="1">
      <alignment vertical="center"/>
    </xf>
    <xf numFmtId="0" fontId="0" fillId="4" borderId="0" xfId="0" applyFill="1"/>
    <xf numFmtId="0" fontId="14" fillId="0" borderId="1" xfId="2978" applyFont="1" applyBorder="1"/>
    <xf numFmtId="0" fontId="0" fillId="0" borderId="1" xfId="0" applyBorder="1"/>
    <xf numFmtId="0" fontId="0" fillId="24" borderId="0" xfId="0" applyFill="1"/>
    <xf numFmtId="0" fontId="0" fillId="23" borderId="0" xfId="0" applyFill="1"/>
    <xf numFmtId="0" fontId="0" fillId="25" borderId="0" xfId="0" applyFill="1"/>
    <xf numFmtId="0" fontId="0" fillId="3" borderId="1" xfId="0" applyFill="1" applyBorder="1"/>
    <xf numFmtId="0" fontId="0" fillId="26" borderId="0" xfId="0" applyFill="1"/>
    <xf numFmtId="0" fontId="0" fillId="27" borderId="1" xfId="0" applyFill="1" applyBorder="1"/>
    <xf numFmtId="177" fontId="0" fillId="27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8" borderId="1" xfId="0" applyFill="1" applyBorder="1"/>
    <xf numFmtId="177" fontId="0" fillId="28" borderId="1" xfId="3575" applyNumberFormat="1" applyFont="1" applyFill="1" applyBorder="1"/>
    <xf numFmtId="0" fontId="0" fillId="0" borderId="0" xfId="0" quotePrefix="1"/>
    <xf numFmtId="0" fontId="0" fillId="27" borderId="0" xfId="0" applyFill="1"/>
    <xf numFmtId="0" fontId="13" fillId="2" borderId="1" xfId="19" applyFont="1" applyFill="1" applyBorder="1"/>
    <xf numFmtId="0" fontId="13" fillId="4" borderId="1" xfId="2978" applyFont="1" applyFill="1" applyBorder="1"/>
    <xf numFmtId="0" fontId="0" fillId="2" borderId="0" xfId="0" applyFill="1"/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8" fillId="24" borderId="1" xfId="0" applyFont="1" applyFill="1" applyBorder="1" applyAlignment="1">
      <alignment horizontal="right" vertical="center"/>
    </xf>
    <xf numFmtId="0" fontId="12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11" fillId="0" borderId="0" xfId="3662"/>
    <xf numFmtId="0" fontId="11" fillId="4" borderId="0" xfId="3662" applyFill="1"/>
    <xf numFmtId="9" fontId="11" fillId="0" borderId="0" xfId="3662" applyNumberFormat="1"/>
    <xf numFmtId="0" fontId="11" fillId="0" borderId="0" xfId="3662" applyFill="1"/>
    <xf numFmtId="9" fontId="11" fillId="0" borderId="0" xfId="3662" applyNumberFormat="1" applyAlignment="1"/>
    <xf numFmtId="0" fontId="11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60" fillId="0" borderId="0" xfId="0" applyFont="1"/>
    <xf numFmtId="177" fontId="0" fillId="29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61" fillId="30" borderId="1" xfId="0" applyNumberFormat="1" applyFont="1" applyFill="1" applyBorder="1"/>
    <xf numFmtId="0" fontId="29" fillId="24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10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9" fillId="0" borderId="1" xfId="3036" applyFont="1" applyBorder="1"/>
    <xf numFmtId="10" fontId="0" fillId="4" borderId="0" xfId="0" applyNumberFormat="1" applyFill="1"/>
    <xf numFmtId="0" fontId="8" fillId="4" borderId="1" xfId="2978" applyFont="1" applyFill="1" applyBorder="1"/>
    <xf numFmtId="0" fontId="8" fillId="0" borderId="1" xfId="3036" applyFont="1" applyBorder="1"/>
    <xf numFmtId="0" fontId="30" fillId="24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7" fillId="0" borderId="1" xfId="2978" applyFont="1" applyBorder="1"/>
    <xf numFmtId="0" fontId="7" fillId="4" borderId="1" xfId="2978" applyFont="1" applyFill="1" applyBorder="1"/>
    <xf numFmtId="0" fontId="29" fillId="3" borderId="14" xfId="2" applyFont="1" applyFill="1" applyBorder="1" applyAlignment="1">
      <alignment vertical="center"/>
    </xf>
    <xf numFmtId="0" fontId="6" fillId="4" borderId="1" xfId="2978" applyFont="1" applyFill="1" applyBorder="1"/>
    <xf numFmtId="0" fontId="5" fillId="0" borderId="1" xfId="3036" applyFont="1" applyBorder="1"/>
    <xf numFmtId="0" fontId="4" fillId="4" borderId="1" xfId="2978" applyFont="1" applyFill="1" applyBorder="1"/>
    <xf numFmtId="0" fontId="3" fillId="0" borderId="1" xfId="3036" applyFont="1" applyBorder="1"/>
    <xf numFmtId="178" fontId="0" fillId="0" borderId="0" xfId="0" applyNumberFormat="1"/>
    <xf numFmtId="0" fontId="29" fillId="0" borderId="0" xfId="2" applyFont="1" applyFill="1" applyAlignment="1">
      <alignment vertical="center"/>
    </xf>
    <xf numFmtId="0" fontId="2" fillId="4" borderId="1" xfId="2978" applyFont="1" applyFill="1" applyBorder="1"/>
    <xf numFmtId="181" fontId="0" fillId="27" borderId="1" xfId="0" applyNumberFormat="1" applyFill="1" applyBorder="1"/>
    <xf numFmtId="181" fontId="0" fillId="27" borderId="1" xfId="3575" applyNumberFormat="1" applyFont="1" applyFill="1" applyBorder="1"/>
    <xf numFmtId="180" fontId="0" fillId="4" borderId="1" xfId="0" applyNumberFormat="1" applyFill="1" applyBorder="1"/>
    <xf numFmtId="181" fontId="0" fillId="0" borderId="0" xfId="0" applyNumberFormat="1"/>
    <xf numFmtId="185" fontId="0" fillId="0" borderId="0" xfId="0" applyNumberFormat="1"/>
  </cellXfs>
  <cellStyles count="3667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ハイパーリンク" xfId="3665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表示済みのハイパーリンク" xfId="3666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1433</v>
          </cell>
          <cell r="B1400" t="str">
            <v>ja</v>
          </cell>
          <cell r="C1400" t="str">
            <v>超越の果実</v>
          </cell>
          <cell r="D1400" t="str">
            <v>スキル進化素材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yellow</v>
          </cell>
          <cell r="I1400">
            <v>3</v>
          </cell>
          <cell r="J1400" t="str">
            <v>Material</v>
          </cell>
          <cell r="K1400" t="str">
            <v>limitbreak</v>
          </cell>
          <cell r="L1400" t="str">
            <v>限界突破素材</v>
          </cell>
          <cell r="M1400" t="str">
            <v>unknown</v>
          </cell>
        </row>
        <row r="1401">
          <cell r="A1401">
            <v>1434</v>
          </cell>
          <cell r="B1401" t="str">
            <v>ja</v>
          </cell>
          <cell r="C1401" t="str">
            <v>メガ超越の果実</v>
          </cell>
          <cell r="D1401" t="str">
            <v>スキル進化素材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yellow</v>
          </cell>
          <cell r="I1401">
            <v>4</v>
          </cell>
          <cell r="J1401" t="str">
            <v>Material</v>
          </cell>
          <cell r="K1401" t="str">
            <v>limitbreak</v>
          </cell>
          <cell r="L1401" t="str">
            <v>限界突破素材</v>
          </cell>
          <cell r="M1401" t="str">
            <v>unknown</v>
          </cell>
        </row>
        <row r="1402">
          <cell r="A1402">
            <v>1435</v>
          </cell>
          <cell r="B1402" t="str">
            <v>ja</v>
          </cell>
          <cell r="C1402" t="str">
            <v>ギガ超越の果実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5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1458</v>
          </cell>
          <cell r="B1403" t="str">
            <v>ja</v>
          </cell>
          <cell r="C1403" t="str">
            <v>diamond01</v>
          </cell>
          <cell r="H1403" t="str">
            <v>red</v>
          </cell>
          <cell r="I1403">
            <v>5</v>
          </cell>
          <cell r="J1403" t="str">
            <v>PremiumSS</v>
          </cell>
          <cell r="K1403" t="str">
            <v>attack</v>
          </cell>
          <cell r="L1403" t="str">
            <v>攻撃タイプ</v>
          </cell>
          <cell r="M1403" t="str">
            <v>human</v>
          </cell>
        </row>
        <row r="1404">
          <cell r="A1404">
            <v>1459</v>
          </cell>
          <cell r="B1404" t="str">
            <v>ja</v>
          </cell>
          <cell r="C1404" t="str">
            <v>diamond02</v>
          </cell>
          <cell r="H1404" t="str">
            <v>red</v>
          </cell>
          <cell r="I1404">
            <v>6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human</v>
          </cell>
        </row>
        <row r="1405">
          <cell r="A1405">
            <v>1460</v>
          </cell>
          <cell r="B1405" t="str">
            <v>ja</v>
          </cell>
          <cell r="C1405" t="str">
            <v>opal01</v>
          </cell>
          <cell r="H1405" t="str">
            <v>blue</v>
          </cell>
          <cell r="I1405">
            <v>4</v>
          </cell>
          <cell r="J1405" t="str">
            <v>PremiumS</v>
          </cell>
          <cell r="K1405" t="str">
            <v>technical</v>
          </cell>
          <cell r="L1405" t="str">
            <v>テクニカルタイプ</v>
          </cell>
          <cell r="M1405" t="str">
            <v>human</v>
          </cell>
        </row>
        <row r="1406">
          <cell r="A1406">
            <v>1461</v>
          </cell>
          <cell r="B1406" t="str">
            <v>ja</v>
          </cell>
          <cell r="C1406" t="str">
            <v>opal02</v>
          </cell>
          <cell r="H1406" t="str">
            <v>blue</v>
          </cell>
          <cell r="I1406">
            <v>5</v>
          </cell>
          <cell r="J1406" t="str">
            <v>PremiumS</v>
          </cell>
          <cell r="K1406" t="str">
            <v>technical</v>
          </cell>
          <cell r="L1406" t="str">
            <v>テクニカルタイプ</v>
          </cell>
          <cell r="M1406" t="str">
            <v>human</v>
          </cell>
        </row>
        <row r="1407">
          <cell r="A1407">
            <v>1462</v>
          </cell>
          <cell r="B1407" t="str">
            <v>ja</v>
          </cell>
          <cell r="C1407" t="str">
            <v>ruby01</v>
          </cell>
          <cell r="H1407" t="str">
            <v>yellow</v>
          </cell>
          <cell r="I1407">
            <v>5</v>
          </cell>
          <cell r="J1407" t="str">
            <v>PremiumSS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1463</v>
          </cell>
          <cell r="B1408" t="str">
            <v>ja</v>
          </cell>
          <cell r="C1408" t="str">
            <v>ruby02</v>
          </cell>
          <cell r="H1408" t="str">
            <v>yellow</v>
          </cell>
          <cell r="I1408">
            <v>6</v>
          </cell>
          <cell r="J1408" t="str">
            <v>PremiumSS</v>
          </cell>
          <cell r="K1408" t="str">
            <v>technical</v>
          </cell>
          <cell r="L1408" t="str">
            <v>テクニカルタイプ</v>
          </cell>
          <cell r="M1408" t="str">
            <v>human</v>
          </cell>
        </row>
        <row r="1409">
          <cell r="A1409">
            <v>1464</v>
          </cell>
          <cell r="B1409" t="str">
            <v>ja</v>
          </cell>
          <cell r="C1409" t="str">
            <v>garnet01</v>
          </cell>
          <cell r="H1409" t="str">
            <v>yellow</v>
          </cell>
          <cell r="I1409">
            <v>5</v>
          </cell>
          <cell r="J1409" t="str">
            <v>PremiumSS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1465</v>
          </cell>
          <cell r="B1410" t="str">
            <v>ja</v>
          </cell>
          <cell r="C1410" t="str">
            <v>garnet02</v>
          </cell>
          <cell r="H1410" t="str">
            <v>yellow</v>
          </cell>
          <cell r="I1410">
            <v>6</v>
          </cell>
          <cell r="J1410" t="str">
            <v>PremiumSS</v>
          </cell>
          <cell r="K1410" t="str">
            <v>balance</v>
          </cell>
          <cell r="L1410" t="str">
            <v>バランスタイプ</v>
          </cell>
          <cell r="M1410" t="str">
            <v>unknown</v>
          </cell>
        </row>
        <row r="1411">
          <cell r="A1411">
            <v>1466</v>
          </cell>
          <cell r="B1411" t="str">
            <v>ja</v>
          </cell>
          <cell r="C1411" t="str">
            <v>sapphire01</v>
          </cell>
          <cell r="H1411" t="str">
            <v>blue</v>
          </cell>
          <cell r="I1411">
            <v>5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1467</v>
          </cell>
          <cell r="B1412" t="str">
            <v>ja</v>
          </cell>
          <cell r="C1412" t="str">
            <v>sapphire02</v>
          </cell>
          <cell r="H1412" t="str">
            <v>blue</v>
          </cell>
          <cell r="I1412">
            <v>6</v>
          </cell>
          <cell r="J1412" t="str">
            <v>material</v>
          </cell>
          <cell r="K1412" t="str">
            <v>exp</v>
          </cell>
          <cell r="L1412" t="str">
            <v>強化素材タイプ</v>
          </cell>
          <cell r="M1412" t="str">
            <v>unknown</v>
          </cell>
        </row>
        <row r="1413">
          <cell r="A1413">
            <v>1468</v>
          </cell>
          <cell r="B1413" t="str">
            <v>ja</v>
          </cell>
          <cell r="C1413" t="str">
            <v>emerald01</v>
          </cell>
          <cell r="H1413" t="str">
            <v>green</v>
          </cell>
          <cell r="I1413">
            <v>5</v>
          </cell>
          <cell r="J1413" t="str">
            <v>material</v>
          </cell>
          <cell r="K1413" t="str">
            <v>exp</v>
          </cell>
          <cell r="L1413" t="str">
            <v>強化素材タイプ</v>
          </cell>
          <cell r="M1413" t="str">
            <v>unknown</v>
          </cell>
        </row>
        <row r="1414">
          <cell r="A1414">
            <v>1469</v>
          </cell>
          <cell r="B1414" t="str">
            <v>ja</v>
          </cell>
          <cell r="C1414" t="str">
            <v>aquamarine01</v>
          </cell>
          <cell r="H1414" t="str">
            <v>yellow</v>
          </cell>
          <cell r="I1414">
            <v>5</v>
          </cell>
          <cell r="J1414" t="str">
            <v>material</v>
          </cell>
          <cell r="K1414" t="str">
            <v>exp</v>
          </cell>
          <cell r="L1414" t="str">
            <v>強化素材タイプ</v>
          </cell>
          <cell r="M1414" t="str">
            <v>unknown</v>
          </cell>
        </row>
        <row r="1415">
          <cell r="A1415">
            <v>1470</v>
          </cell>
          <cell r="B1415" t="str">
            <v>ja</v>
          </cell>
          <cell r="C1415" t="str">
            <v>amethyst01</v>
          </cell>
          <cell r="H1415" t="str">
            <v>red</v>
          </cell>
          <cell r="I1415">
            <v>5</v>
          </cell>
          <cell r="J1415" t="str">
            <v>material</v>
          </cell>
          <cell r="K1415" t="str">
            <v>exp</v>
          </cell>
          <cell r="L1415" t="str">
            <v>強化素材タイプ</v>
          </cell>
          <cell r="M1415" t="str">
            <v>unknown</v>
          </cell>
        </row>
        <row r="1416">
          <cell r="A1416">
            <v>1504</v>
          </cell>
          <cell r="B1416" t="str">
            <v>ja</v>
          </cell>
          <cell r="C1416" t="str">
            <v>magenta01</v>
          </cell>
          <cell r="H1416" t="str">
            <v>red</v>
          </cell>
          <cell r="I1416">
            <v>1</v>
          </cell>
          <cell r="J1416" t="str">
            <v>Drop1T</v>
          </cell>
          <cell r="K1416" t="str">
            <v>balance</v>
          </cell>
          <cell r="L1416" t="str">
            <v>バランスタイプ</v>
          </cell>
          <cell r="M1416" t="str">
            <v>unknown</v>
          </cell>
        </row>
        <row r="1417">
          <cell r="A1417">
            <v>1505</v>
          </cell>
          <cell r="B1417" t="str">
            <v>ja</v>
          </cell>
          <cell r="C1417" t="str">
            <v>amber01</v>
          </cell>
          <cell r="H1417" t="str">
            <v>green</v>
          </cell>
          <cell r="I1417">
            <v>1</v>
          </cell>
          <cell r="J1417" t="str">
            <v>Drop1T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1506</v>
          </cell>
          <cell r="B1418" t="str">
            <v>ja</v>
          </cell>
          <cell r="C1418" t="str">
            <v>pumpkin01</v>
          </cell>
          <cell r="H1418" t="str">
            <v>yellow</v>
          </cell>
          <cell r="I1418">
            <v>2</v>
          </cell>
          <cell r="J1418" t="str">
            <v>Drop1S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1507</v>
          </cell>
          <cell r="B1419" t="str">
            <v>ja</v>
          </cell>
          <cell r="C1419" t="str">
            <v>rose01</v>
          </cell>
          <cell r="H1419" t="str">
            <v>blue</v>
          </cell>
          <cell r="I1419">
            <v>3</v>
          </cell>
          <cell r="J1419" t="str">
            <v>Drop2N</v>
          </cell>
          <cell r="K1419" t="str">
            <v>technical</v>
          </cell>
          <cell r="L1419" t="str">
            <v>テクニカルタイプ</v>
          </cell>
          <cell r="M1419" t="str">
            <v>unknown</v>
          </cell>
        </row>
        <row r="1420">
          <cell r="A1420">
            <v>1508</v>
          </cell>
          <cell r="B1420" t="str">
            <v>ja</v>
          </cell>
          <cell r="C1420" t="str">
            <v>burgundy01</v>
          </cell>
          <cell r="H1420" t="str">
            <v>red</v>
          </cell>
          <cell r="I1420">
            <v>4</v>
          </cell>
          <cell r="J1420" t="str">
            <v>Drop2N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1509</v>
          </cell>
          <cell r="B1421" t="str">
            <v>ja</v>
          </cell>
          <cell r="C1421" t="str">
            <v>cyan01</v>
          </cell>
          <cell r="H1421" t="str">
            <v>green</v>
          </cell>
          <cell r="I1421">
            <v>5</v>
          </cell>
          <cell r="J1421" t="str">
            <v>Drop2N</v>
          </cell>
          <cell r="K1421" t="str">
            <v>hp</v>
          </cell>
          <cell r="L1421" t="str">
            <v>体力タイプ</v>
          </cell>
          <cell r="M1421" t="str">
            <v>god</v>
          </cell>
        </row>
        <row r="1422">
          <cell r="A1422">
            <v>1510</v>
          </cell>
          <cell r="B1422" t="str">
            <v>ja</v>
          </cell>
          <cell r="C1422" t="str">
            <v>scarlet01</v>
          </cell>
          <cell r="H1422" t="str">
            <v>yellow</v>
          </cell>
          <cell r="I1422">
            <v>4</v>
          </cell>
          <cell r="J1422" t="str">
            <v>DropWizS</v>
          </cell>
          <cell r="K1422" t="str">
            <v>balance</v>
          </cell>
          <cell r="L1422" t="str">
            <v>バランスタイプ</v>
          </cell>
          <cell r="M1422" t="str">
            <v>god</v>
          </cell>
        </row>
        <row r="1423">
          <cell r="A1423">
            <v>1511</v>
          </cell>
          <cell r="B1423" t="str">
            <v>ja</v>
          </cell>
          <cell r="C1423" t="str">
            <v>scarlet02</v>
          </cell>
          <cell r="H1423" t="str">
            <v>yellow</v>
          </cell>
          <cell r="I1423">
            <v>5</v>
          </cell>
          <cell r="J1423" t="str">
            <v>DropWizS</v>
          </cell>
          <cell r="K1423" t="str">
            <v>balance</v>
          </cell>
          <cell r="L1423" t="str">
            <v>バランスタイプ</v>
          </cell>
          <cell r="M1423" t="str">
            <v>god</v>
          </cell>
        </row>
        <row r="1424">
          <cell r="A1424">
            <v>1512</v>
          </cell>
          <cell r="B1424" t="str">
            <v>ja</v>
          </cell>
          <cell r="C1424" t="str">
            <v>scarlet03</v>
          </cell>
          <cell r="H1424" t="str">
            <v>yellow</v>
          </cell>
          <cell r="I1424">
            <v>6</v>
          </cell>
          <cell r="J1424" t="str">
            <v>DropWizS</v>
          </cell>
          <cell r="K1424" t="str">
            <v>balance</v>
          </cell>
          <cell r="L1424" t="str">
            <v>バランスタイプ</v>
          </cell>
          <cell r="M1424" t="str">
            <v>god</v>
          </cell>
        </row>
        <row r="1425">
          <cell r="A1425">
            <v>1513</v>
          </cell>
          <cell r="B1425" t="str">
            <v>ja</v>
          </cell>
          <cell r="C1425" t="str">
            <v>gold01</v>
          </cell>
          <cell r="H1425" t="str">
            <v>yellow</v>
          </cell>
          <cell r="I1425">
            <v>4</v>
          </cell>
          <cell r="J1425" t="str">
            <v>Material</v>
          </cell>
          <cell r="K1425" t="str">
            <v>coin</v>
          </cell>
          <cell r="L1425" t="str">
            <v>コインタイプ</v>
          </cell>
          <cell r="M1425" t="str">
            <v>unknown</v>
          </cell>
        </row>
        <row r="1426">
          <cell r="A1426">
            <v>1514</v>
          </cell>
          <cell r="B1426" t="str">
            <v>ja</v>
          </cell>
          <cell r="C1426" t="str">
            <v>gold02</v>
          </cell>
          <cell r="H1426" t="str">
            <v>yellow</v>
          </cell>
          <cell r="I1426">
            <v>5</v>
          </cell>
          <cell r="J1426" t="str">
            <v>Material</v>
          </cell>
          <cell r="K1426" t="str">
            <v>coin</v>
          </cell>
          <cell r="L1426" t="str">
            <v>コインタイプ</v>
          </cell>
          <cell r="M1426" t="str">
            <v>unknown</v>
          </cell>
        </row>
        <row r="1427">
          <cell r="A1427">
            <v>1515</v>
          </cell>
          <cell r="B1427" t="str">
            <v>ja</v>
          </cell>
          <cell r="C1427" t="str">
            <v>red01</v>
          </cell>
          <cell r="H1427" t="str">
            <v>red</v>
          </cell>
          <cell r="I1427">
            <v>4</v>
          </cell>
          <cell r="J1427" t="str">
            <v>Material</v>
          </cell>
          <cell r="K1427" t="str">
            <v>exp</v>
          </cell>
          <cell r="L1427" t="str">
            <v>強化素材タイプ</v>
          </cell>
          <cell r="M1427" t="str">
            <v>unknown</v>
          </cell>
        </row>
        <row r="1428">
          <cell r="A1428">
            <v>1516</v>
          </cell>
          <cell r="B1428" t="str">
            <v>ja</v>
          </cell>
          <cell r="C1428" t="str">
            <v>red02</v>
          </cell>
          <cell r="H1428" t="str">
            <v>red</v>
          </cell>
          <cell r="I1428">
            <v>5</v>
          </cell>
          <cell r="J1428" t="str">
            <v>Material</v>
          </cell>
          <cell r="K1428" t="str">
            <v>exp</v>
          </cell>
          <cell r="L1428" t="str">
            <v>強化素材タイプ</v>
          </cell>
          <cell r="M1428" t="str">
            <v>unknown</v>
          </cell>
        </row>
        <row r="1429">
          <cell r="A1429">
            <v>1517</v>
          </cell>
          <cell r="B1429" t="str">
            <v>ja</v>
          </cell>
          <cell r="C1429" t="str">
            <v>blue01</v>
          </cell>
          <cell r="H1429" t="str">
            <v>blue</v>
          </cell>
          <cell r="I1429">
            <v>4</v>
          </cell>
          <cell r="J1429" t="str">
            <v>Material</v>
          </cell>
          <cell r="K1429" t="str">
            <v>exp</v>
          </cell>
          <cell r="L1429" t="str">
            <v>強化素材タイプ</v>
          </cell>
          <cell r="M1429" t="str">
            <v>unknown</v>
          </cell>
        </row>
        <row r="1430">
          <cell r="A1430">
            <v>1518</v>
          </cell>
          <cell r="B1430" t="str">
            <v>ja</v>
          </cell>
          <cell r="C1430" t="str">
            <v>blue02</v>
          </cell>
          <cell r="H1430" t="str">
            <v>blue</v>
          </cell>
          <cell r="I1430">
            <v>5</v>
          </cell>
          <cell r="J1430" t="str">
            <v>Material</v>
          </cell>
          <cell r="K1430" t="str">
            <v>exp</v>
          </cell>
          <cell r="L1430" t="str">
            <v>強化素材タイプ</v>
          </cell>
          <cell r="M1430" t="str">
            <v>unknown</v>
          </cell>
        </row>
        <row r="1431">
          <cell r="A1431">
            <v>1519</v>
          </cell>
          <cell r="B1431" t="str">
            <v>ja</v>
          </cell>
          <cell r="C1431" t="str">
            <v>green01</v>
          </cell>
          <cell r="H1431" t="str">
            <v>green</v>
          </cell>
          <cell r="I1431">
            <v>4</v>
          </cell>
          <cell r="J1431" t="str">
            <v>Material</v>
          </cell>
          <cell r="K1431" t="str">
            <v>exp</v>
          </cell>
          <cell r="L1431" t="str">
            <v>強化素材タイプ</v>
          </cell>
          <cell r="M1431" t="str">
            <v>unknown</v>
          </cell>
        </row>
        <row r="1432">
          <cell r="A1432">
            <v>1520</v>
          </cell>
          <cell r="B1432" t="str">
            <v>ja</v>
          </cell>
          <cell r="C1432" t="str">
            <v>green02</v>
          </cell>
          <cell r="H1432" t="str">
            <v>green</v>
          </cell>
          <cell r="I1432">
            <v>5</v>
          </cell>
          <cell r="J1432" t="str">
            <v>Material</v>
          </cell>
          <cell r="K1432" t="str">
            <v>exp</v>
          </cell>
          <cell r="L1432" t="str">
            <v>強化素材タイプ</v>
          </cell>
          <cell r="M1432" t="str">
            <v>unknown</v>
          </cell>
        </row>
        <row r="1433">
          <cell r="A1433">
            <v>1521</v>
          </cell>
          <cell r="B1433" t="str">
            <v>ja</v>
          </cell>
          <cell r="C1433" t="str">
            <v>yellow01</v>
          </cell>
          <cell r="H1433" t="str">
            <v>yellow</v>
          </cell>
          <cell r="I1433">
            <v>4</v>
          </cell>
          <cell r="J1433" t="str">
            <v>Material</v>
          </cell>
          <cell r="K1433" t="str">
            <v>exp</v>
          </cell>
          <cell r="L1433" t="str">
            <v>強化素材タイプ</v>
          </cell>
          <cell r="M1433" t="str">
            <v>unknown</v>
          </cell>
        </row>
        <row r="1434">
          <cell r="A1434">
            <v>1522</v>
          </cell>
          <cell r="B1434" t="str">
            <v>ja</v>
          </cell>
          <cell r="C1434" t="str">
            <v>yellow02</v>
          </cell>
          <cell r="H1434" t="str">
            <v>yellow</v>
          </cell>
          <cell r="I1434">
            <v>5</v>
          </cell>
          <cell r="J1434" t="str">
            <v>Material</v>
          </cell>
          <cell r="K1434" t="str">
            <v>exp</v>
          </cell>
          <cell r="L1434" t="str">
            <v>強化素材タイプ</v>
          </cell>
          <cell r="M1434" t="str">
            <v>unknown</v>
          </cell>
        </row>
        <row r="1435">
          <cell r="A1435">
            <v>1523</v>
          </cell>
          <cell r="B1435" t="str">
            <v>ja</v>
          </cell>
          <cell r="C1435" t="str">
            <v>olive01</v>
          </cell>
          <cell r="H1435" t="str">
            <v>blue</v>
          </cell>
          <cell r="I1435">
            <v>5</v>
          </cell>
          <cell r="J1435" t="str">
            <v>DropWizS</v>
          </cell>
          <cell r="K1435" t="str">
            <v>balance</v>
          </cell>
          <cell r="L1435" t="str">
            <v>バランスタイプ</v>
          </cell>
          <cell r="M1435" t="str">
            <v>animal</v>
          </cell>
        </row>
        <row r="1436">
          <cell r="A1436">
            <v>1524</v>
          </cell>
          <cell r="B1436" t="str">
            <v>ja</v>
          </cell>
          <cell r="C1436" t="str">
            <v>olive02</v>
          </cell>
          <cell r="H1436" t="str">
            <v>blue</v>
          </cell>
          <cell r="I1436">
            <v>6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animal</v>
          </cell>
        </row>
        <row r="1437">
          <cell r="A1437">
            <v>1525</v>
          </cell>
          <cell r="B1437" t="str">
            <v>ja</v>
          </cell>
          <cell r="C1437" t="str">
            <v>white01</v>
          </cell>
          <cell r="H1437" t="str">
            <v>red</v>
          </cell>
          <cell r="I1437">
            <v>5</v>
          </cell>
          <cell r="J1437" t="str">
            <v>DropWizSS</v>
          </cell>
          <cell r="K1437" t="str">
            <v>balance</v>
          </cell>
          <cell r="L1437" t="str">
            <v>バランスタイプ</v>
          </cell>
          <cell r="M1437" t="str">
            <v>animal</v>
          </cell>
        </row>
        <row r="1438">
          <cell r="A1438">
            <v>1526</v>
          </cell>
          <cell r="B1438" t="str">
            <v>ja</v>
          </cell>
          <cell r="C1438" t="str">
            <v>white02</v>
          </cell>
          <cell r="H1438" t="str">
            <v>red</v>
          </cell>
          <cell r="I1438">
            <v>6</v>
          </cell>
          <cell r="J1438" t="str">
            <v>DropWizSS</v>
          </cell>
          <cell r="K1438" t="str">
            <v>balance</v>
          </cell>
          <cell r="L1438" t="str">
            <v>バランスタイプ</v>
          </cell>
          <cell r="M1438" t="str">
            <v>animal</v>
          </cell>
        </row>
        <row r="1439">
          <cell r="A1439">
            <v>1527</v>
          </cell>
          <cell r="B1439" t="str">
            <v>ja</v>
          </cell>
          <cell r="C1439" t="str">
            <v>violet01</v>
          </cell>
          <cell r="H1439" t="str">
            <v>red</v>
          </cell>
          <cell r="I1439">
            <v>4</v>
          </cell>
          <cell r="J1439" t="str">
            <v>PremiumS</v>
          </cell>
          <cell r="K1439" t="str">
            <v>attack</v>
          </cell>
          <cell r="L1439" t="str">
            <v>攻撃タイプ</v>
          </cell>
          <cell r="M1439" t="str">
            <v>animal</v>
          </cell>
        </row>
        <row r="1440">
          <cell r="A1440">
            <v>1528</v>
          </cell>
          <cell r="B1440" t="str">
            <v>ja</v>
          </cell>
          <cell r="C1440" t="str">
            <v>violet02</v>
          </cell>
          <cell r="H1440" t="str">
            <v>red</v>
          </cell>
          <cell r="I1440">
            <v>5</v>
          </cell>
          <cell r="J1440" t="str">
            <v>PremiumS</v>
          </cell>
          <cell r="K1440" t="str">
            <v>attack</v>
          </cell>
          <cell r="L1440" t="str">
            <v>攻撃タイプ</v>
          </cell>
          <cell r="M1440" t="str">
            <v>animal</v>
          </cell>
        </row>
        <row r="1441">
          <cell r="A1441">
            <v>1529</v>
          </cell>
          <cell r="B1441" t="str">
            <v>ja</v>
          </cell>
          <cell r="C1441" t="str">
            <v>mint01</v>
          </cell>
          <cell r="H1441" t="str">
            <v>blue</v>
          </cell>
          <cell r="I1441">
            <v>4</v>
          </cell>
          <cell r="J1441" t="str">
            <v>PremiumS</v>
          </cell>
          <cell r="K1441" t="str">
            <v>balance</v>
          </cell>
          <cell r="L1441" t="str">
            <v>バランスタイプ</v>
          </cell>
          <cell r="M1441" t="str">
            <v>unknown</v>
          </cell>
        </row>
        <row r="1442">
          <cell r="A1442">
            <v>1530</v>
          </cell>
          <cell r="B1442" t="str">
            <v>ja</v>
          </cell>
          <cell r="C1442" t="str">
            <v>mint02</v>
          </cell>
          <cell r="H1442" t="str">
            <v>blue</v>
          </cell>
          <cell r="I1442">
            <v>5</v>
          </cell>
          <cell r="J1442" t="str">
            <v>PremiumS</v>
          </cell>
          <cell r="K1442" t="str">
            <v>balance</v>
          </cell>
          <cell r="L1442" t="str">
            <v>バランスタイプ</v>
          </cell>
          <cell r="M1442" t="str">
            <v>unknown</v>
          </cell>
        </row>
        <row r="1443">
          <cell r="A1443">
            <v>1531</v>
          </cell>
          <cell r="B1443" t="str">
            <v>ja</v>
          </cell>
          <cell r="C1443" t="str">
            <v>gray01</v>
          </cell>
          <cell r="H1443" t="str">
            <v>green</v>
          </cell>
          <cell r="I1443">
            <v>4</v>
          </cell>
          <cell r="J1443" t="str">
            <v>PremiumS</v>
          </cell>
          <cell r="K1443" t="str">
            <v>technical</v>
          </cell>
          <cell r="L1443" t="str">
            <v>テクニカルタイプ</v>
          </cell>
          <cell r="M1443" t="str">
            <v>animal</v>
          </cell>
        </row>
        <row r="1444">
          <cell r="A1444">
            <v>1532</v>
          </cell>
          <cell r="B1444" t="str">
            <v>ja</v>
          </cell>
          <cell r="C1444" t="str">
            <v>gray02</v>
          </cell>
          <cell r="H1444" t="str">
            <v>green</v>
          </cell>
          <cell r="I1444">
            <v>5</v>
          </cell>
          <cell r="J1444" t="str">
            <v>PremiumS</v>
          </cell>
          <cell r="K1444" t="str">
            <v>technical</v>
          </cell>
          <cell r="L1444" t="str">
            <v>テクニカルタイプ</v>
          </cell>
          <cell r="M1444" t="str">
            <v>animal</v>
          </cell>
        </row>
        <row r="1445">
          <cell r="A1445">
            <v>1533</v>
          </cell>
          <cell r="B1445" t="str">
            <v>ja</v>
          </cell>
          <cell r="C1445" t="str">
            <v>maroon01</v>
          </cell>
          <cell r="H1445" t="str">
            <v>yellow</v>
          </cell>
          <cell r="I1445">
            <v>4</v>
          </cell>
          <cell r="J1445" t="str">
            <v>PremiumS</v>
          </cell>
          <cell r="K1445" t="str">
            <v>attack</v>
          </cell>
          <cell r="L1445" t="str">
            <v>攻撃タイプ</v>
          </cell>
          <cell r="M1445" t="str">
            <v>animal</v>
          </cell>
        </row>
        <row r="1446">
          <cell r="A1446">
            <v>1534</v>
          </cell>
          <cell r="B1446" t="str">
            <v>ja</v>
          </cell>
          <cell r="C1446" t="str">
            <v>maroon02</v>
          </cell>
          <cell r="H1446" t="str">
            <v>yellow</v>
          </cell>
          <cell r="I1446">
            <v>5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animal</v>
          </cell>
        </row>
        <row r="1447">
          <cell r="A1447">
            <v>1535</v>
          </cell>
          <cell r="B1447" t="str">
            <v>ja</v>
          </cell>
          <cell r="C1447" t="str">
            <v>pink01</v>
          </cell>
          <cell r="H1447" t="str">
            <v>red</v>
          </cell>
          <cell r="I1447">
            <v>5</v>
          </cell>
          <cell r="J1447" t="str">
            <v>PremiumSS</v>
          </cell>
          <cell r="K1447" t="str">
            <v>technical</v>
          </cell>
          <cell r="L1447" t="str">
            <v>テクニカルタイプ</v>
          </cell>
          <cell r="M1447" t="str">
            <v>god</v>
          </cell>
        </row>
        <row r="1448">
          <cell r="A1448">
            <v>1536</v>
          </cell>
          <cell r="B1448" t="str">
            <v>ja</v>
          </cell>
          <cell r="C1448" t="str">
            <v>pink02</v>
          </cell>
          <cell r="H1448" t="str">
            <v>red</v>
          </cell>
          <cell r="I1448">
            <v>6</v>
          </cell>
          <cell r="J1448" t="str">
            <v>PremiumSS</v>
          </cell>
          <cell r="K1448" t="str">
            <v>technical</v>
          </cell>
          <cell r="L1448" t="str">
            <v>テクニカルタイプ</v>
          </cell>
          <cell r="M1448" t="str">
            <v>god</v>
          </cell>
        </row>
        <row r="1449">
          <cell r="A1449">
            <v>1537</v>
          </cell>
          <cell r="B1449" t="str">
            <v>ja</v>
          </cell>
          <cell r="C1449" t="str">
            <v>black01</v>
          </cell>
          <cell r="H1449" t="str">
            <v>blue</v>
          </cell>
          <cell r="I1449">
            <v>5</v>
          </cell>
          <cell r="J1449" t="str">
            <v>PremiumSSS</v>
          </cell>
          <cell r="K1449" t="str">
            <v>attack</v>
          </cell>
          <cell r="L1449" t="str">
            <v>攻撃タイプ</v>
          </cell>
          <cell r="M1449" t="str">
            <v>unknown</v>
          </cell>
        </row>
        <row r="1450">
          <cell r="A1450">
            <v>1538</v>
          </cell>
          <cell r="B1450" t="str">
            <v>ja</v>
          </cell>
          <cell r="C1450" t="str">
            <v>black02</v>
          </cell>
          <cell r="H1450" t="str">
            <v>blue</v>
          </cell>
          <cell r="I1450">
            <v>6</v>
          </cell>
          <cell r="J1450" t="str">
            <v>PremiumSSS</v>
          </cell>
          <cell r="K1450" t="str">
            <v>attack</v>
          </cell>
          <cell r="L1450" t="str">
            <v>攻撃タイプ</v>
          </cell>
          <cell r="M1450" t="str">
            <v>unknown</v>
          </cell>
        </row>
        <row r="1451">
          <cell r="A1451">
            <v>1539</v>
          </cell>
          <cell r="B1451" t="str">
            <v>ja</v>
          </cell>
          <cell r="C1451" t="str">
            <v>brown01</v>
          </cell>
          <cell r="H1451" t="str">
            <v>yellow</v>
          </cell>
          <cell r="I1451">
            <v>5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god</v>
          </cell>
        </row>
        <row r="1452">
          <cell r="A1452">
            <v>1540</v>
          </cell>
          <cell r="B1452" t="str">
            <v>ja</v>
          </cell>
          <cell r="C1452" t="str">
            <v>brown02</v>
          </cell>
          <cell r="H1452" t="str">
            <v>yellow</v>
          </cell>
          <cell r="I1452">
            <v>6</v>
          </cell>
          <cell r="J1452" t="str">
            <v>PremiumSS</v>
          </cell>
          <cell r="K1452" t="str">
            <v>attack</v>
          </cell>
          <cell r="L1452" t="str">
            <v>攻撃タイプ</v>
          </cell>
          <cell r="M1452" t="str">
            <v>god</v>
          </cell>
        </row>
        <row r="1453">
          <cell r="A1453">
            <v>1541</v>
          </cell>
          <cell r="B1453" t="str">
            <v>ja</v>
          </cell>
          <cell r="C1453" t="str">
            <v>purple01</v>
          </cell>
          <cell r="H1453" t="str">
            <v>red</v>
          </cell>
          <cell r="I1453">
            <v>5</v>
          </cell>
          <cell r="J1453" t="str">
            <v>PremiumSSS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1542</v>
          </cell>
          <cell r="B1454" t="str">
            <v>ja</v>
          </cell>
          <cell r="C1454" t="str">
            <v>purple02</v>
          </cell>
          <cell r="H1454" t="str">
            <v>red</v>
          </cell>
          <cell r="I1454">
            <v>6</v>
          </cell>
          <cell r="J1454" t="str">
            <v>PremiumSSS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1543</v>
          </cell>
          <cell r="B1455" t="str">
            <v>ja</v>
          </cell>
          <cell r="C1455" t="str">
            <v>vanilla01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balance</v>
          </cell>
          <cell r="L1455" t="str">
            <v>バランスタイプ</v>
          </cell>
          <cell r="M1455" t="str">
            <v>hero</v>
          </cell>
        </row>
        <row r="1456">
          <cell r="A1456">
            <v>1544</v>
          </cell>
          <cell r="B1456" t="str">
            <v>ja</v>
          </cell>
          <cell r="C1456" t="str">
            <v>vanilla02</v>
          </cell>
          <cell r="H1456" t="str">
            <v>blue</v>
          </cell>
          <cell r="I1456">
            <v>6</v>
          </cell>
          <cell r="J1456" t="str">
            <v>PremiumSS</v>
          </cell>
          <cell r="K1456" t="str">
            <v>balance</v>
          </cell>
          <cell r="L1456" t="str">
            <v>バランスタイプ</v>
          </cell>
          <cell r="M1456" t="str">
            <v>hero</v>
          </cell>
        </row>
        <row r="1457">
          <cell r="A1457">
            <v>1545</v>
          </cell>
          <cell r="B1457" t="str">
            <v>ja</v>
          </cell>
          <cell r="C1457" t="str">
            <v>silver01</v>
          </cell>
          <cell r="H1457" t="str">
            <v>green</v>
          </cell>
          <cell r="I1457">
            <v>5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unknown</v>
          </cell>
        </row>
        <row r="1458">
          <cell r="A1458">
            <v>1546</v>
          </cell>
          <cell r="B1458" t="str">
            <v>ja</v>
          </cell>
          <cell r="C1458" t="str">
            <v>silver02</v>
          </cell>
          <cell r="H1458" t="str">
            <v>green</v>
          </cell>
          <cell r="I1458">
            <v>6</v>
          </cell>
          <cell r="J1458" t="str">
            <v>PremiumSS</v>
          </cell>
          <cell r="K1458" t="str">
            <v>hp</v>
          </cell>
          <cell r="L1458" t="str">
            <v>体力タイプ</v>
          </cell>
          <cell r="M1458" t="str">
            <v>unknown</v>
          </cell>
        </row>
        <row r="1459">
          <cell r="A1459">
            <v>1547</v>
          </cell>
          <cell r="B1459" t="str">
            <v>ja</v>
          </cell>
          <cell r="C1459" t="str">
            <v>mauve01</v>
          </cell>
          <cell r="H1459" t="str">
            <v>green</v>
          </cell>
          <cell r="I1459">
            <v>4</v>
          </cell>
          <cell r="J1459" t="str">
            <v>Drop2N</v>
          </cell>
          <cell r="K1459" t="str">
            <v>hp</v>
          </cell>
          <cell r="L1459" t="str">
            <v>体力タイプ</v>
          </cell>
          <cell r="M1459" t="str">
            <v>animal</v>
          </cell>
        </row>
        <row r="1460">
          <cell r="A1460">
            <v>1548</v>
          </cell>
          <cell r="B1460" t="str">
            <v>ja</v>
          </cell>
          <cell r="C1460" t="str">
            <v>mauve02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hp</v>
          </cell>
          <cell r="L1460" t="str">
            <v>体力タイプ</v>
          </cell>
          <cell r="M1460" t="str">
            <v>animal</v>
          </cell>
        </row>
        <row r="1461">
          <cell r="A1461">
            <v>1549</v>
          </cell>
          <cell r="B1461" t="str">
            <v>ja</v>
          </cell>
          <cell r="C1461" t="str">
            <v>ochre01</v>
          </cell>
          <cell r="H1461" t="str">
            <v>green</v>
          </cell>
          <cell r="I1461">
            <v>5</v>
          </cell>
          <cell r="J1461" t="str">
            <v>DropWizS</v>
          </cell>
          <cell r="K1461" t="str">
            <v>balance</v>
          </cell>
          <cell r="L1461" t="str">
            <v>バランスタイプ</v>
          </cell>
          <cell r="M1461" t="str">
            <v>unknown</v>
          </cell>
        </row>
        <row r="1462">
          <cell r="A1462">
            <v>1550</v>
          </cell>
          <cell r="B1462" t="str">
            <v>ja</v>
          </cell>
          <cell r="C1462" t="str">
            <v>ochre02</v>
          </cell>
          <cell r="H1462" t="str">
            <v>green</v>
          </cell>
          <cell r="I1462">
            <v>6</v>
          </cell>
          <cell r="J1462" t="str">
            <v>DropWizS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5001</v>
          </cell>
          <cell r="B1463" t="str">
            <v>ja</v>
          </cell>
          <cell r="C1463" t="str">
            <v>ガルーダ</v>
          </cell>
          <cell r="D1463" t="str">
            <v>ノーマルクエスト</v>
          </cell>
          <cell r="E1463" t="str">
            <v>QoH</v>
          </cell>
          <cell r="F1463" t="str">
            <v>世界観</v>
          </cell>
          <cell r="G1463" t="str">
            <v>不明</v>
          </cell>
          <cell r="H1463" t="str">
            <v>red</v>
          </cell>
          <cell r="I1463">
            <v>5</v>
          </cell>
          <cell r="J1463" t="str">
            <v>PremiumSSw</v>
          </cell>
          <cell r="K1463" t="str">
            <v>attack</v>
          </cell>
          <cell r="L1463" t="str">
            <v>攻撃タイプ</v>
          </cell>
          <cell r="M1463" t="str">
            <v>god</v>
          </cell>
        </row>
        <row r="1464">
          <cell r="A1464">
            <v>5002</v>
          </cell>
          <cell r="B1464" t="str">
            <v>ja</v>
          </cell>
          <cell r="C1464" t="str">
            <v>ガルーダ★６</v>
          </cell>
          <cell r="D1464" t="str">
            <v>ノーマルクエスト</v>
          </cell>
          <cell r="E1464" t="str">
            <v>アバター</v>
          </cell>
          <cell r="F1464" t="str">
            <v>世界観</v>
          </cell>
          <cell r="G1464" t="str">
            <v>男性</v>
          </cell>
          <cell r="H1464" t="str">
            <v>red</v>
          </cell>
          <cell r="I1464">
            <v>6</v>
          </cell>
          <cell r="J1464" t="str">
            <v>PremiumSSw</v>
          </cell>
          <cell r="K1464" t="str">
            <v>attack</v>
          </cell>
          <cell r="L1464" t="str">
            <v>攻撃タイプ</v>
          </cell>
          <cell r="M1464" t="str">
            <v>god</v>
          </cell>
        </row>
        <row r="1465">
          <cell r="A1465">
            <v>5003</v>
          </cell>
          <cell r="B1465" t="str">
            <v>ja</v>
          </cell>
          <cell r="C1465" t="str">
            <v>ナーガ</v>
          </cell>
          <cell r="D1465" t="str">
            <v>リンクガチャ:4神</v>
          </cell>
          <cell r="E1465" t="str">
            <v>守護神</v>
          </cell>
          <cell r="F1465" t="str">
            <v>格好いい</v>
          </cell>
          <cell r="G1465" t="str">
            <v>不明</v>
          </cell>
          <cell r="H1465" t="str">
            <v>green</v>
          </cell>
          <cell r="I1465">
            <v>5</v>
          </cell>
          <cell r="J1465" t="str">
            <v>DropWizS</v>
          </cell>
          <cell r="K1465" t="str">
            <v>technical</v>
          </cell>
          <cell r="L1465" t="str">
            <v>テクニカルタイプ</v>
          </cell>
          <cell r="M1465" t="str">
            <v>animal</v>
          </cell>
        </row>
        <row r="1466">
          <cell r="A1466">
            <v>5004</v>
          </cell>
          <cell r="B1466" t="str">
            <v>ja</v>
          </cell>
          <cell r="C1466" t="str">
            <v>ナーガ★６</v>
          </cell>
          <cell r="D1466" t="str">
            <v>ノーマルクエスト</v>
          </cell>
          <cell r="E1466" t="str">
            <v>アバター</v>
          </cell>
          <cell r="F1466" t="str">
            <v>世界観</v>
          </cell>
          <cell r="G1466" t="str">
            <v>不明</v>
          </cell>
          <cell r="H1466" t="str">
            <v>green</v>
          </cell>
          <cell r="I1466">
            <v>6</v>
          </cell>
          <cell r="J1466" t="str">
            <v>DropWizS</v>
          </cell>
          <cell r="K1466" t="str">
            <v>technical</v>
          </cell>
          <cell r="L1466" t="str">
            <v>テクニカルタイプ</v>
          </cell>
          <cell r="M1466" t="str">
            <v>animal</v>
          </cell>
        </row>
        <row r="1467">
          <cell r="A1467">
            <v>5005</v>
          </cell>
          <cell r="B1467" t="str">
            <v>ja</v>
          </cell>
          <cell r="C1467" t="str">
            <v>カーミラ</v>
          </cell>
          <cell r="D1467" t="str">
            <v>ノーマルクエスト</v>
          </cell>
          <cell r="E1467" t="str">
            <v>QoH</v>
          </cell>
          <cell r="F1467" t="str">
            <v>世界観</v>
          </cell>
          <cell r="G1467" t="str">
            <v>不明</v>
          </cell>
          <cell r="H1467" t="str">
            <v>green</v>
          </cell>
          <cell r="I1467">
            <v>5</v>
          </cell>
          <cell r="J1467" t="str">
            <v>PremiumSSw</v>
          </cell>
          <cell r="K1467" t="str">
            <v>balance</v>
          </cell>
          <cell r="L1467" t="str">
            <v>バランスタイプ</v>
          </cell>
          <cell r="M1467" t="str">
            <v>demon</v>
          </cell>
        </row>
        <row r="1468">
          <cell r="A1468">
            <v>5006</v>
          </cell>
          <cell r="B1468" t="str">
            <v>ja</v>
          </cell>
          <cell r="C1468" t="str">
            <v>カーミラ★６</v>
          </cell>
          <cell r="D1468" t="str">
            <v>ノーマルクエスト</v>
          </cell>
          <cell r="E1468" t="str">
            <v>アバター</v>
          </cell>
          <cell r="F1468" t="str">
            <v>世界観</v>
          </cell>
          <cell r="G1468" t="str">
            <v>男性</v>
          </cell>
          <cell r="H1468" t="str">
            <v>green</v>
          </cell>
          <cell r="I1468">
            <v>6</v>
          </cell>
          <cell r="J1468" t="str">
            <v>PremiumSSw</v>
          </cell>
          <cell r="K1468" t="str">
            <v>balance</v>
          </cell>
          <cell r="L1468" t="str">
            <v>バランスタイプ</v>
          </cell>
          <cell r="M1468" t="str">
            <v>demon</v>
          </cell>
        </row>
        <row r="1469">
          <cell r="A1469">
            <v>5007</v>
          </cell>
          <cell r="B1469" t="str">
            <v>ja</v>
          </cell>
          <cell r="C1469" t="str">
            <v>ヘルシング</v>
          </cell>
          <cell r="D1469" t="str">
            <v>リンクガチャ:4神</v>
          </cell>
          <cell r="E1469" t="str">
            <v>守護神</v>
          </cell>
          <cell r="F1469" t="str">
            <v>格好いい</v>
          </cell>
          <cell r="G1469" t="str">
            <v>不明</v>
          </cell>
          <cell r="H1469" t="str">
            <v>yellow</v>
          </cell>
          <cell r="I1469">
            <v>5</v>
          </cell>
          <cell r="J1469" t="str">
            <v>DropWizS</v>
          </cell>
          <cell r="K1469" t="str">
            <v>technical</v>
          </cell>
          <cell r="L1469" t="str">
            <v>テクニカルタイプ</v>
          </cell>
          <cell r="M1469" t="str">
            <v>human</v>
          </cell>
        </row>
        <row r="1470">
          <cell r="A1470">
            <v>5008</v>
          </cell>
          <cell r="B1470" t="str">
            <v>ja</v>
          </cell>
          <cell r="C1470" t="str">
            <v>ヘルシング★６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不明</v>
          </cell>
          <cell r="H1470" t="str">
            <v>yellow</v>
          </cell>
          <cell r="I1470">
            <v>6</v>
          </cell>
          <cell r="J1470" t="str">
            <v>DropWizS</v>
          </cell>
          <cell r="K1470" t="str">
            <v>technical</v>
          </cell>
          <cell r="L1470" t="str">
            <v>テクニカルタイプ</v>
          </cell>
          <cell r="M1470" t="str">
            <v>human</v>
          </cell>
        </row>
        <row r="1471">
          <cell r="A1471">
            <v>6001</v>
          </cell>
          <cell r="B1471" t="str">
            <v>ja</v>
          </cell>
          <cell r="C1471" t="str">
            <v>ジェリー</v>
          </cell>
          <cell r="D1471" t="str">
            <v>ノーマルクエスト</v>
          </cell>
          <cell r="E1471" t="str">
            <v>QoH</v>
          </cell>
          <cell r="F1471" t="str">
            <v>世界観</v>
          </cell>
          <cell r="G1471" t="str">
            <v>不明</v>
          </cell>
          <cell r="H1471" t="str">
            <v>red</v>
          </cell>
          <cell r="I1471">
            <v>1</v>
          </cell>
          <cell r="J1471" t="str">
            <v>Drop1T</v>
          </cell>
          <cell r="K1471" t="str">
            <v>ra</v>
          </cell>
          <cell r="L1471" t="str">
            <v>ラグランジュチャレンジ</v>
          </cell>
          <cell r="M1471" t="str">
            <v>unknown</v>
          </cell>
        </row>
        <row r="1472">
          <cell r="A1472">
            <v>6002</v>
          </cell>
          <cell r="B1472" t="str">
            <v>ja</v>
          </cell>
          <cell r="C1472" t="str">
            <v>ヨシタカ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男性</v>
          </cell>
          <cell r="H1472" t="str">
            <v>red</v>
          </cell>
          <cell r="I1472">
            <v>2</v>
          </cell>
          <cell r="J1472" t="str">
            <v>Drop1N</v>
          </cell>
          <cell r="K1472" t="str">
            <v>ra</v>
          </cell>
          <cell r="L1472" t="str">
            <v>ラグランジュチャレンジ</v>
          </cell>
          <cell r="M1472" t="str">
            <v>human</v>
          </cell>
        </row>
        <row r="1473">
          <cell r="A1473">
            <v>6003</v>
          </cell>
          <cell r="B1473" t="str">
            <v>ja</v>
          </cell>
          <cell r="C1473" t="str">
            <v>朱雀</v>
          </cell>
          <cell r="D1473" t="str">
            <v>リンクガチャ:4神</v>
          </cell>
          <cell r="E1473" t="str">
            <v>守護神</v>
          </cell>
          <cell r="F1473" t="str">
            <v>格好いい</v>
          </cell>
          <cell r="G1473" t="str">
            <v>不明</v>
          </cell>
          <cell r="H1473" t="str">
            <v>red</v>
          </cell>
          <cell r="I1473">
            <v>3</v>
          </cell>
          <cell r="J1473" t="str">
            <v>Drop2N</v>
          </cell>
          <cell r="K1473" t="str">
            <v>ra</v>
          </cell>
          <cell r="L1473" t="str">
            <v>ラグランジュチャレンジ</v>
          </cell>
          <cell r="M1473" t="str">
            <v>animal</v>
          </cell>
        </row>
        <row r="1474">
          <cell r="A1474">
            <v>6004</v>
          </cell>
          <cell r="B1474" t="str">
            <v>ja</v>
          </cell>
          <cell r="C1474" t="str">
            <v>ブレット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不明</v>
          </cell>
          <cell r="H1474" t="str">
            <v>red</v>
          </cell>
          <cell r="I1474">
            <v>1</v>
          </cell>
          <cell r="J1474" t="str">
            <v>Drop1W</v>
          </cell>
          <cell r="K1474" t="str">
            <v>ra</v>
          </cell>
          <cell r="L1474" t="str">
            <v>ラグランジュチャレンジ</v>
          </cell>
          <cell r="M1474" t="str">
            <v>animal</v>
          </cell>
        </row>
        <row r="1475">
          <cell r="A1475">
            <v>6005</v>
          </cell>
          <cell r="B1475" t="str">
            <v>ja</v>
          </cell>
          <cell r="C1475" t="str">
            <v>孤神 テティス</v>
          </cell>
          <cell r="D1475" t="str">
            <v>初期ガチャ</v>
          </cell>
          <cell r="E1475" t="str">
            <v>管理者</v>
          </cell>
          <cell r="F1475" t="str">
            <v>美しい</v>
          </cell>
          <cell r="G1475" t="str">
            <v>女性</v>
          </cell>
          <cell r="H1475" t="str">
            <v>blue</v>
          </cell>
          <cell r="I1475">
            <v>4</v>
          </cell>
          <cell r="J1475" t="str">
            <v>PremiumN</v>
          </cell>
          <cell r="K1475" t="str">
            <v>ra</v>
          </cell>
          <cell r="L1475" t="str">
            <v>ラグランジュチャレンジ</v>
          </cell>
          <cell r="M1475" t="str">
            <v>god</v>
          </cell>
        </row>
        <row r="1476">
          <cell r="A1476">
            <v>6006</v>
          </cell>
          <cell r="B1476" t="str">
            <v>ja</v>
          </cell>
          <cell r="C1476" t="str">
            <v>海底の孤高神 テティス</v>
          </cell>
          <cell r="D1476" t="str">
            <v>初期ガチャ</v>
          </cell>
          <cell r="E1476" t="str">
            <v>管理者</v>
          </cell>
          <cell r="F1476" t="str">
            <v>美しい</v>
          </cell>
          <cell r="G1476" t="str">
            <v>女性</v>
          </cell>
          <cell r="H1476" t="str">
            <v>blue</v>
          </cell>
          <cell r="I1476">
            <v>5</v>
          </cell>
          <cell r="J1476" t="str">
            <v>PremiumN</v>
          </cell>
          <cell r="K1476" t="str">
            <v>ra</v>
          </cell>
          <cell r="L1476" t="str">
            <v>ラグランジュチャレンジ</v>
          </cell>
          <cell r="M1476" t="str">
            <v>god</v>
          </cell>
        </row>
        <row r="1477">
          <cell r="A1477">
            <v>6007</v>
          </cell>
          <cell r="B1477" t="str">
            <v>ja</v>
          </cell>
          <cell r="C1477" t="str">
            <v>番犬 ケルベロス</v>
          </cell>
          <cell r="D1477" t="str">
            <v>初期ガチャ</v>
          </cell>
          <cell r="E1477" t="str">
            <v>破界者</v>
          </cell>
          <cell r="F1477" t="str">
            <v>可愛い</v>
          </cell>
          <cell r="G1477" t="str">
            <v>女性</v>
          </cell>
          <cell r="H1477" t="str">
            <v>red</v>
          </cell>
          <cell r="I1477">
            <v>4</v>
          </cell>
          <cell r="J1477" t="str">
            <v>PremiumN</v>
          </cell>
          <cell r="K1477" t="str">
            <v>ra</v>
          </cell>
          <cell r="L1477" t="str">
            <v>ラグランジュチャレンジ</v>
          </cell>
          <cell r="M1477" t="str">
            <v>animal</v>
          </cell>
        </row>
        <row r="1478">
          <cell r="A1478">
            <v>6008</v>
          </cell>
          <cell r="B1478" t="str">
            <v>ja</v>
          </cell>
          <cell r="C1478" t="str">
            <v>焔神 プロメテウス</v>
          </cell>
          <cell r="D1478" t="str">
            <v>初期ガチャ</v>
          </cell>
          <cell r="E1478" t="str">
            <v>管理者</v>
          </cell>
          <cell r="F1478" t="str">
            <v>格好いい</v>
          </cell>
          <cell r="G1478" t="str">
            <v>男性</v>
          </cell>
          <cell r="H1478" t="str">
            <v>red</v>
          </cell>
          <cell r="I1478">
            <v>4</v>
          </cell>
          <cell r="J1478" t="str">
            <v>PremiumN</v>
          </cell>
          <cell r="K1478" t="str">
            <v>ra</v>
          </cell>
          <cell r="L1478" t="str">
            <v>ラグランジュチャレンジ</v>
          </cell>
          <cell r="M1478" t="str">
            <v>god</v>
          </cell>
        </row>
        <row r="1479">
          <cell r="A1479">
            <v>6009</v>
          </cell>
          <cell r="B1479" t="str">
            <v>ja</v>
          </cell>
          <cell r="C1479" t="str">
            <v>超越自我 ラグランジュ</v>
          </cell>
          <cell r="D1479" t="str">
            <v>ガチャ:フィーバーフェス02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PremiumSSS</v>
          </cell>
          <cell r="K1479" t="str">
            <v>ra</v>
          </cell>
          <cell r="L1479" t="str">
            <v>ラグランジュチャレンジ</v>
          </cell>
          <cell r="M1479" t="str">
            <v>human</v>
          </cell>
        </row>
        <row r="1480">
          <cell r="A1480">
            <v>6010</v>
          </cell>
          <cell r="B1480" t="str">
            <v>ja</v>
          </cell>
          <cell r="C1480" t="str">
            <v>超越凌駕 ラグランジュ</v>
          </cell>
          <cell r="D1480" t="str">
            <v>ガチャ:フィーバーフェス02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PremiumSSS</v>
          </cell>
          <cell r="K1480" t="str">
            <v>ra</v>
          </cell>
          <cell r="L1480" t="str">
            <v>ラグランジュチャレンジ</v>
          </cell>
          <cell r="M1480" t="str">
            <v>human</v>
          </cell>
        </row>
        <row r="1481">
          <cell r="A1481">
            <v>6011</v>
          </cell>
          <cell r="B1481" t="str">
            <v>ja</v>
          </cell>
          <cell r="C1481" t="str">
            <v>パトドッグリーダー ポチ</v>
          </cell>
          <cell r="D1481" t="str">
            <v>ガチャ:フィーバーフェス02</v>
          </cell>
          <cell r="E1481" t="str">
            <v>執行者</v>
          </cell>
          <cell r="F1481" t="str">
            <v>格好いい</v>
          </cell>
          <cell r="G1481" t="str">
            <v>男性</v>
          </cell>
          <cell r="H1481" t="str">
            <v>blue</v>
          </cell>
          <cell r="I1481">
            <v>2</v>
          </cell>
          <cell r="J1481" t="str">
            <v>Drop1T</v>
          </cell>
          <cell r="K1481" t="str">
            <v>ra002</v>
          </cell>
          <cell r="L1481" t="str">
            <v>ユークリッドチャレンジ</v>
          </cell>
          <cell r="M1481" t="str">
            <v>unknown</v>
          </cell>
        </row>
        <row r="1482">
          <cell r="A1482">
            <v>6012</v>
          </cell>
          <cell r="B1482" t="str">
            <v>ja</v>
          </cell>
          <cell r="C1482" t="str">
            <v>ミミ</v>
          </cell>
          <cell r="D1482" t="str">
            <v>ガチャ:フィーバーフェス02</v>
          </cell>
          <cell r="E1482" t="str">
            <v>執行者</v>
          </cell>
          <cell r="F1482" t="str">
            <v>格好いい</v>
          </cell>
          <cell r="G1482" t="str">
            <v>男性</v>
          </cell>
          <cell r="H1482" t="str">
            <v>yellow</v>
          </cell>
          <cell r="I1482">
            <v>1</v>
          </cell>
          <cell r="J1482" t="str">
            <v>Drop1W</v>
          </cell>
          <cell r="K1482" t="str">
            <v>ra002</v>
          </cell>
          <cell r="L1482" t="str">
            <v>ユークリッドチャレンジ</v>
          </cell>
          <cell r="M1482" t="str">
            <v>animal</v>
          </cell>
        </row>
        <row r="1483">
          <cell r="A1483">
            <v>6013</v>
          </cell>
          <cell r="B1483" t="str">
            <v>ja</v>
          </cell>
          <cell r="C1483" t="str">
            <v>護衛機人 スケアクロウ</v>
          </cell>
          <cell r="D1483" t="str">
            <v>ガチャ:フィーバーフェス02</v>
          </cell>
          <cell r="E1483" t="str">
            <v>執行者</v>
          </cell>
          <cell r="F1483" t="str">
            <v>格好いい</v>
          </cell>
          <cell r="G1483" t="str">
            <v>男性</v>
          </cell>
          <cell r="H1483" t="str">
            <v>blue</v>
          </cell>
          <cell r="I1483">
            <v>2</v>
          </cell>
          <cell r="J1483" t="str">
            <v>Drop1N</v>
          </cell>
          <cell r="K1483" t="str">
            <v>ra002</v>
          </cell>
          <cell r="L1483" t="str">
            <v>ユークリッドチャレンジ</v>
          </cell>
          <cell r="M1483" t="str">
            <v>machine</v>
          </cell>
        </row>
        <row r="1484">
          <cell r="A1484">
            <v>6014</v>
          </cell>
          <cell r="B1484" t="str">
            <v>ja</v>
          </cell>
          <cell r="C1484" t="str">
            <v>月下の人狼 ローレンス</v>
          </cell>
          <cell r="D1484" t="str">
            <v>ガチャ:フィーバーフェス02</v>
          </cell>
          <cell r="E1484" t="str">
            <v>執行者</v>
          </cell>
          <cell r="F1484" t="str">
            <v>格好いい</v>
          </cell>
          <cell r="G1484" t="str">
            <v>男性</v>
          </cell>
          <cell r="H1484" t="str">
            <v>blue</v>
          </cell>
          <cell r="I1484">
            <v>4</v>
          </cell>
          <cell r="J1484" t="str">
            <v>PremiumW</v>
          </cell>
          <cell r="K1484" t="str">
            <v>ra002</v>
          </cell>
          <cell r="L1484" t="str">
            <v>ユークリッドチャレンジ</v>
          </cell>
          <cell r="M1484" t="str">
            <v>animal</v>
          </cell>
        </row>
        <row r="1485">
          <cell r="A1485">
            <v>6015</v>
          </cell>
          <cell r="B1485" t="str">
            <v>ja</v>
          </cell>
          <cell r="C1485" t="str">
            <v>フレイヤ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男性</v>
          </cell>
          <cell r="H1485" t="str">
            <v>blue</v>
          </cell>
          <cell r="I1485">
            <v>4</v>
          </cell>
          <cell r="J1485" t="str">
            <v>PremiumSS</v>
          </cell>
          <cell r="K1485" t="str">
            <v>ra002</v>
          </cell>
          <cell r="L1485" t="str">
            <v>ユークリッドチャレンジ</v>
          </cell>
          <cell r="M1485" t="str">
            <v>animal</v>
          </cell>
        </row>
        <row r="1486">
          <cell r="A1486">
            <v>6016</v>
          </cell>
          <cell r="B1486" t="str">
            <v>ja</v>
          </cell>
          <cell r="C1486" t="str">
            <v>根原論理 ユークリッド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男性</v>
          </cell>
          <cell r="H1486" t="str">
            <v>blue</v>
          </cell>
          <cell r="I1486">
            <v>5</v>
          </cell>
          <cell r="J1486" t="str">
            <v>PremiumSSS</v>
          </cell>
          <cell r="K1486" t="str">
            <v>ra002</v>
          </cell>
          <cell r="L1486" t="str">
            <v>ユークリッドチャレンジ</v>
          </cell>
          <cell r="M1486" t="str">
            <v>human</v>
          </cell>
        </row>
        <row r="1487">
          <cell r="A1487">
            <v>6017</v>
          </cell>
          <cell r="B1487" t="str">
            <v>ja</v>
          </cell>
          <cell r="C1487" t="str">
            <v>不朽の極論 ユークリッド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6</v>
          </cell>
          <cell r="J1487" t="str">
            <v>PremiumSSS</v>
          </cell>
          <cell r="K1487" t="str">
            <v>ra002</v>
          </cell>
          <cell r="L1487" t="str">
            <v>ユークリッドチャレンジ</v>
          </cell>
          <cell r="M1487" t="str">
            <v>human</v>
          </cell>
        </row>
        <row r="1488">
          <cell r="A1488">
            <v>6018</v>
          </cell>
          <cell r="B1488" t="str">
            <v>ja</v>
          </cell>
          <cell r="C1488" t="str">
            <v>ハヅル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red</v>
          </cell>
          <cell r="I1488">
            <v>4</v>
          </cell>
          <cell r="J1488" t="str">
            <v>PremiumSS</v>
          </cell>
          <cell r="K1488" t="str">
            <v>ra002</v>
          </cell>
          <cell r="L1488" t="str">
            <v>ユークリッドチャレンジ</v>
          </cell>
          <cell r="M1488" t="str">
            <v>animal</v>
          </cell>
        </row>
        <row r="1489">
          <cell r="A1489">
            <v>6019</v>
          </cell>
          <cell r="B1489" t="str">
            <v>ja</v>
          </cell>
          <cell r="C1489" t="str">
            <v>天織羽鶴 ハヅル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red</v>
          </cell>
          <cell r="I1489">
            <v>5</v>
          </cell>
          <cell r="J1489" t="str">
            <v>PremiumSS</v>
          </cell>
          <cell r="K1489" t="str">
            <v>ra002</v>
          </cell>
          <cell r="L1489" t="str">
            <v>ユークリッドチャレンジ</v>
          </cell>
          <cell r="M1489" t="str">
            <v>animal</v>
          </cell>
        </row>
        <row r="1490">
          <cell r="A1490">
            <v>6020</v>
          </cell>
          <cell r="B1490" t="str">
            <v>ja</v>
          </cell>
          <cell r="C1490" t="str">
            <v>ミズチ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PremiumS</v>
          </cell>
          <cell r="K1490" t="str">
            <v>ra002</v>
          </cell>
          <cell r="L1490" t="str">
            <v>ユークリッドチャレンジ</v>
          </cell>
          <cell r="M1490" t="str">
            <v>dragon</v>
          </cell>
        </row>
        <row r="1491">
          <cell r="A1491">
            <v>8001</v>
          </cell>
          <cell r="B1491" t="str">
            <v>ja</v>
          </cell>
          <cell r="C1491" t="str">
            <v>媽祖</v>
          </cell>
          <cell r="D1491" t="str">
            <v>イベント:ミクコラボ01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yellow</v>
          </cell>
          <cell r="I1491">
            <v>5</v>
          </cell>
          <cell r="J1491" t="str">
            <v>PremiumSS</v>
          </cell>
          <cell r="K1491" t="str">
            <v>attack</v>
          </cell>
          <cell r="L1491" t="str">
            <v>攻撃タイプ</v>
          </cell>
          <cell r="M1491" t="str">
            <v>god</v>
          </cell>
        </row>
        <row r="1492">
          <cell r="A1492">
            <v>8002</v>
          </cell>
          <cell r="B1492" t="str">
            <v>ja</v>
          </cell>
          <cell r="C1492" t="str">
            <v>宣導する天海妃 媽祖</v>
          </cell>
          <cell r="D1492" t="str">
            <v>イベント:ミクコラボ01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yellow</v>
          </cell>
          <cell r="I1492">
            <v>6</v>
          </cell>
          <cell r="J1492" t="str">
            <v>PremiumSS</v>
          </cell>
          <cell r="K1492" t="str">
            <v>attack</v>
          </cell>
          <cell r="L1492" t="str">
            <v>攻撃タイプ</v>
          </cell>
          <cell r="M1492" t="str">
            <v>god</v>
          </cell>
        </row>
        <row r="1493">
          <cell r="A1493">
            <v>8003</v>
          </cell>
          <cell r="B1493" t="str">
            <v>ja</v>
          </cell>
          <cell r="C1493" t="str">
            <v>蛟龍</v>
          </cell>
          <cell r="D1493" t="str">
            <v>イベント:ミクコラボ01</v>
          </cell>
          <cell r="E1493" t="str">
            <v>執行者</v>
          </cell>
          <cell r="F1493" t="str">
            <v>格好いい</v>
          </cell>
          <cell r="G1493" t="str">
            <v>不明</v>
          </cell>
          <cell r="H1493" t="str">
            <v>blue</v>
          </cell>
          <cell r="I1493">
            <v>5</v>
          </cell>
          <cell r="J1493" t="str">
            <v>DropWizS</v>
          </cell>
          <cell r="K1493" t="str">
            <v>hp</v>
          </cell>
          <cell r="L1493" t="str">
            <v>体力タイプ</v>
          </cell>
          <cell r="M1493" t="str">
            <v>dragon</v>
          </cell>
        </row>
        <row r="1494">
          <cell r="A1494">
            <v>8004</v>
          </cell>
          <cell r="B1494" t="str">
            <v>ja</v>
          </cell>
          <cell r="C1494" t="str">
            <v>呼嵐の蒼棲龍 蛟龍</v>
          </cell>
          <cell r="D1494" t="str">
            <v>イベント:ミクコラボ01</v>
          </cell>
          <cell r="E1494" t="str">
            <v>執行者</v>
          </cell>
          <cell r="F1494" t="str">
            <v>格好いい</v>
          </cell>
          <cell r="G1494" t="str">
            <v>不明</v>
          </cell>
          <cell r="H1494" t="str">
            <v>blue</v>
          </cell>
          <cell r="I1494">
            <v>6</v>
          </cell>
          <cell r="J1494" t="str">
            <v>DropWizS</v>
          </cell>
          <cell r="K1494" t="str">
            <v>hp</v>
          </cell>
          <cell r="L1494" t="str">
            <v>体力タイプ</v>
          </cell>
          <cell r="M1494" t="str">
            <v>dragon</v>
          </cell>
        </row>
        <row r="1495">
          <cell r="A1495">
            <v>8005</v>
          </cell>
          <cell r="B1495" t="str">
            <v>ja</v>
          </cell>
          <cell r="C1495" t="str">
            <v>三蔵法師</v>
          </cell>
          <cell r="D1495" t="str">
            <v>イベント:ミクコラボ01</v>
          </cell>
          <cell r="E1495" t="str">
            <v>執行者</v>
          </cell>
          <cell r="F1495" t="str">
            <v>格好いい</v>
          </cell>
          <cell r="G1495" t="str">
            <v>不明</v>
          </cell>
          <cell r="H1495" t="str">
            <v>blue</v>
          </cell>
          <cell r="I1495">
            <v>5</v>
          </cell>
          <cell r="J1495" t="str">
            <v>PremiumSS</v>
          </cell>
          <cell r="K1495" t="str">
            <v>balance</v>
          </cell>
          <cell r="L1495" t="str">
            <v>バランスタイプ</v>
          </cell>
          <cell r="M1495" t="str">
            <v>human</v>
          </cell>
        </row>
        <row r="1496">
          <cell r="A1496">
            <v>8006</v>
          </cell>
          <cell r="B1496" t="str">
            <v>ja</v>
          </cell>
          <cell r="C1496" t="str">
            <v>慈戒の呪封使 三蔵法師</v>
          </cell>
          <cell r="D1496" t="str">
            <v>イベント:ミクコラボ01</v>
          </cell>
          <cell r="E1496" t="str">
            <v>執行者</v>
          </cell>
          <cell r="F1496" t="str">
            <v>格好いい</v>
          </cell>
          <cell r="G1496" t="str">
            <v>不明</v>
          </cell>
          <cell r="H1496" t="str">
            <v>blue</v>
          </cell>
          <cell r="I1496">
            <v>6</v>
          </cell>
          <cell r="J1496" t="str">
            <v>PremiumSS</v>
          </cell>
          <cell r="K1496" t="str">
            <v>balance</v>
          </cell>
          <cell r="L1496" t="str">
            <v>バランスタイプ</v>
          </cell>
          <cell r="M1496" t="str">
            <v>human</v>
          </cell>
        </row>
        <row r="1497">
          <cell r="A1497">
            <v>8007</v>
          </cell>
          <cell r="B1497" t="str">
            <v>ja</v>
          </cell>
          <cell r="C1497" t="str">
            <v>孫悟空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不明</v>
          </cell>
          <cell r="H1497" t="str">
            <v>red</v>
          </cell>
          <cell r="I1497">
            <v>5</v>
          </cell>
          <cell r="J1497" t="str">
            <v>DropWizS</v>
          </cell>
          <cell r="K1497" t="str">
            <v>attack</v>
          </cell>
          <cell r="L1497" t="str">
            <v>攻撃タイプ</v>
          </cell>
          <cell r="M1497" t="str">
            <v>animal</v>
          </cell>
        </row>
        <row r="1498">
          <cell r="A1498">
            <v>8008</v>
          </cell>
          <cell r="B1498" t="str">
            <v>ja</v>
          </cell>
          <cell r="C1498" t="str">
            <v>花果の天猿仙人 孫悟空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不明</v>
          </cell>
          <cell r="H1498" t="str">
            <v>red</v>
          </cell>
          <cell r="I1498">
            <v>6</v>
          </cell>
          <cell r="J1498" t="str">
            <v>DropWizS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8009</v>
          </cell>
          <cell r="B1499" t="str">
            <v>ja</v>
          </cell>
          <cell r="C1499" t="str">
            <v>西王娘娘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green</v>
          </cell>
          <cell r="I1499">
            <v>5</v>
          </cell>
          <cell r="J1499" t="str">
            <v>PremiumSS</v>
          </cell>
          <cell r="K1499" t="str">
            <v>attack</v>
          </cell>
          <cell r="L1499" t="str">
            <v>攻撃タイプ</v>
          </cell>
          <cell r="M1499" t="str">
            <v>god</v>
          </cell>
        </row>
        <row r="1500">
          <cell r="A1500">
            <v>8010</v>
          </cell>
          <cell r="B1500" t="str">
            <v>ja</v>
          </cell>
          <cell r="C1500" t="str">
            <v>極楽瑶池の聖母 西王娘娘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green</v>
          </cell>
          <cell r="I1500">
            <v>6</v>
          </cell>
          <cell r="J1500" t="str">
            <v>PremiumSS</v>
          </cell>
          <cell r="K1500" t="str">
            <v>attack</v>
          </cell>
          <cell r="L1500" t="str">
            <v>攻撃タイプ</v>
          </cell>
          <cell r="M1500" t="str">
            <v>god</v>
          </cell>
        </row>
        <row r="1501">
          <cell r="A1501">
            <v>8011</v>
          </cell>
          <cell r="B1501" t="str">
            <v>ja</v>
          </cell>
          <cell r="C1501" t="str">
            <v>月下老人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yellow</v>
          </cell>
          <cell r="I1501">
            <v>5</v>
          </cell>
          <cell r="J1501" t="str">
            <v>DropWizS</v>
          </cell>
          <cell r="K1501" t="str">
            <v>balance</v>
          </cell>
          <cell r="L1501" t="str">
            <v>バランスタイプ</v>
          </cell>
          <cell r="M1501" t="str">
            <v>god</v>
          </cell>
        </row>
        <row r="1502">
          <cell r="A1502">
            <v>8012</v>
          </cell>
          <cell r="B1502" t="str">
            <v>ja</v>
          </cell>
          <cell r="C1502" t="str">
            <v>破戀斬る縁剣 月下老人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yellow</v>
          </cell>
          <cell r="I1502">
            <v>6</v>
          </cell>
          <cell r="J1502" t="str">
            <v>DropWizS</v>
          </cell>
          <cell r="K1502" t="str">
            <v>balance</v>
          </cell>
          <cell r="L1502" t="str">
            <v>バランスタイプ</v>
          </cell>
          <cell r="M1502" t="str">
            <v>god</v>
          </cell>
        </row>
        <row r="1503">
          <cell r="A1503">
            <v>8013</v>
          </cell>
          <cell r="B1503" t="str">
            <v>ja</v>
          </cell>
          <cell r="C1503" t="str">
            <v>初音ミクV3</v>
          </cell>
          <cell r="D1503" t="str">
            <v>初音ミクV3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yellow</v>
          </cell>
          <cell r="I1503">
            <v>4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8014</v>
          </cell>
          <cell r="B1504" t="str">
            <v>ja</v>
          </cell>
          <cell r="C1504" t="str">
            <v>初音ミクV3</v>
          </cell>
          <cell r="D1504" t="str">
            <v>初音ミクV3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yellow</v>
          </cell>
          <cell r="I1504">
            <v>5</v>
          </cell>
          <cell r="J1504" t="str">
            <v>DropWizS</v>
          </cell>
          <cell r="K1504" t="str">
            <v>balance</v>
          </cell>
          <cell r="L1504" t="str">
            <v>バランスタイプ</v>
          </cell>
          <cell r="M1504" t="str">
            <v>unknown</v>
          </cell>
        </row>
        <row r="1505">
          <cell r="A1505">
            <v>8015</v>
          </cell>
          <cell r="B1505" t="str">
            <v>ja</v>
          </cell>
          <cell r="C1505" t="str">
            <v>初音ミク・アペンド</v>
          </cell>
          <cell r="D1505" t="str">
            <v>初音ミク・アペンド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green</v>
          </cell>
          <cell r="I1505">
            <v>4</v>
          </cell>
          <cell r="J1505" t="str">
            <v>PremiumSSS</v>
          </cell>
          <cell r="K1505" t="str">
            <v>technical</v>
          </cell>
          <cell r="L1505" t="str">
            <v>テクニカルタイプ</v>
          </cell>
          <cell r="M1505" t="str">
            <v>unknown</v>
          </cell>
        </row>
        <row r="1506">
          <cell r="A1506">
            <v>8016</v>
          </cell>
          <cell r="B1506" t="str">
            <v>ja</v>
          </cell>
          <cell r="C1506" t="str">
            <v>初音ミク・アペンド</v>
          </cell>
          <cell r="D1506" t="str">
            <v>初音ミク・アペンド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green</v>
          </cell>
          <cell r="I1506">
            <v>5</v>
          </cell>
          <cell r="J1506" t="str">
            <v>PremiumSSS</v>
          </cell>
          <cell r="K1506" t="str">
            <v>technical</v>
          </cell>
          <cell r="L1506" t="str">
            <v>テクニカルタイプ</v>
          </cell>
          <cell r="M1506" t="str">
            <v>unknown</v>
          </cell>
        </row>
        <row r="1507">
          <cell r="A1507">
            <v>8017</v>
          </cell>
          <cell r="B1507" t="str">
            <v>ja</v>
          </cell>
          <cell r="C1507" t="str">
            <v>初音ミク</v>
          </cell>
          <cell r="D1507" t="str">
            <v>初音ミク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green</v>
          </cell>
          <cell r="I1507">
            <v>4</v>
          </cell>
          <cell r="J1507" t="str">
            <v>PremiumSSS</v>
          </cell>
          <cell r="K1507" t="str">
            <v>balance</v>
          </cell>
          <cell r="L1507" t="str">
            <v>バランスタイプ</v>
          </cell>
          <cell r="M1507" t="str">
            <v>unknown</v>
          </cell>
        </row>
        <row r="1508">
          <cell r="A1508">
            <v>8018</v>
          </cell>
          <cell r="B1508" t="str">
            <v>ja</v>
          </cell>
          <cell r="C1508" t="str">
            <v>初音ミク</v>
          </cell>
          <cell r="D1508" t="str">
            <v>初音ミク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green</v>
          </cell>
          <cell r="I1508">
            <v>5</v>
          </cell>
          <cell r="J1508" t="str">
            <v>PremiumSSS</v>
          </cell>
          <cell r="K1508" t="str">
            <v>balance</v>
          </cell>
          <cell r="L1508" t="str">
            <v>バランスタイプ</v>
          </cell>
          <cell r="M1508" t="str">
            <v>unknown</v>
          </cell>
        </row>
        <row r="1509">
          <cell r="A1509">
            <v>8019</v>
          </cell>
          <cell r="B1509" t="str">
            <v>ja</v>
          </cell>
          <cell r="C1509" t="str">
            <v>鏡音リン</v>
          </cell>
          <cell r="D1509" t="str">
            <v>鏡音リン</v>
          </cell>
          <cell r="E1509" t="str">
            <v>執行者</v>
          </cell>
          <cell r="F1509" t="str">
            <v>格好いい</v>
          </cell>
          <cell r="G1509" t="str">
            <v>男性</v>
          </cell>
          <cell r="H1509" t="str">
            <v>yellow</v>
          </cell>
          <cell r="I1509">
            <v>4</v>
          </cell>
          <cell r="J1509" t="str">
            <v>PremiumSS</v>
          </cell>
          <cell r="K1509" t="str">
            <v>balance</v>
          </cell>
          <cell r="L1509" t="str">
            <v>バランスタイプ</v>
          </cell>
          <cell r="M1509" t="str">
            <v>unknown</v>
          </cell>
        </row>
        <row r="1510">
          <cell r="A1510">
            <v>8020</v>
          </cell>
          <cell r="B1510" t="str">
            <v>ja</v>
          </cell>
          <cell r="C1510" t="str">
            <v>鏡音リン</v>
          </cell>
          <cell r="D1510" t="str">
            <v>鏡音リン</v>
          </cell>
          <cell r="E1510" t="str">
            <v>執行者</v>
          </cell>
          <cell r="F1510" t="str">
            <v>格好いい</v>
          </cell>
          <cell r="G1510" t="str">
            <v>男性</v>
          </cell>
          <cell r="H1510" t="str">
            <v>yellow</v>
          </cell>
          <cell r="I1510">
            <v>5</v>
          </cell>
          <cell r="J1510" t="str">
            <v>PremiumSS</v>
          </cell>
          <cell r="K1510" t="str">
            <v>balance</v>
          </cell>
          <cell r="L1510" t="str">
            <v>バランスタイプ</v>
          </cell>
          <cell r="M1510" t="str">
            <v>unknown</v>
          </cell>
        </row>
        <row r="1511">
          <cell r="A1511">
            <v>8021</v>
          </cell>
          <cell r="B1511" t="str">
            <v>ja</v>
          </cell>
          <cell r="C1511" t="str">
            <v>鏡音レン</v>
          </cell>
          <cell r="D1511" t="str">
            <v>鏡音レン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yellow</v>
          </cell>
          <cell r="I1511">
            <v>4</v>
          </cell>
          <cell r="J1511" t="str">
            <v>PremiumSS</v>
          </cell>
          <cell r="K1511" t="str">
            <v>heal</v>
          </cell>
          <cell r="L1511" t="str">
            <v>回復タイプ</v>
          </cell>
          <cell r="M1511" t="str">
            <v>unknown</v>
          </cell>
        </row>
        <row r="1512">
          <cell r="A1512">
            <v>8022</v>
          </cell>
          <cell r="B1512" t="str">
            <v>ja</v>
          </cell>
          <cell r="C1512" t="str">
            <v>鏡音レン</v>
          </cell>
          <cell r="D1512" t="str">
            <v>鏡音レン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heal</v>
          </cell>
          <cell r="L1512" t="str">
            <v>回復タイプ</v>
          </cell>
          <cell r="M1512" t="str">
            <v>unknown</v>
          </cell>
        </row>
        <row r="1513">
          <cell r="A1513">
            <v>8023</v>
          </cell>
          <cell r="B1513" t="str">
            <v>ja</v>
          </cell>
          <cell r="C1513" t="str">
            <v>巡音ルカ</v>
          </cell>
          <cell r="D1513" t="str">
            <v>巡音ルカ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red</v>
          </cell>
          <cell r="I1513">
            <v>3</v>
          </cell>
          <cell r="J1513" t="str">
            <v>PremiumS</v>
          </cell>
          <cell r="K1513" t="str">
            <v>attack</v>
          </cell>
          <cell r="L1513" t="str">
            <v>攻撃タイプ</v>
          </cell>
          <cell r="M1513" t="str">
            <v>unknown</v>
          </cell>
        </row>
        <row r="1514">
          <cell r="A1514">
            <v>8024</v>
          </cell>
          <cell r="B1514" t="str">
            <v>ja</v>
          </cell>
          <cell r="C1514" t="str">
            <v>巡音ルカ</v>
          </cell>
          <cell r="D1514" t="str">
            <v>巡音ルカ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red</v>
          </cell>
          <cell r="I1514">
            <v>4</v>
          </cell>
          <cell r="J1514" t="str">
            <v>PremiumS</v>
          </cell>
          <cell r="K1514" t="str">
            <v>attack</v>
          </cell>
          <cell r="L1514" t="str">
            <v>攻撃タイプ</v>
          </cell>
          <cell r="M1514" t="str">
            <v>unknown</v>
          </cell>
        </row>
        <row r="1515">
          <cell r="A1515">
            <v>8025</v>
          </cell>
          <cell r="B1515" t="str">
            <v>ja</v>
          </cell>
          <cell r="C1515" t="str">
            <v>MEIKO</v>
          </cell>
          <cell r="D1515" t="str">
            <v>MEIKO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red</v>
          </cell>
          <cell r="I1515">
            <v>3</v>
          </cell>
          <cell r="J1515" t="str">
            <v>PremiumS</v>
          </cell>
          <cell r="K1515" t="str">
            <v>hp</v>
          </cell>
          <cell r="L1515" t="str">
            <v>体力タイプ</v>
          </cell>
          <cell r="M1515" t="str">
            <v>unknown</v>
          </cell>
        </row>
        <row r="1516">
          <cell r="A1516">
            <v>8026</v>
          </cell>
          <cell r="B1516" t="str">
            <v>ja</v>
          </cell>
          <cell r="C1516" t="str">
            <v>MEIKO</v>
          </cell>
          <cell r="D1516" t="str">
            <v>MEIKO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red</v>
          </cell>
          <cell r="I1516">
            <v>4</v>
          </cell>
          <cell r="J1516" t="str">
            <v>PremiumS</v>
          </cell>
          <cell r="K1516" t="str">
            <v>hp</v>
          </cell>
          <cell r="L1516" t="str">
            <v>体力タイプ</v>
          </cell>
          <cell r="M1516" t="str">
            <v>unknown</v>
          </cell>
        </row>
        <row r="1517">
          <cell r="A1517">
            <v>8027</v>
          </cell>
          <cell r="B1517" t="str">
            <v>ja</v>
          </cell>
          <cell r="C1517" t="str">
            <v>KAITO</v>
          </cell>
          <cell r="D1517" t="str">
            <v>KAITO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blue</v>
          </cell>
          <cell r="I1517">
            <v>3</v>
          </cell>
          <cell r="J1517" t="str">
            <v>PremiumS</v>
          </cell>
          <cell r="K1517" t="str">
            <v>technical</v>
          </cell>
          <cell r="L1517" t="str">
            <v>テクニカルタイプ</v>
          </cell>
          <cell r="M1517" t="str">
            <v>unknown</v>
          </cell>
        </row>
        <row r="1518">
          <cell r="A1518">
            <v>8028</v>
          </cell>
          <cell r="B1518" t="str">
            <v>ja</v>
          </cell>
          <cell r="C1518" t="str">
            <v>KAITO</v>
          </cell>
          <cell r="D1518" t="str">
            <v>KAITO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blue</v>
          </cell>
          <cell r="I1518">
            <v>4</v>
          </cell>
          <cell r="J1518" t="str">
            <v>PremiumS</v>
          </cell>
          <cell r="K1518" t="str">
            <v>technical</v>
          </cell>
          <cell r="L1518" t="str">
            <v>テクニカルタイプ</v>
          </cell>
          <cell r="M1518" t="str">
            <v>unknown</v>
          </cell>
        </row>
        <row r="1519">
          <cell r="A1519">
            <v>8029</v>
          </cell>
          <cell r="B1519" t="str">
            <v>ja</v>
          </cell>
          <cell r="C1519" t="str">
            <v>Expoミク</v>
          </cell>
          <cell r="D1519" t="str">
            <v>Expoミク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blue</v>
          </cell>
          <cell r="I1519">
            <v>4</v>
          </cell>
          <cell r="J1519" t="str">
            <v>Drop2N</v>
          </cell>
          <cell r="K1519" t="str">
            <v>heal</v>
          </cell>
          <cell r="L1519" t="str">
            <v>回復タイプ</v>
          </cell>
          <cell r="M1519" t="str">
            <v>unknown</v>
          </cell>
        </row>
        <row r="1520">
          <cell r="A1520">
            <v>8030</v>
          </cell>
          <cell r="B1520" t="str">
            <v>ja</v>
          </cell>
          <cell r="C1520" t="str">
            <v>Expoミク</v>
          </cell>
          <cell r="D1520" t="str">
            <v>Expoミク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blue</v>
          </cell>
          <cell r="I1520">
            <v>5</v>
          </cell>
          <cell r="J1520" t="str">
            <v>Drop2N</v>
          </cell>
          <cell r="K1520" t="str">
            <v>heal</v>
          </cell>
          <cell r="L1520" t="str">
            <v>回復タイプ</v>
          </cell>
          <cell r="M1520" t="str">
            <v>unknown</v>
          </cell>
        </row>
        <row r="1521">
          <cell r="A1521">
            <v>8031</v>
          </cell>
          <cell r="B1521" t="str">
            <v>ja</v>
          </cell>
          <cell r="C1521" t="str">
            <v>閻羅王</v>
          </cell>
          <cell r="D1521" t="str">
            <v>Expoミク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red</v>
          </cell>
          <cell r="I1521">
            <v>5</v>
          </cell>
          <cell r="J1521" t="str">
            <v>PremiumSS</v>
          </cell>
          <cell r="K1521" t="str">
            <v>balance</v>
          </cell>
          <cell r="L1521" t="str">
            <v>バランスタイプ</v>
          </cell>
          <cell r="M1521" t="str">
            <v>god</v>
          </cell>
        </row>
        <row r="1522">
          <cell r="A1522">
            <v>8032</v>
          </cell>
          <cell r="B1522" t="str">
            <v>ja</v>
          </cell>
          <cell r="C1522" t="str">
            <v>六道輪廻の絶獄 閻羅王</v>
          </cell>
          <cell r="D1522" t="str">
            <v>Expoミク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red</v>
          </cell>
          <cell r="I1522">
            <v>6</v>
          </cell>
          <cell r="J1522" t="str">
            <v>PremiumSS</v>
          </cell>
          <cell r="K1522" t="str">
            <v>balance</v>
          </cell>
          <cell r="L1522" t="str">
            <v>バランスタイプ</v>
          </cell>
          <cell r="M1522" t="str">
            <v>god</v>
          </cell>
        </row>
        <row r="1523">
          <cell r="A1523">
            <v>8033</v>
          </cell>
          <cell r="B1523" t="str">
            <v>ja</v>
          </cell>
          <cell r="C1523" t="str">
            <v>牛頭馬面</v>
          </cell>
          <cell r="D1523" t="str">
            <v>Expoミク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green</v>
          </cell>
          <cell r="I1523">
            <v>5</v>
          </cell>
          <cell r="J1523" t="str">
            <v>DropWizS</v>
          </cell>
          <cell r="K1523" t="str">
            <v>attack</v>
          </cell>
          <cell r="L1523" t="str">
            <v>攻撃タイプ</v>
          </cell>
          <cell r="M1523" t="str">
            <v>god</v>
          </cell>
        </row>
        <row r="1524">
          <cell r="A1524">
            <v>8034</v>
          </cell>
          <cell r="B1524" t="str">
            <v>ja</v>
          </cell>
          <cell r="C1524" t="str">
            <v>冥府狩る魂使 牛頭馬面</v>
          </cell>
          <cell r="D1524" t="str">
            <v>Expoミク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green</v>
          </cell>
          <cell r="I1524">
            <v>6</v>
          </cell>
          <cell r="J1524" t="str">
            <v>DropWizS</v>
          </cell>
          <cell r="K1524" t="str">
            <v>attack</v>
          </cell>
          <cell r="L1524" t="str">
            <v>攻撃タイプ</v>
          </cell>
          <cell r="M1524" t="str">
            <v>god</v>
          </cell>
        </row>
        <row r="1525">
          <cell r="A1525">
            <v>8035</v>
          </cell>
          <cell r="B1525" t="str">
            <v>ja</v>
          </cell>
          <cell r="C1525" t="str">
            <v>飛衛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5</v>
          </cell>
          <cell r="J1525" t="str">
            <v>PremiumSS</v>
          </cell>
          <cell r="K1525" t="str">
            <v>heal</v>
          </cell>
          <cell r="L1525" t="str">
            <v>回復タイプ</v>
          </cell>
          <cell r="M1525" t="str">
            <v>human</v>
          </cell>
        </row>
        <row r="1526">
          <cell r="A1526">
            <v>8036</v>
          </cell>
          <cell r="B1526" t="str">
            <v>ja</v>
          </cell>
          <cell r="C1526" t="str">
            <v>レア６飛衛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6</v>
          </cell>
          <cell r="J1526" t="str">
            <v>PremiumSS</v>
          </cell>
          <cell r="K1526" t="str">
            <v>heal</v>
          </cell>
          <cell r="L1526" t="str">
            <v>回復タイプ</v>
          </cell>
          <cell r="M1526" t="str">
            <v>human</v>
          </cell>
        </row>
        <row r="1527">
          <cell r="A1527">
            <v>8037</v>
          </cell>
          <cell r="B1527" t="str">
            <v>ja</v>
          </cell>
          <cell r="C1527" t="str">
            <v>紀昌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DropWizS</v>
          </cell>
          <cell r="K1527" t="str">
            <v>attack</v>
          </cell>
          <cell r="L1527" t="str">
            <v>攻撃タイプ</v>
          </cell>
          <cell r="M1527" t="str">
            <v>human</v>
          </cell>
        </row>
        <row r="1528">
          <cell r="A1528">
            <v>8038</v>
          </cell>
          <cell r="B1528" t="str">
            <v>ja</v>
          </cell>
          <cell r="C1528" t="str">
            <v>レア６紀昌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DropWizS</v>
          </cell>
          <cell r="K1528" t="str">
            <v>attack</v>
          </cell>
          <cell r="L1528" t="str">
            <v>攻撃タイプ</v>
          </cell>
          <cell r="M1528" t="str">
            <v>human</v>
          </cell>
        </row>
        <row r="1529">
          <cell r="A1529">
            <v>8039</v>
          </cell>
          <cell r="B1529" t="str">
            <v>ja</v>
          </cell>
          <cell r="C1529" t="str">
            <v>何仙姑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yellow</v>
          </cell>
          <cell r="I1529">
            <v>5</v>
          </cell>
          <cell r="J1529" t="str">
            <v>PremiumSSw</v>
          </cell>
          <cell r="K1529" t="str">
            <v>hp</v>
          </cell>
          <cell r="L1529" t="str">
            <v>体力タイプ</v>
          </cell>
          <cell r="M1529" t="str">
            <v>god</v>
          </cell>
        </row>
        <row r="1530">
          <cell r="A1530">
            <v>8040</v>
          </cell>
          <cell r="B1530" t="str">
            <v>ja</v>
          </cell>
          <cell r="C1530" t="str">
            <v>レア６何仙姑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6</v>
          </cell>
          <cell r="J1530" t="str">
            <v>PremiumSSw</v>
          </cell>
          <cell r="K1530" t="str">
            <v>hp</v>
          </cell>
          <cell r="L1530" t="str">
            <v>体力タイプ</v>
          </cell>
          <cell r="M1530" t="str">
            <v>god</v>
          </cell>
        </row>
        <row r="1531">
          <cell r="A1531">
            <v>8041</v>
          </cell>
          <cell r="B1531" t="str">
            <v>ja</v>
          </cell>
          <cell r="C1531" t="str">
            <v>藍采和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DropWizS</v>
          </cell>
          <cell r="K1531" t="str">
            <v>balance</v>
          </cell>
          <cell r="L1531" t="str">
            <v>バランスタイプ</v>
          </cell>
          <cell r="M1531" t="str">
            <v>god</v>
          </cell>
        </row>
        <row r="1532">
          <cell r="A1532">
            <v>8042</v>
          </cell>
          <cell r="B1532" t="str">
            <v>ja</v>
          </cell>
          <cell r="C1532" t="str">
            <v>レア６藍采和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DropWizS</v>
          </cell>
          <cell r="K1532" t="str">
            <v>balance</v>
          </cell>
          <cell r="L1532" t="str">
            <v>バランスタイプ</v>
          </cell>
          <cell r="M1532" t="str">
            <v>god</v>
          </cell>
        </row>
        <row r="1533">
          <cell r="A1533">
            <v>8043</v>
          </cell>
          <cell r="B1533" t="str">
            <v>ja</v>
          </cell>
          <cell r="C1533" t="str">
            <v>サンリオキャラ大集合+アザゼル</v>
          </cell>
          <cell r="D1533" t="str">
            <v>サンリオキャラ大集合+アザゼル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green</v>
          </cell>
          <cell r="I1533">
            <v>5</v>
          </cell>
          <cell r="J1533" t="str">
            <v>DropWizS</v>
          </cell>
          <cell r="K1533" t="str">
            <v>technical</v>
          </cell>
          <cell r="L1533" t="str">
            <v>テクニカルタイプ</v>
          </cell>
          <cell r="M1533" t="str">
            <v>ss</v>
          </cell>
        </row>
        <row r="1534">
          <cell r="A1534">
            <v>8044</v>
          </cell>
          <cell r="B1534" t="str">
            <v>ja</v>
          </cell>
          <cell r="C1534" t="str">
            <v>サンリオキャラ大集合+アザゼル</v>
          </cell>
          <cell r="D1534" t="str">
            <v>サンリオキャラ大集合+アザゼル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green</v>
          </cell>
          <cell r="I1534">
            <v>6</v>
          </cell>
          <cell r="J1534" t="str">
            <v>DropWizS</v>
          </cell>
          <cell r="K1534" t="str">
            <v>technical</v>
          </cell>
          <cell r="L1534" t="str">
            <v>テクニカルタイプ</v>
          </cell>
          <cell r="M1534" t="str">
            <v>ss</v>
          </cell>
        </row>
        <row r="1535">
          <cell r="A1535">
            <v>8045</v>
          </cell>
          <cell r="B1535" t="str">
            <v>ja</v>
          </cell>
          <cell r="C1535" t="str">
            <v>ニムダ_サンリオキャラ混じり</v>
          </cell>
          <cell r="D1535" t="str">
            <v>ニムダ_サンリオキャラ混じり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4</v>
          </cell>
          <cell r="J1535" t="str">
            <v>Drop2N</v>
          </cell>
          <cell r="K1535" t="str">
            <v>technical</v>
          </cell>
          <cell r="L1535" t="str">
            <v>テクニカルタイプ</v>
          </cell>
          <cell r="M1535" t="str">
            <v>ss</v>
          </cell>
        </row>
        <row r="1536">
          <cell r="A1536">
            <v>8046</v>
          </cell>
          <cell r="B1536" t="str">
            <v>ja</v>
          </cell>
          <cell r="C1536" t="str">
            <v>ニムダ_サンリオキャラ混じり</v>
          </cell>
          <cell r="D1536" t="str">
            <v>ニムダ_サンリオキャラ混じり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5</v>
          </cell>
          <cell r="J1536" t="str">
            <v>Drop2N</v>
          </cell>
          <cell r="K1536" t="str">
            <v>technical</v>
          </cell>
          <cell r="L1536" t="str">
            <v>テクニカルタイプ</v>
          </cell>
          <cell r="M1536" t="str">
            <v>ss</v>
          </cell>
        </row>
        <row r="1537">
          <cell r="A1537">
            <v>8047</v>
          </cell>
          <cell r="B1537" t="str">
            <v>ja</v>
          </cell>
          <cell r="C1537" t="str">
            <v>ハローキティ</v>
          </cell>
          <cell r="D1537" t="str">
            <v>ハローキティ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red</v>
          </cell>
          <cell r="I1537">
            <v>4</v>
          </cell>
          <cell r="J1537" t="str">
            <v>Drop2N</v>
          </cell>
          <cell r="K1537" t="str">
            <v>balance</v>
          </cell>
          <cell r="L1537" t="str">
            <v>バランスタイプ</v>
          </cell>
          <cell r="M1537" t="str">
            <v>ss</v>
          </cell>
        </row>
        <row r="1538">
          <cell r="A1538">
            <v>8048</v>
          </cell>
          <cell r="B1538" t="str">
            <v>ja</v>
          </cell>
          <cell r="C1538" t="str">
            <v>ハローキティ</v>
          </cell>
          <cell r="D1538" t="str">
            <v>ハローキティ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red</v>
          </cell>
          <cell r="I1538">
            <v>5</v>
          </cell>
          <cell r="J1538" t="str">
            <v>Drop2N</v>
          </cell>
          <cell r="K1538" t="str">
            <v>balance</v>
          </cell>
          <cell r="L1538" t="str">
            <v>バランスタイプ</v>
          </cell>
          <cell r="M1538" t="str">
            <v>ss</v>
          </cell>
        </row>
        <row r="1539">
          <cell r="A1539">
            <v>8049</v>
          </cell>
          <cell r="B1539" t="str">
            <v>ja</v>
          </cell>
          <cell r="C1539" t="str">
            <v>KIRIMIちゃん</v>
          </cell>
          <cell r="D1539" t="str">
            <v>KIRIMIちゃん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red</v>
          </cell>
          <cell r="I1539">
            <v>4</v>
          </cell>
          <cell r="J1539" t="str">
            <v>Drop2N</v>
          </cell>
          <cell r="K1539" t="str">
            <v>hp</v>
          </cell>
          <cell r="L1539" t="str">
            <v>体力タイプ</v>
          </cell>
          <cell r="M1539" t="str">
            <v>ss</v>
          </cell>
        </row>
        <row r="1540">
          <cell r="A1540">
            <v>8050</v>
          </cell>
          <cell r="B1540" t="str">
            <v>ja</v>
          </cell>
          <cell r="C1540" t="str">
            <v>KIRIMIちゃん</v>
          </cell>
          <cell r="D1540" t="str">
            <v>KIRIMIちゃん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red</v>
          </cell>
          <cell r="I1540">
            <v>5</v>
          </cell>
          <cell r="J1540" t="str">
            <v>Drop2N</v>
          </cell>
          <cell r="K1540" t="str">
            <v>hp</v>
          </cell>
          <cell r="L1540" t="str">
            <v>体力タイプ</v>
          </cell>
          <cell r="M1540" t="str">
            <v>ss</v>
          </cell>
        </row>
        <row r="1541">
          <cell r="A1541">
            <v>8051</v>
          </cell>
          <cell r="B1541" t="str">
            <v>ja</v>
          </cell>
          <cell r="C1541" t="str">
            <v>ハローキティのリボン</v>
          </cell>
          <cell r="D1541" t="str">
            <v>ハローキティのリボン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red</v>
          </cell>
          <cell r="I1541">
            <v>5</v>
          </cell>
          <cell r="J1541" t="str">
            <v>Drop2N</v>
          </cell>
          <cell r="K1541" t="str">
            <v>evolution</v>
          </cell>
          <cell r="L1541" t="str">
            <v>覚醒素材タイプ</v>
          </cell>
          <cell r="M1541" t="str">
            <v>ss</v>
          </cell>
        </row>
        <row r="1542">
          <cell r="A1542">
            <v>8052</v>
          </cell>
          <cell r="B1542" t="str">
            <v>ja</v>
          </cell>
          <cell r="C1542" t="str">
            <v>ママの作ったアップルパイ</v>
          </cell>
          <cell r="D1542" t="str">
            <v>ママの作ったアップルパイ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red</v>
          </cell>
          <cell r="I1542">
            <v>4</v>
          </cell>
          <cell r="J1542" t="str">
            <v>Drop2N</v>
          </cell>
          <cell r="K1542" t="str">
            <v>evolution</v>
          </cell>
          <cell r="L1542" t="str">
            <v>覚醒素材タイプ</v>
          </cell>
          <cell r="M1542" t="str">
            <v>ss</v>
          </cell>
        </row>
        <row r="1543">
          <cell r="A1543">
            <v>8053</v>
          </cell>
          <cell r="B1543" t="str">
            <v>ja</v>
          </cell>
          <cell r="C1543" t="str">
            <v>D.R.T.H__キティコスプレ</v>
          </cell>
          <cell r="D1543" t="str">
            <v>D.R.T.H__キティコスプレ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5</v>
          </cell>
          <cell r="J1543" t="str">
            <v>PremiumSS</v>
          </cell>
          <cell r="K1543" t="str">
            <v>balance</v>
          </cell>
          <cell r="L1543" t="str">
            <v>バランスタイプ</v>
          </cell>
          <cell r="M1543" t="str">
            <v>ss</v>
          </cell>
        </row>
        <row r="1544">
          <cell r="A1544">
            <v>8054</v>
          </cell>
          <cell r="B1544" t="str">
            <v>ja</v>
          </cell>
          <cell r="C1544" t="str">
            <v>D.R.T.H__キティコスプレ</v>
          </cell>
          <cell r="D1544" t="str">
            <v>D.R.T.H__キティコスプレ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6</v>
          </cell>
          <cell r="J1544" t="str">
            <v>PremiumSS</v>
          </cell>
          <cell r="K1544" t="str">
            <v>balance</v>
          </cell>
          <cell r="L1544" t="str">
            <v>バランスタイプ</v>
          </cell>
          <cell r="M1544" t="str">
            <v>ss</v>
          </cell>
        </row>
        <row r="1545">
          <cell r="A1545">
            <v>8055</v>
          </cell>
          <cell r="B1545" t="str">
            <v>ja</v>
          </cell>
          <cell r="C1545" t="str">
            <v>マイメロディ</v>
          </cell>
          <cell r="D1545" t="str">
            <v>マイメロディ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PremiumS</v>
          </cell>
          <cell r="K1545" t="str">
            <v>attack</v>
          </cell>
          <cell r="L1545" t="str">
            <v>攻撃タイプ</v>
          </cell>
          <cell r="M1545" t="str">
            <v>ss</v>
          </cell>
        </row>
        <row r="1546">
          <cell r="A1546">
            <v>8056</v>
          </cell>
          <cell r="B1546" t="str">
            <v>ja</v>
          </cell>
          <cell r="C1546" t="str">
            <v>マイメロディ</v>
          </cell>
          <cell r="D1546" t="str">
            <v>マイメロディ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PremiumS</v>
          </cell>
          <cell r="K1546" t="str">
            <v>attack</v>
          </cell>
          <cell r="L1546" t="str">
            <v>攻撃タイプ</v>
          </cell>
          <cell r="M1546" t="str">
            <v>ss</v>
          </cell>
        </row>
        <row r="1547">
          <cell r="A1547">
            <v>8057</v>
          </cell>
          <cell r="B1547" t="str">
            <v>ja</v>
          </cell>
          <cell r="C1547" t="str">
            <v>ニーベルゲン_シナモロールコスプレ</v>
          </cell>
          <cell r="D1547" t="str">
            <v>ニーベルゲン_シナモロールコスプレ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green</v>
          </cell>
          <cell r="I1547">
            <v>4</v>
          </cell>
          <cell r="J1547" t="str">
            <v>PremiumS</v>
          </cell>
          <cell r="K1547" t="str">
            <v>balance</v>
          </cell>
          <cell r="L1547" t="str">
            <v>バランスタイプ</v>
          </cell>
          <cell r="M1547" t="str">
            <v>ss</v>
          </cell>
        </row>
        <row r="1548">
          <cell r="A1548">
            <v>8058</v>
          </cell>
          <cell r="B1548" t="str">
            <v>ja</v>
          </cell>
          <cell r="C1548" t="str">
            <v>ニーベルゲン_シナモロールコスプレ</v>
          </cell>
          <cell r="D1548" t="str">
            <v>ニーベルゲン_シナモロールコスプレ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green</v>
          </cell>
          <cell r="I1548">
            <v>5</v>
          </cell>
          <cell r="J1548" t="str">
            <v>PremiumS</v>
          </cell>
          <cell r="K1548" t="str">
            <v>balance</v>
          </cell>
          <cell r="L1548" t="str">
            <v>バランスタイプ</v>
          </cell>
          <cell r="M1548" t="str">
            <v>ss</v>
          </cell>
        </row>
        <row r="1549">
          <cell r="A1549">
            <v>8059</v>
          </cell>
          <cell r="B1549" t="str">
            <v>ja</v>
          </cell>
          <cell r="C1549" t="str">
            <v>カカシ_マイメロディコスプレ</v>
          </cell>
          <cell r="D1549" t="str">
            <v>カカシ_マイメロディコスプレ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green</v>
          </cell>
          <cell r="I1549">
            <v>4</v>
          </cell>
          <cell r="J1549" t="str">
            <v>PremiumS</v>
          </cell>
          <cell r="K1549" t="str">
            <v>technical</v>
          </cell>
          <cell r="L1549" t="str">
            <v>テクニカルタイプ</v>
          </cell>
          <cell r="M1549" t="str">
            <v>ss</v>
          </cell>
        </row>
        <row r="1550">
          <cell r="A1550">
            <v>8060</v>
          </cell>
          <cell r="B1550" t="str">
            <v>ja</v>
          </cell>
          <cell r="C1550" t="str">
            <v>カカシ_マイメロディコスプレ</v>
          </cell>
          <cell r="D1550" t="str">
            <v>カカシ_マイメロディコスプレ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green</v>
          </cell>
          <cell r="I1550">
            <v>5</v>
          </cell>
          <cell r="J1550" t="str">
            <v>PremiumS</v>
          </cell>
          <cell r="K1550" t="str">
            <v>technical</v>
          </cell>
          <cell r="L1550" t="str">
            <v>テクニカルタイプ</v>
          </cell>
          <cell r="M1550" t="str">
            <v>ss</v>
          </cell>
        </row>
        <row r="1551">
          <cell r="A1551">
            <v>8061</v>
          </cell>
          <cell r="B1551" t="str">
            <v>ja</v>
          </cell>
          <cell r="C1551" t="str">
            <v>ケロケロけろっぴ</v>
          </cell>
          <cell r="D1551" t="str">
            <v>ケロケロけろっぴ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green</v>
          </cell>
          <cell r="I1551">
            <v>3</v>
          </cell>
          <cell r="J1551" t="str">
            <v>PremiumS</v>
          </cell>
          <cell r="K1551" t="str">
            <v>balance</v>
          </cell>
          <cell r="L1551" t="str">
            <v>バランスタイプ</v>
          </cell>
          <cell r="M1551" t="str">
            <v>ss</v>
          </cell>
        </row>
        <row r="1552">
          <cell r="A1552">
            <v>8062</v>
          </cell>
          <cell r="B1552" t="str">
            <v>ja</v>
          </cell>
          <cell r="C1552" t="str">
            <v>ケロケロけろっぴ</v>
          </cell>
          <cell r="D1552" t="str">
            <v>ケロケロけろっぴ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green</v>
          </cell>
          <cell r="I1552">
            <v>4</v>
          </cell>
          <cell r="J1552" t="str">
            <v>PremiumS</v>
          </cell>
          <cell r="K1552" t="str">
            <v>balance</v>
          </cell>
          <cell r="L1552" t="str">
            <v>バランスタイプ</v>
          </cell>
          <cell r="M1552" t="str">
            <v>ss</v>
          </cell>
        </row>
        <row r="1553">
          <cell r="A1553">
            <v>8063</v>
          </cell>
          <cell r="B1553" t="str">
            <v>ja</v>
          </cell>
          <cell r="C1553" t="str">
            <v>モルドレッド_ポムポムプリンコスプレ</v>
          </cell>
          <cell r="D1553" t="str">
            <v>モルドレッド_ポムポムプリンコスプレ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blue</v>
          </cell>
          <cell r="I1553">
            <v>5</v>
          </cell>
          <cell r="J1553" t="str">
            <v>PremiumSS</v>
          </cell>
          <cell r="K1553" t="str">
            <v>heal</v>
          </cell>
          <cell r="L1553" t="str">
            <v>回復タイプ</v>
          </cell>
          <cell r="M1553" t="str">
            <v>ss</v>
          </cell>
        </row>
        <row r="1554">
          <cell r="A1554">
            <v>8064</v>
          </cell>
          <cell r="B1554" t="str">
            <v>ja</v>
          </cell>
          <cell r="C1554" t="str">
            <v>モルドレッド_ポムポムプリンコスプレ</v>
          </cell>
          <cell r="D1554" t="str">
            <v>モルドレッド_ポムポムプリンコスプレ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blue</v>
          </cell>
          <cell r="I1554">
            <v>6</v>
          </cell>
          <cell r="J1554" t="str">
            <v>PremiumSS</v>
          </cell>
          <cell r="K1554" t="str">
            <v>heal</v>
          </cell>
          <cell r="L1554" t="str">
            <v>回復タイプ</v>
          </cell>
          <cell r="M1554" t="str">
            <v>ss</v>
          </cell>
        </row>
        <row r="1555">
          <cell r="A1555">
            <v>8065</v>
          </cell>
          <cell r="B1555" t="str">
            <v>ja</v>
          </cell>
          <cell r="C1555" t="str">
            <v>クロミ</v>
          </cell>
          <cell r="D1555" t="str">
            <v>クロミ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blue</v>
          </cell>
          <cell r="I1555">
            <v>3</v>
          </cell>
          <cell r="J1555" t="str">
            <v>PremiumS</v>
          </cell>
          <cell r="K1555" t="str">
            <v>technical</v>
          </cell>
          <cell r="L1555" t="str">
            <v>テクニカルタイプ</v>
          </cell>
          <cell r="M1555" t="str">
            <v>ss</v>
          </cell>
        </row>
        <row r="1556">
          <cell r="A1556">
            <v>8066</v>
          </cell>
          <cell r="B1556" t="str">
            <v>ja</v>
          </cell>
          <cell r="C1556" t="str">
            <v>クロミ</v>
          </cell>
          <cell r="D1556" t="str">
            <v>クロミ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blue</v>
          </cell>
          <cell r="I1556">
            <v>4</v>
          </cell>
          <cell r="J1556" t="str">
            <v>PremiumS</v>
          </cell>
          <cell r="K1556" t="str">
            <v>technical</v>
          </cell>
          <cell r="L1556" t="str">
            <v>テクニカルタイプ</v>
          </cell>
          <cell r="M1556" t="str">
            <v>ss</v>
          </cell>
        </row>
        <row r="1557">
          <cell r="A1557">
            <v>8067</v>
          </cell>
          <cell r="B1557" t="str">
            <v>ja</v>
          </cell>
          <cell r="C1557" t="str">
            <v>バッドばつ丸</v>
          </cell>
          <cell r="D1557" t="str">
            <v>バッドばつ丸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blue</v>
          </cell>
          <cell r="I1557">
            <v>3</v>
          </cell>
          <cell r="J1557" t="str">
            <v>PremiumS</v>
          </cell>
          <cell r="K1557" t="str">
            <v>attack</v>
          </cell>
          <cell r="L1557" t="str">
            <v>攻撃タイプ</v>
          </cell>
          <cell r="M1557" t="str">
            <v>ss</v>
          </cell>
        </row>
        <row r="1558">
          <cell r="A1558">
            <v>8068</v>
          </cell>
          <cell r="B1558" t="str">
            <v>ja</v>
          </cell>
          <cell r="C1558" t="str">
            <v>バッドばつ丸</v>
          </cell>
          <cell r="D1558" t="str">
            <v>バッドばつ丸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blue</v>
          </cell>
          <cell r="I1558">
            <v>4</v>
          </cell>
          <cell r="J1558" t="str">
            <v>PremiumS</v>
          </cell>
          <cell r="K1558" t="str">
            <v>attack</v>
          </cell>
          <cell r="L1558" t="str">
            <v>攻撃タイプ</v>
          </cell>
          <cell r="M1558" t="str">
            <v>ss</v>
          </cell>
        </row>
        <row r="1559">
          <cell r="A1559">
            <v>8069</v>
          </cell>
          <cell r="B1559" t="str">
            <v>ja</v>
          </cell>
          <cell r="C1559" t="str">
            <v>シナモロール</v>
          </cell>
          <cell r="D1559" t="str">
            <v>シナモロール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yellow</v>
          </cell>
          <cell r="I1559">
            <v>4</v>
          </cell>
          <cell r="J1559" t="str">
            <v>PremiumS</v>
          </cell>
          <cell r="K1559" t="str">
            <v>heal</v>
          </cell>
          <cell r="L1559" t="str">
            <v>回復タイプ</v>
          </cell>
          <cell r="M1559" t="str">
            <v>ss</v>
          </cell>
        </row>
        <row r="1560">
          <cell r="A1560">
            <v>8070</v>
          </cell>
          <cell r="B1560" t="str">
            <v>ja</v>
          </cell>
          <cell r="C1560" t="str">
            <v>シナモロール</v>
          </cell>
          <cell r="D1560" t="str">
            <v>シナモロール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yellow</v>
          </cell>
          <cell r="I1560">
            <v>5</v>
          </cell>
          <cell r="J1560" t="str">
            <v>PremiumS</v>
          </cell>
          <cell r="K1560" t="str">
            <v>heal</v>
          </cell>
          <cell r="L1560" t="str">
            <v>回復タイプ</v>
          </cell>
          <cell r="M1560" t="str">
            <v>ss</v>
          </cell>
        </row>
        <row r="1561">
          <cell r="A1561">
            <v>8071</v>
          </cell>
          <cell r="B1561" t="str">
            <v>ja</v>
          </cell>
          <cell r="C1561" t="str">
            <v>ポムポムプリン</v>
          </cell>
          <cell r="D1561" t="str">
            <v>ポムポムプリン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yellow</v>
          </cell>
          <cell r="I1561">
            <v>3</v>
          </cell>
          <cell r="J1561" t="str">
            <v>PremiumS</v>
          </cell>
          <cell r="K1561" t="str">
            <v>hp</v>
          </cell>
          <cell r="L1561" t="str">
            <v>体力タイプ</v>
          </cell>
          <cell r="M1561" t="str">
            <v>ss</v>
          </cell>
        </row>
        <row r="1562">
          <cell r="A1562">
            <v>8072</v>
          </cell>
          <cell r="B1562" t="str">
            <v>ja</v>
          </cell>
          <cell r="C1562" t="str">
            <v>ポムポムプリン</v>
          </cell>
          <cell r="D1562" t="str">
            <v>ポムポムプリン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yellow</v>
          </cell>
          <cell r="I1562">
            <v>4</v>
          </cell>
          <cell r="J1562" t="str">
            <v>PremiumS</v>
          </cell>
          <cell r="K1562" t="str">
            <v>hp</v>
          </cell>
          <cell r="L1562" t="str">
            <v>体力タイプ</v>
          </cell>
          <cell r="M1562" t="str">
            <v>ss</v>
          </cell>
        </row>
        <row r="1563">
          <cell r="A1563">
            <v>8073</v>
          </cell>
          <cell r="B1563" t="str">
            <v>ja</v>
          </cell>
          <cell r="C1563" t="str">
            <v>星海祈る天光妃 媽祖</v>
          </cell>
          <cell r="D1563" t="str">
            <v>Expoミク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yellow</v>
          </cell>
          <cell r="I1563">
            <v>6</v>
          </cell>
          <cell r="J1563" t="str">
            <v>PremiumSS</v>
          </cell>
          <cell r="K1563" t="str">
            <v>attack</v>
          </cell>
          <cell r="L1563" t="str">
            <v>攻撃タイプ</v>
          </cell>
          <cell r="M1563" t="str">
            <v>human</v>
          </cell>
        </row>
        <row r="1564">
          <cell r="A1564">
            <v>8074</v>
          </cell>
          <cell r="B1564" t="str">
            <v>ja</v>
          </cell>
          <cell r="C1564" t="str">
            <v>海戀の絶龍姫 蛟龍</v>
          </cell>
          <cell r="D1564" t="str">
            <v>Expoミク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6</v>
          </cell>
          <cell r="J1564" t="str">
            <v>DropWizS</v>
          </cell>
          <cell r="K1564" t="str">
            <v>hp</v>
          </cell>
          <cell r="L1564" t="str">
            <v>体力タイプ</v>
          </cell>
          <cell r="M1564" t="str">
            <v>dragon</v>
          </cell>
        </row>
        <row r="1565">
          <cell r="A1565">
            <v>8075</v>
          </cell>
          <cell r="B1565" t="str">
            <v>ja</v>
          </cell>
          <cell r="C1565" t="str">
            <v>三蔵法師_超覚醒</v>
          </cell>
          <cell r="D1565" t="str">
            <v>Expoミク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blue</v>
          </cell>
          <cell r="I1565">
            <v>6</v>
          </cell>
          <cell r="J1565" t="str">
            <v>PremiumSS</v>
          </cell>
          <cell r="K1565" t="str">
            <v>balance</v>
          </cell>
          <cell r="L1565" t="str">
            <v>バランスタイプ</v>
          </cell>
          <cell r="M1565" t="str">
            <v>god</v>
          </cell>
        </row>
        <row r="1566">
          <cell r="A1566">
            <v>8076</v>
          </cell>
          <cell r="B1566" t="str">
            <v>ja</v>
          </cell>
          <cell r="C1566" t="str">
            <v>孫悟空_超覚醒</v>
          </cell>
          <cell r="D1566" t="str">
            <v>Expoミク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red</v>
          </cell>
          <cell r="I1566">
            <v>6</v>
          </cell>
          <cell r="J1566" t="str">
            <v>DropWizS</v>
          </cell>
          <cell r="K1566" t="str">
            <v>attack</v>
          </cell>
          <cell r="L1566" t="str">
            <v>攻撃タイプ</v>
          </cell>
          <cell r="M1566" t="str">
            <v>unknown</v>
          </cell>
        </row>
        <row r="1567">
          <cell r="A1567">
            <v>8077</v>
          </cell>
          <cell r="B1567" t="str">
            <v>ja</v>
          </cell>
          <cell r="C1567" t="str">
            <v>鄭成功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blue</v>
          </cell>
          <cell r="I1567">
            <v>5</v>
          </cell>
          <cell r="J1567" t="str">
            <v>PremiumSS</v>
          </cell>
          <cell r="K1567" t="str">
            <v>attack</v>
          </cell>
          <cell r="L1567" t="str">
            <v>攻撃タイプ</v>
          </cell>
          <cell r="M1567" t="str">
            <v>human</v>
          </cell>
        </row>
        <row r="1568">
          <cell r="A1568">
            <v>8078</v>
          </cell>
          <cell r="B1568" t="str">
            <v>ja</v>
          </cell>
          <cell r="C1568" t="str">
            <v>レア６鄭成功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blue</v>
          </cell>
          <cell r="I1568">
            <v>6</v>
          </cell>
          <cell r="J1568" t="str">
            <v>PremiumSS</v>
          </cell>
          <cell r="K1568" t="str">
            <v>attack</v>
          </cell>
          <cell r="L1568" t="str">
            <v>攻撃タイプ</v>
          </cell>
          <cell r="M1568" t="str">
            <v>human</v>
          </cell>
        </row>
        <row r="1569">
          <cell r="A1569">
            <v>8079</v>
          </cell>
          <cell r="B1569" t="str">
            <v>ja</v>
          </cell>
          <cell r="C1569" t="str">
            <v>赤鬼</v>
          </cell>
          <cell r="D1569" t="str">
            <v>ポムポムプリン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red</v>
          </cell>
          <cell r="I1569">
            <v>5</v>
          </cell>
          <cell r="J1569" t="str">
            <v>DropWizS</v>
          </cell>
          <cell r="K1569" t="str">
            <v>hp</v>
          </cell>
          <cell r="L1569" t="str">
            <v>体力タイプ</v>
          </cell>
          <cell r="M1569" t="str">
            <v>dragon</v>
          </cell>
        </row>
        <row r="1570">
          <cell r="A1570">
            <v>8080</v>
          </cell>
          <cell r="B1570" t="str">
            <v>ja</v>
          </cell>
          <cell r="C1570" t="str">
            <v>レア６赤鬼</v>
          </cell>
          <cell r="D1570" t="str">
            <v>ポムポムプリン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red</v>
          </cell>
          <cell r="I1570">
            <v>6</v>
          </cell>
          <cell r="J1570" t="str">
            <v>DropWizS</v>
          </cell>
          <cell r="K1570" t="str">
            <v>hp</v>
          </cell>
          <cell r="L1570" t="str">
            <v>体力タイプ</v>
          </cell>
          <cell r="M1570" t="str">
            <v>dragon</v>
          </cell>
        </row>
        <row r="1571">
          <cell r="A1571">
            <v>8081</v>
          </cell>
          <cell r="B1571" t="str">
            <v>ja</v>
          </cell>
          <cell r="C1571" t="str">
            <v>関羽</v>
          </cell>
          <cell r="H1571" t="str">
            <v>green</v>
          </cell>
          <cell r="I1571">
            <v>5</v>
          </cell>
          <cell r="J1571" t="str">
            <v>PremiumSSS</v>
          </cell>
          <cell r="K1571" t="str">
            <v>balance</v>
          </cell>
          <cell r="L1571" t="str">
            <v>バランスタイプ</v>
          </cell>
          <cell r="M1571" t="str">
            <v>samurai</v>
          </cell>
        </row>
        <row r="1572">
          <cell r="A1572">
            <v>8082</v>
          </cell>
          <cell r="B1572" t="str">
            <v>ja</v>
          </cell>
          <cell r="C1572" t="str">
            <v>★６関羽</v>
          </cell>
          <cell r="H1572" t="str">
            <v>green</v>
          </cell>
          <cell r="I1572">
            <v>6</v>
          </cell>
          <cell r="J1572" t="str">
            <v>PremiumSSS</v>
          </cell>
          <cell r="K1572" t="str">
            <v>balance</v>
          </cell>
          <cell r="L1572" t="str">
            <v>バランスタイプ</v>
          </cell>
          <cell r="M1572" t="str">
            <v>samurai</v>
          </cell>
        </row>
        <row r="1573">
          <cell r="A1573">
            <v>8083</v>
          </cell>
          <cell r="B1573" t="str">
            <v>ja</v>
          </cell>
          <cell r="C1573" t="str">
            <v>曹操</v>
          </cell>
          <cell r="H1573" t="str">
            <v>yellow</v>
          </cell>
          <cell r="I1573">
            <v>5</v>
          </cell>
          <cell r="J1573" t="str">
            <v>DropWizSS</v>
          </cell>
          <cell r="K1573" t="str">
            <v>technical</v>
          </cell>
          <cell r="L1573" t="str">
            <v>テクニカルタイプ</v>
          </cell>
          <cell r="M1573" t="str">
            <v>samurai</v>
          </cell>
        </row>
        <row r="1574">
          <cell r="A1574">
            <v>8084</v>
          </cell>
          <cell r="B1574" t="str">
            <v>ja</v>
          </cell>
          <cell r="C1574" t="str">
            <v>★６曹操</v>
          </cell>
          <cell r="H1574" t="str">
            <v>yellow</v>
          </cell>
          <cell r="I1574">
            <v>6</v>
          </cell>
          <cell r="J1574" t="str">
            <v>DropWizSS</v>
          </cell>
          <cell r="K1574" t="str">
            <v>technical</v>
          </cell>
          <cell r="L1574" t="str">
            <v>テクニカルタイプ</v>
          </cell>
          <cell r="M1574" t="str">
            <v>samurai</v>
          </cell>
        </row>
        <row r="1575">
          <cell r="A1575">
            <v>8087</v>
          </cell>
          <cell r="B1575" t="str">
            <v>ja</v>
          </cell>
          <cell r="C1575" t="str">
            <v>財神</v>
          </cell>
          <cell r="H1575" t="str">
            <v>red</v>
          </cell>
          <cell r="I1575">
            <v>5</v>
          </cell>
          <cell r="J1575" t="str">
            <v>PremiumSSS</v>
          </cell>
          <cell r="K1575" t="str">
            <v>technical</v>
          </cell>
          <cell r="L1575" t="str">
            <v>テクニカルタイプ</v>
          </cell>
          <cell r="M1575" t="str">
            <v>god</v>
          </cell>
        </row>
        <row r="1576">
          <cell r="A1576">
            <v>8088</v>
          </cell>
          <cell r="B1576" t="str">
            <v>ja</v>
          </cell>
          <cell r="C1576" t="str">
            <v>★６財神</v>
          </cell>
          <cell r="H1576" t="str">
            <v>red</v>
          </cell>
          <cell r="I1576">
            <v>6</v>
          </cell>
          <cell r="J1576" t="str">
            <v>PremiumSSS</v>
          </cell>
          <cell r="K1576" t="str">
            <v>technical</v>
          </cell>
          <cell r="L1576" t="str">
            <v>テクニカルタイプ</v>
          </cell>
          <cell r="M1576" t="str">
            <v>god</v>
          </cell>
        </row>
        <row r="1577">
          <cell r="A1577">
            <v>8089</v>
          </cell>
          <cell r="B1577" t="str">
            <v>ja</v>
          </cell>
          <cell r="C1577" t="str">
            <v>年獣</v>
          </cell>
          <cell r="H1577" t="str">
            <v>green</v>
          </cell>
          <cell r="I1577">
            <v>5</v>
          </cell>
          <cell r="J1577" t="str">
            <v>DropWizS</v>
          </cell>
          <cell r="K1577" t="str">
            <v>attack</v>
          </cell>
          <cell r="L1577" t="str">
            <v>攻撃タイプ</v>
          </cell>
          <cell r="M1577" t="str">
            <v>animal</v>
          </cell>
        </row>
        <row r="1578">
          <cell r="A1578">
            <v>8090</v>
          </cell>
          <cell r="B1578" t="str">
            <v>ja</v>
          </cell>
          <cell r="C1578" t="str">
            <v>★６年獣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attack</v>
          </cell>
          <cell r="L1578" t="str">
            <v>攻撃タイプ</v>
          </cell>
          <cell r="M1578" t="str">
            <v>animal</v>
          </cell>
        </row>
        <row r="1579">
          <cell r="A1579">
            <v>8095</v>
          </cell>
          <cell r="B1579" t="str">
            <v>ja</v>
          </cell>
          <cell r="C1579" t="str">
            <v>バハムートダック赤</v>
          </cell>
          <cell r="D1579" t="str">
            <v>ポムポムプリン</v>
          </cell>
          <cell r="E1579" t="str">
            <v>執行者</v>
          </cell>
          <cell r="F1579" t="str">
            <v>格好いい</v>
          </cell>
          <cell r="G1579" t="str">
            <v>女性</v>
          </cell>
          <cell r="H1579" t="str">
            <v>red</v>
          </cell>
          <cell r="I1579">
            <v>6</v>
          </cell>
          <cell r="J1579" t="str">
            <v>Material</v>
          </cell>
          <cell r="K1579" t="str">
            <v>exp</v>
          </cell>
          <cell r="L1579" t="str">
            <v>強化素材タイプ</v>
          </cell>
          <cell r="M1579" t="str">
            <v>unknown</v>
          </cell>
        </row>
        <row r="1580">
          <cell r="A1580">
            <v>8096</v>
          </cell>
          <cell r="B1580" t="str">
            <v>ja</v>
          </cell>
          <cell r="C1580" t="str">
            <v>バハムートダック緑</v>
          </cell>
          <cell r="D1580" t="str">
            <v>ポムポムプリン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green</v>
          </cell>
          <cell r="I1580">
            <v>6</v>
          </cell>
          <cell r="J1580" t="str">
            <v>Material</v>
          </cell>
          <cell r="K1580" t="str">
            <v>exp</v>
          </cell>
          <cell r="L1580" t="str">
            <v>強化素材タイプ</v>
          </cell>
          <cell r="M1580" t="str">
            <v>unknown</v>
          </cell>
        </row>
        <row r="1581">
          <cell r="A1581">
            <v>8097</v>
          </cell>
          <cell r="B1581" t="str">
            <v>ja</v>
          </cell>
          <cell r="C1581" t="str">
            <v>バハムートダック青</v>
          </cell>
          <cell r="D1581" t="str">
            <v>ポムポムプリン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blue</v>
          </cell>
          <cell r="I1581">
            <v>6</v>
          </cell>
          <cell r="J1581" t="str">
            <v>Material</v>
          </cell>
          <cell r="K1581" t="str">
            <v>exp</v>
          </cell>
          <cell r="L1581" t="str">
            <v>強化素材タイプ</v>
          </cell>
          <cell r="M1581" t="str">
            <v>unknown</v>
          </cell>
        </row>
        <row r="1582">
          <cell r="A1582">
            <v>8098</v>
          </cell>
          <cell r="B1582" t="str">
            <v>ja</v>
          </cell>
          <cell r="C1582" t="str">
            <v>バハムートダック黄</v>
          </cell>
          <cell r="D1582" t="str">
            <v>ポムポムプリン</v>
          </cell>
          <cell r="E1582" t="str">
            <v>執行者</v>
          </cell>
          <cell r="F1582" t="str">
            <v>格好いい</v>
          </cell>
          <cell r="G1582" t="str">
            <v>女性</v>
          </cell>
          <cell r="H1582" t="str">
            <v>yellow</v>
          </cell>
          <cell r="I1582">
            <v>6</v>
          </cell>
          <cell r="J1582" t="str">
            <v>Material</v>
          </cell>
          <cell r="K1582" t="str">
            <v>exp</v>
          </cell>
          <cell r="L1582" t="str">
            <v>強化素材タイプ</v>
          </cell>
          <cell r="M1582" t="str">
            <v>unknown</v>
          </cell>
        </row>
        <row r="1583">
          <cell r="A1583">
            <v>8099</v>
          </cell>
          <cell r="B1583" t="str">
            <v>ja</v>
          </cell>
          <cell r="C1583" t="str">
            <v>リトルハンプティ</v>
          </cell>
          <cell r="D1583" t="str">
            <v>各属性相性良3・黄・R455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green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</row>
        <row r="1584">
          <cell r="A1584">
            <v>10001</v>
          </cell>
          <cell r="B1584" t="str">
            <v>ja</v>
          </cell>
          <cell r="C1584" t="str">
            <v>テストユニット01</v>
          </cell>
          <cell r="H1584" t="str">
            <v>yellow</v>
          </cell>
          <cell r="I1584">
            <v>6</v>
          </cell>
          <cell r="J1584" t="str">
            <v>PremiumSS</v>
          </cell>
          <cell r="K1584" t="str">
            <v>balance</v>
          </cell>
          <cell r="L1584" t="str">
            <v>バランスタイプ</v>
          </cell>
          <cell r="M1584" t="str">
            <v>god</v>
          </cell>
        </row>
        <row r="1585">
          <cell r="A1585">
            <v>10002</v>
          </cell>
          <cell r="B1585" t="str">
            <v>ja</v>
          </cell>
          <cell r="C1585" t="str">
            <v>テストユニット02</v>
          </cell>
          <cell r="H1585" t="str">
            <v>yellow</v>
          </cell>
          <cell r="I1585">
            <v>6</v>
          </cell>
          <cell r="J1585" t="str">
            <v>PremiumSS</v>
          </cell>
          <cell r="K1585" t="str">
            <v>technical</v>
          </cell>
          <cell r="L1585" t="str">
            <v>テクニカルタイプ</v>
          </cell>
          <cell r="M1585" t="str">
            <v>demon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59" customWidth="1"/>
    <col min="2" max="16384" width="13" style="59"/>
  </cols>
  <sheetData>
    <row r="1" spans="1:13" x14ac:dyDescent="0.15">
      <c r="A1" s="59" t="s">
        <v>96</v>
      </c>
      <c r="B1" s="59" t="s">
        <v>97</v>
      </c>
    </row>
    <row r="2" spans="1:13" x14ac:dyDescent="0.15">
      <c r="A2" s="59" t="s">
        <v>98</v>
      </c>
      <c r="B2" s="59" t="s">
        <v>99</v>
      </c>
      <c r="C2" s="59" t="s">
        <v>100</v>
      </c>
      <c r="D2" s="59" t="s">
        <v>101</v>
      </c>
      <c r="E2" s="59" t="s">
        <v>102</v>
      </c>
      <c r="F2" s="59" t="s">
        <v>103</v>
      </c>
      <c r="G2" s="59" t="s">
        <v>104</v>
      </c>
      <c r="H2" s="59" t="s">
        <v>105</v>
      </c>
    </row>
    <row r="3" spans="1:13" x14ac:dyDescent="0.15">
      <c r="A3" s="59">
        <v>3</v>
      </c>
      <c r="B3" s="60" t="s">
        <v>106</v>
      </c>
      <c r="C3" s="60" t="s">
        <v>107</v>
      </c>
      <c r="D3" s="59">
        <v>0</v>
      </c>
      <c r="E3" s="60" t="s">
        <v>108</v>
      </c>
      <c r="F3" s="59">
        <v>0</v>
      </c>
      <c r="G3" s="59">
        <v>0</v>
      </c>
      <c r="H3" s="61">
        <v>0.5</v>
      </c>
    </row>
    <row r="4" spans="1:13" x14ac:dyDescent="0.15">
      <c r="A4" s="59">
        <v>4</v>
      </c>
      <c r="B4" s="60" t="s">
        <v>109</v>
      </c>
      <c r="C4" s="60" t="s">
        <v>110</v>
      </c>
      <c r="D4" s="60" t="s">
        <v>111</v>
      </c>
      <c r="E4" s="60" t="s">
        <v>112</v>
      </c>
      <c r="F4" s="60" t="s">
        <v>113</v>
      </c>
      <c r="G4" s="59">
        <v>0</v>
      </c>
      <c r="H4" s="61">
        <v>0.45</v>
      </c>
    </row>
    <row r="5" spans="1:13" x14ac:dyDescent="0.15">
      <c r="A5" s="59">
        <v>5</v>
      </c>
      <c r="B5" s="62">
        <v>0</v>
      </c>
      <c r="C5" s="60" t="s">
        <v>114</v>
      </c>
      <c r="D5" s="60" t="s">
        <v>115</v>
      </c>
      <c r="E5" s="60" t="s">
        <v>116</v>
      </c>
      <c r="F5" s="60" t="s">
        <v>117</v>
      </c>
      <c r="G5" s="60" t="s">
        <v>118</v>
      </c>
      <c r="H5" s="61">
        <v>0.05</v>
      </c>
    </row>
    <row r="6" spans="1:13" x14ac:dyDescent="0.15">
      <c r="B6" s="61" t="s">
        <v>119</v>
      </c>
      <c r="C6" s="61" t="s">
        <v>119</v>
      </c>
      <c r="D6" s="61" t="s">
        <v>120</v>
      </c>
      <c r="E6" s="61" t="s">
        <v>119</v>
      </c>
      <c r="F6" s="61" t="s">
        <v>119</v>
      </c>
      <c r="G6" s="63" t="s">
        <v>121</v>
      </c>
      <c r="H6" s="61">
        <v>1</v>
      </c>
    </row>
    <row r="7" spans="1:13" x14ac:dyDescent="0.15">
      <c r="B7" s="61"/>
      <c r="C7" s="61"/>
      <c r="D7" s="61"/>
      <c r="E7" s="61"/>
      <c r="F7" s="61"/>
      <c r="G7" s="63"/>
      <c r="H7" s="61"/>
    </row>
    <row r="8" spans="1:13" x14ac:dyDescent="0.15">
      <c r="A8" s="59" t="s">
        <v>122</v>
      </c>
      <c r="B8" s="61"/>
      <c r="C8" s="61"/>
      <c r="D8" s="61"/>
      <c r="E8" s="61"/>
      <c r="F8" s="61"/>
      <c r="G8" s="63"/>
      <c r="H8" s="61"/>
    </row>
    <row r="9" spans="1:13" x14ac:dyDescent="0.15">
      <c r="A9" s="59" t="s">
        <v>123</v>
      </c>
      <c r="B9" s="61"/>
      <c r="C9" s="61"/>
      <c r="D9" s="61"/>
      <c r="E9" s="61"/>
      <c r="F9" s="61"/>
      <c r="G9" s="63"/>
      <c r="H9" s="61"/>
    </row>
    <row r="10" spans="1:13" x14ac:dyDescent="0.15">
      <c r="A10" s="59" t="s">
        <v>124</v>
      </c>
      <c r="B10" s="61"/>
      <c r="C10" s="61"/>
      <c r="D10" s="61"/>
      <c r="E10" s="61"/>
      <c r="F10" s="61"/>
      <c r="G10" s="63"/>
      <c r="H10" s="61"/>
    </row>
    <row r="11" spans="1:13" x14ac:dyDescent="0.15">
      <c r="A11" s="59" t="s">
        <v>125</v>
      </c>
      <c r="B11" s="61"/>
      <c r="C11" s="61"/>
      <c r="D11" s="61"/>
      <c r="E11" s="61"/>
      <c r="F11" s="61"/>
      <c r="G11" s="63"/>
      <c r="H11" s="61"/>
    </row>
    <row r="12" spans="1:13" x14ac:dyDescent="0.15">
      <c r="A12" s="59" t="s">
        <v>118</v>
      </c>
      <c r="B12" s="61" t="s">
        <v>126</v>
      </c>
      <c r="C12" s="61" t="s">
        <v>127</v>
      </c>
      <c r="D12" s="61"/>
      <c r="E12" s="61"/>
      <c r="F12" s="61"/>
      <c r="G12" s="63"/>
      <c r="H12" s="61"/>
    </row>
    <row r="13" spans="1:13" x14ac:dyDescent="0.15">
      <c r="A13" s="59" t="s">
        <v>128</v>
      </c>
      <c r="B13" s="59" t="s">
        <v>129</v>
      </c>
      <c r="C13" s="59" t="s">
        <v>130</v>
      </c>
    </row>
    <row r="14" spans="1:13" x14ac:dyDescent="0.15">
      <c r="A14" s="59" t="s">
        <v>131</v>
      </c>
      <c r="B14" s="59" t="s">
        <v>126</v>
      </c>
      <c r="C14" s="62" t="s">
        <v>132</v>
      </c>
      <c r="E14" s="62"/>
      <c r="F14" s="62"/>
      <c r="M14" s="61"/>
    </row>
    <row r="15" spans="1:13" x14ac:dyDescent="0.15">
      <c r="A15" s="59" t="s">
        <v>108</v>
      </c>
      <c r="B15" s="61" t="s">
        <v>126</v>
      </c>
      <c r="C15" s="61" t="s">
        <v>133</v>
      </c>
      <c r="H15" s="64"/>
      <c r="M15" s="61"/>
    </row>
    <row r="16" spans="1:13" x14ac:dyDescent="0.15">
      <c r="A16" s="59" t="s">
        <v>112</v>
      </c>
      <c r="B16" s="61" t="s">
        <v>126</v>
      </c>
      <c r="C16" s="61" t="s">
        <v>134</v>
      </c>
      <c r="M16" s="61"/>
    </row>
    <row r="17" spans="1:13" x14ac:dyDescent="0.15">
      <c r="A17" s="59" t="s">
        <v>135</v>
      </c>
      <c r="B17" s="61" t="s">
        <v>126</v>
      </c>
      <c r="C17" s="61" t="s">
        <v>136</v>
      </c>
      <c r="M17" s="61"/>
    </row>
    <row r="18" spans="1:13" x14ac:dyDescent="0.15">
      <c r="B18" s="61"/>
      <c r="C18" s="61"/>
    </row>
    <row r="19" spans="1:13" x14ac:dyDescent="0.15">
      <c r="A19" s="59" t="s">
        <v>137</v>
      </c>
    </row>
    <row r="20" spans="1:13" x14ac:dyDescent="0.15">
      <c r="A20" s="59" t="s">
        <v>138</v>
      </c>
      <c r="B20" s="61"/>
      <c r="C20" s="61"/>
    </row>
    <row r="21" spans="1:13" x14ac:dyDescent="0.15">
      <c r="A21" s="59" t="s">
        <v>139</v>
      </c>
      <c r="B21" s="61" t="s">
        <v>140</v>
      </c>
      <c r="C21" s="61" t="s">
        <v>141</v>
      </c>
      <c r="D21" s="59" t="s">
        <v>142</v>
      </c>
    </row>
    <row r="22" spans="1:13" x14ac:dyDescent="0.15">
      <c r="A22" s="59" t="s">
        <v>143</v>
      </c>
      <c r="B22" s="61" t="s">
        <v>126</v>
      </c>
      <c r="C22" s="61" t="s">
        <v>144</v>
      </c>
      <c r="D22" s="59" t="s">
        <v>145</v>
      </c>
    </row>
    <row r="23" spans="1:13" x14ac:dyDescent="0.15">
      <c r="A23" s="59" t="s">
        <v>146</v>
      </c>
      <c r="B23" s="61" t="s">
        <v>126</v>
      </c>
      <c r="C23" s="59" t="s">
        <v>147</v>
      </c>
      <c r="D23" s="59" t="s">
        <v>148</v>
      </c>
    </row>
    <row r="24" spans="1:13" x14ac:dyDescent="0.15">
      <c r="A24" s="59" t="s">
        <v>149</v>
      </c>
      <c r="B24" s="61" t="s">
        <v>126</v>
      </c>
      <c r="C24" s="61" t="s">
        <v>150</v>
      </c>
      <c r="D24" s="59" t="s">
        <v>151</v>
      </c>
    </row>
    <row r="25" spans="1:13" x14ac:dyDescent="0.15">
      <c r="A25" s="59" t="s">
        <v>152</v>
      </c>
      <c r="B25" s="61" t="s">
        <v>126</v>
      </c>
      <c r="C25" s="61" t="s">
        <v>153</v>
      </c>
      <c r="D25" s="59" t="s">
        <v>154</v>
      </c>
    </row>
    <row r="26" spans="1:13" x14ac:dyDescent="0.15">
      <c r="A26" s="59" t="s">
        <v>155</v>
      </c>
      <c r="B26" s="61" t="s">
        <v>126</v>
      </c>
      <c r="C26" s="61" t="s">
        <v>156</v>
      </c>
      <c r="D26" s="59" t="s">
        <v>157</v>
      </c>
    </row>
    <row r="27" spans="1:13" x14ac:dyDescent="0.15">
      <c r="A27" s="59" t="s">
        <v>158</v>
      </c>
      <c r="B27" s="61" t="s">
        <v>126</v>
      </c>
      <c r="C27" s="61" t="s">
        <v>120</v>
      </c>
      <c r="D27" s="59" t="s">
        <v>159</v>
      </c>
      <c r="E27" s="59" t="s">
        <v>160</v>
      </c>
    </row>
    <row r="28" spans="1:13" x14ac:dyDescent="0.15">
      <c r="A28" s="59" t="s">
        <v>107</v>
      </c>
      <c r="B28" s="61" t="s">
        <v>126</v>
      </c>
      <c r="C28" s="61" t="s">
        <v>161</v>
      </c>
      <c r="E28" s="59" t="s">
        <v>162</v>
      </c>
    </row>
    <row r="29" spans="1:13" x14ac:dyDescent="0.15">
      <c r="A29" s="59" t="s">
        <v>110</v>
      </c>
      <c r="B29" s="61" t="s">
        <v>126</v>
      </c>
      <c r="C29" s="61" t="s">
        <v>163</v>
      </c>
    </row>
    <row r="30" spans="1:13" x14ac:dyDescent="0.15">
      <c r="B30" s="61"/>
    </row>
    <row r="31" spans="1:13" x14ac:dyDescent="0.15">
      <c r="A31" s="59" t="s">
        <v>164</v>
      </c>
    </row>
    <row r="32" spans="1:13" x14ac:dyDescent="0.15">
      <c r="A32" s="59" t="s">
        <v>165</v>
      </c>
      <c r="B32" s="61" t="s">
        <v>126</v>
      </c>
      <c r="C32" s="61" t="s">
        <v>166</v>
      </c>
    </row>
    <row r="33" spans="1:13" x14ac:dyDescent="0.15">
      <c r="A33" s="59" t="s">
        <v>110</v>
      </c>
      <c r="B33" s="61" t="s">
        <v>126</v>
      </c>
      <c r="C33" s="61" t="s">
        <v>167</v>
      </c>
    </row>
    <row r="34" spans="1:13" x14ac:dyDescent="0.15">
      <c r="A34" s="59" t="s">
        <v>107</v>
      </c>
      <c r="B34" s="61" t="s">
        <v>126</v>
      </c>
      <c r="C34" s="61" t="s">
        <v>168</v>
      </c>
    </row>
    <row r="35" spans="1:13" x14ac:dyDescent="0.15">
      <c r="A35" s="59" t="s">
        <v>106</v>
      </c>
      <c r="B35" s="61" t="s">
        <v>126</v>
      </c>
      <c r="C35" s="61" t="s">
        <v>169</v>
      </c>
    </row>
    <row r="36" spans="1:13" x14ac:dyDescent="0.15">
      <c r="A36" s="59" t="s">
        <v>109</v>
      </c>
      <c r="B36" s="61" t="s">
        <v>126</v>
      </c>
      <c r="C36" s="61" t="s">
        <v>170</v>
      </c>
    </row>
    <row r="37" spans="1:13" x14ac:dyDescent="0.15">
      <c r="A37" s="59" t="s">
        <v>115</v>
      </c>
      <c r="B37" s="61" t="s">
        <v>126</v>
      </c>
      <c r="C37" s="61" t="s">
        <v>171</v>
      </c>
    </row>
    <row r="38" spans="1:13" x14ac:dyDescent="0.15">
      <c r="A38" s="59" t="s">
        <v>111</v>
      </c>
      <c r="B38" s="61" t="s">
        <v>126</v>
      </c>
      <c r="C38" s="61" t="s">
        <v>172</v>
      </c>
    </row>
    <row r="40" spans="1:13" x14ac:dyDescent="0.15">
      <c r="J40" s="75" t="s">
        <v>197</v>
      </c>
      <c r="K40" s="75" t="s">
        <v>175</v>
      </c>
      <c r="M40" s="75" t="s">
        <v>222</v>
      </c>
    </row>
    <row r="41" spans="1:13" x14ac:dyDescent="0.15">
      <c r="J41" s="75" t="s">
        <v>198</v>
      </c>
      <c r="K41" s="75" t="s">
        <v>199</v>
      </c>
      <c r="M41" s="61" t="s">
        <v>170</v>
      </c>
    </row>
    <row r="42" spans="1:13" x14ac:dyDescent="0.15">
      <c r="J42" s="75" t="s">
        <v>200</v>
      </c>
      <c r="K42" s="75" t="s">
        <v>201</v>
      </c>
    </row>
    <row r="43" spans="1:13" x14ac:dyDescent="0.15">
      <c r="J43" s="75" t="s">
        <v>202</v>
      </c>
      <c r="K43" s="75" t="s">
        <v>203</v>
      </c>
    </row>
    <row r="44" spans="1:13" x14ac:dyDescent="0.15">
      <c r="J44" s="75" t="s">
        <v>204</v>
      </c>
      <c r="K44" s="75" t="s">
        <v>205</v>
      </c>
    </row>
    <row r="45" spans="1:13" x14ac:dyDescent="0.15">
      <c r="J45" s="75" t="s">
        <v>206</v>
      </c>
      <c r="K45" s="75" t="s">
        <v>207</v>
      </c>
    </row>
    <row r="46" spans="1:13" x14ac:dyDescent="0.15">
      <c r="J46" s="75" t="s">
        <v>208</v>
      </c>
      <c r="K46" s="75" t="s">
        <v>209</v>
      </c>
    </row>
    <row r="47" spans="1:13" x14ac:dyDescent="0.15">
      <c r="J47" s="75" t="s">
        <v>210</v>
      </c>
      <c r="K47" s="75" t="s">
        <v>214</v>
      </c>
    </row>
    <row r="48" spans="1:13" x14ac:dyDescent="0.15">
      <c r="J48" s="75" t="s">
        <v>211</v>
      </c>
      <c r="K48" s="75" t="s">
        <v>215</v>
      </c>
    </row>
    <row r="49" spans="10:11" x14ac:dyDescent="0.15">
      <c r="J49" s="75" t="s">
        <v>212</v>
      </c>
      <c r="K49" s="75" t="s">
        <v>216</v>
      </c>
    </row>
    <row r="50" spans="10:11" x14ac:dyDescent="0.15">
      <c r="J50" s="75" t="s">
        <v>213</v>
      </c>
      <c r="K50" s="75" t="s">
        <v>217</v>
      </c>
    </row>
    <row r="51" spans="10:11" x14ac:dyDescent="0.15">
      <c r="J51" s="75" t="s">
        <v>219</v>
      </c>
      <c r="K51" s="75" t="s">
        <v>218</v>
      </c>
    </row>
    <row r="52" spans="10:11" x14ac:dyDescent="0.15">
      <c r="J52" s="75" t="s">
        <v>220</v>
      </c>
      <c r="K52" s="75" t="s">
        <v>221</v>
      </c>
    </row>
    <row r="53" spans="10:11" x14ac:dyDescent="0.15">
      <c r="J53" s="75"/>
    </row>
  </sheetData>
  <phoneticPr fontId="24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70</v>
      </c>
    </row>
    <row r="2" spans="1:1" x14ac:dyDescent="0.15">
      <c r="A2" t="s">
        <v>71</v>
      </c>
    </row>
    <row r="3" spans="1:1" x14ac:dyDescent="0.15">
      <c r="A3" t="s">
        <v>72</v>
      </c>
    </row>
    <row r="4" spans="1:1" x14ac:dyDescent="0.15">
      <c r="A4" t="s">
        <v>73</v>
      </c>
    </row>
  </sheetData>
  <phoneticPr fontId="2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A2" sqref="A2"/>
    </sheetView>
  </sheetViews>
  <sheetFormatPr baseColWidth="12" defaultRowHeight="15" x14ac:dyDescent="0.15"/>
  <cols>
    <col min="1" max="1" width="13" style="17"/>
    <col min="2" max="2" width="14.796875" style="17" bestFit="1" customWidth="1"/>
    <col min="3" max="4" width="13" style="17"/>
    <col min="5" max="5" width="17.59765625" style="17" bestFit="1" customWidth="1"/>
    <col min="6" max="6" width="22.19921875" style="17" bestFit="1" customWidth="1"/>
    <col min="7" max="16384" width="13" style="17"/>
  </cols>
  <sheetData>
    <row r="1" spans="1:21" x14ac:dyDescent="0.15">
      <c r="A1" s="27" t="s">
        <v>43</v>
      </c>
      <c r="B1" s="15" t="s">
        <v>31</v>
      </c>
      <c r="C1" s="15" t="s">
        <v>32</v>
      </c>
      <c r="D1" s="15" t="s">
        <v>33</v>
      </c>
      <c r="E1" s="15" t="s">
        <v>34</v>
      </c>
      <c r="F1" s="15" t="s">
        <v>35</v>
      </c>
      <c r="G1" s="15" t="s">
        <v>36</v>
      </c>
      <c r="H1" s="15"/>
      <c r="I1" s="15"/>
      <c r="J1" s="15"/>
      <c r="K1" s="15"/>
      <c r="L1" s="16"/>
      <c r="M1" s="16"/>
      <c r="N1" s="16"/>
      <c r="O1" s="16"/>
    </row>
    <row r="2" spans="1:21" x14ac:dyDescent="0.15">
      <c r="A2" s="81" t="s">
        <v>229</v>
      </c>
      <c r="B2" s="56" t="s">
        <v>95</v>
      </c>
      <c r="C2" s="47" t="str">
        <f t="shared" ref="C2" si="0">RIGHT(F2,6)</f>
        <v>543100</v>
      </c>
      <c r="D2" s="18" t="s">
        <v>37</v>
      </c>
      <c r="E2" s="16" t="str">
        <f t="shared" ref="E2" si="1">B2&amp;C2&amp;D2</f>
        <v>gacha_select_tables_543100.tmp</v>
      </c>
      <c r="F2" s="93" t="s">
        <v>237</v>
      </c>
      <c r="G2" s="46" t="s">
        <v>77</v>
      </c>
      <c r="H2" s="21" t="s">
        <v>0</v>
      </c>
      <c r="I2" s="21" t="s">
        <v>3</v>
      </c>
      <c r="J2" s="21" t="s">
        <v>4</v>
      </c>
      <c r="K2" s="21" t="s">
        <v>5</v>
      </c>
      <c r="L2" s="21" t="s">
        <v>6</v>
      </c>
      <c r="M2" s="21" t="s">
        <v>7</v>
      </c>
      <c r="N2" s="21" t="s">
        <v>8</v>
      </c>
      <c r="O2" s="21" t="s">
        <v>9</v>
      </c>
    </row>
    <row r="3" spans="1:21" x14ac:dyDescent="0.15">
      <c r="A3" s="90" t="s">
        <v>236</v>
      </c>
      <c r="B3" s="56" t="s">
        <v>95</v>
      </c>
      <c r="C3" s="47" t="str">
        <f t="shared" ref="C3:C7" si="2">RIGHT(F3,6)</f>
        <v>455010</v>
      </c>
      <c r="D3" s="18" t="s">
        <v>37</v>
      </c>
      <c r="E3" s="16" t="str">
        <f t="shared" ref="E3:E10" si="3">B3&amp;C3&amp;D3</f>
        <v>gacha_select_tables_455010.tmp</v>
      </c>
      <c r="F3" s="89" t="s">
        <v>235</v>
      </c>
      <c r="G3" s="46" t="s">
        <v>77</v>
      </c>
      <c r="H3" s="21" t="s">
        <v>0</v>
      </c>
      <c r="I3" s="21" t="s">
        <v>3</v>
      </c>
      <c r="J3" s="21" t="s">
        <v>4</v>
      </c>
      <c r="K3" s="21" t="s">
        <v>5</v>
      </c>
      <c r="L3" s="21" t="s">
        <v>6</v>
      </c>
      <c r="M3" s="21" t="s">
        <v>7</v>
      </c>
      <c r="N3" s="21" t="s">
        <v>8</v>
      </c>
      <c r="O3" s="21" t="s">
        <v>9</v>
      </c>
    </row>
    <row r="4" spans="1:21" x14ac:dyDescent="0.15">
      <c r="A4" s="88" t="s">
        <v>234</v>
      </c>
      <c r="B4" s="84" t="s">
        <v>230</v>
      </c>
      <c r="C4" s="85" t="str">
        <f t="shared" si="2"/>
        <v>443100</v>
      </c>
      <c r="D4" s="18" t="s">
        <v>231</v>
      </c>
      <c r="E4" s="16" t="str">
        <f t="shared" si="3"/>
        <v>gacha_settle_tables_443100.tmp</v>
      </c>
      <c r="F4" s="87" t="s">
        <v>232</v>
      </c>
      <c r="G4" s="46" t="s">
        <v>77</v>
      </c>
      <c r="H4" s="21" t="s">
        <v>0</v>
      </c>
      <c r="I4" s="21" t="s">
        <v>3</v>
      </c>
      <c r="J4" s="21" t="s">
        <v>4</v>
      </c>
      <c r="K4" s="21" t="s">
        <v>5</v>
      </c>
      <c r="L4" s="21" t="s">
        <v>6</v>
      </c>
      <c r="M4" s="21" t="s">
        <v>7</v>
      </c>
      <c r="N4" s="21" t="s">
        <v>8</v>
      </c>
      <c r="O4" s="21" t="s">
        <v>9</v>
      </c>
    </row>
    <row r="5" spans="1:21" x14ac:dyDescent="0.15">
      <c r="A5" s="78" t="s">
        <v>225</v>
      </c>
      <c r="B5" s="56" t="s">
        <v>95</v>
      </c>
      <c r="C5" s="47" t="str">
        <f t="shared" si="2"/>
        <v>363104</v>
      </c>
      <c r="D5" s="18" t="s">
        <v>37</v>
      </c>
      <c r="E5" s="16" t="str">
        <f t="shared" ref="E5:E7" si="4">B5&amp;C5&amp;D5</f>
        <v>gacha_select_tables_363104.tmp</v>
      </c>
      <c r="F5" s="80" t="s">
        <v>226</v>
      </c>
      <c r="G5" s="46" t="s">
        <v>76</v>
      </c>
      <c r="H5" s="21" t="s">
        <v>0</v>
      </c>
      <c r="I5" s="21" t="s">
        <v>3</v>
      </c>
      <c r="J5" s="21" t="s">
        <v>4</v>
      </c>
      <c r="K5" s="21" t="s">
        <v>5</v>
      </c>
      <c r="L5" s="21" t="s">
        <v>6</v>
      </c>
      <c r="M5" s="21" t="s">
        <v>7</v>
      </c>
      <c r="N5" s="21" t="s">
        <v>8</v>
      </c>
      <c r="O5" s="21" t="s">
        <v>9</v>
      </c>
    </row>
    <row r="6" spans="1:21" x14ac:dyDescent="0.15">
      <c r="A6" s="78" t="s">
        <v>225</v>
      </c>
      <c r="B6" s="56" t="s">
        <v>95</v>
      </c>
      <c r="C6" s="47" t="str">
        <f t="shared" ref="C6" si="5">RIGHT(F6,6)</f>
        <v>363105</v>
      </c>
      <c r="D6" s="18" t="s">
        <v>37</v>
      </c>
      <c r="E6" s="16" t="str">
        <f t="shared" ref="E6" si="6">B6&amp;C6&amp;D6</f>
        <v>gacha_select_tables_363105.tmp</v>
      </c>
      <c r="F6" s="80" t="s">
        <v>227</v>
      </c>
      <c r="G6" s="46" t="s">
        <v>76</v>
      </c>
      <c r="H6" s="21" t="s">
        <v>0</v>
      </c>
      <c r="I6" s="21" t="s">
        <v>3</v>
      </c>
      <c r="J6" s="21" t="s">
        <v>4</v>
      </c>
      <c r="K6" s="21" t="s">
        <v>5</v>
      </c>
      <c r="L6" s="21" t="s">
        <v>6</v>
      </c>
      <c r="M6" s="21" t="s">
        <v>7</v>
      </c>
      <c r="N6" s="21" t="s">
        <v>8</v>
      </c>
      <c r="O6" s="21" t="s">
        <v>9</v>
      </c>
    </row>
    <row r="7" spans="1:21" x14ac:dyDescent="0.15">
      <c r="A7" s="78" t="s">
        <v>225</v>
      </c>
      <c r="B7" s="56" t="s">
        <v>95</v>
      </c>
      <c r="C7" s="47" t="str">
        <f t="shared" si="2"/>
        <v>363100</v>
      </c>
      <c r="D7" s="18" t="s">
        <v>37</v>
      </c>
      <c r="E7" s="16" t="str">
        <f t="shared" si="4"/>
        <v>gacha_select_tables_363100.tmp</v>
      </c>
      <c r="F7" s="80" t="s">
        <v>228</v>
      </c>
      <c r="G7" s="46" t="s">
        <v>76</v>
      </c>
      <c r="H7" s="21" t="s">
        <v>0</v>
      </c>
      <c r="I7" s="21" t="s">
        <v>3</v>
      </c>
      <c r="J7" s="21" t="s">
        <v>4</v>
      </c>
      <c r="K7" s="21" t="s">
        <v>5</v>
      </c>
      <c r="L7" s="21" t="s">
        <v>6</v>
      </c>
      <c r="M7" s="21" t="s">
        <v>7</v>
      </c>
      <c r="N7" s="21" t="s">
        <v>8</v>
      </c>
      <c r="O7" s="21" t="s">
        <v>9</v>
      </c>
    </row>
    <row r="8" spans="1:21" x14ac:dyDescent="0.15">
      <c r="A8" s="78" t="s">
        <v>225</v>
      </c>
      <c r="B8" s="26" t="s">
        <v>42</v>
      </c>
      <c r="C8" s="31">
        <v>484</v>
      </c>
      <c r="D8" s="18" t="s">
        <v>38</v>
      </c>
      <c r="E8" s="16" t="str">
        <f t="shared" si="3"/>
        <v>gacha_bonus_tables_484.tmp</v>
      </c>
      <c r="F8" s="18" t="s">
        <v>39</v>
      </c>
      <c r="G8" s="20" t="s">
        <v>10</v>
      </c>
      <c r="H8" s="22" t="s">
        <v>13</v>
      </c>
      <c r="I8" s="20" t="s">
        <v>11</v>
      </c>
      <c r="J8" s="19"/>
      <c r="K8" s="19"/>
      <c r="L8" s="19"/>
      <c r="M8" s="19"/>
      <c r="N8" s="19"/>
      <c r="O8" s="19"/>
    </row>
    <row r="9" spans="1:21" x14ac:dyDescent="0.15">
      <c r="A9" s="78" t="s">
        <v>225</v>
      </c>
      <c r="B9" s="18" t="s">
        <v>40</v>
      </c>
      <c r="C9" s="31">
        <v>484</v>
      </c>
      <c r="D9" s="18" t="s">
        <v>38</v>
      </c>
      <c r="E9" s="16" t="str">
        <f t="shared" si="3"/>
        <v>gifts_tmp_484.tmp</v>
      </c>
      <c r="F9" s="18" t="s">
        <v>39</v>
      </c>
      <c r="G9" s="22" t="s">
        <v>14</v>
      </c>
      <c r="H9" s="23" t="s">
        <v>22</v>
      </c>
      <c r="I9" s="22" t="s">
        <v>15</v>
      </c>
      <c r="J9" s="22" t="s">
        <v>16</v>
      </c>
      <c r="K9" s="22" t="s">
        <v>16</v>
      </c>
      <c r="L9" s="22" t="s">
        <v>17</v>
      </c>
      <c r="M9" s="22" t="s">
        <v>17</v>
      </c>
      <c r="N9" s="22" t="s">
        <v>17</v>
      </c>
      <c r="O9" s="48" t="s">
        <v>7</v>
      </c>
      <c r="P9" s="48" t="s">
        <v>9</v>
      </c>
      <c r="Q9" s="48" t="s">
        <v>6</v>
      </c>
      <c r="R9" s="48" t="s">
        <v>78</v>
      </c>
      <c r="S9" s="48" t="s">
        <v>8</v>
      </c>
      <c r="T9" s="48" t="s">
        <v>79</v>
      </c>
      <c r="U9" s="48" t="s">
        <v>5</v>
      </c>
    </row>
    <row r="10" spans="1:21" x14ac:dyDescent="0.15">
      <c r="A10" s="78" t="s">
        <v>225</v>
      </c>
      <c r="B10" s="18" t="s">
        <v>41</v>
      </c>
      <c r="C10" s="31">
        <v>484</v>
      </c>
      <c r="D10" s="18" t="s">
        <v>38</v>
      </c>
      <c r="E10" s="16" t="str">
        <f t="shared" si="3"/>
        <v>gifts_i18n_484.tmp</v>
      </c>
      <c r="F10" s="18" t="s">
        <v>39</v>
      </c>
      <c r="G10" s="22" t="s">
        <v>12</v>
      </c>
      <c r="H10" s="24" t="s">
        <v>18</v>
      </c>
      <c r="I10" s="24" t="s">
        <v>19</v>
      </c>
      <c r="J10" s="24" t="s">
        <v>20</v>
      </c>
      <c r="K10" s="24" t="s">
        <v>21</v>
      </c>
      <c r="L10" s="25"/>
      <c r="M10" s="22"/>
      <c r="N10" s="22"/>
      <c r="O10" s="18"/>
    </row>
  </sheetData>
  <phoneticPr fontId="24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2"/>
  <sheetViews>
    <sheetView workbookViewId="0">
      <selection activeCell="L8" sqref="L8"/>
    </sheetView>
  </sheetViews>
  <sheetFormatPr baseColWidth="12" defaultRowHeight="14" x14ac:dyDescent="0.15"/>
  <cols>
    <col min="1" max="2" width="24.19921875" bestFit="1" customWidth="1"/>
    <col min="8" max="8" width="13.19921875" bestFit="1" customWidth="1"/>
    <col min="17" max="17" width="13" customWidth="1"/>
  </cols>
  <sheetData>
    <row r="1" spans="1:22" x14ac:dyDescent="0.15">
      <c r="A1" s="45" t="s">
        <v>74</v>
      </c>
      <c r="B1" s="45"/>
      <c r="L1" s="37" t="s">
        <v>53</v>
      </c>
      <c r="M1" s="37"/>
      <c r="U1" t="s">
        <v>53</v>
      </c>
    </row>
    <row r="2" spans="1:22" x14ac:dyDescent="0.15">
      <c r="A2" t="str">
        <f ca="1">RIGHT(RIGHT(CELL("filename",A2),LEN(CELL("filename",A2))-FIND("]",CELL("filename",A2))),6)</f>
        <v>543100</v>
      </c>
      <c r="L2" s="32" t="s">
        <v>1</v>
      </c>
      <c r="M2" s="36" t="s">
        <v>57</v>
      </c>
      <c r="N2" s="32" t="s">
        <v>55</v>
      </c>
      <c r="O2" s="36" t="s">
        <v>58</v>
      </c>
      <c r="P2" s="36" t="s">
        <v>59</v>
      </c>
      <c r="Q2" s="36" t="s">
        <v>56</v>
      </c>
      <c r="R2" s="41" t="s">
        <v>65</v>
      </c>
      <c r="U2" s="32" t="s">
        <v>175</v>
      </c>
      <c r="V2" s="49">
        <f>SUMIF(Q:Q,U2,N:N)</f>
        <v>0</v>
      </c>
    </row>
    <row r="3" spans="1:22" x14ac:dyDescent="0.15">
      <c r="H3" s="68" t="s">
        <v>195</v>
      </c>
      <c r="L3" s="55">
        <v>1409</v>
      </c>
      <c r="M3" s="36" t="str">
        <f>VLOOKUP(L3,[1]characters!$A:$C,3,FALSE)</f>
        <v>マシロ</v>
      </c>
      <c r="N3" s="58">
        <v>2E-3</v>
      </c>
      <c r="O3" s="36">
        <f>VLOOKUP(L3,[1]characters!$A:$I,9,FALSE)</f>
        <v>5</v>
      </c>
      <c r="P3" s="36" t="str">
        <f>VLOOKUP(L3,[1]characters!$A:$J,10,FALSE)</f>
        <v>PremiumSS</v>
      </c>
      <c r="Q3" s="36" t="str">
        <f>VLOOKUP(L3,tables_543100!B:C,2,FALSE)</f>
        <v>PremiumSS5R5only</v>
      </c>
      <c r="R3" s="57">
        <f t="shared" ref="R3:R20" si="0">N3*A$39</f>
        <v>258400</v>
      </c>
      <c r="S3">
        <v>190</v>
      </c>
      <c r="U3" s="32" t="s">
        <v>176</v>
      </c>
      <c r="V3" s="49">
        <f>SUMIF(Q:Q,U3,N:N)</f>
        <v>0</v>
      </c>
    </row>
    <row r="4" spans="1:22" x14ac:dyDescent="0.15">
      <c r="A4" s="33" t="s">
        <v>45</v>
      </c>
      <c r="B4" s="33"/>
      <c r="D4" t="s">
        <v>185</v>
      </c>
      <c r="F4" t="s">
        <v>188</v>
      </c>
      <c r="H4" t="s">
        <v>193</v>
      </c>
      <c r="I4" t="s">
        <v>194</v>
      </c>
      <c r="L4" s="55">
        <v>679</v>
      </c>
      <c r="M4" s="36" t="str">
        <f>VLOOKUP(L4,[1]characters!$A:$C,3,FALSE)</f>
        <v>孤高の王子 レイヴン</v>
      </c>
      <c r="N4" s="58">
        <v>1E-3</v>
      </c>
      <c r="O4" s="36">
        <f>VLOOKUP(L4,[1]characters!$A:$I,9,FALSE)</f>
        <v>5</v>
      </c>
      <c r="P4" s="36" t="str">
        <f>VLOOKUP(L4,[1]characters!$A:$J,10,FALSE)</f>
        <v>PremiumSS</v>
      </c>
      <c r="Q4" s="36" t="str">
        <f>VLOOKUP(L4,tables_543100!B:C,2,FALSE)</f>
        <v>PremiumSS5R5only</v>
      </c>
      <c r="R4" s="57">
        <f t="shared" si="0"/>
        <v>129200</v>
      </c>
      <c r="S4">
        <v>191</v>
      </c>
      <c r="U4" s="32" t="s">
        <v>82</v>
      </c>
      <c r="V4" s="49">
        <f>SUMIF(Q:Q,U4,N:N)</f>
        <v>0</v>
      </c>
    </row>
    <row r="5" spans="1:22" x14ac:dyDescent="0.15">
      <c r="A5" s="32" t="s">
        <v>60</v>
      </c>
      <c r="B5" s="67">
        <v>0</v>
      </c>
      <c r="D5" t="s">
        <v>186</v>
      </c>
      <c r="E5" s="40">
        <f>(B11-H5)/(F5-I5)</f>
        <v>6.176470588235293E-4</v>
      </c>
      <c r="F5">
        <v>71</v>
      </c>
      <c r="H5" s="76">
        <v>4.0000000000000001E-3</v>
      </c>
      <c r="I5" s="30">
        <v>3</v>
      </c>
      <c r="L5" s="55">
        <v>1411</v>
      </c>
      <c r="M5" s="36" t="str">
        <f>VLOOKUP(L5,[1]characters!$A:$C,3,FALSE)</f>
        <v>ピーターパン・イノセンス</v>
      </c>
      <c r="N5" s="58">
        <v>0.1</v>
      </c>
      <c r="O5" s="36">
        <f>VLOOKUP(L5,[1]characters!$A:$I,9,FALSE)</f>
        <v>5</v>
      </c>
      <c r="P5" s="36" t="str">
        <f>VLOOKUP(L5,[1]characters!$A:$J,10,FALSE)</f>
        <v>PremiumS</v>
      </c>
      <c r="Q5" s="36" t="str">
        <f>VLOOKUP(L5,tables_543100!B:C,2,FALSE)</f>
        <v>Premium5R3less</v>
      </c>
      <c r="R5" s="57">
        <f t="shared" si="0"/>
        <v>12920000</v>
      </c>
      <c r="S5">
        <v>192</v>
      </c>
      <c r="U5" s="32" t="s">
        <v>83</v>
      </c>
      <c r="V5" s="49">
        <f>SUMIF(Q:Q,U5,N:N)</f>
        <v>0</v>
      </c>
    </row>
    <row r="6" spans="1:22" x14ac:dyDescent="0.15">
      <c r="A6" s="32" t="s">
        <v>61</v>
      </c>
      <c r="B6" s="67">
        <f>1-B7</f>
        <v>0.92999999999999994</v>
      </c>
      <c r="D6" t="s">
        <v>187</v>
      </c>
      <c r="E6" s="71">
        <f>(B10-H6)/(F6-I6)</f>
        <v>6.8842105263157887E-3</v>
      </c>
      <c r="F6">
        <v>98</v>
      </c>
      <c r="H6" s="79">
        <v>0.3</v>
      </c>
      <c r="I6" s="30">
        <v>3</v>
      </c>
      <c r="L6" s="55">
        <v>1412</v>
      </c>
      <c r="M6" s="36" t="str">
        <f>VLOOKUP(L6,[1]characters!$A:$C,3,FALSE)</f>
        <v>アレス・パッション</v>
      </c>
      <c r="N6" s="58">
        <v>0.1</v>
      </c>
      <c r="O6" s="36">
        <f>VLOOKUP(L6,[1]characters!$A:$I,9,FALSE)</f>
        <v>5</v>
      </c>
      <c r="P6" s="36" t="str">
        <f>VLOOKUP(L6,[1]characters!$A:$J,10,FALSE)</f>
        <v>PremiumS</v>
      </c>
      <c r="Q6" s="36" t="str">
        <f>VLOOKUP(L6,tables_543100!B:C,2,FALSE)</f>
        <v>Premium5R3less</v>
      </c>
      <c r="R6" s="57">
        <f t="shared" si="0"/>
        <v>12920000</v>
      </c>
      <c r="S6">
        <v>596</v>
      </c>
      <c r="U6" s="32" t="s">
        <v>84</v>
      </c>
      <c r="V6" s="49">
        <f>SUMIF(Q:Q,U6,N:N)</f>
        <v>0</v>
      </c>
    </row>
    <row r="7" spans="1:22" x14ac:dyDescent="0.15">
      <c r="A7" s="32" t="s">
        <v>62</v>
      </c>
      <c r="B7" s="67">
        <v>7.0000000000000007E-2</v>
      </c>
      <c r="L7" s="55">
        <v>1413</v>
      </c>
      <c r="M7" s="36" t="str">
        <f>VLOOKUP(L7,[1]characters!$A:$C,3,FALSE)</f>
        <v>クリムト・ペリューシド</v>
      </c>
      <c r="N7" s="58">
        <v>0.1</v>
      </c>
      <c r="O7" s="36">
        <f>VLOOKUP(L7,[1]characters!$A:$I,9,FALSE)</f>
        <v>5</v>
      </c>
      <c r="P7" s="36" t="str">
        <f>VLOOKUP(L7,[1]characters!$A:$J,10,FALSE)</f>
        <v>PremiumS</v>
      </c>
      <c r="Q7" s="36" t="str">
        <f>VLOOKUP(L7,tables_543100!B:C,2,FALSE)</f>
        <v>Premium5R3less</v>
      </c>
      <c r="R7" s="57">
        <f t="shared" si="0"/>
        <v>12920000</v>
      </c>
      <c r="S7">
        <v>597</v>
      </c>
      <c r="U7" s="32" t="s">
        <v>181</v>
      </c>
      <c r="V7" s="49">
        <f>SUMIF(Q:Q,U7,N:N)</f>
        <v>0</v>
      </c>
    </row>
    <row r="8" spans="1:22" x14ac:dyDescent="0.15">
      <c r="A8" s="52"/>
      <c r="B8" s="66"/>
      <c r="L8" s="55">
        <v>678</v>
      </c>
      <c r="M8" s="36" t="str">
        <f>VLOOKUP(L8,[1]characters!$A:$C,3,FALSE)</f>
        <v>レイヴン</v>
      </c>
      <c r="N8" s="58">
        <v>1E-3</v>
      </c>
      <c r="O8" s="36">
        <f>VLOOKUP(L8,[1]characters!$A:$I,9,FALSE)</f>
        <v>4</v>
      </c>
      <c r="P8" s="36" t="str">
        <f>VLOOKUP(L8,[1]characters!$A:$J,10,FALSE)</f>
        <v>PremiumSS</v>
      </c>
      <c r="Q8" s="36" t="str">
        <f>VLOOKUP(L8,tables_543100!B:C,2,FALSE)</f>
        <v>PremiumSS4R5only</v>
      </c>
      <c r="R8" s="57">
        <f t="shared" si="0"/>
        <v>129200</v>
      </c>
      <c r="S8">
        <v>598</v>
      </c>
      <c r="U8" s="32" t="s">
        <v>182</v>
      </c>
      <c r="V8" s="49">
        <f>SUMIF(Q:Q,U8,N:N)</f>
        <v>0.30000000000000004</v>
      </c>
    </row>
    <row r="9" spans="1:22" x14ac:dyDescent="0.15">
      <c r="A9" s="34" t="s">
        <v>46</v>
      </c>
      <c r="B9" s="34"/>
      <c r="L9" s="55"/>
      <c r="M9" s="36" t="e">
        <f>VLOOKUP(L9,[1]characters!$A:$C,3,FALSE)</f>
        <v>#N/A</v>
      </c>
      <c r="N9" s="58"/>
      <c r="O9" s="36" t="e">
        <f>VLOOKUP(L9,[1]characters!$A:$I,9,FALSE)</f>
        <v>#N/A</v>
      </c>
      <c r="P9" s="36" t="e">
        <f>VLOOKUP(L9,[1]characters!$A:$J,10,FALSE)</f>
        <v>#N/A</v>
      </c>
      <c r="Q9" s="36" t="e">
        <f>VLOOKUP(L9,tables_543100!B:C,2,FALSE)</f>
        <v>#N/A</v>
      </c>
      <c r="R9" s="57">
        <f t="shared" si="0"/>
        <v>0</v>
      </c>
      <c r="S9">
        <v>390</v>
      </c>
      <c r="U9" s="32" t="s">
        <v>178</v>
      </c>
      <c r="V9" s="49">
        <f>SUMIF(Q:Q,U9,N:N)</f>
        <v>0</v>
      </c>
    </row>
    <row r="10" spans="1:22" x14ac:dyDescent="0.15">
      <c r="A10" s="32" t="s">
        <v>81</v>
      </c>
      <c r="B10" s="67">
        <f>1-B11-B12</f>
        <v>0.95399999999999996</v>
      </c>
      <c r="L10" s="55"/>
      <c r="M10" s="36" t="e">
        <f>VLOOKUP(L10,[1]characters!$A:$C,3,FALSE)</f>
        <v>#N/A</v>
      </c>
      <c r="N10" s="58"/>
      <c r="O10" s="36" t="e">
        <f>VLOOKUP(L10,[1]characters!$A:$I,9,FALSE)</f>
        <v>#N/A</v>
      </c>
      <c r="P10" s="36" t="e">
        <f>VLOOKUP(L10,[1]characters!$A:$J,10,FALSE)</f>
        <v>#N/A</v>
      </c>
      <c r="Q10" s="36" t="e">
        <f>VLOOKUP(L10,tables_543100!B:C,2,FALSE)</f>
        <v>#N/A</v>
      </c>
      <c r="R10" s="57">
        <f t="shared" si="0"/>
        <v>0</v>
      </c>
      <c r="S10">
        <v>391</v>
      </c>
      <c r="U10" s="32" t="s">
        <v>179</v>
      </c>
      <c r="V10" s="49">
        <f>SUMIF(Q:Q,U10,N:N)</f>
        <v>0</v>
      </c>
    </row>
    <row r="11" spans="1:22" x14ac:dyDescent="0.15">
      <c r="A11" s="32" t="s">
        <v>48</v>
      </c>
      <c r="B11" s="72">
        <v>4.5999999999999999E-2</v>
      </c>
      <c r="L11" s="1"/>
      <c r="M11" s="36" t="e">
        <f>VLOOKUP(L11,[1]characters!$A:$C,3,FALSE)</f>
        <v>#N/A</v>
      </c>
      <c r="N11" s="58"/>
      <c r="O11" s="36" t="e">
        <f>VLOOKUP(L11,[1]characters!$A:$I,9,FALSE)</f>
        <v>#N/A</v>
      </c>
      <c r="P11" s="36" t="e">
        <f>VLOOKUP(L11,[1]characters!$A:$J,10,FALSE)</f>
        <v>#N/A</v>
      </c>
      <c r="Q11" s="36" t="e">
        <f>VLOOKUP(L11,tables_543100!B:C,2,FALSE)</f>
        <v>#N/A</v>
      </c>
      <c r="R11" s="57">
        <f t="shared" si="0"/>
        <v>0</v>
      </c>
      <c r="S11">
        <v>811</v>
      </c>
      <c r="U11" s="32" t="s">
        <v>180</v>
      </c>
      <c r="V11" s="49">
        <f>SUMIF(Q:Q,U11,N:N)</f>
        <v>0</v>
      </c>
    </row>
    <row r="12" spans="1:22" x14ac:dyDescent="0.15">
      <c r="A12" s="32" t="s">
        <v>47</v>
      </c>
      <c r="B12" s="67">
        <v>0</v>
      </c>
      <c r="L12" s="1"/>
      <c r="M12" s="36" t="e">
        <f>VLOOKUP(L12,[1]characters!$A:$C,3,FALSE)</f>
        <v>#N/A</v>
      </c>
      <c r="N12" s="58"/>
      <c r="O12" s="36" t="e">
        <f>VLOOKUP(L12,[1]characters!$A:$I,9,FALSE)</f>
        <v>#N/A</v>
      </c>
      <c r="P12" s="36" t="e">
        <f>VLOOKUP(L12,[1]characters!$A:$J,10,FALSE)</f>
        <v>#N/A</v>
      </c>
      <c r="Q12" s="36" t="e">
        <f>VLOOKUP(L12,tables_543100!B:C,2,FALSE)</f>
        <v>#N/A</v>
      </c>
      <c r="R12" s="57">
        <f t="shared" si="0"/>
        <v>0</v>
      </c>
      <c r="S12">
        <v>496</v>
      </c>
      <c r="U12" s="32" t="s">
        <v>91</v>
      </c>
      <c r="V12" s="49">
        <f>SUMIF(Q:Q,U12,N:N)</f>
        <v>0</v>
      </c>
    </row>
    <row r="13" spans="1:22" x14ac:dyDescent="0.15">
      <c r="L13" s="1"/>
      <c r="M13" s="36" t="e">
        <f>VLOOKUP(L13,[1]characters!$A:$C,3,FALSE)</f>
        <v>#N/A</v>
      </c>
      <c r="N13" s="58"/>
      <c r="O13" s="36" t="e">
        <f>VLOOKUP(L13,[1]characters!$A:$I,9,FALSE)</f>
        <v>#N/A</v>
      </c>
      <c r="P13" s="36" t="e">
        <f>VLOOKUP(L13,[1]characters!$A:$J,10,FALSE)</f>
        <v>#N/A</v>
      </c>
      <c r="Q13" s="36" t="e">
        <f>VLOOKUP(L13,tables_543100!B:C,2,FALSE)</f>
        <v>#N/A</v>
      </c>
      <c r="R13" s="57">
        <f t="shared" si="0"/>
        <v>0</v>
      </c>
      <c r="S13">
        <v>497</v>
      </c>
      <c r="U13" s="32" t="s">
        <v>92</v>
      </c>
      <c r="V13" s="49">
        <f>SUMIF(Q:Q,U13,N:N)</f>
        <v>0</v>
      </c>
    </row>
    <row r="14" spans="1:22" x14ac:dyDescent="0.15">
      <c r="M14" s="36" t="e">
        <f>VLOOKUP(L14,[1]characters!$A:$C,3,FALSE)</f>
        <v>#N/A</v>
      </c>
      <c r="N14" s="58"/>
      <c r="O14" s="36" t="e">
        <f>VLOOKUP(L14,[1]characters!$A:$I,9,FALSE)</f>
        <v>#N/A</v>
      </c>
      <c r="P14" s="36" t="e">
        <f>VLOOKUP(L14,[1]characters!$A:$J,10,FALSE)</f>
        <v>#N/A</v>
      </c>
      <c r="Q14" s="36" t="e">
        <f>VLOOKUP(L14,tables_543100!B:C,2,FALSE)</f>
        <v>#N/A</v>
      </c>
      <c r="R14" s="57">
        <f t="shared" si="0"/>
        <v>0</v>
      </c>
      <c r="S14">
        <v>498</v>
      </c>
      <c r="U14" s="32" t="s">
        <v>184</v>
      </c>
      <c r="V14" s="49">
        <f>SUMIF(Q:Q,U14,N:N)</f>
        <v>3.0000000000000001E-3</v>
      </c>
    </row>
    <row r="15" spans="1:22" x14ac:dyDescent="0.15">
      <c r="A15" s="35" t="s">
        <v>49</v>
      </c>
      <c r="B15" s="35"/>
      <c r="C15" t="s">
        <v>75</v>
      </c>
      <c r="M15" s="36" t="e">
        <f>VLOOKUP(L15,[1]characters!$A:$C,3,FALSE)</f>
        <v>#N/A</v>
      </c>
      <c r="N15" s="58"/>
      <c r="O15" s="36" t="e">
        <f>VLOOKUP(L15,[1]characters!$A:$I,9,FALSE)</f>
        <v>#N/A</v>
      </c>
      <c r="P15" s="36" t="e">
        <f>VLOOKUP(L15,[1]characters!$A:$J,10,FALSE)</f>
        <v>#N/A</v>
      </c>
      <c r="Q15" s="36" t="e">
        <f>VLOOKUP(L15,tables_543100!B:C,2,FALSE)</f>
        <v>#N/A</v>
      </c>
      <c r="R15" s="57">
        <f t="shared" si="0"/>
        <v>0</v>
      </c>
      <c r="S15">
        <v>395</v>
      </c>
      <c r="U15" s="32" t="s">
        <v>183</v>
      </c>
      <c r="V15" s="49">
        <f>SUMIF(Q:Q,U15,N:N)</f>
        <v>0</v>
      </c>
    </row>
    <row r="16" spans="1:22" x14ac:dyDescent="0.15">
      <c r="A16" s="32" t="s">
        <v>52</v>
      </c>
      <c r="B16" s="32" t="s">
        <v>177</v>
      </c>
      <c r="C16" s="36" t="s">
        <v>53</v>
      </c>
      <c r="D16" s="36" t="s">
        <v>54</v>
      </c>
      <c r="E16" t="s">
        <v>64</v>
      </c>
      <c r="F16" t="s">
        <v>63</v>
      </c>
      <c r="G16" t="s">
        <v>66</v>
      </c>
      <c r="H16" t="s">
        <v>196</v>
      </c>
      <c r="I16" t="s">
        <v>67</v>
      </c>
      <c r="J16" t="s">
        <v>69</v>
      </c>
      <c r="M16" s="36" t="e">
        <f>VLOOKUP(L16,[1]characters!$A:$C,3,FALSE)</f>
        <v>#N/A</v>
      </c>
      <c r="N16" s="58"/>
      <c r="O16" s="36" t="e">
        <f>VLOOKUP(L16,[1]characters!$A:$I,9,FALSE)</f>
        <v>#N/A</v>
      </c>
      <c r="P16" s="36" t="e">
        <f>VLOOKUP(L16,[1]characters!$A:$J,10,FALSE)</f>
        <v>#N/A</v>
      </c>
      <c r="Q16" s="36" t="e">
        <f>VLOOKUP(L16,tables_543100!B:C,2,FALSE)</f>
        <v>#N/A</v>
      </c>
      <c r="R16" s="57">
        <f t="shared" si="0"/>
        <v>0</v>
      </c>
      <c r="S16">
        <v>396</v>
      </c>
      <c r="U16" s="32" t="s">
        <v>93</v>
      </c>
      <c r="V16" s="49">
        <f>SUMIF(Q:Q,U16,N:N)</f>
        <v>0</v>
      </c>
    </row>
    <row r="17" spans="1:19" x14ac:dyDescent="0.15">
      <c r="A17" s="32" t="s">
        <v>175</v>
      </c>
      <c r="B17" s="74">
        <f>B$5-B19-B24</f>
        <v>0</v>
      </c>
      <c r="C17" s="77">
        <f>SUMIF(Q:Q,A17,N:N)</f>
        <v>0</v>
      </c>
      <c r="D17" s="69">
        <f t="shared" ref="D17:D35" si="1">B17-C17</f>
        <v>0</v>
      </c>
      <c r="E17">
        <f>COUNTIF(tables_543100!C:C,input_543100!A17)-COUNTIF(Q:Q,A17)</f>
        <v>20</v>
      </c>
      <c r="F17" s="40">
        <f>IFERROR(B17/E17,0)</f>
        <v>0</v>
      </c>
      <c r="G17">
        <f>A$39*B17</f>
        <v>0</v>
      </c>
      <c r="H17">
        <f t="shared" ref="H17:H34" si="2">IFERROR(ROUND(G17/E17,5),0)</f>
        <v>0</v>
      </c>
      <c r="I17">
        <f t="shared" ref="I17:I34" si="3">MOD(H17,1)</f>
        <v>0</v>
      </c>
      <c r="J17">
        <f t="shared" ref="J17:J34" si="4">IFERROR(1/I17,1)</f>
        <v>1</v>
      </c>
      <c r="M17" s="36" t="e">
        <f>VLOOKUP(L17,[1]characters!$A:$C,3,FALSE)</f>
        <v>#N/A</v>
      </c>
      <c r="N17" s="58"/>
      <c r="O17" s="36" t="e">
        <f>VLOOKUP(L17,[1]characters!$A:$I,9,FALSE)</f>
        <v>#N/A</v>
      </c>
      <c r="P17" s="36" t="e">
        <f>VLOOKUP(L17,[1]characters!$A:$J,10,FALSE)</f>
        <v>#N/A</v>
      </c>
      <c r="Q17" s="36" t="e">
        <f>VLOOKUP(L17,tables_543100!B:C,2,FALSE)</f>
        <v>#N/A</v>
      </c>
      <c r="R17" s="57">
        <f t="shared" si="0"/>
        <v>0</v>
      </c>
      <c r="S17">
        <v>397</v>
      </c>
    </row>
    <row r="18" spans="1:19" x14ac:dyDescent="0.15">
      <c r="A18" s="32" t="s">
        <v>176</v>
      </c>
      <c r="B18" s="51">
        <f>E$6*E18-B17-0.0108842105263154</f>
        <v>0.12680000000000036</v>
      </c>
      <c r="C18" s="77">
        <f>SUMIF(Q:Q,A18,N:N)</f>
        <v>0</v>
      </c>
      <c r="D18" s="69">
        <f t="shared" si="1"/>
        <v>0.12680000000000036</v>
      </c>
      <c r="E18">
        <f>COUNTIF(tables_543100!C:C,input_543100!A18)-COUNTIF(Q:Q,A18)</f>
        <v>20</v>
      </c>
      <c r="F18" s="40">
        <f>IFERROR(B18/E18,0)</f>
        <v>6.3400000000000175E-3</v>
      </c>
      <c r="G18">
        <f t="shared" ref="G18:G34" si="5">A$39*B18</f>
        <v>16382560.000000047</v>
      </c>
      <c r="H18">
        <f t="shared" si="2"/>
        <v>819128</v>
      </c>
      <c r="I18">
        <f t="shared" si="3"/>
        <v>0</v>
      </c>
      <c r="J18">
        <f t="shared" si="4"/>
        <v>1</v>
      </c>
      <c r="M18" s="36" t="e">
        <f>VLOOKUP(L18,[1]characters!$A:$C,3,FALSE)</f>
        <v>#N/A</v>
      </c>
      <c r="N18" s="58"/>
      <c r="O18" s="36" t="e">
        <f>VLOOKUP(L18,[1]characters!$A:$I,9,FALSE)</f>
        <v>#N/A</v>
      </c>
      <c r="P18" s="36" t="e">
        <f>VLOOKUP(L18,[1]characters!$A:$J,10,FALSE)</f>
        <v>#N/A</v>
      </c>
      <c r="Q18" s="36" t="e">
        <f>VLOOKUP(L18,tables_543100!B:C,2,FALSE)</f>
        <v>#N/A</v>
      </c>
      <c r="R18" s="57">
        <f t="shared" si="0"/>
        <v>0</v>
      </c>
      <c r="S18">
        <v>324</v>
      </c>
    </row>
    <row r="19" spans="1:19" x14ac:dyDescent="0.15">
      <c r="A19" s="32" t="s">
        <v>238</v>
      </c>
      <c r="B19" s="51">
        <f>E$6*E19*B$5</f>
        <v>0</v>
      </c>
      <c r="C19" s="77">
        <f>SUMIF(Q:Q,A19,N:N)</f>
        <v>0</v>
      </c>
      <c r="D19" s="69">
        <f t="shared" si="1"/>
        <v>0</v>
      </c>
      <c r="E19">
        <f>COUNTIF(tables_543100!C:C,input_543100!A19)-COUNTIF(Q:Q,A19)</f>
        <v>52</v>
      </c>
      <c r="F19" s="40">
        <f t="shared" ref="F19:F34" si="6">IFERROR(B19/E19,0)</f>
        <v>0</v>
      </c>
      <c r="G19">
        <f t="shared" si="5"/>
        <v>0</v>
      </c>
      <c r="H19">
        <f t="shared" si="2"/>
        <v>0</v>
      </c>
      <c r="I19">
        <f t="shared" si="3"/>
        <v>0</v>
      </c>
      <c r="J19">
        <f t="shared" si="4"/>
        <v>1</v>
      </c>
      <c r="M19" s="36" t="e">
        <f>VLOOKUP(L19,[1]characters!$A:$C,3,FALSE)</f>
        <v>#N/A</v>
      </c>
      <c r="N19" s="58"/>
      <c r="O19" s="36" t="e">
        <f>VLOOKUP(L19,[1]characters!$A:$I,9,FALSE)</f>
        <v>#N/A</v>
      </c>
      <c r="P19" s="36" t="e">
        <f>VLOOKUP(L19,[1]characters!$A:$J,10,FALSE)</f>
        <v>#N/A</v>
      </c>
      <c r="Q19" s="36" t="e">
        <f>VLOOKUP(L19,tables_543100!B:C,2,FALSE)</f>
        <v>#N/A</v>
      </c>
      <c r="R19" s="57">
        <f t="shared" si="0"/>
        <v>0</v>
      </c>
      <c r="S19">
        <v>325</v>
      </c>
    </row>
    <row r="20" spans="1:19" x14ac:dyDescent="0.15">
      <c r="A20" s="32" t="s">
        <v>203</v>
      </c>
      <c r="B20" s="83">
        <f>E20*E6-B21</f>
        <v>0.33082284829721353</v>
      </c>
      <c r="C20" s="77">
        <f>SUMIF(Q:Q,A20,N:N)</f>
        <v>0</v>
      </c>
      <c r="D20" s="69">
        <f t="shared" si="1"/>
        <v>0.33082284829721353</v>
      </c>
      <c r="E20">
        <f>COUNTIF(tables_543100!C:C,input_543100!A20)-COUNTIF(Q:Q,A20)</f>
        <v>52</v>
      </c>
      <c r="F20" s="40">
        <f t="shared" si="6"/>
        <v>6.3619778518694912E-3</v>
      </c>
      <c r="G20">
        <f t="shared" si="5"/>
        <v>42742311.999999985</v>
      </c>
      <c r="H20">
        <f t="shared" si="2"/>
        <v>821967.53845999995</v>
      </c>
      <c r="I20">
        <f t="shared" si="3"/>
        <v>0.5384599999524653</v>
      </c>
      <c r="J20">
        <f t="shared" si="4"/>
        <v>1.8571481634444136</v>
      </c>
      <c r="M20" s="36" t="e">
        <f>VLOOKUP(L20,[1]characters!$A:$C,3,FALSE)</f>
        <v>#N/A</v>
      </c>
      <c r="N20" s="58"/>
      <c r="O20" s="36" t="e">
        <f>VLOOKUP(L20,[1]characters!$A:$I,9,FALSE)</f>
        <v>#N/A</v>
      </c>
      <c r="P20" s="36" t="e">
        <f>VLOOKUP(L20,[1]characters!$A:$J,10,FALSE)</f>
        <v>#N/A</v>
      </c>
      <c r="Q20" s="36" t="e">
        <f>VLOOKUP(L20,tables_543100!B:C,2,FALSE)</f>
        <v>#N/A</v>
      </c>
      <c r="R20" s="57">
        <f t="shared" si="0"/>
        <v>0</v>
      </c>
      <c r="S20">
        <v>809</v>
      </c>
    </row>
    <row r="21" spans="1:19" x14ac:dyDescent="0.15">
      <c r="A21" s="32" t="s">
        <v>239</v>
      </c>
      <c r="B21" s="51">
        <f>B7-B23-B26-B28-B29-B30</f>
        <v>2.7156099071207446E-2</v>
      </c>
      <c r="C21" s="77">
        <f>SUMIF(Q:Q,A21,N:N)</f>
        <v>0</v>
      </c>
      <c r="D21" s="69">
        <f t="shared" si="1"/>
        <v>2.7156099071207446E-2</v>
      </c>
      <c r="E21">
        <f>COUNTIF(tables_543100!C:C,input_543100!A21)-COUNTIF(Q:Q,A21)</f>
        <v>52</v>
      </c>
      <c r="F21" s="40">
        <f t="shared" si="6"/>
        <v>5.2223267444629707E-4</v>
      </c>
      <c r="G21">
        <f t="shared" si="5"/>
        <v>3508568.0000000019</v>
      </c>
      <c r="H21">
        <f t="shared" si="2"/>
        <v>67472.461540000004</v>
      </c>
      <c r="I21">
        <f t="shared" si="3"/>
        <v>0.46154000000387896</v>
      </c>
      <c r="J21">
        <f t="shared" si="4"/>
        <v>2.1666594444503091</v>
      </c>
      <c r="L21" s="52"/>
      <c r="M21" s="52"/>
      <c r="N21" s="53"/>
      <c r="O21" s="52"/>
      <c r="P21" s="52"/>
      <c r="Q21" s="52"/>
      <c r="R21" s="54"/>
    </row>
    <row r="22" spans="1:19" x14ac:dyDescent="0.15">
      <c r="A22" s="32" t="s">
        <v>181</v>
      </c>
      <c r="B22" s="70">
        <f>E$6*E22-B23</f>
        <v>0.12515494736842103</v>
      </c>
      <c r="C22" s="77">
        <f>SUMIF(Q:Q,A22,N:N)</f>
        <v>0</v>
      </c>
      <c r="D22" s="69">
        <f t="shared" si="1"/>
        <v>0.12515494736842103</v>
      </c>
      <c r="E22">
        <f>COUNTIF(tables_543100!C:C,input_543100!A22)-COUNTIF(Q:Q,A22)</f>
        <v>20</v>
      </c>
      <c r="F22" s="40">
        <f t="shared" si="6"/>
        <v>6.2577473684210516E-3</v>
      </c>
      <c r="G22">
        <f t="shared" si="5"/>
        <v>16170019.199999997</v>
      </c>
      <c r="H22">
        <f t="shared" si="2"/>
        <v>808500.96</v>
      </c>
      <c r="I22">
        <f t="shared" si="3"/>
        <v>0.9599999999627471</v>
      </c>
      <c r="J22">
        <f t="shared" si="4"/>
        <v>1.0416666667070886</v>
      </c>
      <c r="L22" s="52"/>
      <c r="M22" s="52"/>
      <c r="N22" s="53"/>
      <c r="O22" s="52"/>
      <c r="P22" s="52"/>
      <c r="Q22" s="52"/>
      <c r="R22" s="54"/>
    </row>
    <row r="23" spans="1:19" x14ac:dyDescent="0.15">
      <c r="A23" s="32" t="s">
        <v>182</v>
      </c>
      <c r="B23" s="65">
        <f>E23*E6*B7</f>
        <v>1.2529263157894736E-2</v>
      </c>
      <c r="C23" s="77">
        <f>SUMIF(Q:Q,A23,N:N)</f>
        <v>0.30000000000000004</v>
      </c>
      <c r="D23" s="69">
        <f t="shared" si="1"/>
        <v>-0.28747073684210533</v>
      </c>
      <c r="E23">
        <f>COUNTIF(tables_543100!C:C,input_543100!A23)-COUNTIF(Q:Q,A23)</f>
        <v>26</v>
      </c>
      <c r="F23" s="40">
        <f t="shared" si="6"/>
        <v>4.8189473684210525E-4</v>
      </c>
      <c r="G23">
        <f t="shared" si="5"/>
        <v>1618780.7999999998</v>
      </c>
      <c r="H23">
        <f t="shared" si="2"/>
        <v>62260.800000000003</v>
      </c>
      <c r="I23">
        <f t="shared" si="3"/>
        <v>0.80000000000291038</v>
      </c>
      <c r="J23">
        <f t="shared" si="4"/>
        <v>1.2499999999954525</v>
      </c>
      <c r="L23" s="52"/>
      <c r="M23" s="52"/>
      <c r="N23" s="53"/>
      <c r="O23" s="52"/>
      <c r="P23" s="52"/>
      <c r="Q23" s="52"/>
      <c r="R23" s="54"/>
    </row>
    <row r="24" spans="1:19" x14ac:dyDescent="0.15">
      <c r="A24" s="32" t="s">
        <v>178</v>
      </c>
      <c r="B24" s="51">
        <f>E$6*E24*B$5</f>
        <v>0</v>
      </c>
      <c r="C24" s="77">
        <f>SUMIF(Q:Q,A24,N:N)</f>
        <v>0</v>
      </c>
      <c r="D24" s="69">
        <f t="shared" si="1"/>
        <v>0</v>
      </c>
      <c r="E24">
        <f>COUNTIF(tables_543100!C:C,input_543100!A24)-COUNTIF(Q:Q,A24)</f>
        <v>4</v>
      </c>
      <c r="F24" s="40">
        <f t="shared" si="6"/>
        <v>0</v>
      </c>
      <c r="G24">
        <f t="shared" si="5"/>
        <v>0</v>
      </c>
      <c r="H24">
        <f t="shared" si="2"/>
        <v>0</v>
      </c>
      <c r="I24">
        <f t="shared" si="3"/>
        <v>0</v>
      </c>
      <c r="J24">
        <f t="shared" si="4"/>
        <v>1</v>
      </c>
      <c r="L24" s="52"/>
      <c r="M24" s="52"/>
      <c r="N24" s="53"/>
      <c r="O24" s="52"/>
      <c r="P24" s="52"/>
      <c r="Q24" s="52"/>
      <c r="R24" s="54"/>
    </row>
    <row r="25" spans="1:19" x14ac:dyDescent="0.15">
      <c r="A25" s="32" t="s">
        <v>179</v>
      </c>
      <c r="B25" s="51">
        <f>E$6*B$6*E25</f>
        <v>2.5609263157894732E-2</v>
      </c>
      <c r="C25" s="77">
        <f>SUMIF(Q:Q,A25,N:N)</f>
        <v>0</v>
      </c>
      <c r="D25" s="69">
        <f t="shared" si="1"/>
        <v>2.5609263157894732E-2</v>
      </c>
      <c r="E25">
        <f>COUNTIF(tables_543100!C:C,input_543100!A25)-COUNTIF(Q:Q,A25)</f>
        <v>4</v>
      </c>
      <c r="F25" s="40">
        <f t="shared" si="6"/>
        <v>6.402315789473683E-3</v>
      </c>
      <c r="G25">
        <f t="shared" si="5"/>
        <v>3308716.7999999993</v>
      </c>
      <c r="H25">
        <f t="shared" si="2"/>
        <v>827179.2</v>
      </c>
      <c r="I25">
        <f t="shared" si="3"/>
        <v>0.19999999995343387</v>
      </c>
      <c r="J25">
        <f t="shared" si="4"/>
        <v>5.0000000011641532</v>
      </c>
      <c r="L25" s="52"/>
      <c r="M25" s="52"/>
      <c r="N25" s="53"/>
      <c r="O25" s="52"/>
      <c r="P25" s="52"/>
      <c r="Q25" s="52"/>
      <c r="R25" s="54"/>
    </row>
    <row r="26" spans="1:19" x14ac:dyDescent="0.15">
      <c r="A26" s="32" t="s">
        <v>180</v>
      </c>
      <c r="B26" s="51">
        <f>E$6*B$7*E26</f>
        <v>1.927578947368421E-3</v>
      </c>
      <c r="C26" s="77">
        <f>SUMIF(Q:Q,A26,N:N)</f>
        <v>0</v>
      </c>
      <c r="D26" s="69">
        <f t="shared" si="1"/>
        <v>1.927578947368421E-3</v>
      </c>
      <c r="E26">
        <f>COUNTIF(tables_543100!C:C,input_543100!A26)-COUNTIF(Q:Q,A26)</f>
        <v>4</v>
      </c>
      <c r="F26" s="40">
        <f t="shared" si="6"/>
        <v>4.8189473684210525E-4</v>
      </c>
      <c r="G26">
        <f t="shared" si="5"/>
        <v>249043.19999999998</v>
      </c>
      <c r="H26">
        <f t="shared" si="2"/>
        <v>62260.800000000003</v>
      </c>
      <c r="I26">
        <f t="shared" si="3"/>
        <v>0.80000000000291038</v>
      </c>
      <c r="J26">
        <f t="shared" si="4"/>
        <v>1.2499999999954525</v>
      </c>
      <c r="L26" s="52"/>
      <c r="M26" s="52"/>
      <c r="N26" s="53"/>
      <c r="O26" s="52"/>
      <c r="P26" s="52"/>
      <c r="Q26" s="52"/>
      <c r="R26" s="54"/>
    </row>
    <row r="27" spans="1:19" x14ac:dyDescent="0.15">
      <c r="A27" s="32" t="s">
        <v>217</v>
      </c>
      <c r="B27" s="96">
        <f>B11-(B28+B30)</f>
        <v>1.7612941176470595E-2</v>
      </c>
      <c r="C27" s="77">
        <f>SUMIF(Q:Q,A27,N:N)</f>
        <v>0</v>
      </c>
      <c r="D27" s="69">
        <f t="shared" si="1"/>
        <v>1.7612941176470595E-2</v>
      </c>
      <c r="E27">
        <f>COUNTIF(tables_543100!C:C,input_543100!A27)-COUNTIF(Q:Q,A27)</f>
        <v>28</v>
      </c>
      <c r="F27" s="40">
        <f>IFERROR(B27/E27,0)</f>
        <v>6.2903361344537835E-4</v>
      </c>
      <c r="G27">
        <f t="shared" si="5"/>
        <v>2275592.0000000009</v>
      </c>
      <c r="H27">
        <f t="shared" si="2"/>
        <v>81271.142860000007</v>
      </c>
      <c r="I27">
        <f t="shared" si="3"/>
        <v>0.14286000000720378</v>
      </c>
      <c r="J27">
        <f t="shared" si="4"/>
        <v>6.9998600024469733</v>
      </c>
      <c r="L27" s="52"/>
      <c r="M27" s="52"/>
      <c r="N27" s="53"/>
      <c r="O27" s="52"/>
      <c r="P27" s="52"/>
      <c r="Q27" s="52"/>
      <c r="R27" s="54"/>
    </row>
    <row r="28" spans="1:19" x14ac:dyDescent="0.15">
      <c r="A28" s="32" t="s">
        <v>218</v>
      </c>
      <c r="B28" s="51">
        <f>E$5*E28*B$7</f>
        <v>1.2105882352941176E-3</v>
      </c>
      <c r="C28" s="77">
        <f>SUMIF(Q:Q,A28,N:N)</f>
        <v>0</v>
      </c>
      <c r="D28" s="69">
        <f t="shared" si="1"/>
        <v>1.2105882352941176E-3</v>
      </c>
      <c r="E28">
        <f>COUNTIF(tables_543100!C:C,input_543100!A28)-COUNTIF(Q:Q,A28)</f>
        <v>28</v>
      </c>
      <c r="F28" s="40">
        <f t="shared" si="6"/>
        <v>4.3235294117647055E-5</v>
      </c>
      <c r="G28">
        <f t="shared" si="5"/>
        <v>156408</v>
      </c>
      <c r="H28">
        <f t="shared" si="2"/>
        <v>5586</v>
      </c>
      <c r="I28">
        <f t="shared" si="3"/>
        <v>0</v>
      </c>
      <c r="J28">
        <f t="shared" si="4"/>
        <v>1</v>
      </c>
      <c r="L28" s="52"/>
      <c r="M28" s="52"/>
      <c r="N28" s="53"/>
      <c r="O28" s="52"/>
      <c r="P28" s="52"/>
      <c r="Q28" s="52"/>
      <c r="R28" s="54"/>
    </row>
    <row r="29" spans="1:19" x14ac:dyDescent="0.15">
      <c r="A29" s="32" t="s">
        <v>240</v>
      </c>
      <c r="B29" s="51">
        <f>E$5*E29</f>
        <v>0</v>
      </c>
      <c r="C29" s="77">
        <f>SUMIF(Q:Q,A29,N:N)</f>
        <v>0</v>
      </c>
      <c r="D29" s="69"/>
      <c r="E29">
        <f>COUNTIF(tables_543100!C:C,input_543100!A29)-COUNTIF(Q:Q,A29)</f>
        <v>0</v>
      </c>
      <c r="F29" s="40">
        <f t="shared" si="6"/>
        <v>0</v>
      </c>
      <c r="G29">
        <f t="shared" si="5"/>
        <v>0</v>
      </c>
      <c r="H29">
        <f t="shared" si="2"/>
        <v>0</v>
      </c>
      <c r="I29">
        <f t="shared" si="3"/>
        <v>0</v>
      </c>
      <c r="J29">
        <f t="shared" si="4"/>
        <v>1</v>
      </c>
      <c r="L29" s="52"/>
      <c r="M29" s="52"/>
      <c r="N29" s="53"/>
      <c r="O29" s="52"/>
      <c r="P29" s="52"/>
      <c r="Q29" s="52"/>
      <c r="R29" s="54"/>
    </row>
    <row r="30" spans="1:19" x14ac:dyDescent="0.15">
      <c r="A30" s="32" t="s">
        <v>184</v>
      </c>
      <c r="B30" s="51">
        <f>E$5*E30</f>
        <v>2.7176470588235288E-2</v>
      </c>
      <c r="C30" s="77">
        <f>SUMIF(Q:Q,A30,N:N)</f>
        <v>3.0000000000000001E-3</v>
      </c>
      <c r="D30" s="69"/>
      <c r="E30">
        <f>COUNTIF(tables_543100!C:C,input_543100!A30)-COUNTIF(Q:Q,A30)</f>
        <v>44</v>
      </c>
      <c r="F30" s="40">
        <f t="shared" si="6"/>
        <v>6.176470588235293E-4</v>
      </c>
      <c r="G30">
        <f t="shared" si="5"/>
        <v>3511199.9999999991</v>
      </c>
      <c r="H30">
        <f t="shared" si="2"/>
        <v>79800</v>
      </c>
      <c r="I30">
        <f t="shared" si="3"/>
        <v>0</v>
      </c>
      <c r="J30">
        <f t="shared" si="4"/>
        <v>1</v>
      </c>
      <c r="L30" s="52"/>
      <c r="M30" s="52"/>
      <c r="N30" s="53"/>
      <c r="O30" s="52"/>
      <c r="P30" s="52"/>
      <c r="Q30" s="52"/>
      <c r="R30" s="54"/>
    </row>
    <row r="31" spans="1:19" x14ac:dyDescent="0.15">
      <c r="A31" s="32" t="s">
        <v>242</v>
      </c>
      <c r="B31" s="51">
        <f>E$5*E31</f>
        <v>0</v>
      </c>
      <c r="C31" s="77">
        <f>SUMIF(Q:Q,A31,N:N)</f>
        <v>1E-3</v>
      </c>
      <c r="D31" s="69"/>
      <c r="E31">
        <f>COUNTIF(tables_543100!C:C,input_543100!A31)-COUNTIF(Q:Q,A31)</f>
        <v>0</v>
      </c>
      <c r="F31" s="40">
        <f t="shared" ref="F31" si="7">IFERROR(B31/E31,0)</f>
        <v>0</v>
      </c>
      <c r="G31">
        <f t="shared" ref="G31" si="8">A$39*B31</f>
        <v>0</v>
      </c>
      <c r="H31">
        <f t="shared" ref="H31" si="9">IFERROR(ROUND(G31/E31,5),0)</f>
        <v>0</v>
      </c>
      <c r="I31">
        <f t="shared" ref="I31" si="10">MOD(H31,1)</f>
        <v>0</v>
      </c>
      <c r="J31">
        <f t="shared" ref="J31" si="11">IFERROR(1/I31,1)</f>
        <v>1</v>
      </c>
      <c r="L31" s="52"/>
      <c r="M31" s="52"/>
      <c r="N31" s="53"/>
      <c r="O31" s="52"/>
      <c r="P31" s="52"/>
      <c r="Q31" s="52"/>
      <c r="R31" s="54"/>
    </row>
    <row r="32" spans="1:19" x14ac:dyDescent="0.15">
      <c r="A32" s="32" t="s">
        <v>223</v>
      </c>
      <c r="B32" s="51">
        <f>0</f>
        <v>0</v>
      </c>
      <c r="C32" s="77">
        <f>SUMIF(Q:Q,A32,N:N)</f>
        <v>0</v>
      </c>
      <c r="D32" s="69">
        <f t="shared" si="1"/>
        <v>0</v>
      </c>
      <c r="E32">
        <f>COUNTIF(tables_543100!C:C,input_543100!A32)-COUNTIF(Q:Q,A32)</f>
        <v>0</v>
      </c>
      <c r="F32" s="40">
        <f t="shared" si="6"/>
        <v>0</v>
      </c>
      <c r="G32">
        <f t="shared" si="5"/>
        <v>0</v>
      </c>
      <c r="H32">
        <f t="shared" si="2"/>
        <v>0</v>
      </c>
      <c r="I32">
        <f t="shared" si="3"/>
        <v>0</v>
      </c>
      <c r="J32">
        <f t="shared" si="4"/>
        <v>1</v>
      </c>
      <c r="L32" s="52"/>
      <c r="M32" s="52"/>
      <c r="N32" s="53"/>
      <c r="O32" s="52"/>
      <c r="P32" s="52"/>
      <c r="Q32" s="52"/>
      <c r="R32" s="54"/>
    </row>
    <row r="33" spans="1:18" x14ac:dyDescent="0.15">
      <c r="A33" s="32" t="s">
        <v>224</v>
      </c>
      <c r="B33" s="51">
        <v>0</v>
      </c>
      <c r="C33" s="77">
        <f>SUMIF(Q:Q,A33,N:N)</f>
        <v>0</v>
      </c>
      <c r="D33" s="69">
        <f t="shared" si="1"/>
        <v>0</v>
      </c>
      <c r="E33">
        <f>COUNTIF(tables_543100!C:C,input_543100!A33)-COUNTIF(Q:Q,A33)</f>
        <v>0</v>
      </c>
      <c r="F33" s="40">
        <f t="shared" si="6"/>
        <v>0</v>
      </c>
      <c r="G33">
        <f t="shared" si="5"/>
        <v>0</v>
      </c>
      <c r="H33">
        <f t="shared" si="2"/>
        <v>0</v>
      </c>
      <c r="I33">
        <f t="shared" si="3"/>
        <v>0</v>
      </c>
      <c r="J33">
        <f t="shared" si="4"/>
        <v>1</v>
      </c>
      <c r="L33" s="52"/>
      <c r="M33" s="52"/>
      <c r="N33" s="52"/>
      <c r="O33" s="52"/>
      <c r="P33" s="52"/>
      <c r="Q33" s="52"/>
      <c r="R33" s="54"/>
    </row>
    <row r="34" spans="1:18" x14ac:dyDescent="0.15">
      <c r="A34" s="32" t="s">
        <v>241</v>
      </c>
      <c r="B34" s="51">
        <f>E$5*E34</f>
        <v>0</v>
      </c>
      <c r="C34" s="77">
        <f>SUMIF(Q:Q,A34,N:N)</f>
        <v>0</v>
      </c>
      <c r="D34" s="69">
        <f t="shared" si="1"/>
        <v>0</v>
      </c>
      <c r="E34">
        <f>COUNTIF(tables_543100!C:C,input_543100!A34)-COUNTIF(Q:Q,A34)</f>
        <v>0</v>
      </c>
      <c r="F34" s="40">
        <f t="shared" si="6"/>
        <v>0</v>
      </c>
      <c r="G34">
        <f t="shared" si="5"/>
        <v>0</v>
      </c>
      <c r="H34">
        <f t="shared" si="2"/>
        <v>0</v>
      </c>
      <c r="I34">
        <f t="shared" si="3"/>
        <v>0</v>
      </c>
      <c r="J34">
        <f t="shared" si="4"/>
        <v>1</v>
      </c>
    </row>
    <row r="35" spans="1:18" x14ac:dyDescent="0.15">
      <c r="A35" s="38" t="s">
        <v>51</v>
      </c>
      <c r="B35" s="94">
        <f>SUM(B17:B34)</f>
        <v>0.69600000000000006</v>
      </c>
      <c r="C35" s="95">
        <f>SUM(C19:C34)</f>
        <v>0.30400000000000005</v>
      </c>
      <c r="D35" s="39">
        <f t="shared" si="1"/>
        <v>0.39200000000000002</v>
      </c>
    </row>
    <row r="38" spans="1:18" x14ac:dyDescent="0.15">
      <c r="A38" t="s">
        <v>65</v>
      </c>
      <c r="F38" s="91"/>
      <c r="H38" s="97">
        <f>1-(B35+C35)</f>
        <v>0</v>
      </c>
      <c r="I38">
        <v>-1.0884210526315385E-2</v>
      </c>
    </row>
    <row r="39" spans="1:18" x14ac:dyDescent="0.15">
      <c r="A39" s="30">
        <f>LCM(F5-I5,F6-I6)*1000*2*2*5</f>
        <v>129200000</v>
      </c>
    </row>
    <row r="41" spans="1:18" x14ac:dyDescent="0.15">
      <c r="A41" s="44" t="s">
        <v>68</v>
      </c>
    </row>
    <row r="42" spans="1:18" x14ac:dyDescent="0.15">
      <c r="A42" s="32" t="s">
        <v>52</v>
      </c>
      <c r="B42" t="s">
        <v>66</v>
      </c>
      <c r="C42" t="s">
        <v>85</v>
      </c>
      <c r="E42" t="s">
        <v>86</v>
      </c>
      <c r="F42" t="s">
        <v>2</v>
      </c>
      <c r="G42" t="s">
        <v>55</v>
      </c>
    </row>
    <row r="43" spans="1:18" x14ac:dyDescent="0.15">
      <c r="A43" s="32" t="s">
        <v>88</v>
      </c>
      <c r="B43">
        <f ca="1">SUMIF(tables_543100!C:C,input_543100!A43,tables_543100!O:O)</f>
        <v>0</v>
      </c>
      <c r="C43" s="49">
        <f t="shared" ref="C43:C49" ca="1" si="12">B43/B$50</f>
        <v>0</v>
      </c>
      <c r="E43">
        <v>3</v>
      </c>
      <c r="F43">
        <f ca="1">SUMIF(tables_543100!J:J,input_543100!E43,tables_543100!O:O)</f>
        <v>0</v>
      </c>
      <c r="G43">
        <f ca="1">F43/A39</f>
        <v>0</v>
      </c>
    </row>
    <row r="44" spans="1:18" x14ac:dyDescent="0.15">
      <c r="A44" s="32" t="s">
        <v>89</v>
      </c>
      <c r="B44">
        <f ca="1">SUMIF(tables_543100!C:C,input_543100!A44,tables_543100!O:O)</f>
        <v>42742311.999920033</v>
      </c>
      <c r="C44" s="49">
        <f t="shared" ca="1" si="12"/>
        <v>0.87797418722659315</v>
      </c>
      <c r="E44">
        <v>4</v>
      </c>
      <c r="F44">
        <f ca="1">SUMIF(tables_543100!J:J,input_543100!E44,tables_543100!O:O)</f>
        <v>81008400.000000045</v>
      </c>
      <c r="G44">
        <f ca="1">F44/A39</f>
        <v>0.62700000000000033</v>
      </c>
    </row>
    <row r="45" spans="1:18" x14ac:dyDescent="0.15">
      <c r="A45" s="32" t="s">
        <v>91</v>
      </c>
      <c r="B45">
        <f ca="1">SUMIF(tables_543100!C:C,input_543100!A45,tables_543100!O:O)</f>
        <v>2275592.0000800001</v>
      </c>
      <c r="C45" s="49">
        <f t="shared" ca="1" si="12"/>
        <v>4.6743167209422676E-2</v>
      </c>
      <c r="E45">
        <v>5</v>
      </c>
      <c r="F45">
        <f ca="1">SUMIF(tables_543100!J:J,input_543100!E45,tables_543100!O:O)</f>
        <v>48191600.000079997</v>
      </c>
      <c r="G45" s="98">
        <f ca="1">F45/A39</f>
        <v>0.37300000000061917</v>
      </c>
    </row>
    <row r="46" spans="1:18" x14ac:dyDescent="0.15">
      <c r="A46" s="32" t="s">
        <v>94</v>
      </c>
      <c r="B46">
        <f>SUMIF(tables_543100!C:C,input_543100!A46,tables_543100!O:O)</f>
        <v>0</v>
      </c>
      <c r="C46" s="49">
        <f t="shared" ca="1" si="12"/>
        <v>0</v>
      </c>
      <c r="F46" s="50"/>
    </row>
    <row r="47" spans="1:18" x14ac:dyDescent="0.15">
      <c r="A47" s="32" t="s">
        <v>90</v>
      </c>
      <c r="B47">
        <f ca="1">SUMIF(tables_543100!C:C,input_543100!A47,tables_543100!O:O)</f>
        <v>3508568.000080002</v>
      </c>
      <c r="C47" s="49">
        <f t="shared" ca="1" si="12"/>
        <v>7.2069852894369318E-2</v>
      </c>
      <c r="E47" t="s">
        <v>46</v>
      </c>
      <c r="F47" s="50"/>
    </row>
    <row r="48" spans="1:18" x14ac:dyDescent="0.15">
      <c r="A48" s="32" t="s">
        <v>92</v>
      </c>
      <c r="B48">
        <f ca="1">SUMIF(tables_543100!C:C,input_543100!A48,tables_543100!O:O)</f>
        <v>156408</v>
      </c>
      <c r="C48" s="49">
        <f t="shared" ca="1" si="12"/>
        <v>3.2127926696149216E-3</v>
      </c>
      <c r="E48" t="s">
        <v>189</v>
      </c>
      <c r="F48" s="50">
        <f ca="1">SUMIF(tables_543100!I:I,input_543100!E48,tables_543100!P:P)</f>
        <v>0.12969136842097259</v>
      </c>
    </row>
    <row r="49" spans="1:6" x14ac:dyDescent="0.15">
      <c r="A49" s="32" t="s">
        <v>93</v>
      </c>
      <c r="B49">
        <f>SUMIF(tables_543100!C:C,input_543100!A49,tables_543100!O:O)</f>
        <v>0</v>
      </c>
      <c r="C49" s="49">
        <f t="shared" ca="1" si="12"/>
        <v>0</v>
      </c>
      <c r="E49" t="s">
        <v>190</v>
      </c>
      <c r="F49" s="50">
        <f ca="1">SUMIF(tables_543100!I:I,input_543100!E49,tables_543100!P:P)</f>
        <v>0.13768421052623064</v>
      </c>
    </row>
    <row r="50" spans="1:6" x14ac:dyDescent="0.15">
      <c r="A50" s="38" t="s">
        <v>51</v>
      </c>
      <c r="B50">
        <f ca="1">SUM(B43:B49)</f>
        <v>48682880.000080034</v>
      </c>
      <c r="C50" s="50">
        <f ca="1">SUM(C43:C49)</f>
        <v>1</v>
      </c>
      <c r="E50" t="s">
        <v>191</v>
      </c>
      <c r="F50" s="50">
        <f ca="1">SUMIF(tables_543100!I:I,input_543100!E50,tables_543100!P:P)</f>
        <v>0.68262442105220922</v>
      </c>
    </row>
    <row r="51" spans="1:6" x14ac:dyDescent="0.15">
      <c r="E51" t="s">
        <v>192</v>
      </c>
      <c r="F51" s="50">
        <f ca="1">SUMIF(tables_543100!I:I,input_543100!E51,tables_543100!P:P)</f>
        <v>4.4441176471179934E-2</v>
      </c>
    </row>
    <row r="52" spans="1:6" x14ac:dyDescent="0.15">
      <c r="E52" t="s">
        <v>233</v>
      </c>
      <c r="F52" s="50">
        <f ca="1">SUMIF(tables_543100!I:I,input_543100!E52,tables_543100!P:P)</f>
        <v>5.5588235294083289E-3</v>
      </c>
    </row>
  </sheetData>
  <phoneticPr fontId="24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61"/>
  <sheetViews>
    <sheetView showGridLines="0" zoomScale="75" zoomScaleNormal="75" zoomScalePageLayoutView="75" workbookViewId="0">
      <pane ySplit="1" topLeftCell="A327" activePane="bottomLeft" state="frozen"/>
      <selection activeCell="D34" sqref="D34"/>
      <selection pane="bottomLeft" activeCell="C356" sqref="C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76</v>
      </c>
      <c r="B1" s="14" t="s">
        <v>1</v>
      </c>
      <c r="C1" s="3" t="s">
        <v>23</v>
      </c>
      <c r="D1" s="3" t="s">
        <v>80</v>
      </c>
      <c r="E1" s="3" t="s">
        <v>173</v>
      </c>
      <c r="F1" s="3" t="s">
        <v>174</v>
      </c>
      <c r="G1" s="3" t="s">
        <v>87</v>
      </c>
      <c r="H1" s="3" t="s">
        <v>25</v>
      </c>
      <c r="I1" s="3" t="s">
        <v>26</v>
      </c>
      <c r="J1" s="3" t="s">
        <v>27</v>
      </c>
      <c r="K1" s="3" t="s">
        <v>44</v>
      </c>
      <c r="L1" s="3" t="s">
        <v>28</v>
      </c>
      <c r="M1" s="3" t="s">
        <v>29</v>
      </c>
      <c r="N1" s="3" t="s">
        <v>50</v>
      </c>
      <c r="O1" s="14" t="s">
        <v>2</v>
      </c>
      <c r="P1" s="3" t="s">
        <v>55</v>
      </c>
      <c r="Q1" s="14" t="s">
        <v>30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 t="str">
        <f ca="1">input_543100!A$2</f>
        <v>543100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2">
        <f ca="1">IFERROR(VLOOKUP(B2,input_543100!L:R,7,FALSE),VLOOKUP(tables_543100!C2,input_543100!A:H,8,FALSE))</f>
        <v>0</v>
      </c>
      <c r="P2" s="43">
        <f ca="1">O2/SUM(O:O)</f>
        <v>0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 t="str">
        <f ca="1">input_543100!A$2</f>
        <v>543100</v>
      </c>
      <c r="B3" s="6">
        <v>127</v>
      </c>
      <c r="C3" s="7" t="str">
        <f t="shared" si="0"/>
        <v>PremiumW4</v>
      </c>
      <c r="D3" s="7" t="str">
        <f t="shared" ref="D3:D66" si="1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2">
        <f ca="1">IFERROR(VLOOKUP(B3,input_543100!L:R,7,FALSE),VLOOKUP(tables_543100!C3,input_543100!A:H,8,FALSE))</f>
        <v>819128</v>
      </c>
      <c r="P3" s="43">
        <f ca="1">O3/SUM(O:O)</f>
        <v>6.3399999999960814E-3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 t="str">
        <f ca="1">input_543100!A$2</f>
        <v>543100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2">
        <f ca="1">IFERROR(VLOOKUP(B4,input_543100!L:R,7,FALSE),VLOOKUP(tables_543100!C4,input_543100!A:H,8,FALSE))</f>
        <v>0</v>
      </c>
      <c r="P4" s="43">
        <f ca="1">O4/SUM(O:O)</f>
        <v>0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 t="str">
        <f ca="1">input_543100!A$2</f>
        <v>543100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2">
        <f ca="1">IFERROR(VLOOKUP(B5,input_543100!L:R,7,FALSE),VLOOKUP(tables_543100!C5,input_543100!A:H,8,FALSE))</f>
        <v>819128</v>
      </c>
      <c r="P5" s="43">
        <f ca="1">O5/SUM(O:O)</f>
        <v>6.3399999999960814E-3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 t="str">
        <f ca="1">input_543100!A$2</f>
        <v>543100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2">
        <f ca="1">IFERROR(VLOOKUP(B6,input_543100!L:R,7,FALSE),VLOOKUP(tables_543100!C6,input_543100!A:H,8,FALSE))</f>
        <v>0</v>
      </c>
      <c r="P6" s="43">
        <f ca="1">O6/SUM(O:O)</f>
        <v>0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 t="str">
        <f ca="1">input_543100!A$2</f>
        <v>543100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2">
        <f ca="1">IFERROR(VLOOKUP(B7,input_543100!L:R,7,FALSE),VLOOKUP(tables_543100!C7,input_543100!A:H,8,FALSE))</f>
        <v>819128</v>
      </c>
      <c r="P7" s="43">
        <f ca="1">O7/SUM(O:O)</f>
        <v>6.3399999999960814E-3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 t="str">
        <f ca="1">input_543100!A$2</f>
        <v>543100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2">
        <f ca="1">IFERROR(VLOOKUP(B8,input_543100!L:R,7,FALSE),VLOOKUP(tables_543100!C8,input_543100!A:H,8,FALSE))</f>
        <v>0</v>
      </c>
      <c r="P8" s="43">
        <f ca="1">O8/SUM(O:O)</f>
        <v>0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 t="str">
        <f ca="1">input_543100!A$2</f>
        <v>543100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2">
        <f ca="1">IFERROR(VLOOKUP(B9,input_543100!L:R,7,FALSE),VLOOKUP(tables_543100!C9,input_543100!A:H,8,FALSE))</f>
        <v>819128</v>
      </c>
      <c r="P9" s="43">
        <f ca="1">O9/SUM(O:O)</f>
        <v>6.3399999999960814E-3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 t="str">
        <f ca="1">input_543100!A$2</f>
        <v>543100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2">
        <f ca="1">IFERROR(VLOOKUP(B10,input_543100!L:R,7,FALSE),VLOOKUP(tables_543100!C10,input_543100!A:H,8,FALSE))</f>
        <v>0</v>
      </c>
      <c r="P10" s="43">
        <f ca="1">O10/SUM(O:O)</f>
        <v>0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 t="str">
        <f ca="1">input_543100!A$2</f>
        <v>543100</v>
      </c>
      <c r="B11" s="8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2">
        <f ca="1">IFERROR(VLOOKUP(B11,input_543100!L:R,7,FALSE),VLOOKUP(tables_543100!C11,input_543100!A:H,8,FALSE))</f>
        <v>819128</v>
      </c>
      <c r="P11" s="43">
        <f ca="1">O11/SUM(O:O)</f>
        <v>6.3399999999960814E-3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 t="str">
        <f ca="1">input_543100!A$2</f>
        <v>543100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2">
        <f ca="1">IFERROR(VLOOKUP(B12,input_543100!L:R,7,FALSE),VLOOKUP(tables_543100!C12,input_543100!A:H,8,FALSE))</f>
        <v>0</v>
      </c>
      <c r="P12" s="43">
        <f ca="1">O12/SUM(O:O)</f>
        <v>0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 t="str">
        <f ca="1">input_543100!A$2</f>
        <v>543100</v>
      </c>
      <c r="B13" s="6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f ca="1">IFERROR(VLOOKUP(B13,input_543100!L:R,7,FALSE),VLOOKUP(tables_543100!C13,input_543100!A:H,8,FALSE))</f>
        <v>819128</v>
      </c>
      <c r="P13" s="43">
        <f ca="1">O13/SUM(O:O)</f>
        <v>6.3399999999960814E-3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customHeight="1" x14ac:dyDescent="0.15">
      <c r="A14" s="2" t="str">
        <f ca="1">input_543100!A$2</f>
        <v>543100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2">
        <f ca="1">IFERROR(VLOOKUP(B14,input_543100!L:R,7,FALSE),VLOOKUP(tables_543100!C14,input_543100!A:H,8,FALSE))</f>
        <v>0</v>
      </c>
      <c r="P14" s="43">
        <f ca="1">O14/SUM(O:O)</f>
        <v>0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customHeight="1" x14ac:dyDescent="0.15">
      <c r="A15" s="2" t="str">
        <f ca="1">input_543100!A$2</f>
        <v>543100</v>
      </c>
      <c r="B15" s="10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2">
        <f ca="1">IFERROR(VLOOKUP(B15,input_543100!L:R,7,FALSE),VLOOKUP(tables_543100!C15,input_543100!A:H,8,FALSE))</f>
        <v>819128</v>
      </c>
      <c r="P15" s="43">
        <f ca="1">O15/SUM(O:O)</f>
        <v>6.3399999999960814E-3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customHeight="1" x14ac:dyDescent="0.15">
      <c r="A16" s="2" t="str">
        <f ca="1">input_543100!A$2</f>
        <v>543100</v>
      </c>
      <c r="B16" s="11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2">
        <f ca="1">IFERROR(VLOOKUP(B16,input_543100!L:R,7,FALSE),VLOOKUP(tables_543100!C16,input_543100!A:H,8,FALSE))</f>
        <v>0</v>
      </c>
      <c r="P16" s="43">
        <f ca="1">O16/SUM(O:O)</f>
        <v>0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22" ht="21" customHeight="1" x14ac:dyDescent="0.15">
      <c r="A17" s="2" t="str">
        <f ca="1">input_543100!A$2</f>
        <v>543100</v>
      </c>
      <c r="B17" s="6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2">
        <f ca="1">IFERROR(VLOOKUP(B17,input_543100!L:R,7,FALSE),VLOOKUP(tables_543100!C17,input_543100!A:H,8,FALSE))</f>
        <v>819128</v>
      </c>
      <c r="P17" s="43">
        <f ca="1">O17/SUM(O:O)</f>
        <v>6.3399999999960814E-3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22" ht="21" customHeight="1" x14ac:dyDescent="0.15">
      <c r="A18" s="2" t="str">
        <f ca="1">input_543100!A$2</f>
        <v>543100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2">
        <f ca="1">IFERROR(VLOOKUP(B18,input_543100!L:R,7,FALSE),VLOOKUP(tables_543100!C18,input_543100!A:H,8,FALSE))</f>
        <v>0</v>
      </c>
      <c r="P18" s="43">
        <f ca="1">O18/SUM(O:O)</f>
        <v>0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22" s="12" customFormat="1" ht="21" customHeight="1" thickBot="1" x14ac:dyDescent="0.2">
      <c r="A19" s="2" t="str">
        <f ca="1">input_543100!A$2</f>
        <v>543100</v>
      </c>
      <c r="B19" s="10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2">
        <f ca="1">IFERROR(VLOOKUP(B19,input_543100!L:R,7,FALSE),VLOOKUP(tables_543100!C19,input_543100!A:H,8,FALSE))</f>
        <v>819128</v>
      </c>
      <c r="P19" s="43">
        <f ca="1">O19/SUM(O:O)</f>
        <v>6.3399999999960814E-3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</row>
    <row r="20" spans="1:22" ht="21" customHeight="1" x14ac:dyDescent="0.15">
      <c r="A20" s="2" t="str">
        <f ca="1">input_543100!A$2</f>
        <v>543100</v>
      </c>
      <c r="B20" s="6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2">
        <f ca="1">IFERROR(VLOOKUP(B20,input_543100!L:R,7,FALSE),VLOOKUP(tables_543100!C20,input_543100!A:H,8,FALSE))</f>
        <v>0</v>
      </c>
      <c r="P20" s="43">
        <f ca="1">O20/SUM(O:O)</f>
        <v>0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22" ht="21" customHeight="1" x14ac:dyDescent="0.15">
      <c r="A21" s="2" t="str">
        <f ca="1">input_543100!A$2</f>
        <v>543100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2">
        <f ca="1">IFERROR(VLOOKUP(B21,input_543100!L:R,7,FALSE),VLOOKUP(tables_543100!C21,input_543100!A:H,8,FALSE))</f>
        <v>819128</v>
      </c>
      <c r="P21" s="43">
        <f ca="1">O21/SUM(O:O)</f>
        <v>6.3399999999960814E-3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  <row r="22" spans="1:22" ht="21" customHeight="1" x14ac:dyDescent="0.15">
      <c r="A22" s="2" t="str">
        <f ca="1">input_543100!A$2</f>
        <v>543100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f ca="1">IFERROR(VLOOKUP(B22,input_543100!L:R,7,FALSE),VLOOKUP(tables_543100!C22,input_543100!A:H,8,FALSE))</f>
        <v>0</v>
      </c>
      <c r="P22" s="43">
        <f ca="1">O22/SUM(O:O)</f>
        <v>0</v>
      </c>
      <c r="Q22" s="29">
        <v>1</v>
      </c>
      <c r="R22" s="29">
        <v>0</v>
      </c>
      <c r="S22" s="29">
        <v>0</v>
      </c>
      <c r="T22" s="29">
        <v>0</v>
      </c>
      <c r="U22" s="29">
        <v>0</v>
      </c>
      <c r="V22" s="29">
        <v>1</v>
      </c>
    </row>
    <row r="23" spans="1:22" ht="21" customHeight="1" x14ac:dyDescent="0.15">
      <c r="A23" s="2" t="str">
        <f ca="1">input_543100!A$2</f>
        <v>543100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2">
        <f ca="1">IFERROR(VLOOKUP(B23,input_543100!L:R,7,FALSE),VLOOKUP(tables_543100!C23,input_543100!A:H,8,FALSE))</f>
        <v>819128</v>
      </c>
      <c r="P23" s="43">
        <f ca="1">O23/SUM(O:O)</f>
        <v>6.3399999999960814E-3</v>
      </c>
      <c r="Q23" s="29">
        <v>1</v>
      </c>
      <c r="R23" s="29">
        <v>0</v>
      </c>
      <c r="S23" s="29">
        <v>0</v>
      </c>
      <c r="T23" s="29">
        <v>0</v>
      </c>
      <c r="U23" s="29">
        <v>0</v>
      </c>
      <c r="V23" s="29">
        <v>1</v>
      </c>
    </row>
    <row r="24" spans="1:22" ht="21" customHeight="1" x14ac:dyDescent="0.15">
      <c r="A24" s="2" t="str">
        <f ca="1">input_543100!A$2</f>
        <v>543100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2">
        <f ca="1">IFERROR(VLOOKUP(B24,input_543100!L:R,7,FALSE),VLOOKUP(tables_543100!C24,input_543100!A:H,8,FALSE))</f>
        <v>0</v>
      </c>
      <c r="P24" s="43">
        <f ca="1">O24/SUM(O:O)</f>
        <v>0</v>
      </c>
      <c r="Q24" s="29">
        <v>1</v>
      </c>
      <c r="R24" s="29">
        <v>0</v>
      </c>
      <c r="S24" s="29">
        <v>0</v>
      </c>
      <c r="T24" s="29">
        <v>0</v>
      </c>
      <c r="U24" s="29">
        <v>0</v>
      </c>
      <c r="V24" s="29">
        <v>1</v>
      </c>
    </row>
    <row r="25" spans="1:22" ht="21" customHeight="1" x14ac:dyDescent="0.15">
      <c r="A25" s="2" t="str">
        <f ca="1">input_543100!A$2</f>
        <v>543100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2">
        <f ca="1">IFERROR(VLOOKUP(B25,input_543100!L:R,7,FALSE),VLOOKUP(tables_543100!C25,input_543100!A:H,8,FALSE))</f>
        <v>819128</v>
      </c>
      <c r="P25" s="43">
        <f ca="1">O25/SUM(O:O)</f>
        <v>6.3399999999960814E-3</v>
      </c>
      <c r="Q25" s="29">
        <v>1</v>
      </c>
      <c r="R25" s="29">
        <v>0</v>
      </c>
      <c r="S25" s="29">
        <v>0</v>
      </c>
      <c r="T25" s="29">
        <v>0</v>
      </c>
      <c r="U25" s="29">
        <v>0</v>
      </c>
      <c r="V25" s="29">
        <v>1</v>
      </c>
    </row>
    <row r="26" spans="1:22" ht="21" customHeight="1" x14ac:dyDescent="0.15">
      <c r="A26" s="2" t="str">
        <f ca="1">input_543100!A$2</f>
        <v>543100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2">
        <f ca="1">IFERROR(VLOOKUP(B26,input_543100!L:R,7,FALSE),VLOOKUP(tables_543100!C26,input_543100!A:H,8,FALSE))</f>
        <v>0</v>
      </c>
      <c r="P26" s="43">
        <f ca="1">O26/SUM(O:O)</f>
        <v>0</v>
      </c>
      <c r="Q26" s="29">
        <v>1</v>
      </c>
      <c r="R26" s="29">
        <v>0</v>
      </c>
      <c r="S26" s="29">
        <v>0</v>
      </c>
      <c r="T26" s="29">
        <v>0</v>
      </c>
      <c r="U26" s="29">
        <v>0</v>
      </c>
      <c r="V26" s="29">
        <v>1</v>
      </c>
    </row>
    <row r="27" spans="1:22" ht="21" customHeight="1" x14ac:dyDescent="0.15">
      <c r="A27" s="2" t="str">
        <f ca="1">input_543100!A$2</f>
        <v>543100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2">
        <f ca="1">IFERROR(VLOOKUP(B27,input_543100!L:R,7,FALSE),VLOOKUP(tables_543100!C27,input_543100!A:H,8,FALSE))</f>
        <v>819128</v>
      </c>
      <c r="P27" s="43">
        <f ca="1">O27/SUM(O:O)</f>
        <v>6.3399999999960814E-3</v>
      </c>
      <c r="Q27" s="29">
        <v>1</v>
      </c>
      <c r="R27" s="29">
        <v>0</v>
      </c>
      <c r="S27" s="29">
        <v>0</v>
      </c>
      <c r="T27" s="29">
        <v>0</v>
      </c>
      <c r="U27" s="29">
        <v>0</v>
      </c>
      <c r="V27" s="29">
        <v>1</v>
      </c>
    </row>
    <row r="28" spans="1:22" ht="21" customHeight="1" x14ac:dyDescent="0.15">
      <c r="A28" s="2" t="str">
        <f ca="1">input_543100!A$2</f>
        <v>543100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2">
        <f ca="1">IFERROR(VLOOKUP(B28,input_543100!L:R,7,FALSE),VLOOKUP(tables_543100!C28,input_543100!A:H,8,FALSE))</f>
        <v>0</v>
      </c>
      <c r="P28" s="43">
        <f ca="1">O28/SUM(O:O)</f>
        <v>0</v>
      </c>
      <c r="Q28" s="29">
        <v>1</v>
      </c>
      <c r="R28" s="29">
        <v>0</v>
      </c>
      <c r="S28" s="29">
        <v>0</v>
      </c>
      <c r="T28" s="29">
        <v>0</v>
      </c>
      <c r="U28" s="29">
        <v>0</v>
      </c>
      <c r="V28" s="29">
        <v>1</v>
      </c>
    </row>
    <row r="29" spans="1:22" ht="21" customHeight="1" x14ac:dyDescent="0.15">
      <c r="A29" s="2" t="str">
        <f ca="1">input_543100!A$2</f>
        <v>543100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2">
        <f ca="1">IFERROR(VLOOKUP(B29,input_543100!L:R,7,FALSE),VLOOKUP(tables_543100!C29,input_543100!A:H,8,FALSE))</f>
        <v>819128</v>
      </c>
      <c r="P29" s="43">
        <f ca="1">O29/SUM(O:O)</f>
        <v>6.3399999999960814E-3</v>
      </c>
      <c r="Q29" s="29">
        <v>1</v>
      </c>
      <c r="R29" s="29">
        <v>0</v>
      </c>
      <c r="S29" s="29">
        <v>0</v>
      </c>
      <c r="T29" s="29">
        <v>0</v>
      </c>
      <c r="U29" s="29">
        <v>0</v>
      </c>
      <c r="V29" s="29">
        <v>1</v>
      </c>
    </row>
    <row r="30" spans="1:22" ht="21" customHeight="1" x14ac:dyDescent="0.15">
      <c r="A30" s="2" t="str">
        <f ca="1">input_543100!A$2</f>
        <v>543100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2">
        <f ca="1">IFERROR(VLOOKUP(B30,input_543100!L:R,7,FALSE),VLOOKUP(tables_543100!C30,input_543100!A:H,8,FALSE))</f>
        <v>0</v>
      </c>
      <c r="P30" s="43">
        <f ca="1">O30/SUM(O:O)</f>
        <v>0</v>
      </c>
      <c r="Q30" s="29">
        <v>1</v>
      </c>
      <c r="R30" s="29">
        <v>0</v>
      </c>
      <c r="S30" s="29">
        <v>0</v>
      </c>
      <c r="T30" s="29">
        <v>0</v>
      </c>
      <c r="U30" s="29">
        <v>0</v>
      </c>
      <c r="V30" s="29">
        <v>1</v>
      </c>
    </row>
    <row r="31" spans="1:22" ht="21" customHeight="1" x14ac:dyDescent="0.15">
      <c r="A31" s="2" t="str">
        <f ca="1">input_543100!A$2</f>
        <v>543100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2">
        <f ca="1">IFERROR(VLOOKUP(B31,input_543100!L:R,7,FALSE),VLOOKUP(tables_543100!C31,input_543100!A:H,8,FALSE))</f>
        <v>819128</v>
      </c>
      <c r="P31" s="43">
        <f ca="1">O31/SUM(O:O)</f>
        <v>6.3399999999960814E-3</v>
      </c>
      <c r="Q31" s="29">
        <v>1</v>
      </c>
      <c r="R31" s="29">
        <v>0</v>
      </c>
      <c r="S31" s="29">
        <v>0</v>
      </c>
      <c r="T31" s="29">
        <v>0</v>
      </c>
      <c r="U31" s="29">
        <v>0</v>
      </c>
      <c r="V31" s="29">
        <v>1</v>
      </c>
    </row>
    <row r="32" spans="1:22" ht="21" customHeight="1" x14ac:dyDescent="0.15">
      <c r="A32" s="2" t="str">
        <f ca="1">input_543100!A$2</f>
        <v>543100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2">
        <f ca="1">IFERROR(VLOOKUP(B32,input_543100!L:R,7,FALSE),VLOOKUP(tables_543100!C32,input_543100!A:H,8,FALSE))</f>
        <v>0</v>
      </c>
      <c r="P32" s="43">
        <f ca="1">O32/SUM(O:O)</f>
        <v>0</v>
      </c>
      <c r="Q32" s="29">
        <v>1</v>
      </c>
      <c r="R32" s="29">
        <v>0</v>
      </c>
      <c r="S32" s="29">
        <v>0</v>
      </c>
      <c r="T32" s="29">
        <v>0</v>
      </c>
      <c r="U32" s="29">
        <v>0</v>
      </c>
      <c r="V32" s="29">
        <v>1</v>
      </c>
    </row>
    <row r="33" spans="1:22" ht="21" customHeight="1" x14ac:dyDescent="0.15">
      <c r="A33" s="2" t="str">
        <f ca="1">input_543100!A$2</f>
        <v>543100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2">
        <f ca="1">IFERROR(VLOOKUP(B33,input_543100!L:R,7,FALSE),VLOOKUP(tables_543100!C33,input_543100!A:H,8,FALSE))</f>
        <v>819128</v>
      </c>
      <c r="P33" s="43">
        <f ca="1">O33/SUM(O:O)</f>
        <v>6.3399999999960814E-3</v>
      </c>
      <c r="Q33" s="29">
        <v>1</v>
      </c>
      <c r="R33" s="29">
        <v>0</v>
      </c>
      <c r="S33" s="29">
        <v>0</v>
      </c>
      <c r="T33" s="29">
        <v>0</v>
      </c>
      <c r="U33" s="29">
        <v>0</v>
      </c>
      <c r="V33" s="29">
        <v>1</v>
      </c>
    </row>
    <row r="34" spans="1:22" ht="21" customHeight="1" x14ac:dyDescent="0.15">
      <c r="A34" s="2" t="str">
        <f ca="1">input_543100!A$2</f>
        <v>543100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2">
        <f ca="1">IFERROR(VLOOKUP(B34,input_543100!L:R,7,FALSE),VLOOKUP(tables_543100!C34,input_543100!A:H,8,FALSE))</f>
        <v>0</v>
      </c>
      <c r="P34" s="43">
        <f ca="1">O34/SUM(O:O)</f>
        <v>0</v>
      </c>
      <c r="Q34" s="29">
        <v>1</v>
      </c>
      <c r="R34" s="29">
        <v>0</v>
      </c>
      <c r="S34" s="29">
        <v>0</v>
      </c>
      <c r="T34" s="29">
        <v>0</v>
      </c>
      <c r="U34" s="29">
        <v>0</v>
      </c>
      <c r="V34" s="29">
        <v>1</v>
      </c>
    </row>
    <row r="35" spans="1:22" ht="21" customHeight="1" x14ac:dyDescent="0.15">
      <c r="A35" s="2" t="str">
        <f ca="1">input_543100!A$2</f>
        <v>543100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2">
        <f ca="1">IFERROR(VLOOKUP(B35,input_543100!L:R,7,FALSE),VLOOKUP(tables_543100!C35,input_543100!A:H,8,FALSE))</f>
        <v>819128</v>
      </c>
      <c r="P35" s="43">
        <f ca="1">O35/SUM(O:O)</f>
        <v>6.3399999999960814E-3</v>
      </c>
      <c r="Q35" s="29">
        <v>1</v>
      </c>
      <c r="R35" s="29">
        <v>0</v>
      </c>
      <c r="S35" s="29">
        <v>0</v>
      </c>
      <c r="T35" s="29">
        <v>0</v>
      </c>
      <c r="U35" s="29">
        <v>0</v>
      </c>
      <c r="V35" s="29">
        <v>1</v>
      </c>
    </row>
    <row r="36" spans="1:22" ht="21" customHeight="1" x14ac:dyDescent="0.15">
      <c r="A36" s="2" t="str">
        <f ca="1">input_543100!A$2</f>
        <v>543100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2">
        <f ca="1">IFERROR(VLOOKUP(B36,input_543100!L:R,7,FALSE),VLOOKUP(tables_543100!C36,input_543100!A:H,8,FALSE))</f>
        <v>0</v>
      </c>
      <c r="P36" s="43">
        <f ca="1">O36/SUM(O:O)</f>
        <v>0</v>
      </c>
      <c r="Q36" s="29">
        <v>1</v>
      </c>
      <c r="R36" s="29">
        <v>0</v>
      </c>
      <c r="S36" s="29">
        <v>0</v>
      </c>
      <c r="T36" s="29">
        <v>0</v>
      </c>
      <c r="U36" s="29">
        <v>0</v>
      </c>
      <c r="V36" s="29">
        <v>1</v>
      </c>
    </row>
    <row r="37" spans="1:22" ht="21" customHeight="1" x14ac:dyDescent="0.15">
      <c r="A37" s="2" t="str">
        <f ca="1">input_543100!A$2</f>
        <v>543100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2">
        <f ca="1">IFERROR(VLOOKUP(B37,input_543100!L:R,7,FALSE),VLOOKUP(tables_543100!C37,input_543100!A:H,8,FALSE))</f>
        <v>819128</v>
      </c>
      <c r="P37" s="43">
        <f ca="1">O37/SUM(O:O)</f>
        <v>6.3399999999960814E-3</v>
      </c>
      <c r="Q37" s="29">
        <v>1</v>
      </c>
      <c r="R37" s="29">
        <v>0</v>
      </c>
      <c r="S37" s="29">
        <v>0</v>
      </c>
      <c r="T37" s="29">
        <v>0</v>
      </c>
      <c r="U37" s="29">
        <v>0</v>
      </c>
      <c r="V37" s="29">
        <v>1</v>
      </c>
    </row>
    <row r="38" spans="1:22" ht="21" customHeight="1" x14ac:dyDescent="0.15">
      <c r="A38" s="2" t="str">
        <f ca="1">input_543100!A$2</f>
        <v>543100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2">
        <f ca="1">IFERROR(VLOOKUP(B38,input_543100!L:R,7,FALSE),VLOOKUP(tables_543100!C38,input_543100!A:H,8,FALSE))</f>
        <v>0</v>
      </c>
      <c r="P38" s="43">
        <f ca="1">O38/SUM(O:O)</f>
        <v>0</v>
      </c>
      <c r="Q38" s="29">
        <v>1</v>
      </c>
      <c r="R38" s="29">
        <v>0</v>
      </c>
      <c r="S38" s="29">
        <v>0</v>
      </c>
      <c r="T38" s="29">
        <v>0</v>
      </c>
      <c r="U38" s="29">
        <v>0</v>
      </c>
      <c r="V38" s="29">
        <v>1</v>
      </c>
    </row>
    <row r="39" spans="1:22" ht="21" customHeight="1" x14ac:dyDescent="0.15">
      <c r="A39" s="2" t="str">
        <f ca="1">input_543100!A$2</f>
        <v>543100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2">
        <f ca="1">IFERROR(VLOOKUP(B39,input_543100!L:R,7,FALSE),VLOOKUP(tables_543100!C39,input_543100!A:H,8,FALSE))</f>
        <v>819128</v>
      </c>
      <c r="P39" s="43">
        <f ca="1">O39/SUM(O:O)</f>
        <v>6.3399999999960814E-3</v>
      </c>
      <c r="Q39" s="29">
        <v>1</v>
      </c>
      <c r="R39" s="29">
        <v>0</v>
      </c>
      <c r="S39" s="29">
        <v>0</v>
      </c>
      <c r="T39" s="29">
        <v>0</v>
      </c>
      <c r="U39" s="29">
        <v>0</v>
      </c>
      <c r="V39" s="29">
        <v>1</v>
      </c>
    </row>
    <row r="40" spans="1:22" ht="21" customHeight="1" x14ac:dyDescent="0.15">
      <c r="A40" s="2" t="str">
        <f ca="1">input_543100!A$2</f>
        <v>543100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2">
        <f ca="1">IFERROR(VLOOKUP(B40,input_543100!L:R,7,FALSE),VLOOKUP(tables_543100!C40,input_543100!A:H,8,FALSE))</f>
        <v>0</v>
      </c>
      <c r="P40" s="43">
        <f ca="1">O40/SUM(O:O)</f>
        <v>0</v>
      </c>
      <c r="Q40" s="29">
        <v>1</v>
      </c>
      <c r="R40" s="29">
        <v>0</v>
      </c>
      <c r="S40" s="29">
        <v>0</v>
      </c>
      <c r="T40" s="29">
        <v>0</v>
      </c>
      <c r="U40" s="29">
        <v>0</v>
      </c>
      <c r="V40" s="29">
        <v>1</v>
      </c>
    </row>
    <row r="41" spans="1:22" ht="21" customHeight="1" x14ac:dyDescent="0.15">
      <c r="A41" s="2" t="str">
        <f ca="1">input_543100!A$2</f>
        <v>543100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2">
        <f ca="1">IFERROR(VLOOKUP(B41,input_543100!L:R,7,FALSE),VLOOKUP(tables_543100!C41,input_543100!A:H,8,FALSE))</f>
        <v>819128</v>
      </c>
      <c r="P41" s="43">
        <f ca="1">O41/SUM(O:O)</f>
        <v>6.3399999999960814E-3</v>
      </c>
      <c r="Q41" s="29">
        <v>1</v>
      </c>
      <c r="R41" s="29">
        <v>0</v>
      </c>
      <c r="S41" s="29">
        <v>0</v>
      </c>
      <c r="T41" s="29">
        <v>0</v>
      </c>
      <c r="U41" s="29">
        <v>0</v>
      </c>
      <c r="V41" s="29">
        <v>1</v>
      </c>
    </row>
    <row r="42" spans="1:22" ht="21" customHeight="1" x14ac:dyDescent="0.15">
      <c r="A42" s="2" t="str">
        <f ca="1">input_543100!A$2</f>
        <v>543100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2">
        <f ca="1">IFERROR(VLOOKUP(B42,input_543100!L:R,7,FALSE),VLOOKUP(tables_543100!C42,input_543100!A:H,8,FALSE))</f>
        <v>0</v>
      </c>
      <c r="P42" s="43">
        <f ca="1">O42/SUM(O:O)</f>
        <v>0</v>
      </c>
      <c r="Q42" s="29">
        <v>1</v>
      </c>
      <c r="R42" s="29">
        <v>0</v>
      </c>
      <c r="S42" s="29">
        <v>0</v>
      </c>
      <c r="T42" s="29">
        <v>0</v>
      </c>
      <c r="U42" s="29">
        <v>0</v>
      </c>
      <c r="V42" s="29">
        <v>1</v>
      </c>
    </row>
    <row r="43" spans="1:22" ht="21" customHeight="1" x14ac:dyDescent="0.15">
      <c r="A43" s="2" t="str">
        <f ca="1">input_543100!A$2</f>
        <v>543100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2">
        <f ca="1">IFERROR(VLOOKUP(B43,input_543100!L:R,7,FALSE),VLOOKUP(tables_543100!C43,input_543100!A:H,8,FALSE))</f>
        <v>827179.2</v>
      </c>
      <c r="P43" s="43">
        <f ca="1">O43/SUM(O:O)</f>
        <v>6.402315789469727E-3</v>
      </c>
      <c r="Q43" s="29">
        <v>1</v>
      </c>
      <c r="R43" s="29">
        <v>0</v>
      </c>
      <c r="S43" s="29">
        <v>0</v>
      </c>
      <c r="T43" s="29">
        <v>0</v>
      </c>
      <c r="U43" s="29">
        <v>0</v>
      </c>
      <c r="V43" s="29">
        <v>1</v>
      </c>
    </row>
    <row r="44" spans="1:22" ht="21" customHeight="1" x14ac:dyDescent="0.15">
      <c r="A44" s="2" t="str">
        <f ca="1">input_543100!A$2</f>
        <v>543100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2">
        <f ca="1">IFERROR(VLOOKUP(B44,input_543100!L:R,7,FALSE),VLOOKUP(tables_543100!C44,input_543100!A:H,8,FALSE))</f>
        <v>62260.800000000003</v>
      </c>
      <c r="P44" s="43">
        <f ca="1">O44/SUM(O:O)</f>
        <v>4.8189473684180742E-4</v>
      </c>
      <c r="Q44" s="29">
        <v>1</v>
      </c>
      <c r="R44" s="29">
        <v>0</v>
      </c>
      <c r="S44" s="29">
        <v>0</v>
      </c>
      <c r="T44" s="29">
        <v>0</v>
      </c>
      <c r="U44" s="29">
        <v>0</v>
      </c>
      <c r="V44" s="29">
        <v>1</v>
      </c>
    </row>
    <row r="45" spans="1:22" ht="21" customHeight="1" x14ac:dyDescent="0.15">
      <c r="A45" s="2" t="str">
        <f ca="1">input_543100!A$2</f>
        <v>543100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2">
        <f ca="1">IFERROR(VLOOKUP(B45,input_543100!L:R,7,FALSE),VLOOKUP(tables_543100!C45,input_543100!A:H,8,FALSE))</f>
        <v>0</v>
      </c>
      <c r="P45" s="43">
        <f ca="1">O45/SUM(O:O)</f>
        <v>0</v>
      </c>
      <c r="Q45" s="29">
        <v>1</v>
      </c>
      <c r="R45" s="29">
        <v>0</v>
      </c>
      <c r="S45" s="29">
        <v>0</v>
      </c>
      <c r="T45" s="29">
        <v>0</v>
      </c>
      <c r="U45" s="29">
        <v>0</v>
      </c>
      <c r="V45" s="29">
        <v>1</v>
      </c>
    </row>
    <row r="46" spans="1:22" ht="21" customHeight="1" x14ac:dyDescent="0.15">
      <c r="A46" s="2" t="str">
        <f ca="1">input_543100!A$2</f>
        <v>543100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2">
        <f ca="1">IFERROR(VLOOKUP(B46,input_543100!L:R,7,FALSE),VLOOKUP(tables_543100!C46,input_543100!A:H,8,FALSE))</f>
        <v>827179.2</v>
      </c>
      <c r="P46" s="43">
        <f ca="1">O46/SUM(O:O)</f>
        <v>6.402315789469727E-3</v>
      </c>
      <c r="Q46" s="29">
        <v>1</v>
      </c>
      <c r="R46" s="29">
        <v>0</v>
      </c>
      <c r="S46" s="29">
        <v>0</v>
      </c>
      <c r="T46" s="29">
        <v>0</v>
      </c>
      <c r="U46" s="29">
        <v>0</v>
      </c>
      <c r="V46" s="29">
        <v>1</v>
      </c>
    </row>
    <row r="47" spans="1:22" ht="21" customHeight="1" x14ac:dyDescent="0.15">
      <c r="A47" s="2" t="str">
        <f ca="1">input_543100!A$2</f>
        <v>543100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2">
        <f ca="1">IFERROR(VLOOKUP(B47,input_543100!L:R,7,FALSE),VLOOKUP(tables_543100!C47,input_543100!A:H,8,FALSE))</f>
        <v>62260.800000000003</v>
      </c>
      <c r="P47" s="43">
        <f ca="1">O47/SUM(O:O)</f>
        <v>4.8189473684180742E-4</v>
      </c>
      <c r="Q47" s="29">
        <v>1</v>
      </c>
      <c r="R47" s="29">
        <v>0</v>
      </c>
      <c r="S47" s="29">
        <v>0</v>
      </c>
      <c r="T47" s="29">
        <v>0</v>
      </c>
      <c r="U47" s="29">
        <v>0</v>
      </c>
      <c r="V47" s="29">
        <v>1</v>
      </c>
    </row>
    <row r="48" spans="1:22" ht="21" customHeight="1" x14ac:dyDescent="0.15">
      <c r="A48" s="2" t="str">
        <f ca="1">input_543100!A$2</f>
        <v>543100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2">
        <f ca="1">IFERROR(VLOOKUP(B48,input_543100!L:R,7,FALSE),VLOOKUP(tables_543100!C48,input_543100!A:H,8,FALSE))</f>
        <v>0</v>
      </c>
      <c r="P48" s="43">
        <f ca="1">O48/SUM(O:O)</f>
        <v>0</v>
      </c>
      <c r="Q48" s="29">
        <v>1</v>
      </c>
      <c r="R48" s="29">
        <v>0</v>
      </c>
      <c r="S48" s="29">
        <v>0</v>
      </c>
      <c r="T48" s="29">
        <v>0</v>
      </c>
      <c r="U48" s="29">
        <v>0</v>
      </c>
      <c r="V48" s="29">
        <v>1</v>
      </c>
    </row>
    <row r="49" spans="1:22" ht="21" customHeight="1" x14ac:dyDescent="0.15">
      <c r="A49" s="2" t="str">
        <f ca="1">input_543100!A$2</f>
        <v>543100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2">
        <f ca="1">IFERROR(VLOOKUP(B49,input_543100!L:R,7,FALSE),VLOOKUP(tables_543100!C49,input_543100!A:H,8,FALSE))</f>
        <v>827179.2</v>
      </c>
      <c r="P49" s="43">
        <f ca="1">O49/SUM(O:O)</f>
        <v>6.402315789469727E-3</v>
      </c>
      <c r="Q49" s="29">
        <v>1</v>
      </c>
      <c r="R49" s="29">
        <v>0</v>
      </c>
      <c r="S49" s="29">
        <v>0</v>
      </c>
      <c r="T49" s="29">
        <v>0</v>
      </c>
      <c r="U49" s="29">
        <v>0</v>
      </c>
      <c r="V49" s="29">
        <v>1</v>
      </c>
    </row>
    <row r="50" spans="1:22" ht="21" customHeight="1" x14ac:dyDescent="0.15">
      <c r="A50" s="2" t="str">
        <f ca="1">input_543100!A$2</f>
        <v>543100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2">
        <f ca="1">IFERROR(VLOOKUP(B50,input_543100!L:R,7,FALSE),VLOOKUP(tables_543100!C50,input_543100!A:H,8,FALSE))</f>
        <v>62260.800000000003</v>
      </c>
      <c r="P50" s="43">
        <f ca="1">O50/SUM(O:O)</f>
        <v>4.8189473684180742E-4</v>
      </c>
      <c r="Q50" s="29">
        <v>1</v>
      </c>
      <c r="R50" s="29">
        <v>0</v>
      </c>
      <c r="S50" s="29">
        <v>0</v>
      </c>
      <c r="T50" s="29">
        <v>0</v>
      </c>
      <c r="U50" s="29">
        <v>0</v>
      </c>
      <c r="V50" s="29">
        <v>1</v>
      </c>
    </row>
    <row r="51" spans="1:22" ht="21" customHeight="1" x14ac:dyDescent="0.15">
      <c r="A51" s="2" t="str">
        <f ca="1">input_543100!A$2</f>
        <v>543100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2">
        <f ca="1">IFERROR(VLOOKUP(B51,input_543100!L:R,7,FALSE),VLOOKUP(tables_543100!C51,input_543100!A:H,8,FALSE))</f>
        <v>0</v>
      </c>
      <c r="P51" s="43">
        <f ca="1">O51/SUM(O:O)</f>
        <v>0</v>
      </c>
      <c r="Q51" s="29">
        <v>1</v>
      </c>
      <c r="R51" s="29">
        <v>0</v>
      </c>
      <c r="S51" s="29">
        <v>0</v>
      </c>
      <c r="T51" s="29">
        <v>0</v>
      </c>
      <c r="U51" s="29">
        <v>0</v>
      </c>
      <c r="V51" s="29">
        <v>1</v>
      </c>
    </row>
    <row r="52" spans="1:22" ht="21" customHeight="1" x14ac:dyDescent="0.15">
      <c r="A52" s="2" t="str">
        <f ca="1">input_543100!A$2</f>
        <v>543100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2">
        <f ca="1">IFERROR(VLOOKUP(B52,input_543100!L:R,7,FALSE),VLOOKUP(tables_543100!C52,input_543100!A:H,8,FALSE))</f>
        <v>821967.53845999995</v>
      </c>
      <c r="P52" s="43">
        <f ca="1">O52/SUM(O:O)</f>
        <v>6.3619778518536523E-3</v>
      </c>
      <c r="Q52" s="29">
        <v>1</v>
      </c>
      <c r="R52" s="29">
        <v>0</v>
      </c>
      <c r="S52" s="29">
        <v>0</v>
      </c>
      <c r="T52" s="29">
        <v>0</v>
      </c>
      <c r="U52" s="29">
        <v>0</v>
      </c>
      <c r="V52" s="29">
        <v>1</v>
      </c>
    </row>
    <row r="53" spans="1:22" ht="21" customHeight="1" x14ac:dyDescent="0.15">
      <c r="A53" s="2" t="str">
        <f ca="1">input_543100!A$2</f>
        <v>543100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2">
        <f ca="1">IFERROR(VLOOKUP(B53,input_543100!L:R,7,FALSE),VLOOKUP(tables_543100!C53,input_543100!A:H,8,FALSE))</f>
        <v>67472.461540000004</v>
      </c>
      <c r="P53" s="43">
        <f ca="1">O53/SUM(O:O)</f>
        <v>5.2223267445788155E-4</v>
      </c>
      <c r="Q53" s="29">
        <v>1</v>
      </c>
      <c r="R53" s="29">
        <v>0</v>
      </c>
      <c r="S53" s="29">
        <v>0</v>
      </c>
      <c r="T53" s="29">
        <v>0</v>
      </c>
      <c r="U53" s="29">
        <v>0</v>
      </c>
      <c r="V53" s="29">
        <v>1</v>
      </c>
    </row>
    <row r="54" spans="1:22" ht="21" customHeight="1" x14ac:dyDescent="0.15">
      <c r="A54" s="2" t="str">
        <f ca="1">input_543100!A$2</f>
        <v>543100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2">
        <f ca="1">IFERROR(VLOOKUP(B54,input_543100!L:R,7,FALSE),VLOOKUP(tables_543100!C54,input_543100!A:H,8,FALSE))</f>
        <v>0</v>
      </c>
      <c r="P54" s="43">
        <f ca="1">O54/SUM(O:O)</f>
        <v>0</v>
      </c>
      <c r="Q54" s="29">
        <v>1</v>
      </c>
      <c r="R54" s="29">
        <v>0</v>
      </c>
      <c r="S54" s="29">
        <v>0</v>
      </c>
      <c r="T54" s="29">
        <v>0</v>
      </c>
      <c r="U54" s="29">
        <v>0</v>
      </c>
      <c r="V54" s="29">
        <v>1</v>
      </c>
    </row>
    <row r="55" spans="1:22" ht="21" customHeight="1" x14ac:dyDescent="0.15">
      <c r="A55" s="2" t="str">
        <f ca="1">input_543100!A$2</f>
        <v>543100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2">
        <f ca="1">IFERROR(VLOOKUP(B55,input_543100!L:R,7,FALSE),VLOOKUP(tables_543100!C55,input_543100!A:H,8,FALSE))</f>
        <v>821967.53845999995</v>
      </c>
      <c r="P55" s="43">
        <f ca="1">O55/SUM(O:O)</f>
        <v>6.3619778518536523E-3</v>
      </c>
      <c r="Q55" s="29">
        <v>1</v>
      </c>
      <c r="R55" s="29">
        <v>0</v>
      </c>
      <c r="S55" s="29">
        <v>0</v>
      </c>
      <c r="T55" s="29">
        <v>0</v>
      </c>
      <c r="U55" s="29">
        <v>0</v>
      </c>
      <c r="V55" s="29">
        <v>1</v>
      </c>
    </row>
    <row r="56" spans="1:22" ht="21" customHeight="1" x14ac:dyDescent="0.15">
      <c r="A56" s="2" t="str">
        <f ca="1">input_543100!A$2</f>
        <v>543100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2">
        <f ca="1">IFERROR(VLOOKUP(B56,input_543100!L:R,7,FALSE),VLOOKUP(tables_543100!C56,input_543100!A:H,8,FALSE))</f>
        <v>67472.461540000004</v>
      </c>
      <c r="P56" s="43">
        <f ca="1">O56/SUM(O:O)</f>
        <v>5.2223267445788155E-4</v>
      </c>
      <c r="Q56" s="29">
        <v>1</v>
      </c>
      <c r="R56" s="29">
        <v>0</v>
      </c>
      <c r="S56" s="29">
        <v>0</v>
      </c>
      <c r="T56" s="29">
        <v>0</v>
      </c>
      <c r="U56" s="29">
        <v>0</v>
      </c>
      <c r="V56" s="29">
        <v>1</v>
      </c>
    </row>
    <row r="57" spans="1:22" ht="21" customHeight="1" x14ac:dyDescent="0.15">
      <c r="A57" s="2" t="str">
        <f ca="1">input_543100!A$2</f>
        <v>543100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2">
        <f ca="1">IFERROR(VLOOKUP(B57,input_543100!L:R,7,FALSE),VLOOKUP(tables_543100!C57,input_543100!A:H,8,FALSE))</f>
        <v>0</v>
      </c>
      <c r="P57" s="43">
        <f ca="1">O57/SUM(O:O)</f>
        <v>0</v>
      </c>
      <c r="Q57" s="29">
        <v>1</v>
      </c>
      <c r="R57" s="29">
        <v>0</v>
      </c>
      <c r="S57" s="29">
        <v>0</v>
      </c>
      <c r="T57" s="29">
        <v>0</v>
      </c>
      <c r="U57" s="29">
        <v>0</v>
      </c>
      <c r="V57" s="29">
        <v>1</v>
      </c>
    </row>
    <row r="58" spans="1:22" ht="21" customHeight="1" x14ac:dyDescent="0.15">
      <c r="A58" s="2" t="str">
        <f ca="1">input_543100!A$2</f>
        <v>543100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2">
        <f ca="1">IFERROR(VLOOKUP(B58,input_543100!L:R,7,FALSE),VLOOKUP(tables_543100!C58,input_543100!A:H,8,FALSE))</f>
        <v>821967.53845999995</v>
      </c>
      <c r="P58" s="43">
        <f ca="1">O58/SUM(O:O)</f>
        <v>6.3619778518536523E-3</v>
      </c>
      <c r="Q58" s="29">
        <v>1</v>
      </c>
      <c r="R58" s="29">
        <v>0</v>
      </c>
      <c r="S58" s="29">
        <v>0</v>
      </c>
      <c r="T58" s="29">
        <v>0</v>
      </c>
      <c r="U58" s="29">
        <v>0</v>
      </c>
      <c r="V58" s="29">
        <v>1</v>
      </c>
    </row>
    <row r="59" spans="1:22" ht="21" customHeight="1" x14ac:dyDescent="0.15">
      <c r="A59" s="2" t="str">
        <f ca="1">input_543100!A$2</f>
        <v>543100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2">
        <f ca="1">IFERROR(VLOOKUP(B59,input_543100!L:R,7,FALSE),VLOOKUP(tables_543100!C59,input_543100!A:H,8,FALSE))</f>
        <v>67472.461540000004</v>
      </c>
      <c r="P59" s="43">
        <f ca="1">O59/SUM(O:O)</f>
        <v>5.2223267445788155E-4</v>
      </c>
      <c r="Q59" s="29">
        <v>1</v>
      </c>
      <c r="R59" s="29">
        <v>0</v>
      </c>
      <c r="S59" s="29">
        <v>0</v>
      </c>
      <c r="T59" s="29">
        <v>0</v>
      </c>
      <c r="U59" s="29">
        <v>0</v>
      </c>
      <c r="V59" s="29">
        <v>1</v>
      </c>
    </row>
    <row r="60" spans="1:22" ht="21" customHeight="1" x14ac:dyDescent="0.15">
      <c r="A60" s="2" t="str">
        <f ca="1">input_543100!A$2</f>
        <v>543100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2">
        <f ca="1">IFERROR(VLOOKUP(B60,input_543100!L:R,7,FALSE),VLOOKUP(tables_543100!C60,input_543100!A:H,8,FALSE))</f>
        <v>0</v>
      </c>
      <c r="P60" s="43">
        <f ca="1">O60/SUM(O:O)</f>
        <v>0</v>
      </c>
      <c r="Q60" s="29">
        <v>1</v>
      </c>
      <c r="R60" s="29">
        <v>0</v>
      </c>
      <c r="S60" s="29">
        <v>0</v>
      </c>
      <c r="T60" s="29">
        <v>0</v>
      </c>
      <c r="U60" s="29">
        <v>0</v>
      </c>
      <c r="V60" s="29">
        <v>1</v>
      </c>
    </row>
    <row r="61" spans="1:22" ht="21" customHeight="1" x14ac:dyDescent="0.15">
      <c r="A61" s="2" t="str">
        <f ca="1">input_543100!A$2</f>
        <v>543100</v>
      </c>
      <c r="B61" s="8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2">
        <f ca="1">IFERROR(VLOOKUP(B61,input_543100!L:R,7,FALSE),VLOOKUP(tables_543100!C61,input_543100!A:H,8,FALSE))</f>
        <v>821967.53845999995</v>
      </c>
      <c r="P61" s="43">
        <f ca="1">O61/SUM(O:O)</f>
        <v>6.3619778518536523E-3</v>
      </c>
      <c r="Q61" s="29">
        <v>1</v>
      </c>
      <c r="R61" s="29">
        <v>0</v>
      </c>
      <c r="S61" s="29">
        <v>0</v>
      </c>
      <c r="T61" s="29">
        <v>0</v>
      </c>
      <c r="U61" s="29">
        <v>0</v>
      </c>
      <c r="V61" s="29">
        <v>1</v>
      </c>
    </row>
    <row r="62" spans="1:22" ht="21" customHeight="1" x14ac:dyDescent="0.15">
      <c r="A62" s="2" t="str">
        <f ca="1">input_543100!A$2</f>
        <v>543100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2">
        <f ca="1">IFERROR(VLOOKUP(B62,input_543100!L:R,7,FALSE),VLOOKUP(tables_543100!C62,input_543100!A:H,8,FALSE))</f>
        <v>67472.461540000004</v>
      </c>
      <c r="P62" s="43">
        <f ca="1">O62/SUM(O:O)</f>
        <v>5.2223267445788155E-4</v>
      </c>
      <c r="Q62" s="29">
        <v>1</v>
      </c>
      <c r="R62" s="29">
        <v>0</v>
      </c>
      <c r="S62" s="29">
        <v>0</v>
      </c>
      <c r="T62" s="29">
        <v>0</v>
      </c>
      <c r="U62" s="29">
        <v>0</v>
      </c>
      <c r="V62" s="29">
        <v>1</v>
      </c>
    </row>
    <row r="63" spans="1:22" ht="21" customHeight="1" x14ac:dyDescent="0.15">
      <c r="A63" s="2" t="str">
        <f ca="1">input_543100!A$2</f>
        <v>543100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2">
        <f ca="1">IFERROR(VLOOKUP(B63,input_543100!L:R,7,FALSE),VLOOKUP(tables_543100!C63,input_543100!A:H,8,FALSE))</f>
        <v>0</v>
      </c>
      <c r="P63" s="43">
        <f ca="1">O63/SUM(O:O)</f>
        <v>0</v>
      </c>
      <c r="Q63" s="29">
        <v>1</v>
      </c>
      <c r="R63" s="29">
        <v>0</v>
      </c>
      <c r="S63" s="29">
        <v>0</v>
      </c>
      <c r="T63" s="29">
        <v>0</v>
      </c>
      <c r="U63" s="29">
        <v>0</v>
      </c>
      <c r="V63" s="29">
        <v>1</v>
      </c>
    </row>
    <row r="64" spans="1:22" ht="21" customHeight="1" x14ac:dyDescent="0.15">
      <c r="A64" s="2" t="str">
        <f ca="1">input_543100!A$2</f>
        <v>543100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2">
        <f ca="1">IFERROR(VLOOKUP(B64,input_543100!L:R,7,FALSE),VLOOKUP(tables_543100!C64,input_543100!A:H,8,FALSE))</f>
        <v>821967.53845999995</v>
      </c>
      <c r="P64" s="43">
        <f ca="1">O64/SUM(O:O)</f>
        <v>6.3619778518536523E-3</v>
      </c>
      <c r="Q64" s="29">
        <v>1</v>
      </c>
      <c r="R64" s="29">
        <v>0</v>
      </c>
      <c r="S64" s="29">
        <v>0</v>
      </c>
      <c r="T64" s="29">
        <v>0</v>
      </c>
      <c r="U64" s="29">
        <v>0</v>
      </c>
      <c r="V64" s="29">
        <v>1</v>
      </c>
    </row>
    <row r="65" spans="1:22" ht="21" customHeight="1" x14ac:dyDescent="0.15">
      <c r="A65" s="2" t="str">
        <f ca="1">input_543100!A$2</f>
        <v>543100</v>
      </c>
      <c r="B65" s="6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2">
        <f ca="1">IFERROR(VLOOKUP(B65,input_543100!L:R,7,FALSE),VLOOKUP(tables_543100!C65,input_543100!A:H,8,FALSE))</f>
        <v>67472.461540000004</v>
      </c>
      <c r="P65" s="43">
        <f ca="1">O65/SUM(O:O)</f>
        <v>5.2223267445788155E-4</v>
      </c>
      <c r="Q65" s="29">
        <v>1</v>
      </c>
      <c r="R65" s="29">
        <v>0</v>
      </c>
      <c r="S65" s="29">
        <v>0</v>
      </c>
      <c r="T65" s="29">
        <v>0</v>
      </c>
      <c r="U65" s="29">
        <v>0</v>
      </c>
      <c r="V65" s="29">
        <v>1</v>
      </c>
    </row>
    <row r="66" spans="1:22" s="9" customFormat="1" ht="21" customHeight="1" thickBot="1" x14ac:dyDescent="0.2">
      <c r="A66" s="2" t="str">
        <f ca="1">input_543100!A$2</f>
        <v>543100</v>
      </c>
      <c r="B66" s="6">
        <v>190</v>
      </c>
      <c r="C66" s="7" t="str">
        <f t="shared" ref="C66:C129" si="2">D66&amp;J66&amp;E66&amp;F66&amp;G66</f>
        <v>Premium3</v>
      </c>
      <c r="D66" s="7" t="str">
        <f t="shared" si="1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2">
        <f ca="1">IFERROR(VLOOKUP(B66,input_543100!L:R,7,FALSE),VLOOKUP(tables_543100!C66,input_543100!A:H,8,FALSE))</f>
        <v>0</v>
      </c>
      <c r="P66" s="43">
        <f ca="1">O66/SUM(O:O)</f>
        <v>0</v>
      </c>
      <c r="Q66" s="29">
        <v>1</v>
      </c>
      <c r="R66" s="29">
        <v>0</v>
      </c>
      <c r="S66" s="29">
        <v>0</v>
      </c>
      <c r="T66" s="29">
        <v>0</v>
      </c>
      <c r="U66" s="29">
        <v>0</v>
      </c>
      <c r="V66" s="29">
        <v>1</v>
      </c>
    </row>
    <row r="67" spans="1:22" ht="21" customHeight="1" x14ac:dyDescent="0.15">
      <c r="A67" s="2" t="str">
        <f ca="1">input_543100!A$2</f>
        <v>543100</v>
      </c>
      <c r="B67" s="6">
        <v>191</v>
      </c>
      <c r="C67" s="7" t="str">
        <f t="shared" si="2"/>
        <v>Premium4</v>
      </c>
      <c r="D67" s="7" t="str">
        <f t="shared" ref="D67:D130" si="3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2">
        <f ca="1">IFERROR(VLOOKUP(B67,input_543100!L:R,7,FALSE),VLOOKUP(tables_543100!C67,input_543100!A:H,8,FALSE))</f>
        <v>821967.53845999995</v>
      </c>
      <c r="P67" s="43">
        <f ca="1">O67/SUM(O:O)</f>
        <v>6.3619778518536523E-3</v>
      </c>
      <c r="Q67" s="29">
        <v>1</v>
      </c>
      <c r="R67" s="29">
        <v>0</v>
      </c>
      <c r="S67" s="29">
        <v>0</v>
      </c>
      <c r="T67" s="29">
        <v>0</v>
      </c>
      <c r="U67" s="29">
        <v>0</v>
      </c>
      <c r="V67" s="29">
        <v>1</v>
      </c>
    </row>
    <row r="68" spans="1:22" ht="21" customHeight="1" x14ac:dyDescent="0.15">
      <c r="A68" s="2" t="str">
        <f ca="1">input_543100!A$2</f>
        <v>543100</v>
      </c>
      <c r="B68" s="6">
        <v>192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2">
        <f ca="1">IFERROR(VLOOKUP(B68,input_543100!L:R,7,FALSE),VLOOKUP(tables_543100!C68,input_543100!A:H,8,FALSE))</f>
        <v>67472.461540000004</v>
      </c>
      <c r="P68" s="43">
        <f ca="1">O68/SUM(O:O)</f>
        <v>5.2223267445788155E-4</v>
      </c>
      <c r="Q68" s="29">
        <v>1</v>
      </c>
      <c r="R68" s="29">
        <v>0</v>
      </c>
      <c r="S68" s="29">
        <v>0</v>
      </c>
      <c r="T68" s="29">
        <v>0</v>
      </c>
      <c r="U68" s="29">
        <v>0</v>
      </c>
      <c r="V68" s="29">
        <v>1</v>
      </c>
    </row>
    <row r="69" spans="1:22" ht="21" customHeight="1" x14ac:dyDescent="0.15">
      <c r="A69" s="2" t="str">
        <f ca="1">input_543100!A$2</f>
        <v>543100</v>
      </c>
      <c r="B69" s="10">
        <v>193</v>
      </c>
      <c r="C69" s="7" t="str">
        <f t="shared" si="2"/>
        <v>Premium3</v>
      </c>
      <c r="D69" s="7" t="str">
        <f t="shared" si="3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2">
        <f ca="1">IFERROR(VLOOKUP(B69,input_543100!L:R,7,FALSE),VLOOKUP(tables_543100!C69,input_543100!A:H,8,FALSE))</f>
        <v>0</v>
      </c>
      <c r="P69" s="43">
        <f ca="1">O69/SUM(O:O)</f>
        <v>0</v>
      </c>
      <c r="Q69" s="29">
        <v>1</v>
      </c>
      <c r="R69" s="29">
        <v>0</v>
      </c>
      <c r="S69" s="29">
        <v>0</v>
      </c>
      <c r="T69" s="29">
        <v>0</v>
      </c>
      <c r="U69" s="29">
        <v>0</v>
      </c>
      <c r="V69" s="29">
        <v>1</v>
      </c>
    </row>
    <row r="70" spans="1:22" ht="21" customHeight="1" x14ac:dyDescent="0.15">
      <c r="A70" s="2" t="str">
        <f ca="1">input_543100!A$2</f>
        <v>543100</v>
      </c>
      <c r="B70" s="6">
        <v>194</v>
      </c>
      <c r="C70" s="7" t="str">
        <f t="shared" si="2"/>
        <v>Premium4</v>
      </c>
      <c r="D70" s="7" t="str">
        <f t="shared" si="3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2">
        <f ca="1">IFERROR(VLOOKUP(B70,input_543100!L:R,7,FALSE),VLOOKUP(tables_543100!C70,input_543100!A:H,8,FALSE))</f>
        <v>821967.53845999995</v>
      </c>
      <c r="P70" s="43">
        <f ca="1">O70/SUM(O:O)</f>
        <v>6.3619778518536523E-3</v>
      </c>
      <c r="Q70" s="29">
        <v>1</v>
      </c>
      <c r="R70" s="29">
        <v>0</v>
      </c>
      <c r="S70" s="29">
        <v>0</v>
      </c>
      <c r="T70" s="29">
        <v>0</v>
      </c>
      <c r="U70" s="29">
        <v>0</v>
      </c>
      <c r="V70" s="29">
        <v>1</v>
      </c>
    </row>
    <row r="71" spans="1:22" ht="21" customHeight="1" x14ac:dyDescent="0.15">
      <c r="A71" s="2" t="str">
        <f ca="1">input_543100!A$2</f>
        <v>543100</v>
      </c>
      <c r="B71" s="10">
        <v>195</v>
      </c>
      <c r="C71" s="7" t="str">
        <f t="shared" si="2"/>
        <v>Premium5</v>
      </c>
      <c r="D71" s="7" t="str">
        <f t="shared" si="3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2">
        <f ca="1">IFERROR(VLOOKUP(B71,input_543100!L:R,7,FALSE),VLOOKUP(tables_543100!C71,input_543100!A:H,8,FALSE))</f>
        <v>67472.461540000004</v>
      </c>
      <c r="P71" s="43">
        <f ca="1">O71/SUM(O:O)</f>
        <v>5.2223267445788155E-4</v>
      </c>
      <c r="Q71" s="29">
        <v>1</v>
      </c>
      <c r="R71" s="29">
        <v>0</v>
      </c>
      <c r="S71" s="29">
        <v>0</v>
      </c>
      <c r="T71" s="29">
        <v>0</v>
      </c>
      <c r="U71" s="29">
        <v>0</v>
      </c>
      <c r="V71" s="29">
        <v>1</v>
      </c>
    </row>
    <row r="72" spans="1:22" ht="21" customHeight="1" x14ac:dyDescent="0.15">
      <c r="A72" s="2" t="str">
        <f ca="1">input_543100!A$2</f>
        <v>543100</v>
      </c>
      <c r="B72" s="11">
        <v>196</v>
      </c>
      <c r="C72" s="7" t="str">
        <f t="shared" si="2"/>
        <v>Premium3</v>
      </c>
      <c r="D72" s="7" t="str">
        <f t="shared" si="3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2">
        <f ca="1">IFERROR(VLOOKUP(B72,input_543100!L:R,7,FALSE),VLOOKUP(tables_543100!C72,input_543100!A:H,8,FALSE))</f>
        <v>0</v>
      </c>
      <c r="P72" s="43">
        <f ca="1">O72/SUM(O:O)</f>
        <v>0</v>
      </c>
      <c r="Q72" s="29">
        <v>1</v>
      </c>
      <c r="R72" s="29">
        <v>0</v>
      </c>
      <c r="S72" s="29">
        <v>0</v>
      </c>
      <c r="T72" s="29">
        <v>0</v>
      </c>
      <c r="U72" s="29">
        <v>0</v>
      </c>
      <c r="V72" s="29">
        <v>1</v>
      </c>
    </row>
    <row r="73" spans="1:22" ht="21" customHeight="1" x14ac:dyDescent="0.15">
      <c r="A73" s="2" t="str">
        <f ca="1">input_543100!A$2</f>
        <v>543100</v>
      </c>
      <c r="B73" s="6">
        <v>197</v>
      </c>
      <c r="C73" s="7" t="str">
        <f t="shared" si="2"/>
        <v>Premium4</v>
      </c>
      <c r="D73" s="7" t="str">
        <f t="shared" si="3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2">
        <f ca="1">IFERROR(VLOOKUP(B73,input_543100!L:R,7,FALSE),VLOOKUP(tables_543100!C73,input_543100!A:H,8,FALSE))</f>
        <v>821967.53845999995</v>
      </c>
      <c r="P73" s="43">
        <f ca="1">O73/SUM(O:O)</f>
        <v>6.3619778518536523E-3</v>
      </c>
      <c r="Q73" s="29">
        <v>1</v>
      </c>
      <c r="R73" s="29">
        <v>0</v>
      </c>
      <c r="S73" s="29">
        <v>0</v>
      </c>
      <c r="T73" s="29">
        <v>0</v>
      </c>
      <c r="U73" s="29">
        <v>0</v>
      </c>
      <c r="V73" s="29">
        <v>1</v>
      </c>
    </row>
    <row r="74" spans="1:22" ht="21" customHeight="1" x14ac:dyDescent="0.15">
      <c r="A74" s="2" t="str">
        <f ca="1">input_543100!A$2</f>
        <v>543100</v>
      </c>
      <c r="B74" s="6">
        <v>198</v>
      </c>
      <c r="C74" s="7" t="str">
        <f t="shared" si="2"/>
        <v>Premium5</v>
      </c>
      <c r="D74" s="7" t="str">
        <f t="shared" si="3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2">
        <f ca="1">IFERROR(VLOOKUP(B74,input_543100!L:R,7,FALSE),VLOOKUP(tables_543100!C74,input_543100!A:H,8,FALSE))</f>
        <v>67472.461540000004</v>
      </c>
      <c r="P74" s="43">
        <f ca="1">O74/SUM(O:O)</f>
        <v>5.2223267445788155E-4</v>
      </c>
      <c r="Q74" s="29">
        <v>1</v>
      </c>
      <c r="R74" s="29">
        <v>0</v>
      </c>
      <c r="S74" s="29">
        <v>0</v>
      </c>
      <c r="T74" s="29">
        <v>0</v>
      </c>
      <c r="U74" s="29">
        <v>0</v>
      </c>
      <c r="V74" s="29">
        <v>1</v>
      </c>
    </row>
    <row r="75" spans="1:22" ht="21" customHeight="1" x14ac:dyDescent="0.15">
      <c r="A75" s="2" t="str">
        <f ca="1">input_543100!A$2</f>
        <v>543100</v>
      </c>
      <c r="B75" s="6">
        <v>199</v>
      </c>
      <c r="C75" s="7" t="str">
        <f t="shared" si="2"/>
        <v>Premium3</v>
      </c>
      <c r="D75" s="7" t="str">
        <f t="shared" si="3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2">
        <f ca="1">IFERROR(VLOOKUP(B75,input_543100!L:R,7,FALSE),VLOOKUP(tables_543100!C75,input_543100!A:H,8,FALSE))</f>
        <v>0</v>
      </c>
      <c r="P75" s="43">
        <f ca="1">O75/SUM(O:O)</f>
        <v>0</v>
      </c>
      <c r="Q75" s="29">
        <v>1</v>
      </c>
      <c r="R75" s="29">
        <v>0</v>
      </c>
      <c r="S75" s="29">
        <v>0</v>
      </c>
      <c r="T75" s="29">
        <v>0</v>
      </c>
      <c r="U75" s="29">
        <v>0</v>
      </c>
      <c r="V75" s="29">
        <v>1</v>
      </c>
    </row>
    <row r="76" spans="1:22" ht="21" customHeight="1" x14ac:dyDescent="0.15">
      <c r="A76" s="2" t="str">
        <f ca="1">input_543100!A$2</f>
        <v>543100</v>
      </c>
      <c r="B76" s="5">
        <v>200</v>
      </c>
      <c r="C76" s="7" t="str">
        <f t="shared" si="2"/>
        <v>Premium4</v>
      </c>
      <c r="D76" s="7" t="str">
        <f t="shared" si="3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2">
        <f ca="1">IFERROR(VLOOKUP(B76,input_543100!L:R,7,FALSE),VLOOKUP(tables_543100!C76,input_543100!A:H,8,FALSE))</f>
        <v>821967.53845999995</v>
      </c>
      <c r="P76" s="43">
        <f ca="1">O76/SUM(O:O)</f>
        <v>6.3619778518536523E-3</v>
      </c>
      <c r="Q76" s="29">
        <v>1</v>
      </c>
      <c r="R76" s="29">
        <v>0</v>
      </c>
      <c r="S76" s="29">
        <v>0</v>
      </c>
      <c r="T76" s="29">
        <v>0</v>
      </c>
      <c r="U76" s="29">
        <v>0</v>
      </c>
      <c r="V76" s="29">
        <v>1</v>
      </c>
    </row>
    <row r="77" spans="1:22" ht="21" customHeight="1" x14ac:dyDescent="0.15">
      <c r="A77" s="2" t="str">
        <f ca="1">input_543100!A$2</f>
        <v>543100</v>
      </c>
      <c r="B77" s="5">
        <v>201</v>
      </c>
      <c r="C77" s="7" t="str">
        <f t="shared" si="2"/>
        <v>Premium5</v>
      </c>
      <c r="D77" s="7" t="str">
        <f t="shared" si="3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2">
        <f ca="1">IFERROR(VLOOKUP(B77,input_543100!L:R,7,FALSE),VLOOKUP(tables_543100!C77,input_543100!A:H,8,FALSE))</f>
        <v>67472.461540000004</v>
      </c>
      <c r="P77" s="43">
        <f ca="1">O77/SUM(O:O)</f>
        <v>5.2223267445788155E-4</v>
      </c>
      <c r="Q77" s="29">
        <v>1</v>
      </c>
      <c r="R77" s="29">
        <v>0</v>
      </c>
      <c r="S77" s="29">
        <v>0</v>
      </c>
      <c r="T77" s="29">
        <v>0</v>
      </c>
      <c r="U77" s="29">
        <v>0</v>
      </c>
      <c r="V77" s="29">
        <v>1</v>
      </c>
    </row>
    <row r="78" spans="1:22" ht="21" customHeight="1" x14ac:dyDescent="0.15">
      <c r="A78" s="2" t="str">
        <f ca="1">input_543100!A$2</f>
        <v>543100</v>
      </c>
      <c r="B78" s="5">
        <v>202</v>
      </c>
      <c r="C78" s="7" t="str">
        <f t="shared" si="2"/>
        <v>Premium3</v>
      </c>
      <c r="D78" s="7" t="str">
        <f t="shared" si="3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2">
        <f ca="1">IFERROR(VLOOKUP(B78,input_543100!L:R,7,FALSE),VLOOKUP(tables_543100!C78,input_543100!A:H,8,FALSE))</f>
        <v>0</v>
      </c>
      <c r="P78" s="43">
        <f ca="1">O78/SUM(O:O)</f>
        <v>0</v>
      </c>
      <c r="Q78" s="29">
        <v>1</v>
      </c>
      <c r="R78" s="29">
        <v>0</v>
      </c>
      <c r="S78" s="29">
        <v>0</v>
      </c>
      <c r="T78" s="29">
        <v>0</v>
      </c>
      <c r="U78" s="29">
        <v>0</v>
      </c>
      <c r="V78" s="29">
        <v>1</v>
      </c>
    </row>
    <row r="79" spans="1:22" ht="21" customHeight="1" x14ac:dyDescent="0.15">
      <c r="A79" s="2" t="str">
        <f ca="1">input_543100!A$2</f>
        <v>543100</v>
      </c>
      <c r="B79" s="5">
        <v>203</v>
      </c>
      <c r="C79" s="7" t="str">
        <f t="shared" si="2"/>
        <v>Premium4</v>
      </c>
      <c r="D79" s="7" t="str">
        <f t="shared" si="3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2">
        <f ca="1">IFERROR(VLOOKUP(B79,input_543100!L:R,7,FALSE),VLOOKUP(tables_543100!C79,input_543100!A:H,8,FALSE))</f>
        <v>821967.53845999995</v>
      </c>
      <c r="P79" s="43">
        <f ca="1">O79/SUM(O:O)</f>
        <v>6.3619778518536523E-3</v>
      </c>
      <c r="Q79" s="29">
        <v>1</v>
      </c>
      <c r="R79" s="29">
        <v>0</v>
      </c>
      <c r="S79" s="29">
        <v>0</v>
      </c>
      <c r="T79" s="29">
        <v>0</v>
      </c>
      <c r="U79" s="29">
        <v>0</v>
      </c>
      <c r="V79" s="29">
        <v>1</v>
      </c>
    </row>
    <row r="80" spans="1:22" ht="21" customHeight="1" x14ac:dyDescent="0.15">
      <c r="A80" s="2" t="str">
        <f ca="1">input_543100!A$2</f>
        <v>543100</v>
      </c>
      <c r="B80" s="5">
        <v>204</v>
      </c>
      <c r="C80" s="7" t="str">
        <f t="shared" si="2"/>
        <v>Premium5</v>
      </c>
      <c r="D80" s="7" t="str">
        <f t="shared" si="3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2">
        <f ca="1">IFERROR(VLOOKUP(B80,input_543100!L:R,7,FALSE),VLOOKUP(tables_543100!C80,input_543100!A:H,8,FALSE))</f>
        <v>67472.461540000004</v>
      </c>
      <c r="P80" s="43">
        <f ca="1">O80/SUM(O:O)</f>
        <v>5.2223267445788155E-4</v>
      </c>
      <c r="Q80" s="29">
        <v>1</v>
      </c>
      <c r="R80" s="29">
        <v>0</v>
      </c>
      <c r="S80" s="29">
        <v>0</v>
      </c>
      <c r="T80" s="29">
        <v>0</v>
      </c>
      <c r="U80" s="29">
        <v>0</v>
      </c>
      <c r="V80" s="29">
        <v>1</v>
      </c>
    </row>
    <row r="81" spans="1:22" ht="21" customHeight="1" x14ac:dyDescent="0.15">
      <c r="A81" s="2" t="str">
        <f ca="1">input_543100!A$2</f>
        <v>543100</v>
      </c>
      <c r="B81" s="5">
        <v>205</v>
      </c>
      <c r="C81" s="7" t="str">
        <f t="shared" si="2"/>
        <v>Premium3</v>
      </c>
      <c r="D81" s="7" t="str">
        <f t="shared" si="3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2">
        <f ca="1">IFERROR(VLOOKUP(B81,input_543100!L:R,7,FALSE),VLOOKUP(tables_543100!C81,input_543100!A:H,8,FALSE))</f>
        <v>0</v>
      </c>
      <c r="P81" s="43">
        <f ca="1">O81/SUM(O:O)</f>
        <v>0</v>
      </c>
      <c r="Q81" s="29">
        <v>1</v>
      </c>
      <c r="R81" s="29">
        <v>0</v>
      </c>
      <c r="S81" s="29">
        <v>0</v>
      </c>
      <c r="T81" s="29">
        <v>0</v>
      </c>
      <c r="U81" s="29">
        <v>0</v>
      </c>
      <c r="V81" s="29">
        <v>1</v>
      </c>
    </row>
    <row r="82" spans="1:22" ht="21" customHeight="1" x14ac:dyDescent="0.15">
      <c r="A82" s="2" t="str">
        <f ca="1">input_543100!A$2</f>
        <v>543100</v>
      </c>
      <c r="B82" s="5">
        <v>206</v>
      </c>
      <c r="C82" s="7" t="str">
        <f t="shared" si="2"/>
        <v>Premium4</v>
      </c>
      <c r="D82" s="7" t="str">
        <f t="shared" si="3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2">
        <f ca="1">IFERROR(VLOOKUP(B82,input_543100!L:R,7,FALSE),VLOOKUP(tables_543100!C82,input_543100!A:H,8,FALSE))</f>
        <v>821967.53845999995</v>
      </c>
      <c r="P82" s="43">
        <f ca="1">O82/SUM(O:O)</f>
        <v>6.3619778518536523E-3</v>
      </c>
      <c r="Q82" s="29">
        <v>1</v>
      </c>
      <c r="R82" s="29">
        <v>0</v>
      </c>
      <c r="S82" s="29">
        <v>0</v>
      </c>
      <c r="T82" s="29">
        <v>0</v>
      </c>
      <c r="U82" s="29">
        <v>0</v>
      </c>
      <c r="V82" s="29">
        <v>1</v>
      </c>
    </row>
    <row r="83" spans="1:22" ht="21" customHeight="1" x14ac:dyDescent="0.15">
      <c r="A83" s="2" t="str">
        <f ca="1">input_543100!A$2</f>
        <v>543100</v>
      </c>
      <c r="B83" s="5">
        <v>207</v>
      </c>
      <c r="C83" s="7" t="str">
        <f t="shared" si="2"/>
        <v>Premium5</v>
      </c>
      <c r="D83" s="7" t="str">
        <f t="shared" si="3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2">
        <f ca="1">IFERROR(VLOOKUP(B83,input_543100!L:R,7,FALSE),VLOOKUP(tables_543100!C83,input_543100!A:H,8,FALSE))</f>
        <v>67472.461540000004</v>
      </c>
      <c r="P83" s="43">
        <f ca="1">O83/SUM(O:O)</f>
        <v>5.2223267445788155E-4</v>
      </c>
      <c r="Q83" s="29">
        <v>1</v>
      </c>
      <c r="R83" s="29">
        <v>0</v>
      </c>
      <c r="S83" s="29">
        <v>0</v>
      </c>
      <c r="T83" s="29">
        <v>0</v>
      </c>
      <c r="U83" s="29">
        <v>0</v>
      </c>
      <c r="V83" s="29">
        <v>1</v>
      </c>
    </row>
    <row r="84" spans="1:22" ht="21" customHeight="1" x14ac:dyDescent="0.15">
      <c r="A84" s="2" t="str">
        <f ca="1">input_543100!A$2</f>
        <v>543100</v>
      </c>
      <c r="B84" s="5">
        <v>208</v>
      </c>
      <c r="C84" s="7" t="str">
        <f t="shared" si="2"/>
        <v>Premium3</v>
      </c>
      <c r="D84" s="7" t="str">
        <f t="shared" si="3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2">
        <f ca="1">IFERROR(VLOOKUP(B84,input_543100!L:R,7,FALSE),VLOOKUP(tables_543100!C84,input_543100!A:H,8,FALSE))</f>
        <v>0</v>
      </c>
      <c r="P84" s="43">
        <f ca="1">O84/SUM(O:O)</f>
        <v>0</v>
      </c>
      <c r="Q84" s="29">
        <v>1</v>
      </c>
      <c r="R84" s="29">
        <v>0</v>
      </c>
      <c r="S84" s="29">
        <v>0</v>
      </c>
      <c r="T84" s="29">
        <v>0</v>
      </c>
      <c r="U84" s="29">
        <v>0</v>
      </c>
      <c r="V84" s="29">
        <v>1</v>
      </c>
    </row>
    <row r="85" spans="1:22" ht="21" customHeight="1" x14ac:dyDescent="0.15">
      <c r="A85" s="2" t="str">
        <f ca="1">input_543100!A$2</f>
        <v>543100</v>
      </c>
      <c r="B85" s="5">
        <v>209</v>
      </c>
      <c r="C85" s="7" t="str">
        <f t="shared" si="2"/>
        <v>Premium4</v>
      </c>
      <c r="D85" s="7" t="str">
        <f t="shared" si="3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2">
        <f ca="1">IFERROR(VLOOKUP(B85,input_543100!L:R,7,FALSE),VLOOKUP(tables_543100!C85,input_543100!A:H,8,FALSE))</f>
        <v>821967.53845999995</v>
      </c>
      <c r="P85" s="43">
        <f ca="1">O85/SUM(O:O)</f>
        <v>6.3619778518536523E-3</v>
      </c>
      <c r="Q85" s="29">
        <v>1</v>
      </c>
      <c r="R85" s="29">
        <v>0</v>
      </c>
      <c r="S85" s="29">
        <v>0</v>
      </c>
      <c r="T85" s="29">
        <v>0</v>
      </c>
      <c r="U85" s="29">
        <v>0</v>
      </c>
      <c r="V85" s="29">
        <v>1</v>
      </c>
    </row>
    <row r="86" spans="1:22" ht="21" customHeight="1" x14ac:dyDescent="0.15">
      <c r="A86" s="2" t="str">
        <f ca="1">input_543100!A$2</f>
        <v>543100</v>
      </c>
      <c r="B86" s="5">
        <v>210</v>
      </c>
      <c r="C86" s="7" t="str">
        <f t="shared" si="2"/>
        <v>Premium5</v>
      </c>
      <c r="D86" s="7" t="str">
        <f t="shared" si="3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2">
        <f ca="1">IFERROR(VLOOKUP(B86,input_543100!L:R,7,FALSE),VLOOKUP(tables_543100!C86,input_543100!A:H,8,FALSE))</f>
        <v>67472.461540000004</v>
      </c>
      <c r="P86" s="43">
        <f ca="1">O86/SUM(O:O)</f>
        <v>5.2223267445788155E-4</v>
      </c>
      <c r="Q86" s="29">
        <v>1</v>
      </c>
      <c r="R86" s="29">
        <v>0</v>
      </c>
      <c r="S86" s="29">
        <v>0</v>
      </c>
      <c r="T86" s="29">
        <v>0</v>
      </c>
      <c r="U86" s="29">
        <v>0</v>
      </c>
      <c r="V86" s="29">
        <v>1</v>
      </c>
    </row>
    <row r="87" spans="1:22" ht="21" customHeight="1" x14ac:dyDescent="0.15">
      <c r="A87" s="2" t="str">
        <f ca="1">input_543100!A$2</f>
        <v>543100</v>
      </c>
      <c r="B87" s="5">
        <v>211</v>
      </c>
      <c r="C87" s="7" t="str">
        <f t="shared" si="2"/>
        <v>Premium3</v>
      </c>
      <c r="D87" s="7" t="str">
        <f t="shared" si="3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2">
        <f ca="1">IFERROR(VLOOKUP(B87,input_543100!L:R,7,FALSE),VLOOKUP(tables_543100!C87,input_543100!A:H,8,FALSE))</f>
        <v>0</v>
      </c>
      <c r="P87" s="43">
        <f ca="1">O87/SUM(O:O)</f>
        <v>0</v>
      </c>
      <c r="Q87" s="29">
        <v>1</v>
      </c>
      <c r="R87" s="29">
        <v>0</v>
      </c>
      <c r="S87" s="29">
        <v>0</v>
      </c>
      <c r="T87" s="29">
        <v>0</v>
      </c>
      <c r="U87" s="29">
        <v>0</v>
      </c>
      <c r="V87" s="29">
        <v>1</v>
      </c>
    </row>
    <row r="88" spans="1:22" ht="21" customHeight="1" x14ac:dyDescent="0.15">
      <c r="A88" s="2" t="str">
        <f ca="1">input_543100!A$2</f>
        <v>543100</v>
      </c>
      <c r="B88" s="5">
        <v>212</v>
      </c>
      <c r="C88" s="7" t="str">
        <f t="shared" si="2"/>
        <v>Premium4</v>
      </c>
      <c r="D88" s="7" t="str">
        <f t="shared" si="3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2">
        <f ca="1">IFERROR(VLOOKUP(B88,input_543100!L:R,7,FALSE),VLOOKUP(tables_543100!C88,input_543100!A:H,8,FALSE))</f>
        <v>821967.53845999995</v>
      </c>
      <c r="P88" s="43">
        <f ca="1">O88/SUM(O:O)</f>
        <v>6.3619778518536523E-3</v>
      </c>
      <c r="Q88" s="29">
        <v>1</v>
      </c>
      <c r="R88" s="29">
        <v>0</v>
      </c>
      <c r="S88" s="29">
        <v>0</v>
      </c>
      <c r="T88" s="29">
        <v>0</v>
      </c>
      <c r="U88" s="29">
        <v>0</v>
      </c>
      <c r="V88" s="29">
        <v>1</v>
      </c>
    </row>
    <row r="89" spans="1:22" ht="21" customHeight="1" x14ac:dyDescent="0.15">
      <c r="A89" s="2" t="str">
        <f ca="1">input_543100!A$2</f>
        <v>543100</v>
      </c>
      <c r="B89" s="5">
        <v>213</v>
      </c>
      <c r="C89" s="7" t="str">
        <f t="shared" si="2"/>
        <v>Premium5</v>
      </c>
      <c r="D89" s="7" t="str">
        <f t="shared" si="3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2">
        <f ca="1">IFERROR(VLOOKUP(B89,input_543100!L:R,7,FALSE),VLOOKUP(tables_543100!C89,input_543100!A:H,8,FALSE))</f>
        <v>67472.461540000004</v>
      </c>
      <c r="P89" s="43">
        <f ca="1">O89/SUM(O:O)</f>
        <v>5.2223267445788155E-4</v>
      </c>
      <c r="Q89" s="29">
        <v>1</v>
      </c>
      <c r="R89" s="29">
        <v>0</v>
      </c>
      <c r="S89" s="29">
        <v>0</v>
      </c>
      <c r="T89" s="29">
        <v>0</v>
      </c>
      <c r="U89" s="29">
        <v>0</v>
      </c>
      <c r="V89" s="29">
        <v>1</v>
      </c>
    </row>
    <row r="90" spans="1:22" ht="21" customHeight="1" x14ac:dyDescent="0.15">
      <c r="A90" s="2" t="str">
        <f ca="1">input_543100!A$2</f>
        <v>543100</v>
      </c>
      <c r="B90" s="5">
        <v>214</v>
      </c>
      <c r="C90" s="7" t="str">
        <f t="shared" si="2"/>
        <v>Premium3</v>
      </c>
      <c r="D90" s="7" t="str">
        <f t="shared" si="3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2">
        <f ca="1">IFERROR(VLOOKUP(B90,input_543100!L:R,7,FALSE),VLOOKUP(tables_543100!C90,input_543100!A:H,8,FALSE))</f>
        <v>0</v>
      </c>
      <c r="P90" s="43">
        <f ca="1">O90/SUM(O:O)</f>
        <v>0</v>
      </c>
      <c r="Q90" s="29">
        <v>1</v>
      </c>
      <c r="R90" s="29">
        <v>0</v>
      </c>
      <c r="S90" s="29">
        <v>0</v>
      </c>
      <c r="T90" s="29">
        <v>0</v>
      </c>
      <c r="U90" s="29">
        <v>0</v>
      </c>
      <c r="V90" s="29">
        <v>1</v>
      </c>
    </row>
    <row r="91" spans="1:22" ht="21" customHeight="1" x14ac:dyDescent="0.15">
      <c r="A91" s="2" t="str">
        <f ca="1">input_543100!A$2</f>
        <v>543100</v>
      </c>
      <c r="B91" s="5">
        <v>215</v>
      </c>
      <c r="C91" s="7" t="str">
        <f t="shared" si="2"/>
        <v>Premium4</v>
      </c>
      <c r="D91" s="7" t="str">
        <f t="shared" si="3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2">
        <f ca="1">IFERROR(VLOOKUP(B91,input_543100!L:R,7,FALSE),VLOOKUP(tables_543100!C91,input_543100!A:H,8,FALSE))</f>
        <v>821967.53845999995</v>
      </c>
      <c r="P91" s="43">
        <f ca="1">O91/SUM(O:O)</f>
        <v>6.3619778518536523E-3</v>
      </c>
      <c r="Q91" s="29">
        <v>1</v>
      </c>
      <c r="R91" s="29">
        <v>0</v>
      </c>
      <c r="S91" s="29">
        <v>0</v>
      </c>
      <c r="T91" s="29">
        <v>0</v>
      </c>
      <c r="U91" s="29">
        <v>0</v>
      </c>
      <c r="V91" s="29">
        <v>1</v>
      </c>
    </row>
    <row r="92" spans="1:22" ht="21" customHeight="1" x14ac:dyDescent="0.15">
      <c r="A92" s="2" t="str">
        <f ca="1">input_543100!A$2</f>
        <v>543100</v>
      </c>
      <c r="B92" s="5">
        <v>216</v>
      </c>
      <c r="C92" s="7" t="str">
        <f t="shared" si="2"/>
        <v>Premium5</v>
      </c>
      <c r="D92" s="7" t="str">
        <f t="shared" si="3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2">
        <f ca="1">IFERROR(VLOOKUP(B92,input_543100!L:R,7,FALSE),VLOOKUP(tables_543100!C92,input_543100!A:H,8,FALSE))</f>
        <v>67472.461540000004</v>
      </c>
      <c r="P92" s="43">
        <f ca="1">O92/SUM(O:O)</f>
        <v>5.2223267445788155E-4</v>
      </c>
      <c r="Q92" s="29">
        <v>1</v>
      </c>
      <c r="R92" s="29">
        <v>0</v>
      </c>
      <c r="S92" s="29">
        <v>0</v>
      </c>
      <c r="T92" s="29">
        <v>0</v>
      </c>
      <c r="U92" s="29">
        <v>0</v>
      </c>
      <c r="V92" s="29">
        <v>1</v>
      </c>
    </row>
    <row r="93" spans="1:22" ht="21" customHeight="1" x14ac:dyDescent="0.15">
      <c r="A93" s="2" t="str">
        <f ca="1">input_543100!A$2</f>
        <v>543100</v>
      </c>
      <c r="B93" s="5">
        <v>217</v>
      </c>
      <c r="C93" s="7" t="str">
        <f t="shared" si="2"/>
        <v>Premium3</v>
      </c>
      <c r="D93" s="7" t="str">
        <f t="shared" si="3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2">
        <f ca="1">IFERROR(VLOOKUP(B93,input_543100!L:R,7,FALSE),VLOOKUP(tables_543100!C93,input_543100!A:H,8,FALSE))</f>
        <v>0</v>
      </c>
      <c r="P93" s="43">
        <f ca="1">O93/SUM(O:O)</f>
        <v>0</v>
      </c>
      <c r="Q93" s="29">
        <v>1</v>
      </c>
      <c r="R93" s="29">
        <v>0</v>
      </c>
      <c r="S93" s="29">
        <v>0</v>
      </c>
      <c r="T93" s="29">
        <v>0</v>
      </c>
      <c r="U93" s="29">
        <v>0</v>
      </c>
      <c r="V93" s="29">
        <v>1</v>
      </c>
    </row>
    <row r="94" spans="1:22" ht="21" customHeight="1" x14ac:dyDescent="0.15">
      <c r="A94" s="2" t="str">
        <f ca="1">input_543100!A$2</f>
        <v>543100</v>
      </c>
      <c r="B94" s="5">
        <v>218</v>
      </c>
      <c r="C94" s="7" t="str">
        <f t="shared" si="2"/>
        <v>Premium4</v>
      </c>
      <c r="D94" s="7" t="str">
        <f t="shared" si="3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2">
        <f ca="1">IFERROR(VLOOKUP(B94,input_543100!L:R,7,FALSE),VLOOKUP(tables_543100!C94,input_543100!A:H,8,FALSE))</f>
        <v>821967.53845999995</v>
      </c>
      <c r="P94" s="43">
        <f ca="1">O94/SUM(O:O)</f>
        <v>6.3619778518536523E-3</v>
      </c>
      <c r="Q94" s="29">
        <v>1</v>
      </c>
      <c r="R94" s="29">
        <v>0</v>
      </c>
      <c r="S94" s="29">
        <v>0</v>
      </c>
      <c r="T94" s="29">
        <v>0</v>
      </c>
      <c r="U94" s="29">
        <v>0</v>
      </c>
      <c r="V94" s="29">
        <v>1</v>
      </c>
    </row>
    <row r="95" spans="1:22" ht="21" customHeight="1" x14ac:dyDescent="0.15">
      <c r="A95" s="2" t="str">
        <f ca="1">input_543100!A$2</f>
        <v>543100</v>
      </c>
      <c r="B95" s="5">
        <v>219</v>
      </c>
      <c r="C95" s="7" t="str">
        <f t="shared" si="2"/>
        <v>Premium5</v>
      </c>
      <c r="D95" s="7" t="str">
        <f t="shared" si="3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2">
        <f ca="1">IFERROR(VLOOKUP(B95,input_543100!L:R,7,FALSE),VLOOKUP(tables_543100!C95,input_543100!A:H,8,FALSE))</f>
        <v>67472.461540000004</v>
      </c>
      <c r="P95" s="43">
        <f ca="1">O95/SUM(O:O)</f>
        <v>5.2223267445788155E-4</v>
      </c>
      <c r="Q95" s="29">
        <v>1</v>
      </c>
      <c r="R95" s="29">
        <v>0</v>
      </c>
      <c r="S95" s="29">
        <v>0</v>
      </c>
      <c r="T95" s="29">
        <v>0</v>
      </c>
      <c r="U95" s="29">
        <v>0</v>
      </c>
      <c r="V95" s="29">
        <v>1</v>
      </c>
    </row>
    <row r="96" spans="1:22" ht="21" customHeight="1" x14ac:dyDescent="0.15">
      <c r="A96" s="2" t="str">
        <f ca="1">input_543100!A$2</f>
        <v>543100</v>
      </c>
      <c r="B96" s="5">
        <v>220</v>
      </c>
      <c r="C96" s="7" t="str">
        <f t="shared" si="2"/>
        <v>Premium3</v>
      </c>
      <c r="D96" s="7" t="str">
        <f t="shared" si="3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2">
        <f ca="1">IFERROR(VLOOKUP(B96,input_543100!L:R,7,FALSE),VLOOKUP(tables_543100!C96,input_543100!A:H,8,FALSE))</f>
        <v>0</v>
      </c>
      <c r="P96" s="43">
        <f ca="1">O96/SUM(O:O)</f>
        <v>0</v>
      </c>
      <c r="Q96" s="29">
        <v>1</v>
      </c>
      <c r="R96" s="29">
        <v>0</v>
      </c>
      <c r="S96" s="29">
        <v>0</v>
      </c>
      <c r="T96" s="29">
        <v>0</v>
      </c>
      <c r="U96" s="29">
        <v>0</v>
      </c>
      <c r="V96" s="29">
        <v>1</v>
      </c>
    </row>
    <row r="97" spans="1:22" ht="21" customHeight="1" x14ac:dyDescent="0.15">
      <c r="A97" s="2" t="str">
        <f ca="1">input_543100!A$2</f>
        <v>543100</v>
      </c>
      <c r="B97" s="5">
        <v>221</v>
      </c>
      <c r="C97" s="7" t="str">
        <f t="shared" si="2"/>
        <v>Premium4</v>
      </c>
      <c r="D97" s="7" t="str">
        <f t="shared" si="3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2">
        <f ca="1">IFERROR(VLOOKUP(B97,input_543100!L:R,7,FALSE),VLOOKUP(tables_543100!C97,input_543100!A:H,8,FALSE))</f>
        <v>821967.53845999995</v>
      </c>
      <c r="P97" s="43">
        <f ca="1">O97/SUM(O:O)</f>
        <v>6.3619778518536523E-3</v>
      </c>
      <c r="Q97" s="29">
        <v>1</v>
      </c>
      <c r="R97" s="29">
        <v>0</v>
      </c>
      <c r="S97" s="29">
        <v>0</v>
      </c>
      <c r="T97" s="29">
        <v>0</v>
      </c>
      <c r="U97" s="29">
        <v>0</v>
      </c>
      <c r="V97" s="29">
        <v>1</v>
      </c>
    </row>
    <row r="98" spans="1:22" ht="21" customHeight="1" x14ac:dyDescent="0.15">
      <c r="A98" s="2" t="str">
        <f ca="1">input_543100!A$2</f>
        <v>543100</v>
      </c>
      <c r="B98" s="5">
        <v>222</v>
      </c>
      <c r="C98" s="7" t="str">
        <f t="shared" si="2"/>
        <v>Premium5</v>
      </c>
      <c r="D98" s="7" t="str">
        <f t="shared" si="3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2">
        <f ca="1">IFERROR(VLOOKUP(B98,input_543100!L:R,7,FALSE),VLOOKUP(tables_543100!C98,input_543100!A:H,8,FALSE))</f>
        <v>67472.461540000004</v>
      </c>
      <c r="P98" s="43">
        <f ca="1">O98/SUM(O:O)</f>
        <v>5.2223267445788155E-4</v>
      </c>
      <c r="Q98" s="29">
        <v>1</v>
      </c>
      <c r="R98" s="29">
        <v>0</v>
      </c>
      <c r="S98" s="29">
        <v>0</v>
      </c>
      <c r="T98" s="29">
        <v>0</v>
      </c>
      <c r="U98" s="29">
        <v>0</v>
      </c>
      <c r="V98" s="29">
        <v>1</v>
      </c>
    </row>
    <row r="99" spans="1:22" ht="21" customHeight="1" x14ac:dyDescent="0.15">
      <c r="A99" s="2" t="str">
        <f ca="1">input_543100!A$2</f>
        <v>543100</v>
      </c>
      <c r="B99" s="5">
        <v>223</v>
      </c>
      <c r="C99" s="7" t="str">
        <f t="shared" si="2"/>
        <v>Premium3</v>
      </c>
      <c r="D99" s="7" t="str">
        <f t="shared" si="3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2">
        <f ca="1">IFERROR(VLOOKUP(B99,input_543100!L:R,7,FALSE),VLOOKUP(tables_543100!C99,input_543100!A:H,8,FALSE))</f>
        <v>0</v>
      </c>
      <c r="P99" s="43">
        <f ca="1">O99/SUM(O:O)</f>
        <v>0</v>
      </c>
      <c r="Q99" s="29">
        <v>1</v>
      </c>
      <c r="R99" s="29">
        <v>0</v>
      </c>
      <c r="S99" s="29">
        <v>0</v>
      </c>
      <c r="T99" s="29">
        <v>0</v>
      </c>
      <c r="U99" s="29">
        <v>0</v>
      </c>
      <c r="V99" s="29">
        <v>1</v>
      </c>
    </row>
    <row r="100" spans="1:22" ht="21" customHeight="1" x14ac:dyDescent="0.15">
      <c r="A100" s="2" t="str">
        <f ca="1">input_543100!A$2</f>
        <v>543100</v>
      </c>
      <c r="B100" s="5">
        <v>224</v>
      </c>
      <c r="C100" s="7" t="str">
        <f t="shared" si="2"/>
        <v>Premium4</v>
      </c>
      <c r="D100" s="7" t="str">
        <f t="shared" si="3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2">
        <f ca="1">IFERROR(VLOOKUP(B100,input_543100!L:R,7,FALSE),VLOOKUP(tables_543100!C100,input_543100!A:H,8,FALSE))</f>
        <v>821967.53845999995</v>
      </c>
      <c r="P100" s="43">
        <f ca="1">O100/SUM(O:O)</f>
        <v>6.3619778518536523E-3</v>
      </c>
      <c r="Q100" s="29">
        <v>1</v>
      </c>
      <c r="R100" s="29">
        <v>0</v>
      </c>
      <c r="S100" s="29">
        <v>0</v>
      </c>
      <c r="T100" s="29">
        <v>0</v>
      </c>
      <c r="U100" s="29">
        <v>0</v>
      </c>
      <c r="V100" s="29">
        <v>1</v>
      </c>
    </row>
    <row r="101" spans="1:22" ht="21" customHeight="1" x14ac:dyDescent="0.15">
      <c r="A101" s="2" t="str">
        <f ca="1">input_543100!A$2</f>
        <v>543100</v>
      </c>
      <c r="B101" s="5">
        <v>225</v>
      </c>
      <c r="C101" s="7" t="str">
        <f t="shared" si="2"/>
        <v>Premium5</v>
      </c>
      <c r="D101" s="7" t="str">
        <f t="shared" si="3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2">
        <f ca="1">IFERROR(VLOOKUP(B101,input_543100!L:R,7,FALSE),VLOOKUP(tables_543100!C101,input_543100!A:H,8,FALSE))</f>
        <v>67472.461540000004</v>
      </c>
      <c r="P101" s="43">
        <f ca="1">O101/SUM(O:O)</f>
        <v>5.2223267445788155E-4</v>
      </c>
      <c r="Q101" s="29">
        <v>1</v>
      </c>
      <c r="R101" s="29">
        <v>0</v>
      </c>
      <c r="S101" s="29">
        <v>0</v>
      </c>
      <c r="T101" s="29">
        <v>0</v>
      </c>
      <c r="U101" s="29">
        <v>0</v>
      </c>
      <c r="V101" s="29">
        <v>1</v>
      </c>
    </row>
    <row r="102" spans="1:22" ht="21" customHeight="1" x14ac:dyDescent="0.15">
      <c r="A102" s="2" t="str">
        <f ca="1">input_543100!A$2</f>
        <v>543100</v>
      </c>
      <c r="B102" s="5">
        <v>226</v>
      </c>
      <c r="C102" s="7" t="str">
        <f t="shared" si="2"/>
        <v>Premium3</v>
      </c>
      <c r="D102" s="7" t="str">
        <f t="shared" si="3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2">
        <f ca="1">IFERROR(VLOOKUP(B102,input_543100!L:R,7,FALSE),VLOOKUP(tables_543100!C102,input_543100!A:H,8,FALSE))</f>
        <v>0</v>
      </c>
      <c r="P102" s="43">
        <f ca="1">O102/SUM(O:O)</f>
        <v>0</v>
      </c>
      <c r="Q102" s="29">
        <v>1</v>
      </c>
      <c r="R102" s="29">
        <v>0</v>
      </c>
      <c r="S102" s="29">
        <v>0</v>
      </c>
      <c r="T102" s="29">
        <v>0</v>
      </c>
      <c r="U102" s="29">
        <v>0</v>
      </c>
      <c r="V102" s="29">
        <v>1</v>
      </c>
    </row>
    <row r="103" spans="1:22" ht="21" customHeight="1" x14ac:dyDescent="0.15">
      <c r="A103" s="2" t="str">
        <f ca="1">input_543100!A$2</f>
        <v>543100</v>
      </c>
      <c r="B103" s="5">
        <v>227</v>
      </c>
      <c r="C103" s="7" t="str">
        <f t="shared" si="2"/>
        <v>Premium4</v>
      </c>
      <c r="D103" s="7" t="str">
        <f t="shared" si="3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2">
        <f ca="1">IFERROR(VLOOKUP(B103,input_543100!L:R,7,FALSE),VLOOKUP(tables_543100!C103,input_543100!A:H,8,FALSE))</f>
        <v>821967.53845999995</v>
      </c>
      <c r="P103" s="43">
        <f ca="1">O103/SUM(O:O)</f>
        <v>6.3619778518536523E-3</v>
      </c>
      <c r="Q103" s="29">
        <v>1</v>
      </c>
      <c r="R103" s="29">
        <v>0</v>
      </c>
      <c r="S103" s="29">
        <v>0</v>
      </c>
      <c r="T103" s="29">
        <v>0</v>
      </c>
      <c r="U103" s="29">
        <v>0</v>
      </c>
      <c r="V103" s="29">
        <v>1</v>
      </c>
    </row>
    <row r="104" spans="1:22" ht="21" customHeight="1" x14ac:dyDescent="0.15">
      <c r="A104" s="2" t="str">
        <f ca="1">input_543100!A$2</f>
        <v>543100</v>
      </c>
      <c r="B104" s="5">
        <v>228</v>
      </c>
      <c r="C104" s="7" t="str">
        <f t="shared" si="2"/>
        <v>Premium5</v>
      </c>
      <c r="D104" s="7" t="str">
        <f t="shared" si="3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2">
        <f ca="1">IFERROR(VLOOKUP(B104,input_543100!L:R,7,FALSE),VLOOKUP(tables_543100!C104,input_543100!A:H,8,FALSE))</f>
        <v>67472.461540000004</v>
      </c>
      <c r="P104" s="43">
        <f ca="1">O104/SUM(O:O)</f>
        <v>5.2223267445788155E-4</v>
      </c>
      <c r="Q104" s="29">
        <v>1</v>
      </c>
      <c r="R104" s="29">
        <v>0</v>
      </c>
      <c r="S104" s="29">
        <v>0</v>
      </c>
      <c r="T104" s="29">
        <v>0</v>
      </c>
      <c r="U104" s="29">
        <v>0</v>
      </c>
      <c r="V104" s="29">
        <v>1</v>
      </c>
    </row>
    <row r="105" spans="1:22" ht="21" customHeight="1" x14ac:dyDescent="0.15">
      <c r="A105" s="2" t="str">
        <f ca="1">input_543100!A$2</f>
        <v>543100</v>
      </c>
      <c r="B105" s="5">
        <v>229</v>
      </c>
      <c r="C105" s="7" t="str">
        <f t="shared" si="2"/>
        <v>Premium3</v>
      </c>
      <c r="D105" s="7" t="str">
        <f t="shared" si="3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2">
        <f ca="1">IFERROR(VLOOKUP(B105,input_543100!L:R,7,FALSE),VLOOKUP(tables_543100!C105,input_543100!A:H,8,FALSE))</f>
        <v>0</v>
      </c>
      <c r="P105" s="43">
        <f ca="1">O105/SUM(O:O)</f>
        <v>0</v>
      </c>
      <c r="Q105" s="29">
        <v>1</v>
      </c>
      <c r="R105" s="29">
        <v>0</v>
      </c>
      <c r="S105" s="29">
        <v>0</v>
      </c>
      <c r="T105" s="29">
        <v>0</v>
      </c>
      <c r="U105" s="29">
        <v>0</v>
      </c>
      <c r="V105" s="29">
        <v>1</v>
      </c>
    </row>
    <row r="106" spans="1:22" ht="21" customHeight="1" x14ac:dyDescent="0.15">
      <c r="A106" s="2" t="str">
        <f ca="1">input_543100!A$2</f>
        <v>543100</v>
      </c>
      <c r="B106" s="5">
        <v>230</v>
      </c>
      <c r="C106" s="7" t="str">
        <f t="shared" si="2"/>
        <v>Premium4</v>
      </c>
      <c r="D106" s="7" t="str">
        <f t="shared" si="3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2">
        <f ca="1">IFERROR(VLOOKUP(B106,input_543100!L:R,7,FALSE),VLOOKUP(tables_543100!C106,input_543100!A:H,8,FALSE))</f>
        <v>821967.53845999995</v>
      </c>
      <c r="P106" s="43">
        <f ca="1">O106/SUM(O:O)</f>
        <v>6.3619778518536523E-3</v>
      </c>
      <c r="Q106" s="29">
        <v>1</v>
      </c>
      <c r="R106" s="29">
        <v>0</v>
      </c>
      <c r="S106" s="29">
        <v>0</v>
      </c>
      <c r="T106" s="29">
        <v>0</v>
      </c>
      <c r="U106" s="29">
        <v>0</v>
      </c>
      <c r="V106" s="29">
        <v>1</v>
      </c>
    </row>
    <row r="107" spans="1:22" ht="21" customHeight="1" x14ac:dyDescent="0.15">
      <c r="A107" s="2" t="str">
        <f ca="1">input_543100!A$2</f>
        <v>543100</v>
      </c>
      <c r="B107" s="5">
        <v>231</v>
      </c>
      <c r="C107" s="7" t="str">
        <f t="shared" si="2"/>
        <v>Premium5</v>
      </c>
      <c r="D107" s="7" t="str">
        <f t="shared" si="3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2">
        <f ca="1">IFERROR(VLOOKUP(B107,input_543100!L:R,7,FALSE),VLOOKUP(tables_543100!C107,input_543100!A:H,8,FALSE))</f>
        <v>67472.461540000004</v>
      </c>
      <c r="P107" s="43">
        <f ca="1">O107/SUM(O:O)</f>
        <v>5.2223267445788155E-4</v>
      </c>
      <c r="Q107" s="29">
        <v>1</v>
      </c>
      <c r="R107" s="29">
        <v>0</v>
      </c>
      <c r="S107" s="29">
        <v>0</v>
      </c>
      <c r="T107" s="29">
        <v>0</v>
      </c>
      <c r="U107" s="29">
        <v>0</v>
      </c>
      <c r="V107" s="29">
        <v>1</v>
      </c>
    </row>
    <row r="108" spans="1:22" ht="21" customHeight="1" x14ac:dyDescent="0.15">
      <c r="A108" s="2" t="str">
        <f ca="1">input_543100!A$2</f>
        <v>543100</v>
      </c>
      <c r="B108" s="5">
        <v>232</v>
      </c>
      <c r="C108" s="7" t="str">
        <f t="shared" si="2"/>
        <v>Premium3</v>
      </c>
      <c r="D108" s="7" t="str">
        <f t="shared" si="3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2">
        <f ca="1">IFERROR(VLOOKUP(B108,input_543100!L:R,7,FALSE),VLOOKUP(tables_543100!C108,input_543100!A:H,8,FALSE))</f>
        <v>0</v>
      </c>
      <c r="P108" s="43">
        <f ca="1">O108/SUM(O:O)</f>
        <v>0</v>
      </c>
      <c r="Q108" s="29">
        <v>1</v>
      </c>
      <c r="R108" s="29">
        <v>0</v>
      </c>
      <c r="S108" s="29">
        <v>0</v>
      </c>
      <c r="T108" s="29">
        <v>0</v>
      </c>
      <c r="U108" s="29">
        <v>0</v>
      </c>
      <c r="V108" s="29">
        <v>1</v>
      </c>
    </row>
    <row r="109" spans="1:22" ht="21" customHeight="1" x14ac:dyDescent="0.15">
      <c r="A109" s="2" t="str">
        <f ca="1">input_543100!A$2</f>
        <v>543100</v>
      </c>
      <c r="B109" s="5">
        <v>233</v>
      </c>
      <c r="C109" s="7" t="str">
        <f t="shared" si="2"/>
        <v>Premium4</v>
      </c>
      <c r="D109" s="7" t="str">
        <f t="shared" si="3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2">
        <f ca="1">IFERROR(VLOOKUP(B109,input_543100!L:R,7,FALSE),VLOOKUP(tables_543100!C109,input_543100!A:H,8,FALSE))</f>
        <v>821967.53845999995</v>
      </c>
      <c r="P109" s="43">
        <f ca="1">O109/SUM(O:O)</f>
        <v>6.3619778518536523E-3</v>
      </c>
      <c r="Q109" s="29">
        <v>1</v>
      </c>
      <c r="R109" s="29">
        <v>0</v>
      </c>
      <c r="S109" s="29">
        <v>0</v>
      </c>
      <c r="T109" s="29">
        <v>0</v>
      </c>
      <c r="U109" s="29">
        <v>0</v>
      </c>
      <c r="V109" s="29">
        <v>1</v>
      </c>
    </row>
    <row r="110" spans="1:22" ht="21" customHeight="1" x14ac:dyDescent="0.15">
      <c r="A110" s="2" t="str">
        <f ca="1">input_543100!A$2</f>
        <v>543100</v>
      </c>
      <c r="B110" s="5">
        <v>234</v>
      </c>
      <c r="C110" s="7" t="str">
        <f t="shared" si="2"/>
        <v>Premium5</v>
      </c>
      <c r="D110" s="7" t="str">
        <f t="shared" si="3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2">
        <f ca="1">IFERROR(VLOOKUP(B110,input_543100!L:R,7,FALSE),VLOOKUP(tables_543100!C110,input_543100!A:H,8,FALSE))</f>
        <v>67472.461540000004</v>
      </c>
      <c r="P110" s="43">
        <f ca="1">O110/SUM(O:O)</f>
        <v>5.2223267445788155E-4</v>
      </c>
      <c r="Q110" s="29">
        <v>1</v>
      </c>
      <c r="R110" s="29">
        <v>0</v>
      </c>
      <c r="S110" s="29">
        <v>0</v>
      </c>
      <c r="T110" s="29">
        <v>0</v>
      </c>
      <c r="U110" s="29">
        <v>0</v>
      </c>
      <c r="V110" s="29">
        <v>1</v>
      </c>
    </row>
    <row r="111" spans="1:22" ht="21" customHeight="1" x14ac:dyDescent="0.15">
      <c r="A111" s="2" t="str">
        <f ca="1">input_543100!A$2</f>
        <v>543100</v>
      </c>
      <c r="B111" s="5">
        <v>235</v>
      </c>
      <c r="C111" s="7" t="str">
        <f t="shared" si="2"/>
        <v>Premium3R6release</v>
      </c>
      <c r="D111" s="7" t="str">
        <f t="shared" si="3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2">
        <f ca="1">IFERROR(VLOOKUP(B111,input_543100!L:R,7,FALSE),VLOOKUP(tables_543100!C111,input_543100!A:H,8,FALSE))</f>
        <v>0</v>
      </c>
      <c r="P111" s="43">
        <f ca="1">O111/SUM(O:O)</f>
        <v>0</v>
      </c>
      <c r="Q111" s="29">
        <v>1</v>
      </c>
      <c r="R111" s="29">
        <v>0</v>
      </c>
      <c r="S111" s="29">
        <v>0</v>
      </c>
      <c r="T111" s="29">
        <v>0</v>
      </c>
      <c r="U111" s="29">
        <v>0</v>
      </c>
      <c r="V111" s="29">
        <v>1</v>
      </c>
    </row>
    <row r="112" spans="1:22" ht="21" customHeight="1" x14ac:dyDescent="0.15">
      <c r="A112" s="2" t="str">
        <f ca="1">input_543100!A$2</f>
        <v>543100</v>
      </c>
      <c r="B112" s="5">
        <v>236</v>
      </c>
      <c r="C112" s="7" t="str">
        <f t="shared" si="2"/>
        <v>Premium4R6release</v>
      </c>
      <c r="D112" s="7" t="str">
        <f t="shared" si="3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2">
        <f ca="1">IFERROR(VLOOKUP(B112,input_543100!L:R,7,FALSE),VLOOKUP(tables_543100!C112,input_543100!A:H,8,FALSE))</f>
        <v>827179.2</v>
      </c>
      <c r="P112" s="43">
        <f ca="1">O112/SUM(O:O)</f>
        <v>6.402315789469727E-3</v>
      </c>
      <c r="Q112" s="29">
        <v>1</v>
      </c>
      <c r="R112" s="29">
        <v>0</v>
      </c>
      <c r="S112" s="29">
        <v>0</v>
      </c>
      <c r="T112" s="29">
        <v>0</v>
      </c>
      <c r="U112" s="29">
        <v>0</v>
      </c>
      <c r="V112" s="29">
        <v>1</v>
      </c>
    </row>
    <row r="113" spans="1:22" ht="21" customHeight="1" x14ac:dyDescent="0.15">
      <c r="A113" s="2" t="str">
        <f ca="1">input_543100!A$2</f>
        <v>543100</v>
      </c>
      <c r="B113" s="5">
        <v>237</v>
      </c>
      <c r="C113" s="7" t="str">
        <f t="shared" si="2"/>
        <v>Premium5R6release</v>
      </c>
      <c r="D113" s="7" t="str">
        <f t="shared" si="3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2">
        <f ca="1">IFERROR(VLOOKUP(B113,input_543100!L:R,7,FALSE),VLOOKUP(tables_543100!C113,input_543100!A:H,8,FALSE))</f>
        <v>62260.800000000003</v>
      </c>
      <c r="P113" s="43">
        <f ca="1">O113/SUM(O:O)</f>
        <v>4.8189473684180742E-4</v>
      </c>
      <c r="Q113" s="29">
        <v>1</v>
      </c>
      <c r="R113" s="29">
        <v>0</v>
      </c>
      <c r="S113" s="29">
        <v>0</v>
      </c>
      <c r="T113" s="29">
        <v>0</v>
      </c>
      <c r="U113" s="29">
        <v>0</v>
      </c>
      <c r="V113" s="29">
        <v>1</v>
      </c>
    </row>
    <row r="114" spans="1:22" ht="21" customHeight="1" x14ac:dyDescent="0.15">
      <c r="A114" s="2" t="str">
        <f ca="1">input_543100!A$2</f>
        <v>543100</v>
      </c>
      <c r="B114" s="5">
        <v>238</v>
      </c>
      <c r="C114" s="7" t="str">
        <f t="shared" si="2"/>
        <v>Premium3</v>
      </c>
      <c r="D114" s="7" t="str">
        <f t="shared" si="3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2">
        <f ca="1">IFERROR(VLOOKUP(B114,input_543100!L:R,7,FALSE),VLOOKUP(tables_543100!C114,input_543100!A:H,8,FALSE))</f>
        <v>0</v>
      </c>
      <c r="P114" s="43">
        <f ca="1">O114/SUM(O:O)</f>
        <v>0</v>
      </c>
      <c r="Q114" s="29">
        <v>1</v>
      </c>
      <c r="R114" s="29">
        <v>0</v>
      </c>
      <c r="S114" s="29">
        <v>0</v>
      </c>
      <c r="T114" s="29">
        <v>0</v>
      </c>
      <c r="U114" s="29">
        <v>0</v>
      </c>
      <c r="V114" s="29">
        <v>1</v>
      </c>
    </row>
    <row r="115" spans="1:22" ht="21" customHeight="1" x14ac:dyDescent="0.15">
      <c r="A115" s="2" t="str">
        <f ca="1">input_543100!A$2</f>
        <v>543100</v>
      </c>
      <c r="B115" s="5">
        <v>239</v>
      </c>
      <c r="C115" s="7" t="str">
        <f t="shared" si="2"/>
        <v>Premium4</v>
      </c>
      <c r="D115" s="7" t="str">
        <f t="shared" si="3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2">
        <f ca="1">IFERROR(VLOOKUP(B115,input_543100!L:R,7,FALSE),VLOOKUP(tables_543100!C115,input_543100!A:H,8,FALSE))</f>
        <v>821967.53845999995</v>
      </c>
      <c r="P115" s="43">
        <f ca="1">O115/SUM(O:O)</f>
        <v>6.3619778518536523E-3</v>
      </c>
      <c r="Q115" s="29">
        <v>1</v>
      </c>
      <c r="R115" s="29">
        <v>0</v>
      </c>
      <c r="S115" s="29">
        <v>0</v>
      </c>
      <c r="T115" s="29">
        <v>0</v>
      </c>
      <c r="U115" s="29">
        <v>0</v>
      </c>
      <c r="V115" s="29">
        <v>1</v>
      </c>
    </row>
    <row r="116" spans="1:22" ht="21" customHeight="1" x14ac:dyDescent="0.15">
      <c r="A116" s="2" t="str">
        <f ca="1">input_543100!A$2</f>
        <v>543100</v>
      </c>
      <c r="B116" s="5">
        <v>240</v>
      </c>
      <c r="C116" s="7" t="str">
        <f t="shared" si="2"/>
        <v>Premium5</v>
      </c>
      <c r="D116" s="7" t="str">
        <f t="shared" si="3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2">
        <f ca="1">IFERROR(VLOOKUP(B116,input_543100!L:R,7,FALSE),VLOOKUP(tables_543100!C116,input_543100!A:H,8,FALSE))</f>
        <v>67472.461540000004</v>
      </c>
      <c r="P116" s="43">
        <f ca="1">O116/SUM(O:O)</f>
        <v>5.2223267445788155E-4</v>
      </c>
      <c r="Q116" s="29">
        <v>1</v>
      </c>
      <c r="R116" s="29">
        <v>0</v>
      </c>
      <c r="S116" s="29">
        <v>0</v>
      </c>
      <c r="T116" s="29">
        <v>0</v>
      </c>
      <c r="U116" s="29">
        <v>0</v>
      </c>
      <c r="V116" s="29">
        <v>1</v>
      </c>
    </row>
    <row r="117" spans="1:22" ht="21" customHeight="1" x14ac:dyDescent="0.15">
      <c r="A117" s="2" t="str">
        <f ca="1">input_543100!A$2</f>
        <v>543100</v>
      </c>
      <c r="B117" s="5">
        <v>241</v>
      </c>
      <c r="C117" s="7" t="str">
        <f t="shared" si="2"/>
        <v>Premium3</v>
      </c>
      <c r="D117" s="7" t="str">
        <f t="shared" si="3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2">
        <f ca="1">IFERROR(VLOOKUP(B117,input_543100!L:R,7,FALSE),VLOOKUP(tables_543100!C117,input_543100!A:H,8,FALSE))</f>
        <v>0</v>
      </c>
      <c r="P117" s="43">
        <f ca="1">O117/SUM(O:O)</f>
        <v>0</v>
      </c>
      <c r="Q117" s="29">
        <v>1</v>
      </c>
      <c r="R117" s="29">
        <v>0</v>
      </c>
      <c r="S117" s="29">
        <v>0</v>
      </c>
      <c r="T117" s="29">
        <v>0</v>
      </c>
      <c r="U117" s="29">
        <v>0</v>
      </c>
      <c r="V117" s="29">
        <v>1</v>
      </c>
    </row>
    <row r="118" spans="1:22" ht="21" customHeight="1" x14ac:dyDescent="0.15">
      <c r="A118" s="2" t="str">
        <f ca="1">input_543100!A$2</f>
        <v>543100</v>
      </c>
      <c r="B118" s="5">
        <v>242</v>
      </c>
      <c r="C118" s="7" t="str">
        <f t="shared" si="2"/>
        <v>Premium4</v>
      </c>
      <c r="D118" s="7" t="str">
        <f t="shared" si="3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2">
        <f ca="1">IFERROR(VLOOKUP(B118,input_543100!L:R,7,FALSE),VLOOKUP(tables_543100!C118,input_543100!A:H,8,FALSE))</f>
        <v>821967.53845999995</v>
      </c>
      <c r="P118" s="43">
        <f ca="1">O118/SUM(O:O)</f>
        <v>6.3619778518536523E-3</v>
      </c>
      <c r="Q118" s="29">
        <v>1</v>
      </c>
      <c r="R118" s="29">
        <v>0</v>
      </c>
      <c r="S118" s="29">
        <v>0</v>
      </c>
      <c r="T118" s="29">
        <v>0</v>
      </c>
      <c r="U118" s="29">
        <v>0</v>
      </c>
      <c r="V118" s="29">
        <v>1</v>
      </c>
    </row>
    <row r="119" spans="1:22" ht="21" customHeight="1" x14ac:dyDescent="0.15">
      <c r="A119" s="2" t="str">
        <f ca="1">input_543100!A$2</f>
        <v>543100</v>
      </c>
      <c r="B119" s="5">
        <v>243</v>
      </c>
      <c r="C119" s="7" t="str">
        <f t="shared" si="2"/>
        <v>Premium5</v>
      </c>
      <c r="D119" s="7" t="str">
        <f t="shared" si="3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2">
        <f ca="1">IFERROR(VLOOKUP(B119,input_543100!L:R,7,FALSE),VLOOKUP(tables_543100!C119,input_543100!A:H,8,FALSE))</f>
        <v>67472.461540000004</v>
      </c>
      <c r="P119" s="43">
        <f ca="1">O119/SUM(O:O)</f>
        <v>5.2223267445788155E-4</v>
      </c>
      <c r="Q119" s="29">
        <v>1</v>
      </c>
      <c r="R119" s="29">
        <v>0</v>
      </c>
      <c r="S119" s="29">
        <v>0</v>
      </c>
      <c r="T119" s="29">
        <v>0</v>
      </c>
      <c r="U119" s="29">
        <v>0</v>
      </c>
      <c r="V119" s="29">
        <v>1</v>
      </c>
    </row>
    <row r="120" spans="1:22" ht="21" customHeight="1" x14ac:dyDescent="0.15">
      <c r="A120" s="2" t="str">
        <f ca="1">input_543100!A$2</f>
        <v>543100</v>
      </c>
      <c r="B120" s="5">
        <v>244</v>
      </c>
      <c r="C120" s="7" t="str">
        <f t="shared" si="2"/>
        <v>Premium3</v>
      </c>
      <c r="D120" s="7" t="str">
        <f t="shared" si="3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2">
        <f ca="1">IFERROR(VLOOKUP(B120,input_543100!L:R,7,FALSE),VLOOKUP(tables_543100!C120,input_543100!A:H,8,FALSE))</f>
        <v>0</v>
      </c>
      <c r="P120" s="43">
        <f ca="1">O120/SUM(O:O)</f>
        <v>0</v>
      </c>
      <c r="Q120" s="29">
        <v>1</v>
      </c>
      <c r="R120" s="29">
        <v>0</v>
      </c>
      <c r="S120" s="29">
        <v>0</v>
      </c>
      <c r="T120" s="29">
        <v>0</v>
      </c>
      <c r="U120" s="29">
        <v>0</v>
      </c>
      <c r="V120" s="29">
        <v>1</v>
      </c>
    </row>
    <row r="121" spans="1:22" ht="21" customHeight="1" x14ac:dyDescent="0.15">
      <c r="A121" s="2" t="str">
        <f ca="1">input_543100!A$2</f>
        <v>543100</v>
      </c>
      <c r="B121" s="5">
        <v>245</v>
      </c>
      <c r="C121" s="7" t="str">
        <f t="shared" si="2"/>
        <v>Premium4</v>
      </c>
      <c r="D121" s="7" t="str">
        <f t="shared" si="3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2">
        <f ca="1">IFERROR(VLOOKUP(B121,input_543100!L:R,7,FALSE),VLOOKUP(tables_543100!C121,input_543100!A:H,8,FALSE))</f>
        <v>821967.53845999995</v>
      </c>
      <c r="P121" s="43">
        <f ca="1">O121/SUM(O:O)</f>
        <v>6.3619778518536523E-3</v>
      </c>
      <c r="Q121" s="29">
        <v>1</v>
      </c>
      <c r="R121" s="29">
        <v>0</v>
      </c>
      <c r="S121" s="29">
        <v>0</v>
      </c>
      <c r="T121" s="29">
        <v>0</v>
      </c>
      <c r="U121" s="29">
        <v>0</v>
      </c>
      <c r="V121" s="29">
        <v>1</v>
      </c>
    </row>
    <row r="122" spans="1:22" ht="21" customHeight="1" x14ac:dyDescent="0.15">
      <c r="A122" s="2" t="str">
        <f ca="1">input_543100!A$2</f>
        <v>543100</v>
      </c>
      <c r="B122" s="5">
        <v>246</v>
      </c>
      <c r="C122" s="7" t="str">
        <f t="shared" si="2"/>
        <v>Premium5</v>
      </c>
      <c r="D122" s="7" t="str">
        <f t="shared" si="3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2">
        <f ca="1">IFERROR(VLOOKUP(B122,input_543100!L:R,7,FALSE),VLOOKUP(tables_543100!C122,input_543100!A:H,8,FALSE))</f>
        <v>67472.461540000004</v>
      </c>
      <c r="P122" s="43">
        <f ca="1">O122/SUM(O:O)</f>
        <v>5.2223267445788155E-4</v>
      </c>
      <c r="Q122" s="29">
        <v>1</v>
      </c>
      <c r="R122" s="29">
        <v>0</v>
      </c>
      <c r="S122" s="29">
        <v>0</v>
      </c>
      <c r="T122" s="29">
        <v>0</v>
      </c>
      <c r="U122" s="29">
        <v>0</v>
      </c>
      <c r="V122" s="29">
        <v>1</v>
      </c>
    </row>
    <row r="123" spans="1:22" ht="21" customHeight="1" x14ac:dyDescent="0.15">
      <c r="A123" s="2" t="str">
        <f ca="1">input_543100!A$2</f>
        <v>543100</v>
      </c>
      <c r="B123" s="5">
        <v>247</v>
      </c>
      <c r="C123" s="7" t="str">
        <f t="shared" si="2"/>
        <v>Premium3</v>
      </c>
      <c r="D123" s="7" t="str">
        <f t="shared" si="3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2">
        <f ca="1">IFERROR(VLOOKUP(B123,input_543100!L:R,7,FALSE),VLOOKUP(tables_543100!C123,input_543100!A:H,8,FALSE))</f>
        <v>0</v>
      </c>
      <c r="P123" s="43">
        <f ca="1">O123/SUM(O:O)</f>
        <v>0</v>
      </c>
      <c r="Q123" s="29">
        <v>1</v>
      </c>
      <c r="R123" s="29">
        <v>0</v>
      </c>
      <c r="S123" s="29">
        <v>0</v>
      </c>
      <c r="T123" s="29">
        <v>0</v>
      </c>
      <c r="U123" s="29">
        <v>0</v>
      </c>
      <c r="V123" s="29">
        <v>1</v>
      </c>
    </row>
    <row r="124" spans="1:22" ht="21" customHeight="1" x14ac:dyDescent="0.15">
      <c r="A124" s="2" t="str">
        <f ca="1">input_543100!A$2</f>
        <v>543100</v>
      </c>
      <c r="B124" s="6">
        <v>248</v>
      </c>
      <c r="C124" s="7" t="str">
        <f t="shared" si="2"/>
        <v>Premium4</v>
      </c>
      <c r="D124" s="7" t="str">
        <f t="shared" si="3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2">
        <f ca="1">IFERROR(VLOOKUP(B124,input_543100!L:R,7,FALSE),VLOOKUP(tables_543100!C124,input_543100!A:H,8,FALSE))</f>
        <v>821967.53845999995</v>
      </c>
      <c r="P124" s="43">
        <f ca="1">O124/SUM(O:O)</f>
        <v>6.3619778518536523E-3</v>
      </c>
      <c r="Q124" s="29">
        <v>1</v>
      </c>
      <c r="R124" s="29">
        <v>0</v>
      </c>
      <c r="S124" s="29">
        <v>0</v>
      </c>
      <c r="T124" s="29">
        <v>0</v>
      </c>
      <c r="U124" s="29">
        <v>0</v>
      </c>
      <c r="V124" s="29">
        <v>1</v>
      </c>
    </row>
    <row r="125" spans="1:22" ht="21" customHeight="1" x14ac:dyDescent="0.15">
      <c r="A125" s="2" t="str">
        <f ca="1">input_543100!A$2</f>
        <v>543100</v>
      </c>
      <c r="B125" s="6">
        <v>249</v>
      </c>
      <c r="C125" s="7" t="str">
        <f t="shared" si="2"/>
        <v>Premium5</v>
      </c>
      <c r="D125" s="7" t="str">
        <f t="shared" si="3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2">
        <f ca="1">IFERROR(VLOOKUP(B125,input_543100!L:R,7,FALSE),VLOOKUP(tables_543100!C125,input_543100!A:H,8,FALSE))</f>
        <v>67472.461540000004</v>
      </c>
      <c r="P125" s="43">
        <f ca="1">O125/SUM(O:O)</f>
        <v>5.2223267445788155E-4</v>
      </c>
      <c r="Q125" s="29">
        <v>1</v>
      </c>
      <c r="R125" s="29">
        <v>0</v>
      </c>
      <c r="S125" s="29">
        <v>0</v>
      </c>
      <c r="T125" s="29">
        <v>0</v>
      </c>
      <c r="U125" s="29">
        <v>0</v>
      </c>
      <c r="V125" s="29">
        <v>1</v>
      </c>
    </row>
    <row r="126" spans="1:22" ht="21" customHeight="1" x14ac:dyDescent="0.15">
      <c r="A126" s="2" t="str">
        <f ca="1">input_543100!A$2</f>
        <v>543100</v>
      </c>
      <c r="B126" s="6">
        <v>250</v>
      </c>
      <c r="C126" s="7" t="str">
        <f t="shared" si="2"/>
        <v>Premium3</v>
      </c>
      <c r="D126" s="7" t="str">
        <f t="shared" si="3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2">
        <f ca="1">IFERROR(VLOOKUP(B126,input_543100!L:R,7,FALSE),VLOOKUP(tables_543100!C126,input_543100!A:H,8,FALSE))</f>
        <v>0</v>
      </c>
      <c r="P126" s="43">
        <f ca="1">O126/SUM(O:O)</f>
        <v>0</v>
      </c>
      <c r="Q126" s="29">
        <v>1</v>
      </c>
      <c r="R126" s="29">
        <v>0</v>
      </c>
      <c r="S126" s="29">
        <v>0</v>
      </c>
      <c r="T126" s="29">
        <v>0</v>
      </c>
      <c r="U126" s="29">
        <v>0</v>
      </c>
      <c r="V126" s="29">
        <v>1</v>
      </c>
    </row>
    <row r="127" spans="1:22" ht="21" customHeight="1" x14ac:dyDescent="0.15">
      <c r="A127" s="2" t="str">
        <f ca="1">input_543100!A$2</f>
        <v>543100</v>
      </c>
      <c r="B127" s="6">
        <v>251</v>
      </c>
      <c r="C127" s="7" t="str">
        <f t="shared" si="2"/>
        <v>Premium4</v>
      </c>
      <c r="D127" s="7" t="str">
        <f t="shared" si="3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2">
        <f ca="1">IFERROR(VLOOKUP(B127,input_543100!L:R,7,FALSE),VLOOKUP(tables_543100!C127,input_543100!A:H,8,FALSE))</f>
        <v>821967.53845999995</v>
      </c>
      <c r="P127" s="43">
        <f ca="1">O127/SUM(O:O)</f>
        <v>6.3619778518536523E-3</v>
      </c>
      <c r="Q127" s="29">
        <v>1</v>
      </c>
      <c r="R127" s="29">
        <v>0</v>
      </c>
      <c r="S127" s="29">
        <v>0</v>
      </c>
      <c r="T127" s="29">
        <v>0</v>
      </c>
      <c r="U127" s="29">
        <v>0</v>
      </c>
      <c r="V127" s="29">
        <v>1</v>
      </c>
    </row>
    <row r="128" spans="1:22" ht="21" customHeight="1" x14ac:dyDescent="0.15">
      <c r="A128" s="2" t="str">
        <f ca="1">input_543100!A$2</f>
        <v>543100</v>
      </c>
      <c r="B128" s="6">
        <v>252</v>
      </c>
      <c r="C128" s="7" t="str">
        <f t="shared" si="2"/>
        <v>Premium5</v>
      </c>
      <c r="D128" s="7" t="str">
        <f t="shared" si="3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2">
        <f ca="1">IFERROR(VLOOKUP(B128,input_543100!L:R,7,FALSE),VLOOKUP(tables_543100!C128,input_543100!A:H,8,FALSE))</f>
        <v>67472.461540000004</v>
      </c>
      <c r="P128" s="43">
        <f ca="1">O128/SUM(O:O)</f>
        <v>5.2223267445788155E-4</v>
      </c>
      <c r="Q128" s="29">
        <v>1</v>
      </c>
      <c r="R128" s="29">
        <v>0</v>
      </c>
      <c r="S128" s="29">
        <v>0</v>
      </c>
      <c r="T128" s="29">
        <v>0</v>
      </c>
      <c r="U128" s="29">
        <v>0</v>
      </c>
      <c r="V128" s="29">
        <v>1</v>
      </c>
    </row>
    <row r="129" spans="1:22" ht="21" customHeight="1" x14ac:dyDescent="0.15">
      <c r="A129" s="2" t="str">
        <f ca="1">input_543100!A$2</f>
        <v>543100</v>
      </c>
      <c r="B129" s="6">
        <v>253</v>
      </c>
      <c r="C129" s="7" t="str">
        <f t="shared" si="2"/>
        <v>Premium3</v>
      </c>
      <c r="D129" s="7" t="str">
        <f t="shared" si="3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2">
        <f ca="1">IFERROR(VLOOKUP(B129,input_543100!L:R,7,FALSE),VLOOKUP(tables_543100!C129,input_543100!A:H,8,FALSE))</f>
        <v>0</v>
      </c>
      <c r="P129" s="43">
        <f ca="1">O129/SUM(O:O)</f>
        <v>0</v>
      </c>
      <c r="Q129" s="29">
        <v>1</v>
      </c>
      <c r="R129" s="29">
        <v>0</v>
      </c>
      <c r="S129" s="29">
        <v>0</v>
      </c>
      <c r="T129" s="29">
        <v>0</v>
      </c>
      <c r="U129" s="29">
        <v>0</v>
      </c>
      <c r="V129" s="29">
        <v>1</v>
      </c>
    </row>
    <row r="130" spans="1:22" ht="21" customHeight="1" x14ac:dyDescent="0.15">
      <c r="A130" s="2" t="str">
        <f ca="1">input_543100!A$2</f>
        <v>543100</v>
      </c>
      <c r="B130" s="6">
        <v>254</v>
      </c>
      <c r="C130" s="7" t="str">
        <f t="shared" ref="C130:C193" si="4">D130&amp;J130&amp;E130&amp;F130&amp;G130</f>
        <v>Premium4</v>
      </c>
      <c r="D130" s="7" t="str">
        <f t="shared" si="3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2">
        <f ca="1">IFERROR(VLOOKUP(B130,input_543100!L:R,7,FALSE),VLOOKUP(tables_543100!C130,input_543100!A:H,8,FALSE))</f>
        <v>821967.53845999995</v>
      </c>
      <c r="P130" s="43">
        <f ca="1">O130/SUM(O:O)</f>
        <v>6.3619778518536523E-3</v>
      </c>
      <c r="Q130" s="29">
        <v>1</v>
      </c>
      <c r="R130" s="29">
        <v>0</v>
      </c>
      <c r="S130" s="29">
        <v>0</v>
      </c>
      <c r="T130" s="29">
        <v>0</v>
      </c>
      <c r="U130" s="29">
        <v>0</v>
      </c>
      <c r="V130" s="29">
        <v>1</v>
      </c>
    </row>
    <row r="131" spans="1:22" ht="21" customHeight="1" x14ac:dyDescent="0.15">
      <c r="A131" s="2" t="str">
        <f ca="1">input_543100!A$2</f>
        <v>543100</v>
      </c>
      <c r="B131" s="6">
        <v>255</v>
      </c>
      <c r="C131" s="7" t="str">
        <f t="shared" si="4"/>
        <v>Premium5</v>
      </c>
      <c r="D131" s="7" t="str">
        <f t="shared" ref="D131:D194" si="5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2">
        <f ca="1">IFERROR(VLOOKUP(B131,input_543100!L:R,7,FALSE),VLOOKUP(tables_543100!C131,input_543100!A:H,8,FALSE))</f>
        <v>67472.461540000004</v>
      </c>
      <c r="P131" s="43">
        <f ca="1">O131/SUM(O:O)</f>
        <v>5.2223267445788155E-4</v>
      </c>
      <c r="Q131" s="29">
        <v>1</v>
      </c>
      <c r="R131" s="29">
        <v>0</v>
      </c>
      <c r="S131" s="29">
        <v>0</v>
      </c>
      <c r="T131" s="29">
        <v>0</v>
      </c>
      <c r="U131" s="29">
        <v>0</v>
      </c>
      <c r="V131" s="29">
        <v>1</v>
      </c>
    </row>
    <row r="132" spans="1:22" ht="21" customHeight="1" x14ac:dyDescent="0.15">
      <c r="A132" s="2" t="str">
        <f ca="1">input_543100!A$2</f>
        <v>543100</v>
      </c>
      <c r="B132" s="6">
        <v>256</v>
      </c>
      <c r="C132" s="7" t="str">
        <f t="shared" si="4"/>
        <v>Premium3</v>
      </c>
      <c r="D132" s="7" t="str">
        <f t="shared" si="5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2">
        <f ca="1">IFERROR(VLOOKUP(B132,input_543100!L:R,7,FALSE),VLOOKUP(tables_543100!C132,input_543100!A:H,8,FALSE))</f>
        <v>0</v>
      </c>
      <c r="P132" s="43">
        <f ca="1">O132/SUM(O:O)</f>
        <v>0</v>
      </c>
      <c r="Q132" s="29">
        <v>1</v>
      </c>
      <c r="R132" s="29">
        <v>0</v>
      </c>
      <c r="S132" s="29">
        <v>0</v>
      </c>
      <c r="T132" s="29">
        <v>0</v>
      </c>
      <c r="U132" s="29">
        <v>0</v>
      </c>
      <c r="V132" s="29">
        <v>1</v>
      </c>
    </row>
    <row r="133" spans="1:22" ht="21" customHeight="1" x14ac:dyDescent="0.15">
      <c r="A133" s="2" t="str">
        <f ca="1">input_543100!A$2</f>
        <v>543100</v>
      </c>
      <c r="B133" s="6">
        <v>257</v>
      </c>
      <c r="C133" s="7" t="str">
        <f t="shared" si="4"/>
        <v>Premium4</v>
      </c>
      <c r="D133" s="7" t="str">
        <f t="shared" si="5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2">
        <f ca="1">IFERROR(VLOOKUP(B133,input_543100!L:R,7,FALSE),VLOOKUP(tables_543100!C133,input_543100!A:H,8,FALSE))</f>
        <v>821967.53845999995</v>
      </c>
      <c r="P133" s="43">
        <f ca="1">O133/SUM(O:O)</f>
        <v>6.3619778518536523E-3</v>
      </c>
      <c r="Q133" s="29">
        <v>1</v>
      </c>
      <c r="R133" s="29">
        <v>0</v>
      </c>
      <c r="S133" s="29">
        <v>0</v>
      </c>
      <c r="T133" s="29">
        <v>0</v>
      </c>
      <c r="U133" s="29">
        <v>0</v>
      </c>
      <c r="V133" s="29">
        <v>1</v>
      </c>
    </row>
    <row r="134" spans="1:22" ht="21" customHeight="1" x14ac:dyDescent="0.15">
      <c r="A134" s="2" t="str">
        <f ca="1">input_543100!A$2</f>
        <v>543100</v>
      </c>
      <c r="B134" s="6">
        <v>258</v>
      </c>
      <c r="C134" s="7" t="str">
        <f t="shared" si="4"/>
        <v>Premium5</v>
      </c>
      <c r="D134" s="7" t="str">
        <f t="shared" si="5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2">
        <f ca="1">IFERROR(VLOOKUP(B134,input_543100!L:R,7,FALSE),VLOOKUP(tables_543100!C134,input_543100!A:H,8,FALSE))</f>
        <v>67472.461540000004</v>
      </c>
      <c r="P134" s="43">
        <f ca="1">O134/SUM(O:O)</f>
        <v>5.2223267445788155E-4</v>
      </c>
      <c r="Q134" s="29">
        <v>1</v>
      </c>
      <c r="R134" s="29">
        <v>0</v>
      </c>
      <c r="S134" s="29">
        <v>0</v>
      </c>
      <c r="T134" s="29">
        <v>0</v>
      </c>
      <c r="U134" s="29">
        <v>0</v>
      </c>
      <c r="V134" s="29">
        <v>1</v>
      </c>
    </row>
    <row r="135" spans="1:22" ht="21" customHeight="1" x14ac:dyDescent="0.15">
      <c r="A135" s="2" t="str">
        <f ca="1">input_543100!A$2</f>
        <v>543100</v>
      </c>
      <c r="B135" s="8">
        <v>259</v>
      </c>
      <c r="C135" s="7" t="str">
        <f t="shared" si="4"/>
        <v>Premium3</v>
      </c>
      <c r="D135" s="7" t="str">
        <f t="shared" si="5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2">
        <f ca="1">IFERROR(VLOOKUP(B135,input_543100!L:R,7,FALSE),VLOOKUP(tables_543100!C135,input_543100!A:H,8,FALSE))</f>
        <v>0</v>
      </c>
      <c r="P135" s="43">
        <f ca="1">O135/SUM(O:O)</f>
        <v>0</v>
      </c>
      <c r="Q135" s="29">
        <v>1</v>
      </c>
      <c r="R135" s="29">
        <v>0</v>
      </c>
      <c r="S135" s="29">
        <v>0</v>
      </c>
      <c r="T135" s="29">
        <v>0</v>
      </c>
      <c r="U135" s="29">
        <v>0</v>
      </c>
      <c r="V135" s="29">
        <v>1</v>
      </c>
    </row>
    <row r="136" spans="1:22" ht="21" customHeight="1" x14ac:dyDescent="0.15">
      <c r="A136" s="2" t="str">
        <f ca="1">input_543100!A$2</f>
        <v>543100</v>
      </c>
      <c r="B136" s="8">
        <v>260</v>
      </c>
      <c r="C136" s="7" t="str">
        <f t="shared" si="4"/>
        <v>Premium4</v>
      </c>
      <c r="D136" s="7" t="str">
        <f t="shared" si="5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2">
        <f ca="1">IFERROR(VLOOKUP(B136,input_543100!L:R,7,FALSE),VLOOKUP(tables_543100!C136,input_543100!A:H,8,FALSE))</f>
        <v>821967.53845999995</v>
      </c>
      <c r="P136" s="43">
        <f ca="1">O136/SUM(O:O)</f>
        <v>6.3619778518536523E-3</v>
      </c>
      <c r="Q136" s="29">
        <v>1</v>
      </c>
      <c r="R136" s="29">
        <v>0</v>
      </c>
      <c r="S136" s="29">
        <v>0</v>
      </c>
      <c r="T136" s="29">
        <v>0</v>
      </c>
      <c r="U136" s="29">
        <v>0</v>
      </c>
      <c r="V136" s="29">
        <v>1</v>
      </c>
    </row>
    <row r="137" spans="1:22" ht="21" customHeight="1" x14ac:dyDescent="0.15">
      <c r="A137" s="2" t="str">
        <f ca="1">input_543100!A$2</f>
        <v>543100</v>
      </c>
      <c r="B137" s="6">
        <v>261</v>
      </c>
      <c r="C137" s="7" t="str">
        <f t="shared" si="4"/>
        <v>Premium5</v>
      </c>
      <c r="D137" s="7" t="str">
        <f t="shared" si="5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2">
        <f ca="1">IFERROR(VLOOKUP(B137,input_543100!L:R,7,FALSE),VLOOKUP(tables_543100!C137,input_543100!A:H,8,FALSE))</f>
        <v>67472.461540000004</v>
      </c>
      <c r="P137" s="43">
        <f ca="1">O137/SUM(O:O)</f>
        <v>5.2223267445788155E-4</v>
      </c>
      <c r="Q137" s="29">
        <v>1</v>
      </c>
      <c r="R137" s="29">
        <v>0</v>
      </c>
      <c r="S137" s="29">
        <v>0</v>
      </c>
      <c r="T137" s="29">
        <v>0</v>
      </c>
      <c r="U137" s="29">
        <v>0</v>
      </c>
      <c r="V137" s="29">
        <v>1</v>
      </c>
    </row>
    <row r="138" spans="1:22" ht="21" customHeight="1" x14ac:dyDescent="0.15">
      <c r="A138" s="2" t="str">
        <f ca="1">input_543100!A$2</f>
        <v>543100</v>
      </c>
      <c r="B138" s="6">
        <v>320</v>
      </c>
      <c r="C138" s="7" t="str">
        <f t="shared" si="4"/>
        <v>PremiumSS4</v>
      </c>
      <c r="D138" s="7" t="str">
        <f t="shared" si="5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2">
        <f ca="1">IFERROR(VLOOKUP(B138,input_543100!L:R,7,FALSE),VLOOKUP(tables_543100!C138,input_543100!A:H,8,FALSE))</f>
        <v>81271.142860000007</v>
      </c>
      <c r="P138" s="43">
        <f ca="1">O138/SUM(O:O)</f>
        <v>6.2903361346710348E-4</v>
      </c>
      <c r="Q138" s="29">
        <v>1</v>
      </c>
      <c r="R138" s="29">
        <v>0</v>
      </c>
      <c r="S138" s="29">
        <v>0</v>
      </c>
      <c r="T138" s="29">
        <v>0</v>
      </c>
      <c r="U138" s="29">
        <v>0</v>
      </c>
      <c r="V138" s="29">
        <v>1</v>
      </c>
    </row>
    <row r="139" spans="1:22" ht="21" customHeight="1" x14ac:dyDescent="0.15">
      <c r="A139" s="2" t="str">
        <f ca="1">input_543100!A$2</f>
        <v>543100</v>
      </c>
      <c r="B139" s="6">
        <v>321</v>
      </c>
      <c r="C139" s="7" t="str">
        <f t="shared" si="4"/>
        <v>PremiumSS5</v>
      </c>
      <c r="D139" s="7" t="str">
        <f t="shared" si="5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2">
        <f ca="1">IFERROR(VLOOKUP(B139,input_543100!L:R,7,FALSE),VLOOKUP(tables_543100!C139,input_543100!A:H,8,FALSE))</f>
        <v>5586</v>
      </c>
      <c r="P139" s="43">
        <f ca="1">O139/SUM(O:O)</f>
        <v>4.3235294117620336E-5</v>
      </c>
      <c r="Q139" s="29">
        <v>1</v>
      </c>
      <c r="R139" s="29">
        <v>0</v>
      </c>
      <c r="S139" s="29">
        <v>0</v>
      </c>
      <c r="T139" s="29">
        <v>0</v>
      </c>
      <c r="U139" s="29">
        <v>0</v>
      </c>
      <c r="V139" s="29">
        <v>1</v>
      </c>
    </row>
    <row r="140" spans="1:22" ht="21" customHeight="1" x14ac:dyDescent="0.15">
      <c r="A140" s="2" t="str">
        <f ca="1">input_543100!A$2</f>
        <v>543100</v>
      </c>
      <c r="B140" s="6">
        <v>322</v>
      </c>
      <c r="C140" s="7" t="str">
        <f t="shared" si="4"/>
        <v>PremiumSS4</v>
      </c>
      <c r="D140" s="7" t="str">
        <f t="shared" si="5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2">
        <f ca="1">IFERROR(VLOOKUP(B140,input_543100!L:R,7,FALSE),VLOOKUP(tables_543100!C140,input_543100!A:H,8,FALSE))</f>
        <v>81271.142860000007</v>
      </c>
      <c r="P140" s="43">
        <f ca="1">O140/SUM(O:O)</f>
        <v>6.2903361346710348E-4</v>
      </c>
      <c r="Q140" s="29">
        <v>1</v>
      </c>
      <c r="R140" s="29">
        <v>0</v>
      </c>
      <c r="S140" s="29">
        <v>0</v>
      </c>
      <c r="T140" s="29">
        <v>0</v>
      </c>
      <c r="U140" s="29">
        <v>0</v>
      </c>
      <c r="V140" s="29">
        <v>1</v>
      </c>
    </row>
    <row r="141" spans="1:22" ht="21" customHeight="1" x14ac:dyDescent="0.15">
      <c r="A141" s="2" t="str">
        <f ca="1">input_543100!A$2</f>
        <v>543100</v>
      </c>
      <c r="B141" s="6">
        <v>323</v>
      </c>
      <c r="C141" s="7" t="str">
        <f t="shared" si="4"/>
        <v>PremiumSS5</v>
      </c>
      <c r="D141" s="7" t="str">
        <f t="shared" si="5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2">
        <f ca="1">IFERROR(VLOOKUP(B141,input_543100!L:R,7,FALSE),VLOOKUP(tables_543100!C141,input_543100!A:H,8,FALSE))</f>
        <v>5586</v>
      </c>
      <c r="P141" s="43">
        <f ca="1">O141/SUM(O:O)</f>
        <v>4.3235294117620336E-5</v>
      </c>
      <c r="Q141" s="29">
        <v>1</v>
      </c>
      <c r="R141" s="29">
        <v>0</v>
      </c>
      <c r="S141" s="29">
        <v>0</v>
      </c>
      <c r="T141" s="29">
        <v>0</v>
      </c>
      <c r="U141" s="29">
        <v>0</v>
      </c>
      <c r="V141" s="29">
        <v>1</v>
      </c>
    </row>
    <row r="142" spans="1:22" ht="21" customHeight="1" x14ac:dyDescent="0.15">
      <c r="A142" s="2" t="str">
        <f ca="1">input_543100!A$2</f>
        <v>543100</v>
      </c>
      <c r="B142" s="6">
        <v>324</v>
      </c>
      <c r="C142" s="7" t="str">
        <f t="shared" si="4"/>
        <v>PremiumSS4</v>
      </c>
      <c r="D142" s="7" t="str">
        <f t="shared" si="5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2">
        <f ca="1">IFERROR(VLOOKUP(B142,input_543100!L:R,7,FALSE),VLOOKUP(tables_543100!C142,input_543100!A:H,8,FALSE))</f>
        <v>81271.142860000007</v>
      </c>
      <c r="P142" s="43">
        <f ca="1">O142/SUM(O:O)</f>
        <v>6.2903361346710348E-4</v>
      </c>
      <c r="Q142" s="29">
        <v>1</v>
      </c>
      <c r="R142" s="29">
        <v>0</v>
      </c>
      <c r="S142" s="29">
        <v>0</v>
      </c>
      <c r="T142" s="29">
        <v>0</v>
      </c>
      <c r="U142" s="29">
        <v>0</v>
      </c>
      <c r="V142" s="29">
        <v>1</v>
      </c>
    </row>
    <row r="143" spans="1:22" s="12" customFormat="1" ht="21" customHeight="1" thickBot="1" x14ac:dyDescent="0.2">
      <c r="A143" s="2" t="str">
        <f ca="1">input_543100!A$2</f>
        <v>543100</v>
      </c>
      <c r="B143" s="6">
        <v>325</v>
      </c>
      <c r="C143" s="7" t="str">
        <f t="shared" si="4"/>
        <v>PremiumSS5</v>
      </c>
      <c r="D143" s="7" t="str">
        <f t="shared" si="5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2">
        <f ca="1">IFERROR(VLOOKUP(B143,input_543100!L:R,7,FALSE),VLOOKUP(tables_543100!C143,input_543100!A:H,8,FALSE))</f>
        <v>5586</v>
      </c>
      <c r="P143" s="43">
        <f ca="1">O143/SUM(O:O)</f>
        <v>4.3235294117620336E-5</v>
      </c>
      <c r="Q143" s="29">
        <v>1</v>
      </c>
      <c r="R143" s="29">
        <v>0</v>
      </c>
      <c r="S143" s="29">
        <v>0</v>
      </c>
      <c r="T143" s="29">
        <v>0</v>
      </c>
      <c r="U143" s="29">
        <v>0</v>
      </c>
      <c r="V143" s="29">
        <v>1</v>
      </c>
    </row>
    <row r="144" spans="1:22" ht="21" customHeight="1" x14ac:dyDescent="0.15">
      <c r="A144" s="2" t="str">
        <f ca="1">input_543100!A$2</f>
        <v>543100</v>
      </c>
      <c r="B144" s="6">
        <v>326</v>
      </c>
      <c r="C144" s="7" t="str">
        <f t="shared" si="4"/>
        <v>PremiumSS4</v>
      </c>
      <c r="D144" s="7" t="str">
        <f t="shared" si="5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2">
        <f ca="1">IFERROR(VLOOKUP(B144,input_543100!L:R,7,FALSE),VLOOKUP(tables_543100!C144,input_543100!A:H,8,FALSE))</f>
        <v>81271.142860000007</v>
      </c>
      <c r="P144" s="43">
        <f ca="1">O144/SUM(O:O)</f>
        <v>6.2903361346710348E-4</v>
      </c>
      <c r="Q144" s="29">
        <v>1</v>
      </c>
      <c r="R144" s="29">
        <v>0</v>
      </c>
      <c r="S144" s="29">
        <v>0</v>
      </c>
      <c r="T144" s="29">
        <v>0</v>
      </c>
      <c r="U144" s="29">
        <v>0</v>
      </c>
      <c r="V144" s="29">
        <v>1</v>
      </c>
    </row>
    <row r="145" spans="1:22" ht="21" customHeight="1" x14ac:dyDescent="0.15">
      <c r="A145" s="2" t="str">
        <f ca="1">input_543100!A$2</f>
        <v>543100</v>
      </c>
      <c r="B145" s="6">
        <v>327</v>
      </c>
      <c r="C145" s="7" t="str">
        <f t="shared" si="4"/>
        <v>PremiumSS5</v>
      </c>
      <c r="D145" s="7" t="str">
        <f t="shared" si="5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2">
        <f ca="1">IFERROR(VLOOKUP(B145,input_543100!L:R,7,FALSE),VLOOKUP(tables_543100!C145,input_543100!A:H,8,FALSE))</f>
        <v>5586</v>
      </c>
      <c r="P145" s="43">
        <f ca="1">O145/SUM(O:O)</f>
        <v>4.3235294117620336E-5</v>
      </c>
      <c r="Q145" s="29">
        <v>1</v>
      </c>
      <c r="R145" s="29">
        <v>0</v>
      </c>
      <c r="S145" s="29">
        <v>0</v>
      </c>
      <c r="T145" s="29">
        <v>0</v>
      </c>
      <c r="U145" s="29">
        <v>0</v>
      </c>
      <c r="V145" s="29">
        <v>1</v>
      </c>
    </row>
    <row r="146" spans="1:22" ht="21" customHeight="1" x14ac:dyDescent="0.15">
      <c r="A146" s="2" t="str">
        <f ca="1">input_543100!A$2</f>
        <v>543100</v>
      </c>
      <c r="B146" s="6">
        <v>380</v>
      </c>
      <c r="C146" s="7" t="str">
        <f t="shared" si="4"/>
        <v>Premium3</v>
      </c>
      <c r="D146" s="7" t="str">
        <f t="shared" si="5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2">
        <f ca="1">IFERROR(VLOOKUP(B146,input_543100!L:R,7,FALSE),VLOOKUP(tables_543100!C146,input_543100!A:H,8,FALSE))</f>
        <v>0</v>
      </c>
      <c r="P146" s="43">
        <f ca="1">O146/SUM(O:O)</f>
        <v>0</v>
      </c>
      <c r="Q146" s="29">
        <v>1</v>
      </c>
      <c r="R146" s="29">
        <v>0</v>
      </c>
      <c r="S146" s="29">
        <v>0</v>
      </c>
      <c r="T146" s="29">
        <v>0</v>
      </c>
      <c r="U146" s="29">
        <v>0</v>
      </c>
      <c r="V146" s="29">
        <v>1</v>
      </c>
    </row>
    <row r="147" spans="1:22" ht="21" customHeight="1" x14ac:dyDescent="0.15">
      <c r="A147" s="2" t="str">
        <f ca="1">input_543100!A$2</f>
        <v>543100</v>
      </c>
      <c r="B147" s="6">
        <v>381</v>
      </c>
      <c r="C147" s="7" t="str">
        <f t="shared" si="4"/>
        <v>Premium4</v>
      </c>
      <c r="D147" s="7" t="str">
        <f t="shared" si="5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2">
        <f ca="1">IFERROR(VLOOKUP(B147,input_543100!L:R,7,FALSE),VLOOKUP(tables_543100!C147,input_543100!A:H,8,FALSE))</f>
        <v>821967.53845999995</v>
      </c>
      <c r="P147" s="43">
        <f ca="1">O147/SUM(O:O)</f>
        <v>6.3619778518536523E-3</v>
      </c>
      <c r="Q147" s="29">
        <v>1</v>
      </c>
      <c r="R147" s="29">
        <v>0</v>
      </c>
      <c r="S147" s="29">
        <v>0</v>
      </c>
      <c r="T147" s="29">
        <v>0</v>
      </c>
      <c r="U147" s="29">
        <v>0</v>
      </c>
      <c r="V147" s="29">
        <v>1</v>
      </c>
    </row>
    <row r="148" spans="1:22" ht="21" customHeight="1" x14ac:dyDescent="0.15">
      <c r="A148" s="2" t="str">
        <f ca="1">input_543100!A$2</f>
        <v>543100</v>
      </c>
      <c r="B148" s="6">
        <v>382</v>
      </c>
      <c r="C148" s="7" t="str">
        <f t="shared" si="4"/>
        <v>Premium5</v>
      </c>
      <c r="D148" s="7" t="str">
        <f t="shared" si="5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2">
        <f ca="1">IFERROR(VLOOKUP(B148,input_543100!L:R,7,FALSE),VLOOKUP(tables_543100!C148,input_543100!A:H,8,FALSE))</f>
        <v>67472.461540000004</v>
      </c>
      <c r="P148" s="43">
        <f ca="1">O148/SUM(O:O)</f>
        <v>5.2223267445788155E-4</v>
      </c>
      <c r="Q148" s="29">
        <v>1</v>
      </c>
      <c r="R148" s="29">
        <v>0</v>
      </c>
      <c r="S148" s="29">
        <v>0</v>
      </c>
      <c r="T148" s="29">
        <v>0</v>
      </c>
      <c r="U148" s="29">
        <v>0</v>
      </c>
      <c r="V148" s="29">
        <v>1</v>
      </c>
    </row>
    <row r="149" spans="1:22" ht="21" customHeight="1" x14ac:dyDescent="0.15">
      <c r="A149" s="2" t="str">
        <f ca="1">input_543100!A$2</f>
        <v>543100</v>
      </c>
      <c r="B149" s="6">
        <v>383</v>
      </c>
      <c r="C149" s="7" t="str">
        <f t="shared" si="4"/>
        <v>PremiumSS4</v>
      </c>
      <c r="D149" s="7" t="str">
        <f t="shared" si="5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2">
        <f ca="1">IFERROR(VLOOKUP(B149,input_543100!L:R,7,FALSE),VLOOKUP(tables_543100!C149,input_543100!A:H,8,FALSE))</f>
        <v>81271.142860000007</v>
      </c>
      <c r="P149" s="43">
        <f ca="1">O149/SUM(O:O)</f>
        <v>6.2903361346710348E-4</v>
      </c>
      <c r="Q149" s="29">
        <v>1</v>
      </c>
      <c r="R149" s="29">
        <v>0</v>
      </c>
      <c r="S149" s="29">
        <v>0</v>
      </c>
      <c r="T149" s="29">
        <v>0</v>
      </c>
      <c r="U149" s="29">
        <v>0</v>
      </c>
      <c r="V149" s="29">
        <v>1</v>
      </c>
    </row>
    <row r="150" spans="1:22" ht="21" customHeight="1" x14ac:dyDescent="0.15">
      <c r="A150" s="2" t="str">
        <f ca="1">input_543100!A$2</f>
        <v>543100</v>
      </c>
      <c r="B150" s="6">
        <v>384</v>
      </c>
      <c r="C150" s="7" t="str">
        <f t="shared" si="4"/>
        <v>PremiumSS5</v>
      </c>
      <c r="D150" s="7" t="str">
        <f t="shared" si="5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2">
        <f ca="1">IFERROR(VLOOKUP(B150,input_543100!L:R,7,FALSE),VLOOKUP(tables_543100!C150,input_543100!A:H,8,FALSE))</f>
        <v>5586</v>
      </c>
      <c r="P150" s="43">
        <f ca="1">O150/SUM(O:O)</f>
        <v>4.3235294117620336E-5</v>
      </c>
      <c r="Q150" s="29">
        <v>1</v>
      </c>
      <c r="R150" s="29">
        <v>0</v>
      </c>
      <c r="S150" s="29">
        <v>0</v>
      </c>
      <c r="T150" s="29">
        <v>0</v>
      </c>
      <c r="U150" s="29">
        <v>0</v>
      </c>
      <c r="V150" s="29">
        <v>1</v>
      </c>
    </row>
    <row r="151" spans="1:22" ht="21" customHeight="1" x14ac:dyDescent="0.15">
      <c r="A151" s="2" t="str">
        <f ca="1">input_543100!A$2</f>
        <v>543100</v>
      </c>
      <c r="B151" s="6">
        <v>385</v>
      </c>
      <c r="C151" s="7" t="str">
        <f t="shared" si="4"/>
        <v>PremiumSS4</v>
      </c>
      <c r="D151" s="7" t="str">
        <f t="shared" si="5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2">
        <f ca="1">IFERROR(VLOOKUP(B151,input_543100!L:R,7,FALSE),VLOOKUP(tables_543100!C151,input_543100!A:H,8,FALSE))</f>
        <v>81271.142860000007</v>
      </c>
      <c r="P151" s="43">
        <f ca="1">O151/SUM(O:O)</f>
        <v>6.2903361346710348E-4</v>
      </c>
      <c r="Q151" s="29">
        <v>1</v>
      </c>
      <c r="R151" s="29">
        <v>0</v>
      </c>
      <c r="S151" s="29">
        <v>0</v>
      </c>
      <c r="T151" s="29">
        <v>0</v>
      </c>
      <c r="U151" s="29">
        <v>0</v>
      </c>
      <c r="V151" s="29">
        <v>1</v>
      </c>
    </row>
    <row r="152" spans="1:22" ht="21" customHeight="1" x14ac:dyDescent="0.15">
      <c r="A152" s="2" t="str">
        <f ca="1">input_543100!A$2</f>
        <v>543100</v>
      </c>
      <c r="B152" s="6">
        <v>386</v>
      </c>
      <c r="C152" s="7" t="str">
        <f t="shared" si="4"/>
        <v>PremiumSS5</v>
      </c>
      <c r="D152" s="7" t="str">
        <f t="shared" si="5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2">
        <f ca="1">IFERROR(VLOOKUP(B152,input_543100!L:R,7,FALSE),VLOOKUP(tables_543100!C152,input_543100!A:H,8,FALSE))</f>
        <v>5586</v>
      </c>
      <c r="P152" s="43">
        <f ca="1">O152/SUM(O:O)</f>
        <v>4.3235294117620336E-5</v>
      </c>
      <c r="Q152" s="29">
        <v>1</v>
      </c>
      <c r="R152" s="29">
        <v>0</v>
      </c>
      <c r="S152" s="29">
        <v>0</v>
      </c>
      <c r="T152" s="29">
        <v>0</v>
      </c>
      <c r="U152" s="29">
        <v>0</v>
      </c>
      <c r="V152" s="29">
        <v>1</v>
      </c>
    </row>
    <row r="153" spans="1:22" ht="21" customHeight="1" x14ac:dyDescent="0.15">
      <c r="A153" s="2" t="str">
        <f ca="1">input_543100!A$2</f>
        <v>543100</v>
      </c>
      <c r="B153" s="6">
        <v>387</v>
      </c>
      <c r="C153" s="7" t="str">
        <f t="shared" si="4"/>
        <v>Premium3</v>
      </c>
      <c r="D153" s="7" t="str">
        <f t="shared" si="5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2">
        <f ca="1">IFERROR(VLOOKUP(B153,input_543100!L:R,7,FALSE),VLOOKUP(tables_543100!C153,input_543100!A:H,8,FALSE))</f>
        <v>0</v>
      </c>
      <c r="P153" s="43">
        <f ca="1">O153/SUM(O:O)</f>
        <v>0</v>
      </c>
      <c r="Q153" s="29">
        <v>1</v>
      </c>
      <c r="R153" s="29">
        <v>0</v>
      </c>
      <c r="S153" s="29">
        <v>0</v>
      </c>
      <c r="T153" s="29">
        <v>0</v>
      </c>
      <c r="U153" s="29">
        <v>0</v>
      </c>
      <c r="V153" s="29">
        <v>1</v>
      </c>
    </row>
    <row r="154" spans="1:22" ht="21" customHeight="1" x14ac:dyDescent="0.15">
      <c r="A154" s="2" t="str">
        <f ca="1">input_543100!A$2</f>
        <v>543100</v>
      </c>
      <c r="B154" s="6">
        <v>388</v>
      </c>
      <c r="C154" s="7" t="str">
        <f t="shared" si="4"/>
        <v>Premium4</v>
      </c>
      <c r="D154" s="7" t="str">
        <f t="shared" si="5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2">
        <f ca="1">IFERROR(VLOOKUP(B154,input_543100!L:R,7,FALSE),VLOOKUP(tables_543100!C154,input_543100!A:H,8,FALSE))</f>
        <v>821967.53845999995</v>
      </c>
      <c r="P154" s="43">
        <f ca="1">O154/SUM(O:O)</f>
        <v>6.3619778518536523E-3</v>
      </c>
      <c r="Q154" s="29">
        <v>1</v>
      </c>
      <c r="R154" s="29">
        <v>0</v>
      </c>
      <c r="S154" s="29">
        <v>0</v>
      </c>
      <c r="T154" s="29">
        <v>0</v>
      </c>
      <c r="U154" s="29">
        <v>0</v>
      </c>
      <c r="V154" s="29">
        <v>1</v>
      </c>
    </row>
    <row r="155" spans="1:22" ht="21" customHeight="1" x14ac:dyDescent="0.15">
      <c r="A155" s="2" t="str">
        <f ca="1">input_543100!A$2</f>
        <v>543100</v>
      </c>
      <c r="B155" s="6">
        <v>389</v>
      </c>
      <c r="C155" s="7" t="str">
        <f t="shared" si="4"/>
        <v>Premium5</v>
      </c>
      <c r="D155" s="7" t="str">
        <f t="shared" si="5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2">
        <f ca="1">IFERROR(VLOOKUP(B155,input_543100!L:R,7,FALSE),VLOOKUP(tables_543100!C155,input_543100!A:H,8,FALSE))</f>
        <v>67472.461540000004</v>
      </c>
      <c r="P155" s="43">
        <f ca="1">O155/SUM(O:O)</f>
        <v>5.2223267445788155E-4</v>
      </c>
      <c r="Q155" s="29">
        <v>1</v>
      </c>
      <c r="R155" s="29">
        <v>0</v>
      </c>
      <c r="S155" s="29">
        <v>0</v>
      </c>
      <c r="T155" s="29">
        <v>0</v>
      </c>
      <c r="U155" s="29">
        <v>0</v>
      </c>
      <c r="V155" s="29">
        <v>1</v>
      </c>
    </row>
    <row r="156" spans="1:22" ht="21" customHeight="1" x14ac:dyDescent="0.15">
      <c r="A156" s="2" t="str">
        <f ca="1">input_543100!A$2</f>
        <v>543100</v>
      </c>
      <c r="B156" s="6">
        <v>390</v>
      </c>
      <c r="C156" s="7" t="str">
        <f t="shared" si="4"/>
        <v>PremiumSS4</v>
      </c>
      <c r="D156" s="7" t="str">
        <f t="shared" si="5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2">
        <f ca="1">IFERROR(VLOOKUP(B156,input_543100!L:R,7,FALSE),VLOOKUP(tables_543100!C156,input_543100!A:H,8,FALSE))</f>
        <v>81271.142860000007</v>
      </c>
      <c r="P156" s="43">
        <f ca="1">O156/SUM(O:O)</f>
        <v>6.2903361346710348E-4</v>
      </c>
      <c r="Q156" s="29">
        <v>1</v>
      </c>
      <c r="R156" s="29">
        <v>0</v>
      </c>
      <c r="S156" s="29">
        <v>0</v>
      </c>
      <c r="T156" s="29">
        <v>0</v>
      </c>
      <c r="U156" s="29">
        <v>0</v>
      </c>
      <c r="V156" s="29">
        <v>1</v>
      </c>
    </row>
    <row r="157" spans="1:22" ht="21" customHeight="1" x14ac:dyDescent="0.15">
      <c r="A157" s="2" t="str">
        <f ca="1">input_543100!A$2</f>
        <v>543100</v>
      </c>
      <c r="B157" s="6">
        <v>391</v>
      </c>
      <c r="C157" s="7" t="str">
        <f t="shared" si="4"/>
        <v>PremiumSS5</v>
      </c>
      <c r="D157" s="7" t="str">
        <f t="shared" si="5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2">
        <f ca="1">IFERROR(VLOOKUP(B157,input_543100!L:R,7,FALSE),VLOOKUP(tables_543100!C157,input_543100!A:H,8,FALSE))</f>
        <v>5586</v>
      </c>
      <c r="P157" s="43">
        <f ca="1">O157/SUM(O:O)</f>
        <v>4.3235294117620336E-5</v>
      </c>
      <c r="Q157" s="29">
        <v>1</v>
      </c>
      <c r="R157" s="29">
        <v>0</v>
      </c>
      <c r="S157" s="29">
        <v>0</v>
      </c>
      <c r="T157" s="29">
        <v>0</v>
      </c>
      <c r="U157" s="29">
        <v>0</v>
      </c>
      <c r="V157" s="29">
        <v>1</v>
      </c>
    </row>
    <row r="158" spans="1:22" ht="21" customHeight="1" x14ac:dyDescent="0.15">
      <c r="A158" s="2" t="str">
        <f ca="1">input_543100!A$2</f>
        <v>543100</v>
      </c>
      <c r="B158" s="6">
        <v>392</v>
      </c>
      <c r="C158" s="7" t="str">
        <f t="shared" si="4"/>
        <v>Premium3</v>
      </c>
      <c r="D158" s="7" t="str">
        <f t="shared" si="5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2">
        <f ca="1">IFERROR(VLOOKUP(B158,input_543100!L:R,7,FALSE),VLOOKUP(tables_543100!C158,input_543100!A:H,8,FALSE))</f>
        <v>0</v>
      </c>
      <c r="P158" s="43">
        <f ca="1">O158/SUM(O:O)</f>
        <v>0</v>
      </c>
      <c r="Q158" s="29">
        <v>1</v>
      </c>
      <c r="R158" s="29">
        <v>0</v>
      </c>
      <c r="S158" s="29">
        <v>0</v>
      </c>
      <c r="T158" s="29">
        <v>0</v>
      </c>
      <c r="U158" s="29">
        <v>0</v>
      </c>
      <c r="V158" s="29">
        <v>1</v>
      </c>
    </row>
    <row r="159" spans="1:22" ht="21" customHeight="1" x14ac:dyDescent="0.15">
      <c r="A159" s="2" t="str">
        <f ca="1">input_543100!A$2</f>
        <v>543100</v>
      </c>
      <c r="B159" s="6">
        <v>393</v>
      </c>
      <c r="C159" s="7" t="str">
        <f t="shared" si="4"/>
        <v>Premium4</v>
      </c>
      <c r="D159" s="7" t="str">
        <f t="shared" si="5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2">
        <f ca="1">IFERROR(VLOOKUP(B159,input_543100!L:R,7,FALSE),VLOOKUP(tables_543100!C159,input_543100!A:H,8,FALSE))</f>
        <v>821967.53845999995</v>
      </c>
      <c r="P159" s="43">
        <f ca="1">O159/SUM(O:O)</f>
        <v>6.3619778518536523E-3</v>
      </c>
      <c r="Q159" s="29">
        <v>1</v>
      </c>
      <c r="R159" s="29">
        <v>0</v>
      </c>
      <c r="S159" s="29">
        <v>0</v>
      </c>
      <c r="T159" s="29">
        <v>0</v>
      </c>
      <c r="U159" s="29">
        <v>0</v>
      </c>
      <c r="V159" s="29">
        <v>1</v>
      </c>
    </row>
    <row r="160" spans="1:22" ht="21" customHeight="1" x14ac:dyDescent="0.15">
      <c r="A160" s="2" t="str">
        <f ca="1">input_543100!A$2</f>
        <v>543100</v>
      </c>
      <c r="B160" s="6">
        <v>394</v>
      </c>
      <c r="C160" s="7" t="str">
        <f t="shared" si="4"/>
        <v>Premium5</v>
      </c>
      <c r="D160" s="7" t="str">
        <f t="shared" si="5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2">
        <f ca="1">IFERROR(VLOOKUP(B160,input_543100!L:R,7,FALSE),VLOOKUP(tables_543100!C160,input_543100!A:H,8,FALSE))</f>
        <v>67472.461540000004</v>
      </c>
      <c r="P160" s="43">
        <f ca="1">O160/SUM(O:O)</f>
        <v>5.2223267445788155E-4</v>
      </c>
      <c r="Q160" s="29">
        <v>1</v>
      </c>
      <c r="R160" s="29">
        <v>0</v>
      </c>
      <c r="S160" s="29">
        <v>0</v>
      </c>
      <c r="T160" s="29">
        <v>0</v>
      </c>
      <c r="U160" s="29">
        <v>0</v>
      </c>
      <c r="V160" s="29">
        <v>1</v>
      </c>
    </row>
    <row r="161" spans="1:22" ht="21" customHeight="1" x14ac:dyDescent="0.15">
      <c r="A161" s="2" t="str">
        <f ca="1">input_543100!A$2</f>
        <v>543100</v>
      </c>
      <c r="B161" s="6">
        <v>395</v>
      </c>
      <c r="C161" s="7" t="str">
        <f t="shared" si="4"/>
        <v>Premium3</v>
      </c>
      <c r="D161" s="7" t="str">
        <f t="shared" si="5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2">
        <f ca="1">IFERROR(VLOOKUP(B161,input_543100!L:R,7,FALSE),VLOOKUP(tables_543100!C161,input_543100!A:H,8,FALSE))</f>
        <v>0</v>
      </c>
      <c r="P161" s="43">
        <f ca="1">O161/SUM(O:O)</f>
        <v>0</v>
      </c>
      <c r="Q161" s="29">
        <v>1</v>
      </c>
      <c r="R161" s="29">
        <v>0</v>
      </c>
      <c r="S161" s="29">
        <v>0</v>
      </c>
      <c r="T161" s="29">
        <v>0</v>
      </c>
      <c r="U161" s="29">
        <v>0</v>
      </c>
      <c r="V161" s="29">
        <v>1</v>
      </c>
    </row>
    <row r="162" spans="1:22" ht="21" customHeight="1" x14ac:dyDescent="0.15">
      <c r="A162" s="2" t="str">
        <f ca="1">input_543100!A$2</f>
        <v>543100</v>
      </c>
      <c r="B162" s="6">
        <v>396</v>
      </c>
      <c r="C162" s="7" t="str">
        <f t="shared" si="4"/>
        <v>Premium4</v>
      </c>
      <c r="D162" s="7" t="str">
        <f t="shared" si="5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2">
        <f ca="1">IFERROR(VLOOKUP(B162,input_543100!L:R,7,FALSE),VLOOKUP(tables_543100!C162,input_543100!A:H,8,FALSE))</f>
        <v>821967.53845999995</v>
      </c>
      <c r="P162" s="43">
        <f ca="1">O162/SUM(O:O)</f>
        <v>6.3619778518536523E-3</v>
      </c>
      <c r="Q162" s="29">
        <v>1</v>
      </c>
      <c r="R162" s="29">
        <v>0</v>
      </c>
      <c r="S162" s="29">
        <v>0</v>
      </c>
      <c r="T162" s="29">
        <v>0</v>
      </c>
      <c r="U162" s="29">
        <v>0</v>
      </c>
      <c r="V162" s="29">
        <v>1</v>
      </c>
    </row>
    <row r="163" spans="1:22" ht="21" customHeight="1" x14ac:dyDescent="0.15">
      <c r="A163" s="2" t="str">
        <f ca="1">input_543100!A$2</f>
        <v>543100</v>
      </c>
      <c r="B163" s="6">
        <v>397</v>
      </c>
      <c r="C163" s="7" t="str">
        <f t="shared" si="4"/>
        <v>Premium5</v>
      </c>
      <c r="D163" s="7" t="str">
        <f t="shared" si="5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2">
        <f ca="1">IFERROR(VLOOKUP(B163,input_543100!L:R,7,FALSE),VLOOKUP(tables_543100!C163,input_543100!A:H,8,FALSE))</f>
        <v>67472.461540000004</v>
      </c>
      <c r="P163" s="43">
        <f ca="1">O163/SUM(O:O)</f>
        <v>5.2223267445788155E-4</v>
      </c>
      <c r="Q163" s="29">
        <v>1</v>
      </c>
      <c r="R163" s="29">
        <v>0</v>
      </c>
      <c r="S163" s="29">
        <v>0</v>
      </c>
      <c r="T163" s="29">
        <v>0</v>
      </c>
      <c r="U163" s="29">
        <v>0</v>
      </c>
      <c r="V163" s="29">
        <v>1</v>
      </c>
    </row>
    <row r="164" spans="1:22" ht="21" customHeight="1" x14ac:dyDescent="0.15">
      <c r="A164" s="2" t="str">
        <f ca="1">input_543100!A$2</f>
        <v>543100</v>
      </c>
      <c r="B164" s="6">
        <v>398</v>
      </c>
      <c r="C164" s="7" t="str">
        <f t="shared" si="4"/>
        <v>PremiumSS4</v>
      </c>
      <c r="D164" s="7" t="str">
        <f t="shared" si="5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2">
        <f ca="1">IFERROR(VLOOKUP(B164,input_543100!L:R,7,FALSE),VLOOKUP(tables_543100!C164,input_543100!A:H,8,FALSE))</f>
        <v>81271.142860000007</v>
      </c>
      <c r="P164" s="43">
        <f ca="1">O164/SUM(O:O)</f>
        <v>6.2903361346710348E-4</v>
      </c>
      <c r="Q164" s="29">
        <v>1</v>
      </c>
      <c r="R164" s="29">
        <v>0</v>
      </c>
      <c r="S164" s="29">
        <v>0</v>
      </c>
      <c r="T164" s="29">
        <v>0</v>
      </c>
      <c r="U164" s="29">
        <v>0</v>
      </c>
      <c r="V164" s="29">
        <v>1</v>
      </c>
    </row>
    <row r="165" spans="1:22" ht="21" customHeight="1" x14ac:dyDescent="0.15">
      <c r="A165" s="2" t="str">
        <f ca="1">input_543100!A$2</f>
        <v>543100</v>
      </c>
      <c r="B165" s="6">
        <v>399</v>
      </c>
      <c r="C165" s="7" t="str">
        <f t="shared" si="4"/>
        <v>PremiumSS5</v>
      </c>
      <c r="D165" s="7" t="str">
        <f t="shared" si="5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2">
        <f ca="1">IFERROR(VLOOKUP(B165,input_543100!L:R,7,FALSE),VLOOKUP(tables_543100!C165,input_543100!A:H,8,FALSE))</f>
        <v>5586</v>
      </c>
      <c r="P165" s="43">
        <f ca="1">O165/SUM(O:O)</f>
        <v>4.3235294117620336E-5</v>
      </c>
      <c r="Q165" s="29">
        <v>1</v>
      </c>
      <c r="R165" s="29">
        <v>0</v>
      </c>
      <c r="S165" s="29">
        <v>0</v>
      </c>
      <c r="T165" s="29">
        <v>0</v>
      </c>
      <c r="U165" s="29">
        <v>0</v>
      </c>
      <c r="V165" s="29">
        <v>1</v>
      </c>
    </row>
    <row r="166" spans="1:22" ht="21" customHeight="1" x14ac:dyDescent="0.15">
      <c r="A166" s="2" t="str">
        <f ca="1">input_543100!A$2</f>
        <v>543100</v>
      </c>
      <c r="B166" s="6">
        <v>400</v>
      </c>
      <c r="C166" s="7" t="str">
        <f t="shared" si="4"/>
        <v>Premium3</v>
      </c>
      <c r="D166" s="7" t="str">
        <f t="shared" si="5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2">
        <f ca="1">IFERROR(VLOOKUP(B166,input_543100!L:R,7,FALSE),VLOOKUP(tables_543100!C166,input_543100!A:H,8,FALSE))</f>
        <v>0</v>
      </c>
      <c r="P166" s="43">
        <f ca="1">O166/SUM(O:O)</f>
        <v>0</v>
      </c>
      <c r="Q166" s="29">
        <v>1</v>
      </c>
      <c r="R166" s="29">
        <v>0</v>
      </c>
      <c r="S166" s="29">
        <v>0</v>
      </c>
      <c r="T166" s="29">
        <v>0</v>
      </c>
      <c r="U166" s="29">
        <v>0</v>
      </c>
      <c r="V166" s="29">
        <v>1</v>
      </c>
    </row>
    <row r="167" spans="1:22" ht="21" customHeight="1" x14ac:dyDescent="0.15">
      <c r="A167" s="2" t="str">
        <f ca="1">input_543100!A$2</f>
        <v>543100</v>
      </c>
      <c r="B167" s="6">
        <v>401</v>
      </c>
      <c r="C167" s="7" t="str">
        <f t="shared" si="4"/>
        <v>Premium4</v>
      </c>
      <c r="D167" s="7" t="str">
        <f t="shared" si="5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2">
        <f ca="1">IFERROR(VLOOKUP(B167,input_543100!L:R,7,FALSE),VLOOKUP(tables_543100!C167,input_543100!A:H,8,FALSE))</f>
        <v>821967.53845999995</v>
      </c>
      <c r="P167" s="43">
        <f ca="1">O167/SUM(O:O)</f>
        <v>6.3619778518536523E-3</v>
      </c>
      <c r="Q167" s="29">
        <v>1</v>
      </c>
      <c r="R167" s="29">
        <v>0</v>
      </c>
      <c r="S167" s="29">
        <v>0</v>
      </c>
      <c r="T167" s="29">
        <v>0</v>
      </c>
      <c r="U167" s="29">
        <v>0</v>
      </c>
      <c r="V167" s="29">
        <v>1</v>
      </c>
    </row>
    <row r="168" spans="1:22" ht="21" customHeight="1" x14ac:dyDescent="0.15">
      <c r="A168" s="2" t="str">
        <f ca="1">input_543100!A$2</f>
        <v>543100</v>
      </c>
      <c r="B168" s="6">
        <v>402</v>
      </c>
      <c r="C168" s="7" t="str">
        <f t="shared" si="4"/>
        <v>Premium5</v>
      </c>
      <c r="D168" s="7" t="str">
        <f t="shared" si="5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2">
        <f ca="1">IFERROR(VLOOKUP(B168,input_543100!L:R,7,FALSE),VLOOKUP(tables_543100!C168,input_543100!A:H,8,FALSE))</f>
        <v>67472.461540000004</v>
      </c>
      <c r="P168" s="43">
        <f ca="1">O168/SUM(O:O)</f>
        <v>5.2223267445788155E-4</v>
      </c>
      <c r="Q168" s="29">
        <v>1</v>
      </c>
      <c r="R168" s="29">
        <v>0</v>
      </c>
      <c r="S168" s="29">
        <v>0</v>
      </c>
      <c r="T168" s="29">
        <v>0</v>
      </c>
      <c r="U168" s="29">
        <v>0</v>
      </c>
      <c r="V168" s="29">
        <v>1</v>
      </c>
    </row>
    <row r="169" spans="1:22" ht="21" customHeight="1" x14ac:dyDescent="0.15">
      <c r="A169" s="2" t="str">
        <f ca="1">input_543100!A$2</f>
        <v>543100</v>
      </c>
      <c r="B169" s="6">
        <v>403</v>
      </c>
      <c r="C169" s="7" t="str">
        <f t="shared" si="4"/>
        <v>PremiumSS4</v>
      </c>
      <c r="D169" s="7" t="str">
        <f t="shared" si="5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2">
        <f ca="1">IFERROR(VLOOKUP(B169,input_543100!L:R,7,FALSE),VLOOKUP(tables_543100!C169,input_543100!A:H,8,FALSE))</f>
        <v>81271.142860000007</v>
      </c>
      <c r="P169" s="43">
        <f ca="1">O169/SUM(O:O)</f>
        <v>6.2903361346710348E-4</v>
      </c>
      <c r="Q169" s="29">
        <v>1</v>
      </c>
      <c r="R169" s="29">
        <v>0</v>
      </c>
      <c r="S169" s="29">
        <v>0</v>
      </c>
      <c r="T169" s="29">
        <v>0</v>
      </c>
      <c r="U169" s="29">
        <v>0</v>
      </c>
      <c r="V169" s="29">
        <v>1</v>
      </c>
    </row>
    <row r="170" spans="1:22" ht="21" customHeight="1" x14ac:dyDescent="0.15">
      <c r="A170" s="2" t="str">
        <f ca="1">input_543100!A$2</f>
        <v>543100</v>
      </c>
      <c r="B170" s="6">
        <v>404</v>
      </c>
      <c r="C170" s="7" t="str">
        <f t="shared" si="4"/>
        <v>PremiumSS5</v>
      </c>
      <c r="D170" s="7" t="str">
        <f t="shared" si="5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2">
        <f ca="1">IFERROR(VLOOKUP(B170,input_543100!L:R,7,FALSE),VLOOKUP(tables_543100!C170,input_543100!A:H,8,FALSE))</f>
        <v>5586</v>
      </c>
      <c r="P170" s="43">
        <f ca="1">O170/SUM(O:O)</f>
        <v>4.3235294117620336E-5</v>
      </c>
      <c r="Q170" s="29">
        <v>1</v>
      </c>
      <c r="R170" s="29">
        <v>0</v>
      </c>
      <c r="S170" s="29">
        <v>0</v>
      </c>
      <c r="T170" s="29">
        <v>0</v>
      </c>
      <c r="U170" s="29">
        <v>0</v>
      </c>
      <c r="V170" s="29">
        <v>1</v>
      </c>
    </row>
    <row r="171" spans="1:22" ht="21" customHeight="1" x14ac:dyDescent="0.15">
      <c r="A171" s="2" t="str">
        <f ca="1">input_543100!A$2</f>
        <v>543100</v>
      </c>
      <c r="B171" s="6">
        <v>405</v>
      </c>
      <c r="C171" s="7" t="str">
        <f t="shared" si="4"/>
        <v>Premium3</v>
      </c>
      <c r="D171" s="7" t="str">
        <f t="shared" si="5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2">
        <f ca="1">IFERROR(VLOOKUP(B171,input_543100!L:R,7,FALSE),VLOOKUP(tables_543100!C171,input_543100!A:H,8,FALSE))</f>
        <v>0</v>
      </c>
      <c r="P171" s="43">
        <f ca="1">O171/SUM(O:O)</f>
        <v>0</v>
      </c>
      <c r="Q171" s="29">
        <v>1</v>
      </c>
      <c r="R171" s="29">
        <v>0</v>
      </c>
      <c r="S171" s="29">
        <v>0</v>
      </c>
      <c r="T171" s="29">
        <v>0</v>
      </c>
      <c r="U171" s="29">
        <v>0</v>
      </c>
      <c r="V171" s="29">
        <v>1</v>
      </c>
    </row>
    <row r="172" spans="1:22" ht="21" customHeight="1" x14ac:dyDescent="0.15">
      <c r="A172" s="2" t="str">
        <f ca="1">input_543100!A$2</f>
        <v>543100</v>
      </c>
      <c r="B172" s="6">
        <v>406</v>
      </c>
      <c r="C172" s="7" t="str">
        <f t="shared" si="4"/>
        <v>Premium4</v>
      </c>
      <c r="D172" s="7" t="str">
        <f t="shared" si="5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2">
        <f ca="1">IFERROR(VLOOKUP(B172,input_543100!L:R,7,FALSE),VLOOKUP(tables_543100!C172,input_543100!A:H,8,FALSE))</f>
        <v>821967.53845999995</v>
      </c>
      <c r="P172" s="43">
        <f ca="1">O172/SUM(O:O)</f>
        <v>6.3619778518536523E-3</v>
      </c>
      <c r="Q172" s="29">
        <v>1</v>
      </c>
      <c r="R172" s="29">
        <v>0</v>
      </c>
      <c r="S172" s="29">
        <v>0</v>
      </c>
      <c r="T172" s="29">
        <v>0</v>
      </c>
      <c r="U172" s="29">
        <v>0</v>
      </c>
      <c r="V172" s="29">
        <v>1</v>
      </c>
    </row>
    <row r="173" spans="1:22" ht="21" customHeight="1" x14ac:dyDescent="0.15">
      <c r="A173" s="2" t="str">
        <f ca="1">input_543100!A$2</f>
        <v>543100</v>
      </c>
      <c r="B173" s="6">
        <v>407</v>
      </c>
      <c r="C173" s="7" t="str">
        <f t="shared" si="4"/>
        <v>Premium5</v>
      </c>
      <c r="D173" s="7" t="str">
        <f t="shared" si="5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2">
        <f ca="1">IFERROR(VLOOKUP(B173,input_543100!L:R,7,FALSE),VLOOKUP(tables_543100!C173,input_543100!A:H,8,FALSE))</f>
        <v>67472.461540000004</v>
      </c>
      <c r="P173" s="43">
        <f ca="1">O173/SUM(O:O)</f>
        <v>5.2223267445788155E-4</v>
      </c>
      <c r="Q173" s="29">
        <v>1</v>
      </c>
      <c r="R173" s="29">
        <v>0</v>
      </c>
      <c r="S173" s="29">
        <v>0</v>
      </c>
      <c r="T173" s="29">
        <v>0</v>
      </c>
      <c r="U173" s="29">
        <v>0</v>
      </c>
      <c r="V173" s="29">
        <v>1</v>
      </c>
    </row>
    <row r="174" spans="1:22" ht="21" customHeight="1" x14ac:dyDescent="0.15">
      <c r="A174" s="2" t="str">
        <f ca="1">input_543100!A$2</f>
        <v>543100</v>
      </c>
      <c r="B174" s="6">
        <v>408</v>
      </c>
      <c r="C174" s="7" t="str">
        <f t="shared" si="4"/>
        <v>PremiumSS4</v>
      </c>
      <c r="D174" s="7" t="str">
        <f t="shared" si="5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2">
        <f ca="1">IFERROR(VLOOKUP(B174,input_543100!L:R,7,FALSE),VLOOKUP(tables_543100!C174,input_543100!A:H,8,FALSE))</f>
        <v>81271.142860000007</v>
      </c>
      <c r="P174" s="43">
        <f ca="1">O174/SUM(O:O)</f>
        <v>6.2903361346710348E-4</v>
      </c>
      <c r="Q174" s="29">
        <v>1</v>
      </c>
      <c r="R174" s="29">
        <v>0</v>
      </c>
      <c r="S174" s="29">
        <v>0</v>
      </c>
      <c r="T174" s="29">
        <v>0</v>
      </c>
      <c r="U174" s="29">
        <v>0</v>
      </c>
      <c r="V174" s="29">
        <v>1</v>
      </c>
    </row>
    <row r="175" spans="1:22" ht="21" customHeight="1" x14ac:dyDescent="0.15">
      <c r="A175" s="2" t="str">
        <f ca="1">input_543100!A$2</f>
        <v>543100</v>
      </c>
      <c r="B175" s="6">
        <v>409</v>
      </c>
      <c r="C175" s="7" t="str">
        <f t="shared" si="4"/>
        <v>PremiumSS5</v>
      </c>
      <c r="D175" s="7" t="str">
        <f t="shared" si="5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2">
        <f ca="1">IFERROR(VLOOKUP(B175,input_543100!L:R,7,FALSE),VLOOKUP(tables_543100!C175,input_543100!A:H,8,FALSE))</f>
        <v>5586</v>
      </c>
      <c r="P175" s="43">
        <f ca="1">O175/SUM(O:O)</f>
        <v>4.3235294117620336E-5</v>
      </c>
      <c r="Q175" s="29">
        <v>1</v>
      </c>
      <c r="R175" s="29">
        <v>0</v>
      </c>
      <c r="S175" s="29">
        <v>0</v>
      </c>
      <c r="T175" s="29">
        <v>0</v>
      </c>
      <c r="U175" s="29">
        <v>0</v>
      </c>
      <c r="V175" s="29">
        <v>1</v>
      </c>
    </row>
    <row r="176" spans="1:22" ht="21" customHeight="1" x14ac:dyDescent="0.15">
      <c r="A176" s="2" t="str">
        <f ca="1">input_543100!A$2</f>
        <v>543100</v>
      </c>
      <c r="B176" s="6">
        <v>434</v>
      </c>
      <c r="C176" s="7" t="str">
        <f t="shared" si="4"/>
        <v>PremiumSS4</v>
      </c>
      <c r="D176" s="7" t="str">
        <f t="shared" si="5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2">
        <f ca="1">IFERROR(VLOOKUP(B176,input_543100!L:R,7,FALSE),VLOOKUP(tables_543100!C176,input_543100!A:H,8,FALSE))</f>
        <v>81271.142860000007</v>
      </c>
      <c r="P176" s="43">
        <f ca="1">O176/SUM(O:O)</f>
        <v>6.2903361346710348E-4</v>
      </c>
      <c r="Q176" s="29">
        <v>1</v>
      </c>
      <c r="R176" s="29">
        <v>0</v>
      </c>
      <c r="S176" s="29">
        <v>0</v>
      </c>
      <c r="T176" s="29">
        <v>0</v>
      </c>
      <c r="U176" s="29">
        <v>0</v>
      </c>
      <c r="V176" s="29">
        <v>1</v>
      </c>
    </row>
    <row r="177" spans="1:22" ht="21" customHeight="1" x14ac:dyDescent="0.15">
      <c r="A177" s="2" t="str">
        <f ca="1">input_543100!A$2</f>
        <v>543100</v>
      </c>
      <c r="B177" s="6">
        <v>435</v>
      </c>
      <c r="C177" s="7" t="str">
        <f t="shared" si="4"/>
        <v>PremiumSS5</v>
      </c>
      <c r="D177" s="7" t="str">
        <f t="shared" si="5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2">
        <f ca="1">IFERROR(VLOOKUP(B177,input_543100!L:R,7,FALSE),VLOOKUP(tables_543100!C177,input_543100!A:H,8,FALSE))</f>
        <v>5586</v>
      </c>
      <c r="P177" s="43">
        <f ca="1">O177/SUM(O:O)</f>
        <v>4.3235294117620336E-5</v>
      </c>
      <c r="Q177" s="29">
        <v>1</v>
      </c>
      <c r="R177" s="29">
        <v>0</v>
      </c>
      <c r="S177" s="29">
        <v>0</v>
      </c>
      <c r="T177" s="29">
        <v>0</v>
      </c>
      <c r="U177" s="29">
        <v>0</v>
      </c>
      <c r="V177" s="29">
        <v>1</v>
      </c>
    </row>
    <row r="178" spans="1:22" ht="21" customHeight="1" x14ac:dyDescent="0.15">
      <c r="A178" s="2" t="str">
        <f ca="1">input_543100!A$2</f>
        <v>543100</v>
      </c>
      <c r="B178" s="6">
        <v>436</v>
      </c>
      <c r="C178" s="7" t="str">
        <f t="shared" si="4"/>
        <v>Premium3</v>
      </c>
      <c r="D178" s="7" t="str">
        <f t="shared" si="5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2">
        <f ca="1">IFERROR(VLOOKUP(B178,input_543100!L:R,7,FALSE),VLOOKUP(tables_543100!C178,input_543100!A:H,8,FALSE))</f>
        <v>0</v>
      </c>
      <c r="P178" s="43">
        <f ca="1">O178/SUM(O:O)</f>
        <v>0</v>
      </c>
      <c r="Q178" s="29">
        <v>1</v>
      </c>
      <c r="R178" s="29">
        <v>0</v>
      </c>
      <c r="S178" s="29">
        <v>0</v>
      </c>
      <c r="T178" s="29">
        <v>0</v>
      </c>
      <c r="U178" s="29">
        <v>0</v>
      </c>
      <c r="V178" s="29">
        <v>1</v>
      </c>
    </row>
    <row r="179" spans="1:22" ht="21" customHeight="1" x14ac:dyDescent="0.15">
      <c r="A179" s="2" t="str">
        <f ca="1">input_543100!A$2</f>
        <v>543100</v>
      </c>
      <c r="B179" s="6">
        <v>437</v>
      </c>
      <c r="C179" s="7" t="str">
        <f t="shared" si="4"/>
        <v>Premium4</v>
      </c>
      <c r="D179" s="7" t="str">
        <f t="shared" si="5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2">
        <f ca="1">IFERROR(VLOOKUP(B179,input_543100!L:R,7,FALSE),VLOOKUP(tables_543100!C179,input_543100!A:H,8,FALSE))</f>
        <v>821967.53845999995</v>
      </c>
      <c r="P179" s="43">
        <f ca="1">O179/SUM(O:O)</f>
        <v>6.3619778518536523E-3</v>
      </c>
      <c r="Q179" s="29">
        <v>1</v>
      </c>
      <c r="R179" s="29">
        <v>0</v>
      </c>
      <c r="S179" s="29">
        <v>0</v>
      </c>
      <c r="T179" s="29">
        <v>0</v>
      </c>
      <c r="U179" s="29">
        <v>0</v>
      </c>
      <c r="V179" s="29">
        <v>1</v>
      </c>
    </row>
    <row r="180" spans="1:22" ht="21" customHeight="1" x14ac:dyDescent="0.15">
      <c r="A180" s="2" t="str">
        <f ca="1">input_543100!A$2</f>
        <v>543100</v>
      </c>
      <c r="B180" s="6">
        <v>438</v>
      </c>
      <c r="C180" s="7" t="str">
        <f t="shared" si="4"/>
        <v>Premium5</v>
      </c>
      <c r="D180" s="7" t="str">
        <f t="shared" si="5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2">
        <f ca="1">IFERROR(VLOOKUP(B180,input_543100!L:R,7,FALSE),VLOOKUP(tables_543100!C180,input_543100!A:H,8,FALSE))</f>
        <v>67472.461540000004</v>
      </c>
      <c r="P180" s="43">
        <f ca="1">O180/SUM(O:O)</f>
        <v>5.2223267445788155E-4</v>
      </c>
      <c r="Q180" s="29">
        <v>1</v>
      </c>
      <c r="R180" s="29">
        <v>0</v>
      </c>
      <c r="S180" s="29">
        <v>0</v>
      </c>
      <c r="T180" s="29">
        <v>0</v>
      </c>
      <c r="U180" s="29">
        <v>0</v>
      </c>
      <c r="V180" s="29">
        <v>1</v>
      </c>
    </row>
    <row r="181" spans="1:22" ht="21" customHeight="1" x14ac:dyDescent="0.15">
      <c r="A181" s="2" t="str">
        <f ca="1">input_543100!A$2</f>
        <v>543100</v>
      </c>
      <c r="B181" s="6">
        <v>439</v>
      </c>
      <c r="C181" s="7" t="str">
        <f t="shared" si="4"/>
        <v>Premium3</v>
      </c>
      <c r="D181" s="7" t="str">
        <f t="shared" si="5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2">
        <f ca="1">IFERROR(VLOOKUP(B181,input_543100!L:R,7,FALSE),VLOOKUP(tables_543100!C181,input_543100!A:H,8,FALSE))</f>
        <v>0</v>
      </c>
      <c r="P181" s="43">
        <f ca="1">O181/SUM(O:O)</f>
        <v>0</v>
      </c>
      <c r="Q181" s="29">
        <v>1</v>
      </c>
      <c r="R181" s="29">
        <v>0</v>
      </c>
      <c r="S181" s="29">
        <v>0</v>
      </c>
      <c r="T181" s="29">
        <v>0</v>
      </c>
      <c r="U181" s="29">
        <v>0</v>
      </c>
      <c r="V181" s="29">
        <v>1</v>
      </c>
    </row>
    <row r="182" spans="1:22" ht="21" customHeight="1" x14ac:dyDescent="0.15">
      <c r="A182" s="2" t="str">
        <f ca="1">input_543100!A$2</f>
        <v>543100</v>
      </c>
      <c r="B182" s="6">
        <v>440</v>
      </c>
      <c r="C182" s="7" t="str">
        <f t="shared" si="4"/>
        <v>Premium4</v>
      </c>
      <c r="D182" s="7" t="str">
        <f t="shared" si="5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2">
        <f ca="1">IFERROR(VLOOKUP(B182,input_543100!L:R,7,FALSE),VLOOKUP(tables_543100!C182,input_543100!A:H,8,FALSE))</f>
        <v>821967.53845999995</v>
      </c>
      <c r="P182" s="43">
        <f ca="1">O182/SUM(O:O)</f>
        <v>6.3619778518536523E-3</v>
      </c>
      <c r="Q182" s="29">
        <v>1</v>
      </c>
      <c r="R182" s="29">
        <v>0</v>
      </c>
      <c r="S182" s="29">
        <v>0</v>
      </c>
      <c r="T182" s="29">
        <v>0</v>
      </c>
      <c r="U182" s="29">
        <v>0</v>
      </c>
      <c r="V182" s="29">
        <v>1</v>
      </c>
    </row>
    <row r="183" spans="1:22" ht="21" customHeight="1" x14ac:dyDescent="0.15">
      <c r="A183" s="2" t="str">
        <f ca="1">input_543100!A$2</f>
        <v>543100</v>
      </c>
      <c r="B183" s="6">
        <v>441</v>
      </c>
      <c r="C183" s="7" t="str">
        <f t="shared" si="4"/>
        <v>Premium5</v>
      </c>
      <c r="D183" s="7" t="str">
        <f t="shared" si="5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2">
        <f ca="1">IFERROR(VLOOKUP(B183,input_543100!L:R,7,FALSE),VLOOKUP(tables_543100!C183,input_543100!A:H,8,FALSE))</f>
        <v>67472.461540000004</v>
      </c>
      <c r="P183" s="43">
        <f ca="1">O183/SUM(O:O)</f>
        <v>5.2223267445788155E-4</v>
      </c>
      <c r="Q183" s="29">
        <v>1</v>
      </c>
      <c r="R183" s="29">
        <v>0</v>
      </c>
      <c r="S183" s="29">
        <v>0</v>
      </c>
      <c r="T183" s="29">
        <v>0</v>
      </c>
      <c r="U183" s="29">
        <v>0</v>
      </c>
      <c r="V183" s="29">
        <v>1</v>
      </c>
    </row>
    <row r="184" spans="1:22" ht="21" customHeight="1" x14ac:dyDescent="0.15">
      <c r="A184" s="2" t="str">
        <f ca="1">input_543100!A$2</f>
        <v>543100</v>
      </c>
      <c r="B184" s="6">
        <v>442</v>
      </c>
      <c r="C184" s="7" t="str">
        <f t="shared" si="4"/>
        <v>PremiumSS4</v>
      </c>
      <c r="D184" s="7" t="str">
        <f t="shared" si="5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2">
        <f ca="1">IFERROR(VLOOKUP(B184,input_543100!L:R,7,FALSE),VLOOKUP(tables_543100!C184,input_543100!A:H,8,FALSE))</f>
        <v>81271.142860000007</v>
      </c>
      <c r="P184" s="43">
        <f ca="1">O184/SUM(O:O)</f>
        <v>6.2903361346710348E-4</v>
      </c>
      <c r="Q184" s="29">
        <v>1</v>
      </c>
      <c r="R184" s="29">
        <v>0</v>
      </c>
      <c r="S184" s="29">
        <v>0</v>
      </c>
      <c r="T184" s="29">
        <v>0</v>
      </c>
      <c r="U184" s="29">
        <v>0</v>
      </c>
      <c r="V184" s="29">
        <v>1</v>
      </c>
    </row>
    <row r="185" spans="1:22" ht="21" customHeight="1" x14ac:dyDescent="0.15">
      <c r="A185" s="2" t="str">
        <f ca="1">input_543100!A$2</f>
        <v>543100</v>
      </c>
      <c r="B185" s="8">
        <v>443</v>
      </c>
      <c r="C185" s="7" t="str">
        <f t="shared" si="4"/>
        <v>PremiumSS5</v>
      </c>
      <c r="D185" s="7" t="str">
        <f t="shared" si="5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2">
        <f ca="1">IFERROR(VLOOKUP(B185,input_543100!L:R,7,FALSE),VLOOKUP(tables_543100!C185,input_543100!A:H,8,FALSE))</f>
        <v>5586</v>
      </c>
      <c r="P185" s="43">
        <f ca="1">O185/SUM(O:O)</f>
        <v>4.3235294117620336E-5</v>
      </c>
      <c r="Q185" s="29">
        <v>1</v>
      </c>
      <c r="R185" s="29">
        <v>0</v>
      </c>
      <c r="S185" s="29">
        <v>0</v>
      </c>
      <c r="T185" s="29">
        <v>0</v>
      </c>
      <c r="U185" s="29">
        <v>0</v>
      </c>
      <c r="V185" s="29">
        <v>1</v>
      </c>
    </row>
    <row r="186" spans="1:22" ht="21" customHeight="1" x14ac:dyDescent="0.15">
      <c r="A186" s="2" t="str">
        <f ca="1">input_543100!A$2</f>
        <v>543100</v>
      </c>
      <c r="B186" s="8">
        <v>462</v>
      </c>
      <c r="C186" s="7" t="str">
        <f t="shared" si="4"/>
        <v>Premium3</v>
      </c>
      <c r="D186" s="7" t="str">
        <f t="shared" si="5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2">
        <f ca="1">IFERROR(VLOOKUP(B186,input_543100!L:R,7,FALSE),VLOOKUP(tables_543100!C186,input_543100!A:H,8,FALSE))</f>
        <v>0</v>
      </c>
      <c r="P186" s="43">
        <f ca="1">O186/SUM(O:O)</f>
        <v>0</v>
      </c>
      <c r="Q186" s="29">
        <v>1</v>
      </c>
      <c r="R186" s="29">
        <v>0</v>
      </c>
      <c r="S186" s="29">
        <v>0</v>
      </c>
      <c r="T186" s="29">
        <v>0</v>
      </c>
      <c r="U186" s="29">
        <v>0</v>
      </c>
      <c r="V186" s="29">
        <v>1</v>
      </c>
    </row>
    <row r="187" spans="1:22" ht="21" customHeight="1" x14ac:dyDescent="0.15">
      <c r="A187" s="2" t="str">
        <f ca="1">input_543100!A$2</f>
        <v>543100</v>
      </c>
      <c r="B187" s="8">
        <v>463</v>
      </c>
      <c r="C187" s="7" t="str">
        <f t="shared" si="4"/>
        <v>Premium4</v>
      </c>
      <c r="D187" s="7" t="str">
        <f t="shared" si="5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2">
        <f ca="1">IFERROR(VLOOKUP(B187,input_543100!L:R,7,FALSE),VLOOKUP(tables_543100!C187,input_543100!A:H,8,FALSE))</f>
        <v>821967.53845999995</v>
      </c>
      <c r="P187" s="43">
        <f ca="1">O187/SUM(O:O)</f>
        <v>6.3619778518536523E-3</v>
      </c>
      <c r="Q187" s="29">
        <v>1</v>
      </c>
      <c r="R187" s="29">
        <v>0</v>
      </c>
      <c r="S187" s="29">
        <v>0</v>
      </c>
      <c r="T187" s="29">
        <v>0</v>
      </c>
      <c r="U187" s="29">
        <v>0</v>
      </c>
      <c r="V187" s="29">
        <v>1</v>
      </c>
    </row>
    <row r="188" spans="1:22" ht="21" customHeight="1" x14ac:dyDescent="0.15">
      <c r="A188" s="2" t="str">
        <f ca="1">input_543100!A$2</f>
        <v>543100</v>
      </c>
      <c r="B188" s="8">
        <v>464</v>
      </c>
      <c r="C188" s="7" t="str">
        <f t="shared" si="4"/>
        <v>Premium5</v>
      </c>
      <c r="D188" s="7" t="str">
        <f t="shared" si="5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2">
        <f ca="1">IFERROR(VLOOKUP(B188,input_543100!L:R,7,FALSE),VLOOKUP(tables_543100!C188,input_543100!A:H,8,FALSE))</f>
        <v>67472.461540000004</v>
      </c>
      <c r="P188" s="43">
        <f ca="1">O188/SUM(O:O)</f>
        <v>5.2223267445788155E-4</v>
      </c>
      <c r="Q188" s="29">
        <v>1</v>
      </c>
      <c r="R188" s="29">
        <v>0</v>
      </c>
      <c r="S188" s="29">
        <v>0</v>
      </c>
      <c r="T188" s="29">
        <v>0</v>
      </c>
      <c r="U188" s="29">
        <v>0</v>
      </c>
      <c r="V188" s="29">
        <v>1</v>
      </c>
    </row>
    <row r="189" spans="1:22" ht="21" customHeight="1" x14ac:dyDescent="0.15">
      <c r="A189" s="2" t="str">
        <f ca="1">input_543100!A$2</f>
        <v>543100</v>
      </c>
      <c r="B189" s="6">
        <v>465</v>
      </c>
      <c r="C189" s="7" t="str">
        <f t="shared" si="4"/>
        <v>PremiumSS4</v>
      </c>
      <c r="D189" s="7" t="str">
        <f t="shared" si="5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2">
        <f ca="1">IFERROR(VLOOKUP(B189,input_543100!L:R,7,FALSE),VLOOKUP(tables_543100!C189,input_543100!A:H,8,FALSE))</f>
        <v>81271.142860000007</v>
      </c>
      <c r="P189" s="43">
        <f ca="1">O189/SUM(O:O)</f>
        <v>6.2903361346710348E-4</v>
      </c>
      <c r="Q189" s="29">
        <v>1</v>
      </c>
      <c r="R189" s="29">
        <v>0</v>
      </c>
      <c r="S189" s="29">
        <v>0</v>
      </c>
      <c r="T189" s="29">
        <v>0</v>
      </c>
      <c r="U189" s="29">
        <v>0</v>
      </c>
      <c r="V189" s="29">
        <v>1</v>
      </c>
    </row>
    <row r="190" spans="1:22" s="9" customFormat="1" ht="21" customHeight="1" thickBot="1" x14ac:dyDescent="0.2">
      <c r="A190" s="2" t="str">
        <f ca="1">input_543100!A$2</f>
        <v>543100</v>
      </c>
      <c r="B190" s="6">
        <v>466</v>
      </c>
      <c r="C190" s="7" t="str">
        <f t="shared" si="4"/>
        <v>PremiumSS5</v>
      </c>
      <c r="D190" s="7" t="str">
        <f t="shared" si="5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2">
        <f ca="1">IFERROR(VLOOKUP(B190,input_543100!L:R,7,FALSE),VLOOKUP(tables_543100!C190,input_543100!A:H,8,FALSE))</f>
        <v>5586</v>
      </c>
      <c r="P190" s="43">
        <f ca="1">O190/SUM(O:O)</f>
        <v>4.3235294117620336E-5</v>
      </c>
      <c r="Q190" s="29">
        <v>1</v>
      </c>
      <c r="R190" s="29">
        <v>0</v>
      </c>
      <c r="S190" s="29">
        <v>0</v>
      </c>
      <c r="T190" s="29">
        <v>0</v>
      </c>
      <c r="U190" s="29">
        <v>0</v>
      </c>
      <c r="V190" s="29">
        <v>1</v>
      </c>
    </row>
    <row r="191" spans="1:22" ht="21" customHeight="1" x14ac:dyDescent="0.15">
      <c r="A191" s="2" t="str">
        <f ca="1">input_543100!A$2</f>
        <v>543100</v>
      </c>
      <c r="B191" s="6">
        <v>467</v>
      </c>
      <c r="C191" s="7" t="str">
        <f t="shared" si="4"/>
        <v>PremiumSS4</v>
      </c>
      <c r="D191" s="7" t="str">
        <f t="shared" si="5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2">
        <f ca="1">IFERROR(VLOOKUP(B191,input_543100!L:R,7,FALSE),VLOOKUP(tables_543100!C191,input_543100!A:H,8,FALSE))</f>
        <v>81271.142860000007</v>
      </c>
      <c r="P191" s="43">
        <f ca="1">O191/SUM(O:O)</f>
        <v>6.2903361346710348E-4</v>
      </c>
      <c r="Q191" s="29">
        <v>1</v>
      </c>
      <c r="R191" s="29">
        <v>0</v>
      </c>
      <c r="S191" s="29">
        <v>0</v>
      </c>
      <c r="T191" s="29">
        <v>0</v>
      </c>
      <c r="U191" s="29">
        <v>0</v>
      </c>
      <c r="V191" s="29">
        <v>1</v>
      </c>
    </row>
    <row r="192" spans="1:22" ht="21" customHeight="1" x14ac:dyDescent="0.15">
      <c r="A192" s="2" t="str">
        <f ca="1">input_543100!A$2</f>
        <v>543100</v>
      </c>
      <c r="B192" s="6">
        <v>468</v>
      </c>
      <c r="C192" s="7" t="str">
        <f t="shared" si="4"/>
        <v>PremiumSS5</v>
      </c>
      <c r="D192" s="7" t="str">
        <f t="shared" si="5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2">
        <f ca="1">IFERROR(VLOOKUP(B192,input_543100!L:R,7,FALSE),VLOOKUP(tables_543100!C192,input_543100!A:H,8,FALSE))</f>
        <v>5586</v>
      </c>
      <c r="P192" s="43">
        <f ca="1">O192/SUM(O:O)</f>
        <v>4.3235294117620336E-5</v>
      </c>
      <c r="Q192" s="29">
        <v>1</v>
      </c>
      <c r="R192" s="29">
        <v>0</v>
      </c>
      <c r="S192" s="29">
        <v>0</v>
      </c>
      <c r="T192" s="29">
        <v>0</v>
      </c>
      <c r="U192" s="29">
        <v>0</v>
      </c>
      <c r="V192" s="29">
        <v>1</v>
      </c>
    </row>
    <row r="193" spans="1:22" ht="21" customHeight="1" x14ac:dyDescent="0.15">
      <c r="A193" s="2" t="str">
        <f ca="1">input_543100!A$2</f>
        <v>543100</v>
      </c>
      <c r="B193" s="6">
        <v>469</v>
      </c>
      <c r="C193" s="7" t="str">
        <f t="shared" si="4"/>
        <v>Premium3</v>
      </c>
      <c r="D193" s="7" t="str">
        <f t="shared" si="5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2">
        <f ca="1">IFERROR(VLOOKUP(B193,input_543100!L:R,7,FALSE),VLOOKUP(tables_543100!C193,input_543100!A:H,8,FALSE))</f>
        <v>0</v>
      </c>
      <c r="P193" s="43">
        <f ca="1">O193/SUM(O:O)</f>
        <v>0</v>
      </c>
      <c r="Q193" s="29">
        <v>1</v>
      </c>
      <c r="R193" s="29">
        <v>0</v>
      </c>
      <c r="S193" s="29">
        <v>0</v>
      </c>
      <c r="T193" s="29">
        <v>0</v>
      </c>
      <c r="U193" s="29">
        <v>0</v>
      </c>
      <c r="V193" s="29">
        <v>1</v>
      </c>
    </row>
    <row r="194" spans="1:22" ht="21" customHeight="1" x14ac:dyDescent="0.15">
      <c r="A194" s="2" t="str">
        <f ca="1">input_543100!A$2</f>
        <v>543100</v>
      </c>
      <c r="B194" s="6">
        <v>470</v>
      </c>
      <c r="C194" s="7" t="str">
        <f t="shared" ref="C194:C257" si="6">D194&amp;J194&amp;E194&amp;F194&amp;G194</f>
        <v>Premium4</v>
      </c>
      <c r="D194" s="7" t="str">
        <f t="shared" si="5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2">
        <f ca="1">IFERROR(VLOOKUP(B194,input_543100!L:R,7,FALSE),VLOOKUP(tables_543100!C194,input_543100!A:H,8,FALSE))</f>
        <v>821967.53845999995</v>
      </c>
      <c r="P194" s="43">
        <f ca="1">O194/SUM(O:O)</f>
        <v>6.3619778518536523E-3</v>
      </c>
      <c r="Q194" s="29">
        <v>1</v>
      </c>
      <c r="R194" s="29">
        <v>0</v>
      </c>
      <c r="S194" s="29">
        <v>0</v>
      </c>
      <c r="T194" s="29">
        <v>0</v>
      </c>
      <c r="U194" s="29">
        <v>0</v>
      </c>
      <c r="V194" s="29">
        <v>1</v>
      </c>
    </row>
    <row r="195" spans="1:22" ht="21" customHeight="1" x14ac:dyDescent="0.15">
      <c r="A195" s="2" t="str">
        <f ca="1">input_543100!A$2</f>
        <v>543100</v>
      </c>
      <c r="B195" s="6">
        <v>471</v>
      </c>
      <c r="C195" s="7" t="str">
        <f t="shared" si="6"/>
        <v>Premium5</v>
      </c>
      <c r="D195" s="7" t="str">
        <f t="shared" ref="D195:D258" si="7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2">
        <f ca="1">IFERROR(VLOOKUP(B195,input_543100!L:R,7,FALSE),VLOOKUP(tables_543100!C195,input_543100!A:H,8,FALSE))</f>
        <v>67472.461540000004</v>
      </c>
      <c r="P195" s="43">
        <f ca="1">O195/SUM(O:O)</f>
        <v>5.2223267445788155E-4</v>
      </c>
      <c r="Q195" s="29">
        <v>1</v>
      </c>
      <c r="R195" s="29">
        <v>0</v>
      </c>
      <c r="S195" s="29">
        <v>0</v>
      </c>
      <c r="T195" s="29">
        <v>0</v>
      </c>
      <c r="U195" s="29">
        <v>0</v>
      </c>
      <c r="V195" s="29">
        <v>1</v>
      </c>
    </row>
    <row r="196" spans="1:22" ht="21" customHeight="1" x14ac:dyDescent="0.15">
      <c r="A196" s="2" t="str">
        <f ca="1">input_543100!A$2</f>
        <v>543100</v>
      </c>
      <c r="B196" s="6">
        <v>474</v>
      </c>
      <c r="C196" s="7" t="str">
        <f t="shared" si="6"/>
        <v>PremiumSS4</v>
      </c>
      <c r="D196" s="7" t="str">
        <f t="shared" si="7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2">
        <f ca="1">IFERROR(VLOOKUP(B196,input_543100!L:R,7,FALSE),VLOOKUP(tables_543100!C196,input_543100!A:H,8,FALSE))</f>
        <v>81271.142860000007</v>
      </c>
      <c r="P196" s="43">
        <f ca="1">O196/SUM(O:O)</f>
        <v>6.2903361346710348E-4</v>
      </c>
      <c r="Q196" s="29">
        <v>1</v>
      </c>
      <c r="R196" s="29">
        <v>0</v>
      </c>
      <c r="S196" s="29">
        <v>0</v>
      </c>
      <c r="T196" s="29">
        <v>0</v>
      </c>
      <c r="U196" s="29">
        <v>0</v>
      </c>
      <c r="V196" s="29">
        <v>1</v>
      </c>
    </row>
    <row r="197" spans="1:22" ht="21" customHeight="1" x14ac:dyDescent="0.15">
      <c r="A197" s="2" t="str">
        <f ca="1">input_543100!A$2</f>
        <v>543100</v>
      </c>
      <c r="B197" s="6">
        <v>475</v>
      </c>
      <c r="C197" s="7" t="str">
        <f t="shared" si="6"/>
        <v>PremiumSS5</v>
      </c>
      <c r="D197" s="7" t="str">
        <f t="shared" si="7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2">
        <f ca="1">IFERROR(VLOOKUP(B197,input_543100!L:R,7,FALSE),VLOOKUP(tables_543100!C197,input_543100!A:H,8,FALSE))</f>
        <v>5586</v>
      </c>
      <c r="P197" s="43">
        <f ca="1">O197/SUM(O:O)</f>
        <v>4.3235294117620336E-5</v>
      </c>
      <c r="Q197" s="29">
        <v>1</v>
      </c>
      <c r="R197" s="29">
        <v>0</v>
      </c>
      <c r="S197" s="29">
        <v>0</v>
      </c>
      <c r="T197" s="29">
        <v>0</v>
      </c>
      <c r="U197" s="29">
        <v>0</v>
      </c>
      <c r="V197" s="29">
        <v>1</v>
      </c>
    </row>
    <row r="198" spans="1:22" ht="21" customHeight="1" x14ac:dyDescent="0.15">
      <c r="A198" s="2" t="str">
        <f ca="1">input_543100!A$2</f>
        <v>543100</v>
      </c>
      <c r="B198" s="6">
        <v>476</v>
      </c>
      <c r="C198" s="7" t="str">
        <f t="shared" si="6"/>
        <v>Premium3</v>
      </c>
      <c r="D198" s="7" t="str">
        <f t="shared" si="7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2">
        <f ca="1">IFERROR(VLOOKUP(B198,input_543100!L:R,7,FALSE),VLOOKUP(tables_543100!C198,input_543100!A:H,8,FALSE))</f>
        <v>0</v>
      </c>
      <c r="P198" s="43">
        <f ca="1">O198/SUM(O:O)</f>
        <v>0</v>
      </c>
      <c r="Q198" s="29">
        <v>1</v>
      </c>
      <c r="R198" s="29">
        <v>0</v>
      </c>
      <c r="S198" s="29">
        <v>0</v>
      </c>
      <c r="T198" s="29">
        <v>0</v>
      </c>
      <c r="U198" s="29">
        <v>0</v>
      </c>
      <c r="V198" s="29">
        <v>1</v>
      </c>
    </row>
    <row r="199" spans="1:22" ht="21" customHeight="1" x14ac:dyDescent="0.15">
      <c r="A199" s="2" t="str">
        <f ca="1">input_543100!A$2</f>
        <v>543100</v>
      </c>
      <c r="B199" s="6">
        <v>477</v>
      </c>
      <c r="C199" s="7" t="str">
        <f t="shared" si="6"/>
        <v>Premium4</v>
      </c>
      <c r="D199" s="7" t="str">
        <f t="shared" si="7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2">
        <f ca="1">IFERROR(VLOOKUP(B199,input_543100!L:R,7,FALSE),VLOOKUP(tables_543100!C199,input_543100!A:H,8,FALSE))</f>
        <v>821967.53845999995</v>
      </c>
      <c r="P199" s="43">
        <f ca="1">O199/SUM(O:O)</f>
        <v>6.3619778518536523E-3</v>
      </c>
      <c r="Q199" s="29">
        <v>1</v>
      </c>
      <c r="R199" s="29">
        <v>0</v>
      </c>
      <c r="S199" s="29">
        <v>0</v>
      </c>
      <c r="T199" s="29">
        <v>0</v>
      </c>
      <c r="U199" s="29">
        <v>0</v>
      </c>
      <c r="V199" s="29">
        <v>1</v>
      </c>
    </row>
    <row r="200" spans="1:22" ht="21" customHeight="1" x14ac:dyDescent="0.15">
      <c r="A200" s="2" t="str">
        <f ca="1">input_543100!A$2</f>
        <v>543100</v>
      </c>
      <c r="B200" s="6">
        <v>478</v>
      </c>
      <c r="C200" s="7" t="str">
        <f t="shared" si="6"/>
        <v>Premium5</v>
      </c>
      <c r="D200" s="7" t="str">
        <f t="shared" si="7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2">
        <f ca="1">IFERROR(VLOOKUP(B200,input_543100!L:R,7,FALSE),VLOOKUP(tables_543100!C200,input_543100!A:H,8,FALSE))</f>
        <v>67472.461540000004</v>
      </c>
      <c r="P200" s="43">
        <f ca="1">O200/SUM(O:O)</f>
        <v>5.2223267445788155E-4</v>
      </c>
      <c r="Q200" s="29">
        <v>1</v>
      </c>
      <c r="R200" s="29">
        <v>0</v>
      </c>
      <c r="S200" s="29">
        <v>0</v>
      </c>
      <c r="T200" s="29">
        <v>0</v>
      </c>
      <c r="U200" s="29">
        <v>0</v>
      </c>
      <c r="V200" s="29">
        <v>1</v>
      </c>
    </row>
    <row r="201" spans="1:22" ht="21" customHeight="1" x14ac:dyDescent="0.15">
      <c r="A201" s="2" t="str">
        <f ca="1">input_543100!A$2</f>
        <v>543100</v>
      </c>
      <c r="B201" s="6">
        <v>479</v>
      </c>
      <c r="C201" s="7" t="str">
        <f t="shared" si="6"/>
        <v>PremiumSS4</v>
      </c>
      <c r="D201" s="7" t="str">
        <f t="shared" si="7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2">
        <f ca="1">IFERROR(VLOOKUP(B201,input_543100!L:R,7,FALSE),VLOOKUP(tables_543100!C201,input_543100!A:H,8,FALSE))</f>
        <v>81271.142860000007</v>
      </c>
      <c r="P201" s="43">
        <f ca="1">O201/SUM(O:O)</f>
        <v>6.2903361346710348E-4</v>
      </c>
      <c r="Q201" s="29">
        <v>1</v>
      </c>
      <c r="R201" s="29">
        <v>0</v>
      </c>
      <c r="S201" s="29">
        <v>0</v>
      </c>
      <c r="T201" s="29">
        <v>0</v>
      </c>
      <c r="U201" s="29">
        <v>0</v>
      </c>
      <c r="V201" s="29">
        <v>1</v>
      </c>
    </row>
    <row r="202" spans="1:22" ht="21" customHeight="1" x14ac:dyDescent="0.15">
      <c r="A202" s="2" t="str">
        <f ca="1">input_543100!A$2</f>
        <v>543100</v>
      </c>
      <c r="B202" s="6">
        <v>480</v>
      </c>
      <c r="C202" s="7" t="str">
        <f t="shared" si="6"/>
        <v>PremiumSS5</v>
      </c>
      <c r="D202" s="7" t="str">
        <f t="shared" si="7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2">
        <f ca="1">IFERROR(VLOOKUP(B202,input_543100!L:R,7,FALSE),VLOOKUP(tables_543100!C202,input_543100!A:H,8,FALSE))</f>
        <v>5586</v>
      </c>
      <c r="P202" s="43">
        <f ca="1">O202/SUM(O:O)</f>
        <v>4.3235294117620336E-5</v>
      </c>
      <c r="Q202" s="29">
        <v>1</v>
      </c>
      <c r="R202" s="29">
        <v>0</v>
      </c>
      <c r="S202" s="29">
        <v>0</v>
      </c>
      <c r="T202" s="29">
        <v>0</v>
      </c>
      <c r="U202" s="29">
        <v>0</v>
      </c>
      <c r="V202" s="29">
        <v>1</v>
      </c>
    </row>
    <row r="203" spans="1:22" ht="21" customHeight="1" x14ac:dyDescent="0.15">
      <c r="A203" s="2" t="str">
        <f ca="1">input_543100!A$2</f>
        <v>543100</v>
      </c>
      <c r="B203" s="6">
        <v>481</v>
      </c>
      <c r="C203" s="7" t="str">
        <f t="shared" si="6"/>
        <v>Premium3</v>
      </c>
      <c r="D203" s="7" t="str">
        <f t="shared" si="7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2">
        <f ca="1">IFERROR(VLOOKUP(B203,input_543100!L:R,7,FALSE),VLOOKUP(tables_543100!C203,input_543100!A:H,8,FALSE))</f>
        <v>0</v>
      </c>
      <c r="P203" s="43">
        <f ca="1">O203/SUM(O:O)</f>
        <v>0</v>
      </c>
      <c r="Q203" s="29">
        <v>1</v>
      </c>
      <c r="R203" s="29">
        <v>0</v>
      </c>
      <c r="S203" s="29">
        <v>0</v>
      </c>
      <c r="T203" s="29">
        <v>0</v>
      </c>
      <c r="U203" s="29">
        <v>0</v>
      </c>
      <c r="V203" s="29">
        <v>1</v>
      </c>
    </row>
    <row r="204" spans="1:22" ht="21" customHeight="1" x14ac:dyDescent="0.15">
      <c r="A204" s="2" t="str">
        <f ca="1">input_543100!A$2</f>
        <v>543100</v>
      </c>
      <c r="B204" s="6">
        <v>482</v>
      </c>
      <c r="C204" s="7" t="str">
        <f t="shared" si="6"/>
        <v>Premium4</v>
      </c>
      <c r="D204" s="7" t="str">
        <f t="shared" si="7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2">
        <f ca="1">IFERROR(VLOOKUP(B204,input_543100!L:R,7,FALSE),VLOOKUP(tables_543100!C204,input_543100!A:H,8,FALSE))</f>
        <v>821967.53845999995</v>
      </c>
      <c r="P204" s="43">
        <f ca="1">O204/SUM(O:O)</f>
        <v>6.3619778518536523E-3</v>
      </c>
      <c r="Q204" s="29">
        <v>1</v>
      </c>
      <c r="R204" s="29">
        <v>0</v>
      </c>
      <c r="S204" s="29">
        <v>0</v>
      </c>
      <c r="T204" s="29">
        <v>0</v>
      </c>
      <c r="U204" s="29">
        <v>0</v>
      </c>
      <c r="V204" s="29">
        <v>1</v>
      </c>
    </row>
    <row r="205" spans="1:22" ht="21" customHeight="1" x14ac:dyDescent="0.15">
      <c r="A205" s="2" t="str">
        <f ca="1">input_543100!A$2</f>
        <v>543100</v>
      </c>
      <c r="B205" s="6">
        <v>483</v>
      </c>
      <c r="C205" s="7" t="str">
        <f t="shared" si="6"/>
        <v>Premium5</v>
      </c>
      <c r="D205" s="7" t="str">
        <f t="shared" si="7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2">
        <f ca="1">IFERROR(VLOOKUP(B205,input_543100!L:R,7,FALSE),VLOOKUP(tables_543100!C205,input_543100!A:H,8,FALSE))</f>
        <v>67472.461540000004</v>
      </c>
      <c r="P205" s="43">
        <f ca="1">O205/SUM(O:O)</f>
        <v>5.2223267445788155E-4</v>
      </c>
      <c r="Q205" s="29">
        <v>1</v>
      </c>
      <c r="R205" s="29">
        <v>0</v>
      </c>
      <c r="S205" s="29">
        <v>0</v>
      </c>
      <c r="T205" s="29">
        <v>0</v>
      </c>
      <c r="U205" s="29">
        <v>0</v>
      </c>
      <c r="V205" s="29">
        <v>1</v>
      </c>
    </row>
    <row r="206" spans="1:22" ht="21" customHeight="1" x14ac:dyDescent="0.15">
      <c r="A206" s="2" t="str">
        <f ca="1">input_543100!A$2</f>
        <v>543100</v>
      </c>
      <c r="B206" s="6">
        <v>492</v>
      </c>
      <c r="C206" s="7" t="str">
        <f t="shared" si="6"/>
        <v>PremiumSS4</v>
      </c>
      <c r="D206" s="7" t="str">
        <f t="shared" si="7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2">
        <f ca="1">IFERROR(VLOOKUP(B206,input_543100!L:R,7,FALSE),VLOOKUP(tables_543100!C206,input_543100!A:H,8,FALSE))</f>
        <v>81271.142860000007</v>
      </c>
      <c r="P206" s="43">
        <f ca="1">O206/SUM(O:O)</f>
        <v>6.2903361346710348E-4</v>
      </c>
      <c r="Q206" s="29">
        <v>1</v>
      </c>
      <c r="R206" s="29">
        <v>0</v>
      </c>
      <c r="S206" s="29">
        <v>0</v>
      </c>
      <c r="T206" s="29">
        <v>0</v>
      </c>
      <c r="U206" s="29">
        <v>0</v>
      </c>
      <c r="V206" s="29">
        <v>1</v>
      </c>
    </row>
    <row r="207" spans="1:22" ht="21" customHeight="1" x14ac:dyDescent="0.15">
      <c r="A207" s="2" t="str">
        <f ca="1">input_543100!A$2</f>
        <v>543100</v>
      </c>
      <c r="B207" s="6">
        <v>493</v>
      </c>
      <c r="C207" s="7" t="str">
        <f t="shared" si="6"/>
        <v>PremiumSS5</v>
      </c>
      <c r="D207" s="7" t="str">
        <f t="shared" si="7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2">
        <f ca="1">IFERROR(VLOOKUP(B207,input_543100!L:R,7,FALSE),VLOOKUP(tables_543100!C207,input_543100!A:H,8,FALSE))</f>
        <v>5586</v>
      </c>
      <c r="P207" s="43">
        <f ca="1">O207/SUM(O:O)</f>
        <v>4.3235294117620336E-5</v>
      </c>
      <c r="Q207" s="29">
        <v>1</v>
      </c>
      <c r="R207" s="29">
        <v>0</v>
      </c>
      <c r="S207" s="29">
        <v>0</v>
      </c>
      <c r="T207" s="29">
        <v>0</v>
      </c>
      <c r="U207" s="29">
        <v>0</v>
      </c>
      <c r="V207" s="29">
        <v>1</v>
      </c>
    </row>
    <row r="208" spans="1:22" ht="21" customHeight="1" x14ac:dyDescent="0.15">
      <c r="A208" s="2" t="str">
        <f ca="1">input_543100!A$2</f>
        <v>543100</v>
      </c>
      <c r="B208" s="6">
        <v>494</v>
      </c>
      <c r="C208" s="7" t="str">
        <f t="shared" si="6"/>
        <v>PremiumSS4</v>
      </c>
      <c r="D208" s="7" t="str">
        <f t="shared" si="7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2">
        <f ca="1">IFERROR(VLOOKUP(B208,input_543100!L:R,7,FALSE),VLOOKUP(tables_543100!C208,input_543100!A:H,8,FALSE))</f>
        <v>81271.142860000007</v>
      </c>
      <c r="P208" s="43">
        <f ca="1">O208/SUM(O:O)</f>
        <v>6.2903361346710348E-4</v>
      </c>
      <c r="Q208" s="29">
        <v>1</v>
      </c>
      <c r="R208" s="29">
        <v>0</v>
      </c>
      <c r="S208" s="29">
        <v>0</v>
      </c>
      <c r="T208" s="29">
        <v>0</v>
      </c>
      <c r="U208" s="29">
        <v>0</v>
      </c>
      <c r="V208" s="29">
        <v>1</v>
      </c>
    </row>
    <row r="209" spans="1:22" ht="21" customHeight="1" x14ac:dyDescent="0.15">
      <c r="A209" s="2" t="str">
        <f ca="1">input_543100!A$2</f>
        <v>543100</v>
      </c>
      <c r="B209" s="6">
        <v>495</v>
      </c>
      <c r="C209" s="7" t="str">
        <f t="shared" si="6"/>
        <v>PremiumSS5</v>
      </c>
      <c r="D209" s="7" t="str">
        <f t="shared" si="7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2">
        <f ca="1">IFERROR(VLOOKUP(B209,input_543100!L:R,7,FALSE),VLOOKUP(tables_543100!C209,input_543100!A:H,8,FALSE))</f>
        <v>5586</v>
      </c>
      <c r="P209" s="43">
        <f ca="1">O209/SUM(O:O)</f>
        <v>4.3235294117620336E-5</v>
      </c>
      <c r="Q209" s="29">
        <v>1</v>
      </c>
      <c r="R209" s="29">
        <v>0</v>
      </c>
      <c r="S209" s="29">
        <v>0</v>
      </c>
      <c r="T209" s="29">
        <v>0</v>
      </c>
      <c r="U209" s="29">
        <v>0</v>
      </c>
      <c r="V209" s="29">
        <v>1</v>
      </c>
    </row>
    <row r="210" spans="1:22" ht="21" customHeight="1" x14ac:dyDescent="0.15">
      <c r="A210" s="2" t="str">
        <f ca="1">input_543100!A$2</f>
        <v>543100</v>
      </c>
      <c r="B210" s="6">
        <v>496</v>
      </c>
      <c r="C210" s="7" t="str">
        <f t="shared" si="6"/>
        <v>Premium3</v>
      </c>
      <c r="D210" s="7" t="str">
        <f t="shared" si="7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2">
        <f ca="1">IFERROR(VLOOKUP(B210,input_543100!L:R,7,FALSE),VLOOKUP(tables_543100!C210,input_543100!A:H,8,FALSE))</f>
        <v>0</v>
      </c>
      <c r="P210" s="43">
        <f ca="1">O210/SUM(O:O)</f>
        <v>0</v>
      </c>
      <c r="Q210" s="29">
        <v>1</v>
      </c>
      <c r="R210" s="29">
        <v>0</v>
      </c>
      <c r="S210" s="29">
        <v>0</v>
      </c>
      <c r="T210" s="29">
        <v>0</v>
      </c>
      <c r="U210" s="29">
        <v>0</v>
      </c>
      <c r="V210" s="29">
        <v>1</v>
      </c>
    </row>
    <row r="211" spans="1:22" ht="21" customHeight="1" x14ac:dyDescent="0.15">
      <c r="A211" s="2" t="str">
        <f ca="1">input_543100!A$2</f>
        <v>543100</v>
      </c>
      <c r="B211" s="6">
        <v>497</v>
      </c>
      <c r="C211" s="7" t="str">
        <f t="shared" si="6"/>
        <v>Premium4</v>
      </c>
      <c r="D211" s="7" t="str">
        <f t="shared" si="7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2">
        <f ca="1">IFERROR(VLOOKUP(B211,input_543100!L:R,7,FALSE),VLOOKUP(tables_543100!C211,input_543100!A:H,8,FALSE))</f>
        <v>821967.53845999995</v>
      </c>
      <c r="P211" s="43">
        <f ca="1">O211/SUM(O:O)</f>
        <v>6.3619778518536523E-3</v>
      </c>
      <c r="Q211" s="29">
        <v>1</v>
      </c>
      <c r="R211" s="29">
        <v>0</v>
      </c>
      <c r="S211" s="29">
        <v>0</v>
      </c>
      <c r="T211" s="29">
        <v>0</v>
      </c>
      <c r="U211" s="29">
        <v>0</v>
      </c>
      <c r="V211" s="29">
        <v>1</v>
      </c>
    </row>
    <row r="212" spans="1:22" ht="21" customHeight="1" x14ac:dyDescent="0.15">
      <c r="A212" s="2" t="str">
        <f ca="1">input_543100!A$2</f>
        <v>543100</v>
      </c>
      <c r="B212" s="6">
        <v>498</v>
      </c>
      <c r="C212" s="7" t="str">
        <f t="shared" si="6"/>
        <v>Premium5</v>
      </c>
      <c r="D212" s="7" t="str">
        <f t="shared" si="7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2">
        <f ca="1">IFERROR(VLOOKUP(B212,input_543100!L:R,7,FALSE),VLOOKUP(tables_543100!C212,input_543100!A:H,8,FALSE))</f>
        <v>67472.461540000004</v>
      </c>
      <c r="P212" s="43">
        <f ca="1">O212/SUM(O:O)</f>
        <v>5.2223267445788155E-4</v>
      </c>
      <c r="Q212" s="29">
        <v>1</v>
      </c>
      <c r="R212" s="29">
        <v>0</v>
      </c>
      <c r="S212" s="29">
        <v>0</v>
      </c>
      <c r="T212" s="29">
        <v>0</v>
      </c>
      <c r="U212" s="29">
        <v>0</v>
      </c>
      <c r="V212" s="29">
        <v>1</v>
      </c>
    </row>
    <row r="213" spans="1:22" ht="21" customHeight="1" x14ac:dyDescent="0.15">
      <c r="A213" s="2" t="str">
        <f ca="1">input_543100!A$2</f>
        <v>543100</v>
      </c>
      <c r="B213" s="6">
        <v>499</v>
      </c>
      <c r="C213" s="7" t="str">
        <f t="shared" si="6"/>
        <v>PremiumSS4</v>
      </c>
      <c r="D213" s="7" t="str">
        <f t="shared" si="7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2">
        <f ca="1">IFERROR(VLOOKUP(B213,input_543100!L:R,7,FALSE),VLOOKUP(tables_543100!C213,input_543100!A:H,8,FALSE))</f>
        <v>81271.142860000007</v>
      </c>
      <c r="P213" s="43">
        <f ca="1">O213/SUM(O:O)</f>
        <v>6.2903361346710348E-4</v>
      </c>
      <c r="Q213" s="29">
        <v>1</v>
      </c>
      <c r="R213" s="29">
        <v>0</v>
      </c>
      <c r="S213" s="29">
        <v>0</v>
      </c>
      <c r="T213" s="29">
        <v>0</v>
      </c>
      <c r="U213" s="29">
        <v>0</v>
      </c>
      <c r="V213" s="29">
        <v>1</v>
      </c>
    </row>
    <row r="214" spans="1:22" ht="21" customHeight="1" x14ac:dyDescent="0.15">
      <c r="A214" s="2" t="str">
        <f ca="1">input_543100!A$2</f>
        <v>543100</v>
      </c>
      <c r="B214" s="6">
        <v>500</v>
      </c>
      <c r="C214" s="7" t="str">
        <f t="shared" si="6"/>
        <v>PremiumSS5</v>
      </c>
      <c r="D214" s="7" t="str">
        <f t="shared" si="7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2">
        <f ca="1">IFERROR(VLOOKUP(B214,input_543100!L:R,7,FALSE),VLOOKUP(tables_543100!C214,input_543100!A:H,8,FALSE))</f>
        <v>5586</v>
      </c>
      <c r="P214" s="43">
        <f ca="1">O214/SUM(O:O)</f>
        <v>4.3235294117620336E-5</v>
      </c>
      <c r="Q214" s="29">
        <v>1</v>
      </c>
      <c r="R214" s="29">
        <v>0</v>
      </c>
      <c r="S214" s="29">
        <v>0</v>
      </c>
      <c r="T214" s="29">
        <v>0</v>
      </c>
      <c r="U214" s="29">
        <v>0</v>
      </c>
      <c r="V214" s="29">
        <v>1</v>
      </c>
    </row>
    <row r="215" spans="1:22" ht="21" customHeight="1" x14ac:dyDescent="0.15">
      <c r="A215" s="2" t="str">
        <f ca="1">input_543100!A$2</f>
        <v>543100</v>
      </c>
      <c r="B215" s="6">
        <v>560</v>
      </c>
      <c r="C215" s="7" t="str">
        <f t="shared" si="6"/>
        <v>premium5R3less</v>
      </c>
      <c r="D215" s="7" t="str">
        <f t="shared" si="7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2">
        <f ca="1">IFERROR(VLOOKUP(B215,input_543100!L:R,7,FALSE),VLOOKUP(tables_543100!C215,input_543100!A:H,8,FALSE))</f>
        <v>62260.800000000003</v>
      </c>
      <c r="P215" s="43">
        <f ca="1">O215/SUM(O:O)</f>
        <v>4.8189473684180742E-4</v>
      </c>
      <c r="Q215" s="29">
        <v>1</v>
      </c>
      <c r="R215" s="29">
        <v>0</v>
      </c>
      <c r="S215" s="29">
        <v>0</v>
      </c>
      <c r="T215" s="29">
        <v>0</v>
      </c>
      <c r="U215" s="29">
        <v>0</v>
      </c>
      <c r="V215" s="29">
        <v>1</v>
      </c>
    </row>
    <row r="216" spans="1:22" ht="21" customHeight="1" x14ac:dyDescent="0.15">
      <c r="A216" s="2" t="str">
        <f ca="1">input_543100!A$2</f>
        <v>543100</v>
      </c>
      <c r="B216" s="6">
        <v>561</v>
      </c>
      <c r="C216" s="7" t="str">
        <f t="shared" si="6"/>
        <v>premium5R3less</v>
      </c>
      <c r="D216" s="7" t="str">
        <f t="shared" si="7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2">
        <f ca="1">IFERROR(VLOOKUP(B216,input_543100!L:R,7,FALSE),VLOOKUP(tables_543100!C216,input_543100!A:H,8,FALSE))</f>
        <v>62260.800000000003</v>
      </c>
      <c r="P216" s="43">
        <f ca="1">O216/SUM(O:O)</f>
        <v>4.8189473684180742E-4</v>
      </c>
      <c r="Q216" s="29">
        <v>1</v>
      </c>
      <c r="R216" s="29">
        <v>0</v>
      </c>
      <c r="S216" s="29">
        <v>0</v>
      </c>
      <c r="T216" s="29">
        <v>0</v>
      </c>
      <c r="U216" s="29">
        <v>0</v>
      </c>
      <c r="V216" s="29">
        <v>1</v>
      </c>
    </row>
    <row r="217" spans="1:22" ht="21" customHeight="1" x14ac:dyDescent="0.15">
      <c r="A217" s="2" t="str">
        <f ca="1">input_543100!A$2</f>
        <v>543100</v>
      </c>
      <c r="B217" s="6">
        <v>562</v>
      </c>
      <c r="C217" s="7" t="str">
        <f t="shared" si="6"/>
        <v>premium5R3less</v>
      </c>
      <c r="D217" s="7" t="str">
        <f t="shared" si="7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2">
        <f ca="1">IFERROR(VLOOKUP(B217,input_543100!L:R,7,FALSE),VLOOKUP(tables_543100!C217,input_543100!A:H,8,FALSE))</f>
        <v>62260.800000000003</v>
      </c>
      <c r="P217" s="43">
        <f ca="1">O217/SUM(O:O)</f>
        <v>4.8189473684180742E-4</v>
      </c>
      <c r="Q217" s="29">
        <v>1</v>
      </c>
      <c r="R217" s="29">
        <v>0</v>
      </c>
      <c r="S217" s="29">
        <v>0</v>
      </c>
      <c r="T217" s="29">
        <v>0</v>
      </c>
      <c r="U217" s="29">
        <v>0</v>
      </c>
      <c r="V217" s="29">
        <v>1</v>
      </c>
    </row>
    <row r="218" spans="1:22" ht="21" customHeight="1" x14ac:dyDescent="0.15">
      <c r="A218" s="2" t="str">
        <f ca="1">input_543100!A$2</f>
        <v>543100</v>
      </c>
      <c r="B218" s="6">
        <v>563</v>
      </c>
      <c r="C218" s="7" t="str">
        <f t="shared" si="6"/>
        <v>premium5R3less</v>
      </c>
      <c r="D218" s="7" t="str">
        <f t="shared" si="7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2">
        <f ca="1">IFERROR(VLOOKUP(B218,input_543100!L:R,7,FALSE),VLOOKUP(tables_543100!C218,input_543100!A:H,8,FALSE))</f>
        <v>62260.800000000003</v>
      </c>
      <c r="P218" s="43">
        <f ca="1">O218/SUM(O:O)</f>
        <v>4.8189473684180742E-4</v>
      </c>
      <c r="Q218" s="29">
        <v>1</v>
      </c>
      <c r="R218" s="29">
        <v>0</v>
      </c>
      <c r="S218" s="29">
        <v>0</v>
      </c>
      <c r="T218" s="29">
        <v>0</v>
      </c>
      <c r="U218" s="29">
        <v>0</v>
      </c>
      <c r="V218" s="29">
        <v>1</v>
      </c>
    </row>
    <row r="219" spans="1:22" ht="21" customHeight="1" x14ac:dyDescent="0.15">
      <c r="A219" s="2" t="str">
        <f ca="1">input_543100!A$2</f>
        <v>543100</v>
      </c>
      <c r="B219" s="6">
        <v>566</v>
      </c>
      <c r="C219" s="7" t="str">
        <f t="shared" si="6"/>
        <v>premium5R3less</v>
      </c>
      <c r="D219" s="7" t="str">
        <f t="shared" si="7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2">
        <f ca="1">IFERROR(VLOOKUP(B219,input_543100!L:R,7,FALSE),VLOOKUP(tables_543100!C219,input_543100!A:H,8,FALSE))</f>
        <v>62260.800000000003</v>
      </c>
      <c r="P219" s="43">
        <f ca="1">O219/SUM(O:O)</f>
        <v>4.8189473684180742E-4</v>
      </c>
      <c r="Q219" s="29">
        <v>1</v>
      </c>
      <c r="R219" s="29">
        <v>0</v>
      </c>
      <c r="S219" s="29">
        <v>0</v>
      </c>
      <c r="T219" s="29">
        <v>0</v>
      </c>
      <c r="U219" s="29">
        <v>0</v>
      </c>
      <c r="V219" s="29">
        <v>1</v>
      </c>
    </row>
    <row r="220" spans="1:22" ht="21" customHeight="1" x14ac:dyDescent="0.15">
      <c r="A220" s="2" t="str">
        <f ca="1">input_543100!A$2</f>
        <v>543100</v>
      </c>
      <c r="B220" s="6">
        <v>567</v>
      </c>
      <c r="C220" s="7" t="str">
        <f t="shared" si="6"/>
        <v>premium5R3less</v>
      </c>
      <c r="D220" s="7" t="str">
        <f t="shared" si="7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2">
        <f ca="1">IFERROR(VLOOKUP(B220,input_543100!L:R,7,FALSE),VLOOKUP(tables_543100!C220,input_543100!A:H,8,FALSE))</f>
        <v>62260.800000000003</v>
      </c>
      <c r="P220" s="43">
        <f ca="1">O220/SUM(O:O)</f>
        <v>4.8189473684180742E-4</v>
      </c>
      <c r="Q220" s="29">
        <v>1</v>
      </c>
      <c r="R220" s="29">
        <v>0</v>
      </c>
      <c r="S220" s="29">
        <v>0</v>
      </c>
      <c r="T220" s="29">
        <v>0</v>
      </c>
      <c r="U220" s="29">
        <v>0</v>
      </c>
      <c r="V220" s="29">
        <v>1</v>
      </c>
    </row>
    <row r="221" spans="1:22" ht="21" customHeight="1" x14ac:dyDescent="0.15">
      <c r="A221" s="2" t="str">
        <f ca="1">input_543100!A$2</f>
        <v>543100</v>
      </c>
      <c r="B221" s="6">
        <v>586</v>
      </c>
      <c r="C221" s="7" t="str">
        <f t="shared" si="6"/>
        <v>PremiumSS4</v>
      </c>
      <c r="D221" s="7" t="str">
        <f t="shared" si="7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2">
        <f ca="1">IFERROR(VLOOKUP(B221,input_543100!L:R,7,FALSE),VLOOKUP(tables_543100!C221,input_543100!A:H,8,FALSE))</f>
        <v>81271.142860000007</v>
      </c>
      <c r="P221" s="43">
        <f ca="1">O221/SUM(O:O)</f>
        <v>6.2903361346710348E-4</v>
      </c>
      <c r="Q221" s="29">
        <v>1</v>
      </c>
      <c r="R221" s="29">
        <v>0</v>
      </c>
      <c r="S221" s="29">
        <v>0</v>
      </c>
      <c r="T221" s="29">
        <v>0</v>
      </c>
      <c r="U221" s="29">
        <v>0</v>
      </c>
      <c r="V221" s="29">
        <v>1</v>
      </c>
    </row>
    <row r="222" spans="1:22" ht="21" customHeight="1" x14ac:dyDescent="0.15">
      <c r="A222" s="2" t="str">
        <f ca="1">input_543100!A$2</f>
        <v>543100</v>
      </c>
      <c r="B222" s="6">
        <v>587</v>
      </c>
      <c r="C222" s="7" t="str">
        <f t="shared" si="6"/>
        <v>PremiumSS5</v>
      </c>
      <c r="D222" s="7" t="str">
        <f t="shared" si="7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2">
        <f ca="1">IFERROR(VLOOKUP(B222,input_543100!L:R,7,FALSE),VLOOKUP(tables_543100!C222,input_543100!A:H,8,FALSE))</f>
        <v>5586</v>
      </c>
      <c r="P222" s="43">
        <f ca="1">O222/SUM(O:O)</f>
        <v>4.3235294117620336E-5</v>
      </c>
      <c r="Q222" s="29">
        <v>1</v>
      </c>
      <c r="R222" s="29">
        <v>0</v>
      </c>
      <c r="S222" s="29">
        <v>0</v>
      </c>
      <c r="T222" s="29">
        <v>0</v>
      </c>
      <c r="U222" s="29">
        <v>0</v>
      </c>
      <c r="V222" s="29">
        <v>1</v>
      </c>
    </row>
    <row r="223" spans="1:22" ht="21" customHeight="1" x14ac:dyDescent="0.15">
      <c r="A223" s="2" t="str">
        <f ca="1">input_543100!A$2</f>
        <v>543100</v>
      </c>
      <c r="B223" s="6">
        <v>588</v>
      </c>
      <c r="C223" s="7" t="str">
        <f t="shared" si="6"/>
        <v>Premium3</v>
      </c>
      <c r="D223" s="7" t="str">
        <f t="shared" si="7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2">
        <f ca="1">IFERROR(VLOOKUP(B223,input_543100!L:R,7,FALSE),VLOOKUP(tables_543100!C223,input_543100!A:H,8,FALSE))</f>
        <v>0</v>
      </c>
      <c r="P223" s="43">
        <f ca="1">O223/SUM(O:O)</f>
        <v>0</v>
      </c>
      <c r="Q223" s="29">
        <v>1</v>
      </c>
      <c r="R223" s="29">
        <v>0</v>
      </c>
      <c r="S223" s="29">
        <v>0</v>
      </c>
      <c r="T223" s="29">
        <v>0</v>
      </c>
      <c r="U223" s="29">
        <v>0</v>
      </c>
      <c r="V223" s="29">
        <v>1</v>
      </c>
    </row>
    <row r="224" spans="1:22" ht="21" customHeight="1" x14ac:dyDescent="0.15">
      <c r="A224" s="2" t="str">
        <f ca="1">input_543100!A$2</f>
        <v>543100</v>
      </c>
      <c r="B224" s="6">
        <v>589</v>
      </c>
      <c r="C224" s="7" t="str">
        <f t="shared" si="6"/>
        <v>Premium4</v>
      </c>
      <c r="D224" s="7" t="str">
        <f t="shared" si="7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2">
        <f ca="1">IFERROR(VLOOKUP(B224,input_543100!L:R,7,FALSE),VLOOKUP(tables_543100!C224,input_543100!A:H,8,FALSE))</f>
        <v>821967.53845999995</v>
      </c>
      <c r="P224" s="43">
        <f ca="1">O224/SUM(O:O)</f>
        <v>6.3619778518536523E-3</v>
      </c>
      <c r="Q224" s="29">
        <v>1</v>
      </c>
      <c r="R224" s="29">
        <v>0</v>
      </c>
      <c r="S224" s="29">
        <v>0</v>
      </c>
      <c r="T224" s="29">
        <v>0</v>
      </c>
      <c r="U224" s="29">
        <v>0</v>
      </c>
      <c r="V224" s="29">
        <v>1</v>
      </c>
    </row>
    <row r="225" spans="1:22" ht="21" customHeight="1" x14ac:dyDescent="0.15">
      <c r="A225" s="2" t="str">
        <f ca="1">input_543100!A$2</f>
        <v>543100</v>
      </c>
      <c r="B225" s="6">
        <v>590</v>
      </c>
      <c r="C225" s="7" t="str">
        <f t="shared" si="6"/>
        <v>Premium5</v>
      </c>
      <c r="D225" s="7" t="str">
        <f t="shared" si="7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2">
        <f ca="1">IFERROR(VLOOKUP(B225,input_543100!L:R,7,FALSE),VLOOKUP(tables_543100!C225,input_543100!A:H,8,FALSE))</f>
        <v>67472.461540000004</v>
      </c>
      <c r="P225" s="43">
        <f ca="1">O225/SUM(O:O)</f>
        <v>5.2223267445788155E-4</v>
      </c>
      <c r="Q225" s="29">
        <v>1</v>
      </c>
      <c r="R225" s="29">
        <v>0</v>
      </c>
      <c r="S225" s="29">
        <v>0</v>
      </c>
      <c r="T225" s="29">
        <v>0</v>
      </c>
      <c r="U225" s="29">
        <v>0</v>
      </c>
      <c r="V225" s="29">
        <v>1</v>
      </c>
    </row>
    <row r="226" spans="1:22" ht="21" customHeight="1" x14ac:dyDescent="0.15">
      <c r="A226" s="2" t="str">
        <f ca="1">input_543100!A$2</f>
        <v>543100</v>
      </c>
      <c r="B226" s="6">
        <v>591</v>
      </c>
      <c r="C226" s="7" t="str">
        <f t="shared" si="6"/>
        <v>Premium3</v>
      </c>
      <c r="D226" s="7" t="str">
        <f t="shared" si="7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2">
        <f ca="1">IFERROR(VLOOKUP(B226,input_543100!L:R,7,FALSE),VLOOKUP(tables_543100!C226,input_543100!A:H,8,FALSE))</f>
        <v>0</v>
      </c>
      <c r="P226" s="43">
        <f ca="1">O226/SUM(O:O)</f>
        <v>0</v>
      </c>
      <c r="Q226" s="29">
        <v>1</v>
      </c>
      <c r="R226" s="29">
        <v>0</v>
      </c>
      <c r="S226" s="29">
        <v>0</v>
      </c>
      <c r="T226" s="29">
        <v>0</v>
      </c>
      <c r="U226" s="29">
        <v>0</v>
      </c>
      <c r="V226" s="29">
        <v>1</v>
      </c>
    </row>
    <row r="227" spans="1:22" ht="21" customHeight="1" x14ac:dyDescent="0.15">
      <c r="A227" s="2" t="str">
        <f ca="1">input_543100!A$2</f>
        <v>543100</v>
      </c>
      <c r="B227" s="6">
        <v>592</v>
      </c>
      <c r="C227" s="7" t="str">
        <f t="shared" si="6"/>
        <v>Premium4</v>
      </c>
      <c r="D227" s="7" t="str">
        <f t="shared" si="7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2">
        <f ca="1">IFERROR(VLOOKUP(B227,input_543100!L:R,7,FALSE),VLOOKUP(tables_543100!C227,input_543100!A:H,8,FALSE))</f>
        <v>821967.53845999995</v>
      </c>
      <c r="P227" s="43">
        <f ca="1">O227/SUM(O:O)</f>
        <v>6.3619778518536523E-3</v>
      </c>
      <c r="Q227" s="29">
        <v>1</v>
      </c>
      <c r="R227" s="29">
        <v>0</v>
      </c>
      <c r="S227" s="29">
        <v>0</v>
      </c>
      <c r="T227" s="29">
        <v>0</v>
      </c>
      <c r="U227" s="29">
        <v>0</v>
      </c>
      <c r="V227" s="29">
        <v>1</v>
      </c>
    </row>
    <row r="228" spans="1:22" ht="21" customHeight="1" x14ac:dyDescent="0.15">
      <c r="A228" s="2" t="str">
        <f ca="1">input_543100!A$2</f>
        <v>543100</v>
      </c>
      <c r="B228" s="6">
        <v>593</v>
      </c>
      <c r="C228" s="7" t="str">
        <f t="shared" si="6"/>
        <v>Premium5</v>
      </c>
      <c r="D228" s="7" t="str">
        <f t="shared" si="7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2">
        <f ca="1">IFERROR(VLOOKUP(B228,input_543100!L:R,7,FALSE),VLOOKUP(tables_543100!C228,input_543100!A:H,8,FALSE))</f>
        <v>67472.461540000004</v>
      </c>
      <c r="P228" s="43">
        <f ca="1">O228/SUM(O:O)</f>
        <v>5.2223267445788155E-4</v>
      </c>
      <c r="Q228" s="29">
        <v>1</v>
      </c>
      <c r="R228" s="29">
        <v>0</v>
      </c>
      <c r="S228" s="29">
        <v>0</v>
      </c>
      <c r="T228" s="29">
        <v>0</v>
      </c>
      <c r="U228" s="29">
        <v>0</v>
      </c>
      <c r="V228" s="29">
        <v>1</v>
      </c>
    </row>
    <row r="229" spans="1:22" ht="21" customHeight="1" x14ac:dyDescent="0.15">
      <c r="A229" s="2" t="str">
        <f ca="1">input_543100!A$2</f>
        <v>543100</v>
      </c>
      <c r="B229" s="6">
        <v>594</v>
      </c>
      <c r="C229" s="7" t="str">
        <f t="shared" si="6"/>
        <v>PremiumSS4</v>
      </c>
      <c r="D229" s="7" t="str">
        <f t="shared" si="7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2">
        <f ca="1">IFERROR(VLOOKUP(B229,input_543100!L:R,7,FALSE),VLOOKUP(tables_543100!C229,input_543100!A:H,8,FALSE))</f>
        <v>81271.142860000007</v>
      </c>
      <c r="P229" s="43">
        <f ca="1">O229/SUM(O:O)</f>
        <v>6.2903361346710348E-4</v>
      </c>
      <c r="Q229" s="29">
        <v>1</v>
      </c>
      <c r="R229" s="29">
        <v>0</v>
      </c>
      <c r="S229" s="29">
        <v>0</v>
      </c>
      <c r="T229" s="29">
        <v>0</v>
      </c>
      <c r="U229" s="29">
        <v>0</v>
      </c>
      <c r="V229" s="29">
        <v>1</v>
      </c>
    </row>
    <row r="230" spans="1:22" ht="21" customHeight="1" x14ac:dyDescent="0.15">
      <c r="A230" s="2" t="str">
        <f ca="1">input_543100!A$2</f>
        <v>543100</v>
      </c>
      <c r="B230" s="6">
        <v>595</v>
      </c>
      <c r="C230" s="7" t="str">
        <f t="shared" si="6"/>
        <v>PremiumSS5</v>
      </c>
      <c r="D230" s="7" t="str">
        <f t="shared" si="7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2">
        <f ca="1">IFERROR(VLOOKUP(B230,input_543100!L:R,7,FALSE),VLOOKUP(tables_543100!C230,input_543100!A:H,8,FALSE))</f>
        <v>5586</v>
      </c>
      <c r="P230" s="43">
        <f ca="1">O230/SUM(O:O)</f>
        <v>4.3235294117620336E-5</v>
      </c>
      <c r="Q230" s="29">
        <v>1</v>
      </c>
      <c r="R230" s="29">
        <v>0</v>
      </c>
      <c r="S230" s="29">
        <v>0</v>
      </c>
      <c r="T230" s="29">
        <v>0</v>
      </c>
      <c r="U230" s="29">
        <v>0</v>
      </c>
      <c r="V230" s="29">
        <v>1</v>
      </c>
    </row>
    <row r="231" spans="1:22" ht="21" customHeight="1" x14ac:dyDescent="0.15">
      <c r="A231" s="2" t="str">
        <f ca="1">input_543100!A$2</f>
        <v>543100</v>
      </c>
      <c r="B231" s="6">
        <v>596</v>
      </c>
      <c r="C231" s="7" t="str">
        <f t="shared" si="6"/>
        <v>Premium3</v>
      </c>
      <c r="D231" s="7" t="str">
        <f t="shared" si="7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2">
        <f ca="1">IFERROR(VLOOKUP(B231,input_543100!L:R,7,FALSE),VLOOKUP(tables_543100!C231,input_543100!A:H,8,FALSE))</f>
        <v>0</v>
      </c>
      <c r="P231" s="43">
        <f ca="1">O231/SUM(O:O)</f>
        <v>0</v>
      </c>
      <c r="Q231" s="29">
        <v>1</v>
      </c>
      <c r="R231" s="29">
        <v>0</v>
      </c>
      <c r="S231" s="29">
        <v>0</v>
      </c>
      <c r="T231" s="29">
        <v>0</v>
      </c>
      <c r="U231" s="29">
        <v>0</v>
      </c>
      <c r="V231" s="29">
        <v>1</v>
      </c>
    </row>
    <row r="232" spans="1:22" ht="21" customHeight="1" x14ac:dyDescent="0.15">
      <c r="A232" s="2" t="str">
        <f ca="1">input_543100!A$2</f>
        <v>543100</v>
      </c>
      <c r="B232" s="6">
        <v>597</v>
      </c>
      <c r="C232" s="7" t="str">
        <f t="shared" si="6"/>
        <v>Premium4</v>
      </c>
      <c r="D232" s="7" t="str">
        <f t="shared" si="7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2">
        <f ca="1">IFERROR(VLOOKUP(B232,input_543100!L:R,7,FALSE),VLOOKUP(tables_543100!C232,input_543100!A:H,8,FALSE))</f>
        <v>821967.53845999995</v>
      </c>
      <c r="P232" s="43">
        <f ca="1">O232/SUM(O:O)</f>
        <v>6.3619778518536523E-3</v>
      </c>
      <c r="Q232" s="29">
        <v>1</v>
      </c>
      <c r="R232" s="29">
        <v>0</v>
      </c>
      <c r="S232" s="29">
        <v>0</v>
      </c>
      <c r="T232" s="29">
        <v>0</v>
      </c>
      <c r="U232" s="29">
        <v>0</v>
      </c>
      <c r="V232" s="29">
        <v>1</v>
      </c>
    </row>
    <row r="233" spans="1:22" ht="21" customHeight="1" x14ac:dyDescent="0.15">
      <c r="A233" s="2" t="str">
        <f ca="1">input_543100!A$2</f>
        <v>543100</v>
      </c>
      <c r="B233" s="6">
        <v>598</v>
      </c>
      <c r="C233" s="7" t="str">
        <f t="shared" si="6"/>
        <v>Premium5</v>
      </c>
      <c r="D233" s="7" t="str">
        <f t="shared" si="7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2">
        <f ca="1">IFERROR(VLOOKUP(B233,input_543100!L:R,7,FALSE),VLOOKUP(tables_543100!C233,input_543100!A:H,8,FALSE))</f>
        <v>67472.461540000004</v>
      </c>
      <c r="P233" s="43">
        <f ca="1">O233/SUM(O:O)</f>
        <v>5.2223267445788155E-4</v>
      </c>
      <c r="Q233" s="29">
        <v>1</v>
      </c>
      <c r="R233" s="29">
        <v>0</v>
      </c>
      <c r="S233" s="29">
        <v>0</v>
      </c>
      <c r="T233" s="29">
        <v>0</v>
      </c>
      <c r="U233" s="29">
        <v>0</v>
      </c>
      <c r="V233" s="29">
        <v>1</v>
      </c>
    </row>
    <row r="234" spans="1:22" ht="21" customHeight="1" x14ac:dyDescent="0.15">
      <c r="A234" s="2" t="str">
        <f ca="1">input_543100!A$2</f>
        <v>543100</v>
      </c>
      <c r="B234" s="6">
        <v>599</v>
      </c>
      <c r="C234" s="7" t="str">
        <f t="shared" si="6"/>
        <v>Premium3</v>
      </c>
      <c r="D234" s="7" t="str">
        <f t="shared" si="7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2">
        <f ca="1">IFERROR(VLOOKUP(B234,input_543100!L:R,7,FALSE),VLOOKUP(tables_543100!C234,input_543100!A:H,8,FALSE))</f>
        <v>0</v>
      </c>
      <c r="P234" s="43">
        <f ca="1">O234/SUM(O:O)</f>
        <v>0</v>
      </c>
      <c r="Q234" s="29">
        <v>1</v>
      </c>
      <c r="R234" s="29">
        <v>0</v>
      </c>
      <c r="S234" s="29">
        <v>0</v>
      </c>
      <c r="T234" s="29">
        <v>0</v>
      </c>
      <c r="U234" s="29">
        <v>0</v>
      </c>
      <c r="V234" s="29">
        <v>1</v>
      </c>
    </row>
    <row r="235" spans="1:22" ht="21" customHeight="1" x14ac:dyDescent="0.15">
      <c r="A235" s="2" t="str">
        <f ca="1">input_543100!A$2</f>
        <v>543100</v>
      </c>
      <c r="B235" s="6">
        <v>600</v>
      </c>
      <c r="C235" s="7" t="str">
        <f t="shared" si="6"/>
        <v>Premium4</v>
      </c>
      <c r="D235" s="7" t="str">
        <f t="shared" si="7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2">
        <f ca="1">IFERROR(VLOOKUP(B235,input_543100!L:R,7,FALSE),VLOOKUP(tables_543100!C235,input_543100!A:H,8,FALSE))</f>
        <v>821967.53845999995</v>
      </c>
      <c r="P235" s="43">
        <f ca="1">O235/SUM(O:O)</f>
        <v>6.3619778518536523E-3</v>
      </c>
      <c r="Q235" s="29">
        <v>1</v>
      </c>
      <c r="R235" s="29">
        <v>0</v>
      </c>
      <c r="S235" s="29">
        <v>0</v>
      </c>
      <c r="T235" s="29">
        <v>0</v>
      </c>
      <c r="U235" s="29">
        <v>0</v>
      </c>
      <c r="V235" s="29">
        <v>1</v>
      </c>
    </row>
    <row r="236" spans="1:22" ht="21" customHeight="1" x14ac:dyDescent="0.15">
      <c r="A236" s="2" t="str">
        <f ca="1">input_543100!A$2</f>
        <v>543100</v>
      </c>
      <c r="B236" s="6">
        <v>601</v>
      </c>
      <c r="C236" s="7" t="str">
        <f t="shared" si="6"/>
        <v>Premium5</v>
      </c>
      <c r="D236" s="7" t="str">
        <f t="shared" si="7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2">
        <f ca="1">IFERROR(VLOOKUP(B236,input_543100!L:R,7,FALSE),VLOOKUP(tables_543100!C236,input_543100!A:H,8,FALSE))</f>
        <v>67472.461540000004</v>
      </c>
      <c r="P236" s="43">
        <f ca="1">O236/SUM(O:O)</f>
        <v>5.2223267445788155E-4</v>
      </c>
      <c r="Q236" s="29">
        <v>1</v>
      </c>
      <c r="R236" s="29">
        <v>0</v>
      </c>
      <c r="S236" s="29">
        <v>0</v>
      </c>
      <c r="T236" s="29">
        <v>0</v>
      </c>
      <c r="U236" s="29">
        <v>0</v>
      </c>
      <c r="V236" s="29">
        <v>1</v>
      </c>
    </row>
    <row r="237" spans="1:22" ht="21" customHeight="1" x14ac:dyDescent="0.15">
      <c r="A237" s="2" t="str">
        <f ca="1">input_543100!A$2</f>
        <v>543100</v>
      </c>
      <c r="B237" s="6">
        <v>602</v>
      </c>
      <c r="C237" s="7" t="str">
        <f t="shared" si="6"/>
        <v>PremiumSS4</v>
      </c>
      <c r="D237" s="7" t="str">
        <f t="shared" si="7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2">
        <f ca="1">IFERROR(VLOOKUP(B237,input_543100!L:R,7,FALSE),VLOOKUP(tables_543100!C237,input_543100!A:H,8,FALSE))</f>
        <v>81271.142860000007</v>
      </c>
      <c r="P237" s="43">
        <f ca="1">O237/SUM(O:O)</f>
        <v>6.2903361346710348E-4</v>
      </c>
      <c r="Q237" s="29">
        <v>1</v>
      </c>
      <c r="R237" s="29">
        <v>0</v>
      </c>
      <c r="S237" s="29">
        <v>0</v>
      </c>
      <c r="T237" s="29">
        <v>0</v>
      </c>
      <c r="U237" s="29">
        <v>0</v>
      </c>
      <c r="V237" s="29">
        <v>1</v>
      </c>
    </row>
    <row r="238" spans="1:22" ht="21" customHeight="1" x14ac:dyDescent="0.15">
      <c r="A238" s="2" t="str">
        <f ca="1">input_543100!A$2</f>
        <v>543100</v>
      </c>
      <c r="B238" s="6">
        <v>603</v>
      </c>
      <c r="C238" s="7" t="str">
        <f t="shared" si="6"/>
        <v>PremiumSS5</v>
      </c>
      <c r="D238" s="7" t="str">
        <f t="shared" si="7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2">
        <f ca="1">IFERROR(VLOOKUP(B238,input_543100!L:R,7,FALSE),VLOOKUP(tables_543100!C238,input_543100!A:H,8,FALSE))</f>
        <v>5586</v>
      </c>
      <c r="P238" s="43">
        <f ca="1">O238/SUM(O:O)</f>
        <v>4.3235294117620336E-5</v>
      </c>
      <c r="Q238" s="29">
        <v>1</v>
      </c>
      <c r="R238" s="29">
        <v>0</v>
      </c>
      <c r="S238" s="29">
        <v>0</v>
      </c>
      <c r="T238" s="29">
        <v>0</v>
      </c>
      <c r="U238" s="29">
        <v>0</v>
      </c>
      <c r="V238" s="29">
        <v>1</v>
      </c>
    </row>
    <row r="239" spans="1:22" ht="21" customHeight="1" x14ac:dyDescent="0.15">
      <c r="A239" s="2" t="str">
        <f ca="1">input_543100!A$2</f>
        <v>543100</v>
      </c>
      <c r="B239" s="6">
        <v>604</v>
      </c>
      <c r="C239" s="7" t="str">
        <f t="shared" si="6"/>
        <v>Premium3</v>
      </c>
      <c r="D239" s="7" t="str">
        <f t="shared" si="7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2">
        <f ca="1">IFERROR(VLOOKUP(B239,input_543100!L:R,7,FALSE),VLOOKUP(tables_543100!C239,input_543100!A:H,8,FALSE))</f>
        <v>0</v>
      </c>
      <c r="P239" s="43">
        <f ca="1">O239/SUM(O:O)</f>
        <v>0</v>
      </c>
      <c r="Q239" s="29">
        <v>1</v>
      </c>
      <c r="R239" s="29">
        <v>0</v>
      </c>
      <c r="S239" s="29">
        <v>0</v>
      </c>
      <c r="T239" s="29">
        <v>0</v>
      </c>
      <c r="U239" s="29">
        <v>0</v>
      </c>
      <c r="V239" s="29">
        <v>1</v>
      </c>
    </row>
    <row r="240" spans="1:22" ht="21" customHeight="1" x14ac:dyDescent="0.15">
      <c r="A240" s="2" t="str">
        <f ca="1">input_543100!A$2</f>
        <v>543100</v>
      </c>
      <c r="B240" s="6">
        <v>605</v>
      </c>
      <c r="C240" s="7" t="str">
        <f t="shared" si="6"/>
        <v>Premium4</v>
      </c>
      <c r="D240" s="7" t="str">
        <f t="shared" si="7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2">
        <f ca="1">IFERROR(VLOOKUP(B240,input_543100!L:R,7,FALSE),VLOOKUP(tables_543100!C240,input_543100!A:H,8,FALSE))</f>
        <v>821967.53845999995</v>
      </c>
      <c r="P240" s="43">
        <f ca="1">O240/SUM(O:O)</f>
        <v>6.3619778518536523E-3</v>
      </c>
      <c r="Q240" s="29">
        <v>1</v>
      </c>
      <c r="R240" s="29">
        <v>0</v>
      </c>
      <c r="S240" s="29">
        <v>0</v>
      </c>
      <c r="T240" s="29">
        <v>0</v>
      </c>
      <c r="U240" s="29">
        <v>0</v>
      </c>
      <c r="V240" s="29">
        <v>1</v>
      </c>
    </row>
    <row r="241" spans="1:22" ht="21" customHeight="1" x14ac:dyDescent="0.15">
      <c r="A241" s="2" t="str">
        <f ca="1">input_543100!A$2</f>
        <v>543100</v>
      </c>
      <c r="B241" s="6">
        <v>606</v>
      </c>
      <c r="C241" s="7" t="str">
        <f t="shared" si="6"/>
        <v>Premium5</v>
      </c>
      <c r="D241" s="7" t="str">
        <f t="shared" si="7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2">
        <f ca="1">IFERROR(VLOOKUP(B241,input_543100!L:R,7,FALSE),VLOOKUP(tables_543100!C241,input_543100!A:H,8,FALSE))</f>
        <v>67472.461540000004</v>
      </c>
      <c r="P241" s="43">
        <f ca="1">O241/SUM(O:O)</f>
        <v>5.2223267445788155E-4</v>
      </c>
      <c r="Q241" s="29">
        <v>1</v>
      </c>
      <c r="R241" s="29">
        <v>0</v>
      </c>
      <c r="S241" s="29">
        <v>0</v>
      </c>
      <c r="T241" s="29">
        <v>0</v>
      </c>
      <c r="U241" s="29">
        <v>0</v>
      </c>
      <c r="V241" s="29">
        <v>1</v>
      </c>
    </row>
    <row r="242" spans="1:22" ht="21" customHeight="1" x14ac:dyDescent="0.15">
      <c r="A242" s="2" t="str">
        <f ca="1">input_543100!A$2</f>
        <v>543100</v>
      </c>
      <c r="B242" s="6">
        <v>658</v>
      </c>
      <c r="C242" s="7" t="str">
        <f t="shared" si="6"/>
        <v>PremiumSS4</v>
      </c>
      <c r="D242" s="7" t="str">
        <f t="shared" si="7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2">
        <f ca="1">IFERROR(VLOOKUP(B242,input_543100!L:R,7,FALSE),VLOOKUP(tables_543100!C242,input_543100!A:H,8,FALSE))</f>
        <v>81271.142860000007</v>
      </c>
      <c r="P242" s="43">
        <f ca="1">O242/SUM(O:O)</f>
        <v>6.2903361346710348E-4</v>
      </c>
      <c r="Q242" s="29">
        <v>1</v>
      </c>
      <c r="R242" s="29">
        <v>0</v>
      </c>
      <c r="S242" s="29">
        <v>0</v>
      </c>
      <c r="T242" s="29">
        <v>0</v>
      </c>
      <c r="U242" s="29">
        <v>0</v>
      </c>
      <c r="V242" s="29">
        <v>1</v>
      </c>
    </row>
    <row r="243" spans="1:22" ht="21" customHeight="1" x14ac:dyDescent="0.15">
      <c r="A243" s="2" t="str">
        <f ca="1">input_543100!A$2</f>
        <v>543100</v>
      </c>
      <c r="B243" s="6">
        <v>659</v>
      </c>
      <c r="C243" s="7" t="str">
        <f t="shared" si="6"/>
        <v>PremiumSS5</v>
      </c>
      <c r="D243" s="7" t="str">
        <f t="shared" si="7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2">
        <f ca="1">IFERROR(VLOOKUP(B243,input_543100!L:R,7,FALSE),VLOOKUP(tables_543100!C243,input_543100!A:H,8,FALSE))</f>
        <v>5586</v>
      </c>
      <c r="P243" s="43">
        <f ca="1">O243/SUM(O:O)</f>
        <v>4.3235294117620336E-5</v>
      </c>
      <c r="Q243" s="29">
        <v>1</v>
      </c>
      <c r="R243" s="29">
        <v>0</v>
      </c>
      <c r="S243" s="29">
        <v>0</v>
      </c>
      <c r="T243" s="29">
        <v>0</v>
      </c>
      <c r="U243" s="29">
        <v>0</v>
      </c>
      <c r="V243" s="29">
        <v>1</v>
      </c>
    </row>
    <row r="244" spans="1:22" ht="21" customHeight="1" x14ac:dyDescent="0.15">
      <c r="A244" s="2" t="str">
        <f ca="1">input_543100!A$2</f>
        <v>543100</v>
      </c>
      <c r="B244" s="6">
        <v>660</v>
      </c>
      <c r="C244" s="7" t="str">
        <f t="shared" si="6"/>
        <v>PremiumSS4</v>
      </c>
      <c r="D244" s="7" t="str">
        <f t="shared" si="7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2">
        <f ca="1">IFERROR(VLOOKUP(B244,input_543100!L:R,7,FALSE),VLOOKUP(tables_543100!C244,input_543100!A:H,8,FALSE))</f>
        <v>81271.142860000007</v>
      </c>
      <c r="P244" s="43">
        <f ca="1">O244/SUM(O:O)</f>
        <v>6.2903361346710348E-4</v>
      </c>
      <c r="Q244" s="29">
        <v>1</v>
      </c>
      <c r="R244" s="29">
        <v>0</v>
      </c>
      <c r="S244" s="29">
        <v>0</v>
      </c>
      <c r="T244" s="29">
        <v>0</v>
      </c>
      <c r="U244" s="29">
        <v>0</v>
      </c>
      <c r="V244" s="29">
        <v>1</v>
      </c>
    </row>
    <row r="245" spans="1:22" ht="21" customHeight="1" x14ac:dyDescent="0.15">
      <c r="A245" s="2" t="str">
        <f ca="1">input_543100!A$2</f>
        <v>543100</v>
      </c>
      <c r="B245" s="55">
        <v>661</v>
      </c>
      <c r="C245" s="7" t="str">
        <f t="shared" si="6"/>
        <v>PremiumSS5</v>
      </c>
      <c r="D245" s="7" t="str">
        <f t="shared" si="7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2">
        <f ca="1">IFERROR(VLOOKUP(B245,input_543100!L:R,7,FALSE),VLOOKUP(tables_543100!C245,input_543100!A:H,8,FALSE))</f>
        <v>5586</v>
      </c>
      <c r="P245" s="43">
        <f ca="1">O245/SUM(O:O)</f>
        <v>4.3235294117620336E-5</v>
      </c>
      <c r="Q245" s="29">
        <v>1</v>
      </c>
      <c r="R245" s="29">
        <v>0</v>
      </c>
      <c r="S245" s="29">
        <v>0</v>
      </c>
      <c r="T245" s="29">
        <v>0</v>
      </c>
      <c r="U245" s="29">
        <v>0</v>
      </c>
      <c r="V245" s="29">
        <v>1</v>
      </c>
    </row>
    <row r="246" spans="1:22" ht="21" customHeight="1" x14ac:dyDescent="0.15">
      <c r="A246" s="2" t="str">
        <f ca="1">input_543100!A$2</f>
        <v>543100</v>
      </c>
      <c r="B246" s="55">
        <v>662</v>
      </c>
      <c r="C246" s="7" t="str">
        <f t="shared" si="6"/>
        <v>Premium3</v>
      </c>
      <c r="D246" s="7" t="str">
        <f t="shared" si="7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2">
        <f ca="1">IFERROR(VLOOKUP(B246,input_543100!L:R,7,FALSE),VLOOKUP(tables_543100!C246,input_543100!A:H,8,FALSE))</f>
        <v>0</v>
      </c>
      <c r="P246" s="43">
        <f ca="1">O246/SUM(O:O)</f>
        <v>0</v>
      </c>
      <c r="Q246" s="29">
        <v>1</v>
      </c>
      <c r="R246" s="29">
        <v>0</v>
      </c>
      <c r="S246" s="29">
        <v>0</v>
      </c>
      <c r="T246" s="29">
        <v>0</v>
      </c>
      <c r="U246" s="29">
        <v>0</v>
      </c>
      <c r="V246" s="29">
        <v>1</v>
      </c>
    </row>
    <row r="247" spans="1:22" ht="21" customHeight="1" x14ac:dyDescent="0.15">
      <c r="A247" s="2" t="str">
        <f ca="1">input_543100!A$2</f>
        <v>543100</v>
      </c>
      <c r="B247" s="55">
        <v>663</v>
      </c>
      <c r="C247" s="7" t="str">
        <f t="shared" si="6"/>
        <v>Premium4</v>
      </c>
      <c r="D247" s="7" t="str">
        <f t="shared" si="7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2">
        <f ca="1">IFERROR(VLOOKUP(B247,input_543100!L:R,7,FALSE),VLOOKUP(tables_543100!C247,input_543100!A:H,8,FALSE))</f>
        <v>821967.53845999995</v>
      </c>
      <c r="P247" s="43">
        <f ca="1">O247/SUM(O:O)</f>
        <v>6.3619778518536523E-3</v>
      </c>
      <c r="Q247" s="29">
        <v>1</v>
      </c>
      <c r="R247" s="29">
        <v>0</v>
      </c>
      <c r="S247" s="29">
        <v>0</v>
      </c>
      <c r="T247" s="29">
        <v>0</v>
      </c>
      <c r="U247" s="29">
        <v>0</v>
      </c>
      <c r="V247" s="29">
        <v>1</v>
      </c>
    </row>
    <row r="248" spans="1:22" ht="21" customHeight="1" x14ac:dyDescent="0.15">
      <c r="A248" s="2" t="str">
        <f ca="1">input_543100!A$2</f>
        <v>543100</v>
      </c>
      <c r="B248" s="55">
        <v>664</v>
      </c>
      <c r="C248" s="7" t="str">
        <f t="shared" si="6"/>
        <v>Premium5</v>
      </c>
      <c r="D248" s="7" t="str">
        <f t="shared" si="7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2">
        <f ca="1">IFERROR(VLOOKUP(B248,input_543100!L:R,7,FALSE),VLOOKUP(tables_543100!C248,input_543100!A:H,8,FALSE))</f>
        <v>67472.461540000004</v>
      </c>
      <c r="P248" s="43">
        <f ca="1">O248/SUM(O:O)</f>
        <v>5.2223267445788155E-4</v>
      </c>
      <c r="Q248" s="29">
        <v>1</v>
      </c>
      <c r="R248" s="29">
        <v>0</v>
      </c>
      <c r="S248" s="29">
        <v>0</v>
      </c>
      <c r="T248" s="29">
        <v>0</v>
      </c>
      <c r="U248" s="29">
        <v>0</v>
      </c>
      <c r="V248" s="29">
        <v>1</v>
      </c>
    </row>
    <row r="249" spans="1:22" ht="21" customHeight="1" x14ac:dyDescent="0.15">
      <c r="A249" s="2" t="str">
        <f ca="1">input_543100!A$2</f>
        <v>543100</v>
      </c>
      <c r="B249" s="55">
        <v>665</v>
      </c>
      <c r="C249" s="7" t="str">
        <f t="shared" si="6"/>
        <v>Premium3</v>
      </c>
      <c r="D249" s="7" t="str">
        <f t="shared" si="7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2">
        <f ca="1">IFERROR(VLOOKUP(B249,input_543100!L:R,7,FALSE),VLOOKUP(tables_543100!C249,input_543100!A:H,8,FALSE))</f>
        <v>0</v>
      </c>
      <c r="P249" s="43">
        <f ca="1">O249/SUM(O:O)</f>
        <v>0</v>
      </c>
      <c r="Q249" s="29">
        <v>1</v>
      </c>
      <c r="R249" s="29">
        <v>0</v>
      </c>
      <c r="S249" s="29">
        <v>0</v>
      </c>
      <c r="T249" s="29">
        <v>0</v>
      </c>
      <c r="U249" s="29">
        <v>0</v>
      </c>
      <c r="V249" s="29">
        <v>1</v>
      </c>
    </row>
    <row r="250" spans="1:22" ht="21" customHeight="1" x14ac:dyDescent="0.15">
      <c r="A250" s="2" t="str">
        <f ca="1">input_543100!A$2</f>
        <v>543100</v>
      </c>
      <c r="B250" s="55">
        <v>666</v>
      </c>
      <c r="C250" s="7" t="str">
        <f t="shared" si="6"/>
        <v>Premium4</v>
      </c>
      <c r="D250" s="7" t="str">
        <f t="shared" si="7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2">
        <f ca="1">IFERROR(VLOOKUP(B250,input_543100!L:R,7,FALSE),VLOOKUP(tables_543100!C250,input_543100!A:H,8,FALSE))</f>
        <v>821967.53845999995</v>
      </c>
      <c r="P250" s="43">
        <f ca="1">O250/SUM(O:O)</f>
        <v>6.3619778518536523E-3</v>
      </c>
      <c r="Q250" s="29">
        <v>1</v>
      </c>
      <c r="R250" s="29">
        <v>0</v>
      </c>
      <c r="S250" s="29">
        <v>0</v>
      </c>
      <c r="T250" s="29">
        <v>0</v>
      </c>
      <c r="U250" s="29">
        <v>0</v>
      </c>
      <c r="V250" s="29">
        <v>1</v>
      </c>
    </row>
    <row r="251" spans="1:22" ht="21" customHeight="1" x14ac:dyDescent="0.15">
      <c r="A251" s="2" t="str">
        <f ca="1">input_543100!A$2</f>
        <v>543100</v>
      </c>
      <c r="B251" s="55">
        <v>667</v>
      </c>
      <c r="C251" s="7" t="str">
        <f t="shared" si="6"/>
        <v>Premium5</v>
      </c>
      <c r="D251" s="7" t="str">
        <f t="shared" si="7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2">
        <f ca="1">IFERROR(VLOOKUP(B251,input_543100!L:R,7,FALSE),VLOOKUP(tables_543100!C251,input_543100!A:H,8,FALSE))</f>
        <v>67472.461540000004</v>
      </c>
      <c r="P251" s="43">
        <f ca="1">O251/SUM(O:O)</f>
        <v>5.2223267445788155E-4</v>
      </c>
      <c r="Q251" s="29">
        <v>1</v>
      </c>
      <c r="R251" s="29">
        <v>0</v>
      </c>
      <c r="S251" s="29">
        <v>0</v>
      </c>
      <c r="T251" s="29">
        <v>0</v>
      </c>
      <c r="U251" s="29">
        <v>0</v>
      </c>
      <c r="V251" s="29">
        <v>1</v>
      </c>
    </row>
    <row r="252" spans="1:22" ht="21" customHeight="1" x14ac:dyDescent="0.15">
      <c r="A252" s="2" t="str">
        <f ca="1">input_543100!A$2</f>
        <v>543100</v>
      </c>
      <c r="B252" s="55">
        <v>668</v>
      </c>
      <c r="C252" s="7" t="str">
        <f t="shared" si="6"/>
        <v>Premium3</v>
      </c>
      <c r="D252" s="7" t="str">
        <f t="shared" si="7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2">
        <f ca="1">IFERROR(VLOOKUP(B252,input_543100!L:R,7,FALSE),VLOOKUP(tables_543100!C252,input_543100!A:H,8,FALSE))</f>
        <v>0</v>
      </c>
      <c r="P252" s="43">
        <f ca="1">O252/SUM(O:O)</f>
        <v>0</v>
      </c>
      <c r="Q252" s="29">
        <v>1</v>
      </c>
      <c r="R252" s="29">
        <v>0</v>
      </c>
      <c r="S252" s="29">
        <v>0</v>
      </c>
      <c r="T252" s="29">
        <v>0</v>
      </c>
      <c r="U252" s="29">
        <v>0</v>
      </c>
      <c r="V252" s="29">
        <v>1</v>
      </c>
    </row>
    <row r="253" spans="1:22" ht="21" customHeight="1" x14ac:dyDescent="0.15">
      <c r="A253" s="2" t="str">
        <f ca="1">input_543100!A$2</f>
        <v>543100</v>
      </c>
      <c r="B253" s="55">
        <v>669</v>
      </c>
      <c r="C253" s="7" t="str">
        <f t="shared" si="6"/>
        <v>Premium4</v>
      </c>
      <c r="D253" s="7" t="str">
        <f t="shared" si="7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2">
        <f ca="1">IFERROR(VLOOKUP(B253,input_543100!L:R,7,FALSE),VLOOKUP(tables_543100!C253,input_543100!A:H,8,FALSE))</f>
        <v>821967.53845999995</v>
      </c>
      <c r="P253" s="43">
        <f ca="1">O253/SUM(O:O)</f>
        <v>6.3619778518536523E-3</v>
      </c>
      <c r="Q253" s="29">
        <v>1</v>
      </c>
      <c r="R253" s="29">
        <v>0</v>
      </c>
      <c r="S253" s="29">
        <v>0</v>
      </c>
      <c r="T253" s="29">
        <v>0</v>
      </c>
      <c r="U253" s="29">
        <v>0</v>
      </c>
      <c r="V253" s="29">
        <v>1</v>
      </c>
    </row>
    <row r="254" spans="1:22" ht="21" customHeight="1" x14ac:dyDescent="0.15">
      <c r="A254" s="2" t="str">
        <f ca="1">input_543100!A$2</f>
        <v>543100</v>
      </c>
      <c r="B254" s="55">
        <v>670</v>
      </c>
      <c r="C254" s="7" t="str">
        <f t="shared" si="6"/>
        <v>Premium5</v>
      </c>
      <c r="D254" s="7" t="str">
        <f t="shared" si="7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2">
        <f ca="1">IFERROR(VLOOKUP(B254,input_543100!L:R,7,FALSE),VLOOKUP(tables_543100!C254,input_543100!A:H,8,FALSE))</f>
        <v>67472.461540000004</v>
      </c>
      <c r="P254" s="43">
        <f ca="1">O254/SUM(O:O)</f>
        <v>5.2223267445788155E-4</v>
      </c>
      <c r="Q254" s="29">
        <v>1</v>
      </c>
      <c r="R254" s="29">
        <v>0</v>
      </c>
      <c r="S254" s="29">
        <v>0</v>
      </c>
      <c r="T254" s="29">
        <v>0</v>
      </c>
      <c r="U254" s="29">
        <v>0</v>
      </c>
      <c r="V254" s="29">
        <v>1</v>
      </c>
    </row>
    <row r="255" spans="1:22" ht="21" customHeight="1" x14ac:dyDescent="0.15">
      <c r="A255" s="2" t="str">
        <f ca="1">input_543100!A$2</f>
        <v>543100</v>
      </c>
      <c r="B255" s="55">
        <v>671</v>
      </c>
      <c r="C255" s="7" t="str">
        <f t="shared" si="6"/>
        <v>Premium3</v>
      </c>
      <c r="D255" s="7" t="str">
        <f t="shared" si="7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2">
        <f ca="1">IFERROR(VLOOKUP(B255,input_543100!L:R,7,FALSE),VLOOKUP(tables_543100!C255,input_543100!A:H,8,FALSE))</f>
        <v>0</v>
      </c>
      <c r="P255" s="43">
        <f ca="1">O255/SUM(O:O)</f>
        <v>0</v>
      </c>
      <c r="Q255" s="29">
        <v>1</v>
      </c>
      <c r="R255" s="29">
        <v>0</v>
      </c>
      <c r="S255" s="29">
        <v>0</v>
      </c>
      <c r="T255" s="29">
        <v>0</v>
      </c>
      <c r="U255" s="29">
        <v>0</v>
      </c>
      <c r="V255" s="29">
        <v>1</v>
      </c>
    </row>
    <row r="256" spans="1:22" ht="21" customHeight="1" x14ac:dyDescent="0.15">
      <c r="A256" s="2" t="str">
        <f ca="1">input_543100!A$2</f>
        <v>543100</v>
      </c>
      <c r="B256" s="55">
        <v>672</v>
      </c>
      <c r="C256" s="7" t="str">
        <f t="shared" si="6"/>
        <v>Premium4</v>
      </c>
      <c r="D256" s="7" t="str">
        <f t="shared" si="7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2">
        <f ca="1">IFERROR(VLOOKUP(B256,input_543100!L:R,7,FALSE),VLOOKUP(tables_543100!C256,input_543100!A:H,8,FALSE))</f>
        <v>821967.53845999995</v>
      </c>
      <c r="P256" s="43">
        <f ca="1">O256/SUM(O:O)</f>
        <v>6.3619778518536523E-3</v>
      </c>
      <c r="Q256" s="29">
        <v>1</v>
      </c>
      <c r="R256" s="29">
        <v>0</v>
      </c>
      <c r="S256" s="29">
        <v>0</v>
      </c>
      <c r="T256" s="29">
        <v>0</v>
      </c>
      <c r="U256" s="29">
        <v>0</v>
      </c>
      <c r="V256" s="29">
        <v>1</v>
      </c>
    </row>
    <row r="257" spans="1:22" ht="21" customHeight="1" x14ac:dyDescent="0.15">
      <c r="A257" s="2" t="str">
        <f ca="1">input_543100!A$2</f>
        <v>543100</v>
      </c>
      <c r="B257" s="55">
        <v>673</v>
      </c>
      <c r="C257" s="7" t="str">
        <f t="shared" si="6"/>
        <v>Premium5</v>
      </c>
      <c r="D257" s="7" t="str">
        <f t="shared" si="7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2">
        <f ca="1">IFERROR(VLOOKUP(B257,input_543100!L:R,7,FALSE),VLOOKUP(tables_543100!C257,input_543100!A:H,8,FALSE))</f>
        <v>67472.461540000004</v>
      </c>
      <c r="P257" s="43">
        <f ca="1">O257/SUM(O:O)</f>
        <v>5.2223267445788155E-4</v>
      </c>
      <c r="Q257" s="29">
        <v>1</v>
      </c>
      <c r="R257" s="29">
        <v>0</v>
      </c>
      <c r="S257" s="29">
        <v>0</v>
      </c>
      <c r="T257" s="29">
        <v>0</v>
      </c>
      <c r="U257" s="29">
        <v>0</v>
      </c>
      <c r="V257" s="29">
        <v>1</v>
      </c>
    </row>
    <row r="258" spans="1:22" ht="21" customHeight="1" x14ac:dyDescent="0.15">
      <c r="A258" s="2" t="str">
        <f ca="1">input_543100!A$2</f>
        <v>543100</v>
      </c>
      <c r="B258" s="55">
        <v>674</v>
      </c>
      <c r="C258" s="7" t="str">
        <f t="shared" ref="C258:C283" si="8">D258&amp;J258&amp;E258&amp;F258&amp;G258</f>
        <v>PremiumSS4</v>
      </c>
      <c r="D258" s="7" t="str">
        <f t="shared" si="7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2">
        <f ca="1">IFERROR(VLOOKUP(B258,input_543100!L:R,7,FALSE),VLOOKUP(tables_543100!C258,input_543100!A:H,8,FALSE))</f>
        <v>81271.142860000007</v>
      </c>
      <c r="P258" s="43">
        <f ca="1">O258/SUM(O:O)</f>
        <v>6.2903361346710348E-4</v>
      </c>
      <c r="Q258" s="29">
        <v>1</v>
      </c>
      <c r="R258" s="29">
        <v>0</v>
      </c>
      <c r="S258" s="29">
        <v>0</v>
      </c>
      <c r="T258" s="29">
        <v>0</v>
      </c>
      <c r="U258" s="29">
        <v>0</v>
      </c>
      <c r="V258" s="29">
        <v>1</v>
      </c>
    </row>
    <row r="259" spans="1:22" ht="21" customHeight="1" x14ac:dyDescent="0.15">
      <c r="A259" s="2" t="str">
        <f ca="1">input_543100!A$2</f>
        <v>543100</v>
      </c>
      <c r="B259" s="55">
        <v>675</v>
      </c>
      <c r="C259" s="7" t="str">
        <f t="shared" si="8"/>
        <v>PremiumSS5</v>
      </c>
      <c r="D259" s="7" t="str">
        <f t="shared" ref="D259:D322" si="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2">
        <f ca="1">IFERROR(VLOOKUP(B259,input_543100!L:R,7,FALSE),VLOOKUP(tables_543100!C259,input_543100!A:H,8,FALSE))</f>
        <v>5586</v>
      </c>
      <c r="P259" s="43">
        <f ca="1">O259/SUM(O:O)</f>
        <v>4.3235294117620336E-5</v>
      </c>
      <c r="Q259" s="29">
        <v>1</v>
      </c>
      <c r="R259" s="29">
        <v>0</v>
      </c>
      <c r="S259" s="29">
        <v>0</v>
      </c>
      <c r="T259" s="29">
        <v>0</v>
      </c>
      <c r="U259" s="29">
        <v>0</v>
      </c>
      <c r="V259" s="29">
        <v>1</v>
      </c>
    </row>
    <row r="260" spans="1:22" ht="21" customHeight="1" x14ac:dyDescent="0.15">
      <c r="A260" s="2" t="str">
        <f ca="1">input_543100!A$2</f>
        <v>543100</v>
      </c>
      <c r="B260" s="55">
        <v>676</v>
      </c>
      <c r="C260" s="7" t="str">
        <f t="shared" si="8"/>
        <v>PremiumSS4</v>
      </c>
      <c r="D260" s="7" t="str">
        <f t="shared" si="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2">
        <f ca="1">IFERROR(VLOOKUP(B260,input_543100!L:R,7,FALSE),VLOOKUP(tables_543100!C260,input_543100!A:H,8,FALSE))</f>
        <v>81271.142860000007</v>
      </c>
      <c r="P260" s="43">
        <f ca="1">O260/SUM(O:O)</f>
        <v>6.2903361346710348E-4</v>
      </c>
      <c r="Q260" s="29">
        <v>1</v>
      </c>
      <c r="R260" s="29">
        <v>0</v>
      </c>
      <c r="S260" s="29">
        <v>0</v>
      </c>
      <c r="T260" s="29">
        <v>0</v>
      </c>
      <c r="U260" s="29">
        <v>0</v>
      </c>
      <c r="V260" s="29">
        <v>1</v>
      </c>
    </row>
    <row r="261" spans="1:22" ht="21" customHeight="1" x14ac:dyDescent="0.15">
      <c r="A261" s="2" t="str">
        <f ca="1">input_543100!A$2</f>
        <v>543100</v>
      </c>
      <c r="B261" s="55">
        <v>677</v>
      </c>
      <c r="C261" s="7" t="str">
        <f t="shared" si="8"/>
        <v>PremiumSS5</v>
      </c>
      <c r="D261" s="7" t="str">
        <f t="shared" si="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2">
        <f ca="1">IFERROR(VLOOKUP(B261,input_543100!L:R,7,FALSE),VLOOKUP(tables_543100!C261,input_543100!A:H,8,FALSE))</f>
        <v>5586</v>
      </c>
      <c r="P261" s="43">
        <f ca="1">O261/SUM(O:O)</f>
        <v>4.3235294117620336E-5</v>
      </c>
      <c r="Q261" s="29">
        <v>1</v>
      </c>
      <c r="R261" s="29">
        <v>0</v>
      </c>
      <c r="S261" s="29">
        <v>0</v>
      </c>
      <c r="T261" s="29">
        <v>0</v>
      </c>
      <c r="U261" s="29">
        <v>0</v>
      </c>
      <c r="V261" s="29">
        <v>1</v>
      </c>
    </row>
    <row r="262" spans="1:22" ht="21" customHeight="1" x14ac:dyDescent="0.15">
      <c r="A262" s="2" t="str">
        <f ca="1">input_543100!A$2</f>
        <v>543100</v>
      </c>
      <c r="B262" s="55">
        <v>728</v>
      </c>
      <c r="C262" s="7" t="str">
        <f t="shared" si="8"/>
        <v>Premium4R3less</v>
      </c>
      <c r="D262" s="7" t="str">
        <f t="shared" si="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2">
        <f ca="1">IFERROR(VLOOKUP(B262,input_543100!L:R,7,FALSE),VLOOKUP(tables_543100!C262,input_543100!A:H,8,FALSE))</f>
        <v>808500.96</v>
      </c>
      <c r="P262" s="43">
        <f ca="1">O262/SUM(O:O)</f>
        <v>6.2577473684171849E-3</v>
      </c>
      <c r="Q262" s="29">
        <v>1</v>
      </c>
      <c r="R262" s="29">
        <v>0</v>
      </c>
      <c r="S262" s="29">
        <v>0</v>
      </c>
      <c r="T262" s="29">
        <v>0</v>
      </c>
      <c r="U262" s="29">
        <v>0</v>
      </c>
      <c r="V262" s="29">
        <v>1</v>
      </c>
    </row>
    <row r="263" spans="1:22" ht="21" customHeight="1" x14ac:dyDescent="0.15">
      <c r="A263" s="2" t="str">
        <f ca="1">input_543100!A$2</f>
        <v>543100</v>
      </c>
      <c r="B263" s="55">
        <v>729</v>
      </c>
      <c r="C263" s="7" t="str">
        <f t="shared" si="8"/>
        <v>Premium5R3less</v>
      </c>
      <c r="D263" s="7" t="str">
        <f t="shared" si="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2">
        <f ca="1">IFERROR(VLOOKUP(B263,input_543100!L:R,7,FALSE),VLOOKUP(tables_543100!C263,input_543100!A:H,8,FALSE))</f>
        <v>62260.800000000003</v>
      </c>
      <c r="P263" s="43">
        <f ca="1">O263/SUM(O:O)</f>
        <v>4.8189473684180742E-4</v>
      </c>
      <c r="Q263" s="29">
        <v>1</v>
      </c>
      <c r="R263" s="29">
        <v>0</v>
      </c>
      <c r="S263" s="29">
        <v>0</v>
      </c>
      <c r="T263" s="29">
        <v>0</v>
      </c>
      <c r="U263" s="29">
        <v>0</v>
      </c>
      <c r="V263" s="29">
        <v>1</v>
      </c>
    </row>
    <row r="264" spans="1:22" ht="21" customHeight="1" x14ac:dyDescent="0.15">
      <c r="A264" s="2" t="str">
        <f ca="1">input_543100!A$2</f>
        <v>543100</v>
      </c>
      <c r="B264" s="55">
        <v>730</v>
      </c>
      <c r="C264" s="7" t="str">
        <f t="shared" si="8"/>
        <v>Premium4R3less</v>
      </c>
      <c r="D264" s="7" t="str">
        <f t="shared" si="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2">
        <f ca="1">IFERROR(VLOOKUP(B264,input_543100!L:R,7,FALSE),VLOOKUP(tables_543100!C264,input_543100!A:H,8,FALSE))</f>
        <v>808500.96</v>
      </c>
      <c r="P264" s="43">
        <f ca="1">O264/SUM(O:O)</f>
        <v>6.2577473684171849E-3</v>
      </c>
      <c r="Q264" s="29">
        <v>1</v>
      </c>
      <c r="R264" s="29">
        <v>0</v>
      </c>
      <c r="S264" s="29">
        <v>0</v>
      </c>
      <c r="T264" s="29">
        <v>0</v>
      </c>
      <c r="U264" s="29">
        <v>0</v>
      </c>
      <c r="V264" s="29">
        <v>1</v>
      </c>
    </row>
    <row r="265" spans="1:22" ht="21" customHeight="1" x14ac:dyDescent="0.15">
      <c r="A265" s="2" t="str">
        <f ca="1">input_543100!A$2</f>
        <v>543100</v>
      </c>
      <c r="B265" s="55">
        <v>731</v>
      </c>
      <c r="C265" s="7" t="str">
        <f t="shared" si="8"/>
        <v>Premium5R3less</v>
      </c>
      <c r="D265" s="7" t="str">
        <f t="shared" si="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2">
        <f ca="1">IFERROR(VLOOKUP(B265,input_543100!L:R,7,FALSE),VLOOKUP(tables_543100!C265,input_543100!A:H,8,FALSE))</f>
        <v>62260.800000000003</v>
      </c>
      <c r="P265" s="43">
        <f ca="1">O265/SUM(O:O)</f>
        <v>4.8189473684180742E-4</v>
      </c>
      <c r="Q265" s="29">
        <v>1</v>
      </c>
      <c r="R265" s="29">
        <v>0</v>
      </c>
      <c r="S265" s="29">
        <v>0</v>
      </c>
      <c r="T265" s="29">
        <v>0</v>
      </c>
      <c r="U265" s="29">
        <v>0</v>
      </c>
      <c r="V265" s="29">
        <v>1</v>
      </c>
    </row>
    <row r="266" spans="1:22" ht="21" customHeight="1" x14ac:dyDescent="0.15">
      <c r="A266" s="2" t="str">
        <f ca="1">input_543100!A$2</f>
        <v>543100</v>
      </c>
      <c r="B266" s="55">
        <v>732</v>
      </c>
      <c r="C266" s="7" t="str">
        <f t="shared" si="8"/>
        <v>PremiumSS5R5only</v>
      </c>
      <c r="D266" s="7" t="str">
        <f t="shared" si="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2">
        <f ca="1">IFERROR(VLOOKUP(B266,input_543100!L:R,7,FALSE),VLOOKUP(tables_543100!C266,input_543100!A:H,8,FALSE))</f>
        <v>79800</v>
      </c>
      <c r="P266" s="43">
        <f ca="1">O266/SUM(O:O)</f>
        <v>6.1764705882314766E-4</v>
      </c>
      <c r="Q266" s="29">
        <v>1</v>
      </c>
      <c r="R266" s="29">
        <v>0</v>
      </c>
      <c r="S266" s="29">
        <v>0</v>
      </c>
      <c r="T266" s="29">
        <v>0</v>
      </c>
      <c r="U266" s="29">
        <v>0</v>
      </c>
      <c r="V266" s="29">
        <v>1</v>
      </c>
    </row>
    <row r="267" spans="1:22" ht="21" customHeight="1" x14ac:dyDescent="0.15">
      <c r="A267" s="2" t="str">
        <f ca="1">input_543100!A$2</f>
        <v>543100</v>
      </c>
      <c r="B267" s="55">
        <v>734</v>
      </c>
      <c r="C267" s="7" t="str">
        <f t="shared" si="8"/>
        <v>PremiumSS5R5only</v>
      </c>
      <c r="D267" s="7" t="str">
        <f t="shared" si="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2">
        <f ca="1">IFERROR(VLOOKUP(B267,input_543100!L:R,7,FALSE),VLOOKUP(tables_543100!C267,input_543100!A:H,8,FALSE))</f>
        <v>79800</v>
      </c>
      <c r="P267" s="43">
        <f ca="1">O267/SUM(O:O)</f>
        <v>6.1764705882314766E-4</v>
      </c>
      <c r="Q267" s="29">
        <v>1</v>
      </c>
      <c r="R267" s="29">
        <v>0</v>
      </c>
      <c r="S267" s="29">
        <v>0</v>
      </c>
      <c r="T267" s="29">
        <v>0</v>
      </c>
      <c r="U267" s="29">
        <v>0</v>
      </c>
      <c r="V267" s="29">
        <v>1</v>
      </c>
    </row>
    <row r="268" spans="1:22" ht="21" customHeight="1" x14ac:dyDescent="0.15">
      <c r="A268" s="2" t="str">
        <f ca="1">input_543100!A$2</f>
        <v>543100</v>
      </c>
      <c r="B268" s="55">
        <v>742</v>
      </c>
      <c r="C268" s="7" t="str">
        <f t="shared" si="8"/>
        <v>PremiumSS5R5only</v>
      </c>
      <c r="D268" s="7" t="str">
        <f t="shared" si="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2">
        <f ca="1">IFERROR(VLOOKUP(B268,input_543100!L:R,7,FALSE),VLOOKUP(tables_543100!C268,input_543100!A:H,8,FALSE))</f>
        <v>79800</v>
      </c>
      <c r="P268" s="43">
        <f ca="1">O268/SUM(O:O)</f>
        <v>6.1764705882314766E-4</v>
      </c>
      <c r="Q268" s="29">
        <v>1</v>
      </c>
      <c r="R268" s="29">
        <v>0</v>
      </c>
      <c r="S268" s="29">
        <v>0</v>
      </c>
      <c r="T268" s="29">
        <v>0</v>
      </c>
      <c r="U268" s="29">
        <v>0</v>
      </c>
      <c r="V268" s="29">
        <v>1</v>
      </c>
    </row>
    <row r="269" spans="1:22" ht="21" customHeight="1" x14ac:dyDescent="0.15">
      <c r="A269" s="2" t="str">
        <f ca="1">input_543100!A$2</f>
        <v>543100</v>
      </c>
      <c r="B269" s="55">
        <v>744</v>
      </c>
      <c r="C269" s="7" t="str">
        <f t="shared" si="8"/>
        <v>PremiumSS5R5only</v>
      </c>
      <c r="D269" s="7" t="str">
        <f t="shared" si="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2">
        <f ca="1">IFERROR(VLOOKUP(B269,input_543100!L:R,7,FALSE),VLOOKUP(tables_543100!C269,input_543100!A:H,8,FALSE))</f>
        <v>79800</v>
      </c>
      <c r="P269" s="43">
        <f ca="1">O269/SUM(O:O)</f>
        <v>6.1764705882314766E-4</v>
      </c>
      <c r="Q269" s="29">
        <v>1</v>
      </c>
      <c r="R269" s="29">
        <v>0</v>
      </c>
      <c r="S269" s="29">
        <v>0</v>
      </c>
      <c r="T269" s="29">
        <v>0</v>
      </c>
      <c r="U269" s="29">
        <v>0</v>
      </c>
      <c r="V269" s="29">
        <v>1</v>
      </c>
    </row>
    <row r="270" spans="1:22" ht="21" customHeight="1" x14ac:dyDescent="0.15">
      <c r="A270" s="2" t="str">
        <f ca="1">input_543100!A$2</f>
        <v>543100</v>
      </c>
      <c r="B270" s="55">
        <v>746</v>
      </c>
      <c r="C270" s="7" t="str">
        <f t="shared" si="8"/>
        <v>Premium4R3less</v>
      </c>
      <c r="D270" s="7" t="str">
        <f t="shared" si="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2">
        <f ca="1">IFERROR(VLOOKUP(B270,input_543100!L:R,7,FALSE),VLOOKUP(tables_543100!C270,input_543100!A:H,8,FALSE))</f>
        <v>808500.96</v>
      </c>
      <c r="P270" s="43">
        <f ca="1">O270/SUM(O:O)</f>
        <v>6.2577473684171849E-3</v>
      </c>
      <c r="Q270" s="29">
        <v>1</v>
      </c>
      <c r="R270" s="29">
        <v>0</v>
      </c>
      <c r="S270" s="29">
        <v>0</v>
      </c>
      <c r="T270" s="29">
        <v>0</v>
      </c>
      <c r="U270" s="29">
        <v>0</v>
      </c>
      <c r="V270" s="29">
        <v>1</v>
      </c>
    </row>
    <row r="271" spans="1:22" ht="21" customHeight="1" x14ac:dyDescent="0.15">
      <c r="A271" s="2" t="str">
        <f ca="1">input_543100!A$2</f>
        <v>543100</v>
      </c>
      <c r="B271" s="73">
        <v>747</v>
      </c>
      <c r="C271" s="7" t="str">
        <f t="shared" si="8"/>
        <v>Premium5R3less</v>
      </c>
      <c r="D271" s="7" t="str">
        <f t="shared" si="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2">
        <f ca="1">IFERROR(VLOOKUP(B271,input_543100!L:R,7,FALSE),VLOOKUP(tables_543100!C271,input_543100!A:H,8,FALSE))</f>
        <v>62260.800000000003</v>
      </c>
      <c r="P271" s="43">
        <f ca="1">O271/SUM(O:O)</f>
        <v>4.8189473684180742E-4</v>
      </c>
      <c r="Q271" s="29">
        <v>1</v>
      </c>
      <c r="R271" s="29">
        <v>0</v>
      </c>
      <c r="S271" s="29">
        <v>0</v>
      </c>
      <c r="T271" s="29">
        <v>0</v>
      </c>
      <c r="U271" s="29">
        <v>0</v>
      </c>
      <c r="V271" s="29">
        <v>1</v>
      </c>
    </row>
    <row r="272" spans="1:22" ht="21" customHeight="1" x14ac:dyDescent="0.15">
      <c r="A272" s="2" t="str">
        <f ca="1">input_543100!A$2</f>
        <v>543100</v>
      </c>
      <c r="B272" s="73">
        <v>748</v>
      </c>
      <c r="C272" s="7" t="str">
        <f t="shared" si="8"/>
        <v>Premium4R3less</v>
      </c>
      <c r="D272" s="7" t="str">
        <f t="shared" si="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2">
        <f ca="1">IFERROR(VLOOKUP(B272,input_543100!L:R,7,FALSE),VLOOKUP(tables_543100!C272,input_543100!A:H,8,FALSE))</f>
        <v>808500.96</v>
      </c>
      <c r="P272" s="43">
        <f ca="1">O272/SUM(O:O)</f>
        <v>6.2577473684171849E-3</v>
      </c>
      <c r="Q272" s="29">
        <v>1</v>
      </c>
      <c r="R272" s="29">
        <v>0</v>
      </c>
      <c r="S272" s="29">
        <v>0</v>
      </c>
      <c r="T272" s="29">
        <v>0</v>
      </c>
      <c r="U272" s="29">
        <v>0</v>
      </c>
      <c r="V272" s="29">
        <v>1</v>
      </c>
    </row>
    <row r="273" spans="1:22" ht="21" customHeight="1" x14ac:dyDescent="0.15">
      <c r="A273" s="2" t="str">
        <f ca="1">input_543100!A$2</f>
        <v>543100</v>
      </c>
      <c r="B273" s="73">
        <v>749</v>
      </c>
      <c r="C273" s="7" t="str">
        <f t="shared" si="8"/>
        <v>Premium5R3less</v>
      </c>
      <c r="D273" s="7" t="str">
        <f t="shared" si="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2">
        <f ca="1">IFERROR(VLOOKUP(B273,input_543100!L:R,7,FALSE),VLOOKUP(tables_543100!C273,input_543100!A:H,8,FALSE))</f>
        <v>62260.800000000003</v>
      </c>
      <c r="P273" s="43">
        <f ca="1">O273/SUM(O:O)</f>
        <v>4.8189473684180742E-4</v>
      </c>
      <c r="Q273" s="29">
        <v>1</v>
      </c>
      <c r="R273" s="29">
        <v>0</v>
      </c>
      <c r="S273" s="29">
        <v>0</v>
      </c>
      <c r="T273" s="29">
        <v>0</v>
      </c>
      <c r="U273" s="29">
        <v>0</v>
      </c>
      <c r="V273" s="29">
        <v>1</v>
      </c>
    </row>
    <row r="274" spans="1:22" ht="21" customHeight="1" x14ac:dyDescent="0.15">
      <c r="A274" s="2" t="str">
        <f ca="1">input_543100!A$2</f>
        <v>543100</v>
      </c>
      <c r="B274" s="73">
        <v>770</v>
      </c>
      <c r="C274" s="7" t="str">
        <f t="shared" si="8"/>
        <v>PremiumSS4</v>
      </c>
      <c r="D274" s="7" t="str">
        <f t="shared" si="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2">
        <f ca="1">IFERROR(VLOOKUP(B274,input_543100!L:R,7,FALSE),VLOOKUP(tables_543100!C274,input_543100!A:H,8,FALSE))</f>
        <v>81271.142860000007</v>
      </c>
      <c r="P274" s="43">
        <f ca="1">O274/SUM(O:O)</f>
        <v>6.2903361346710348E-4</v>
      </c>
      <c r="Q274" s="29">
        <v>1</v>
      </c>
      <c r="R274" s="29">
        <v>0</v>
      </c>
      <c r="S274" s="29">
        <v>0</v>
      </c>
      <c r="T274" s="29">
        <v>0</v>
      </c>
      <c r="U274" s="29">
        <v>0</v>
      </c>
      <c r="V274" s="29">
        <v>1</v>
      </c>
    </row>
    <row r="275" spans="1:22" ht="21" customHeight="1" x14ac:dyDescent="0.15">
      <c r="A275" s="2" t="str">
        <f ca="1">input_543100!A$2</f>
        <v>543100</v>
      </c>
      <c r="B275" s="73">
        <v>771</v>
      </c>
      <c r="C275" s="7" t="str">
        <f t="shared" si="8"/>
        <v>PremiumSS5</v>
      </c>
      <c r="D275" s="7" t="str">
        <f t="shared" si="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2">
        <f ca="1">IFERROR(VLOOKUP(B275,input_543100!L:R,7,FALSE),VLOOKUP(tables_543100!C275,input_543100!A:H,8,FALSE))</f>
        <v>5586</v>
      </c>
      <c r="P275" s="43">
        <f ca="1">O275/SUM(O:O)</f>
        <v>4.3235294117620336E-5</v>
      </c>
      <c r="Q275" s="29">
        <v>1</v>
      </c>
      <c r="R275" s="29">
        <v>0</v>
      </c>
      <c r="S275" s="29">
        <v>0</v>
      </c>
      <c r="T275" s="29">
        <v>0</v>
      </c>
      <c r="U275" s="29">
        <v>0</v>
      </c>
      <c r="V275" s="29">
        <v>1</v>
      </c>
    </row>
    <row r="276" spans="1:22" ht="21" customHeight="1" x14ac:dyDescent="0.15">
      <c r="A276" s="2" t="str">
        <f ca="1">input_543100!A$2</f>
        <v>543100</v>
      </c>
      <c r="B276" s="73">
        <v>772</v>
      </c>
      <c r="C276" s="7" t="str">
        <f t="shared" si="8"/>
        <v>PremiumSS4</v>
      </c>
      <c r="D276" s="7" t="str">
        <f t="shared" si="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2">
        <f ca="1">IFERROR(VLOOKUP(B276,input_543100!L:R,7,FALSE),VLOOKUP(tables_543100!C276,input_543100!A:H,8,FALSE))</f>
        <v>81271.142860000007</v>
      </c>
      <c r="P276" s="43">
        <f ca="1">O276/SUM(O:O)</f>
        <v>6.2903361346710348E-4</v>
      </c>
      <c r="Q276" s="29">
        <v>1</v>
      </c>
      <c r="R276" s="29">
        <v>0</v>
      </c>
      <c r="S276" s="29">
        <v>0</v>
      </c>
      <c r="T276" s="29">
        <v>0</v>
      </c>
      <c r="U276" s="29">
        <v>0</v>
      </c>
      <c r="V276" s="29">
        <v>1</v>
      </c>
    </row>
    <row r="277" spans="1:22" ht="21" customHeight="1" x14ac:dyDescent="0.15">
      <c r="A277" s="2" t="str">
        <f ca="1">input_543100!A$2</f>
        <v>543100</v>
      </c>
      <c r="B277" s="73">
        <v>773</v>
      </c>
      <c r="C277" s="7" t="str">
        <f t="shared" si="8"/>
        <v>PremiumSS5</v>
      </c>
      <c r="D277" s="7" t="str">
        <f t="shared" si="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2">
        <f ca="1">IFERROR(VLOOKUP(B277,input_543100!L:R,7,FALSE),VLOOKUP(tables_543100!C277,input_543100!A:H,8,FALSE))</f>
        <v>5586</v>
      </c>
      <c r="P277" s="43">
        <f ca="1">O277/SUM(O:O)</f>
        <v>4.3235294117620336E-5</v>
      </c>
      <c r="Q277" s="29">
        <v>1</v>
      </c>
      <c r="R277" s="29">
        <v>0</v>
      </c>
      <c r="S277" s="29">
        <v>0</v>
      </c>
      <c r="T277" s="29">
        <v>0</v>
      </c>
      <c r="U277" s="29">
        <v>0</v>
      </c>
      <c r="V277" s="29">
        <v>1</v>
      </c>
    </row>
    <row r="278" spans="1:22" ht="21" customHeight="1" x14ac:dyDescent="0.15">
      <c r="A278" s="2" t="str">
        <f ca="1">input_543100!A$2</f>
        <v>543100</v>
      </c>
      <c r="B278" s="73">
        <v>774</v>
      </c>
      <c r="C278" s="7" t="str">
        <f t="shared" si="8"/>
        <v>Premium3</v>
      </c>
      <c r="D278" s="7" t="str">
        <f t="shared" si="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2">
        <f ca="1">IFERROR(VLOOKUP(B278,input_543100!L:R,7,FALSE),VLOOKUP(tables_543100!C278,input_543100!A:H,8,FALSE))</f>
        <v>0</v>
      </c>
      <c r="P278" s="43">
        <f ca="1">O278/SUM(O:O)</f>
        <v>0</v>
      </c>
      <c r="Q278" s="29">
        <v>1</v>
      </c>
      <c r="R278" s="29">
        <v>0</v>
      </c>
      <c r="S278" s="29">
        <v>0</v>
      </c>
      <c r="T278" s="29">
        <v>0</v>
      </c>
      <c r="U278" s="29">
        <v>0</v>
      </c>
      <c r="V278" s="29">
        <v>1</v>
      </c>
    </row>
    <row r="279" spans="1:22" ht="21" customHeight="1" x14ac:dyDescent="0.15">
      <c r="A279" s="2" t="str">
        <f ca="1">input_543100!A$2</f>
        <v>543100</v>
      </c>
      <c r="B279" s="73">
        <v>775</v>
      </c>
      <c r="C279" s="7" t="str">
        <f t="shared" si="8"/>
        <v>Premium4</v>
      </c>
      <c r="D279" s="7" t="str">
        <f t="shared" si="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2">
        <f ca="1">IFERROR(VLOOKUP(B279,input_543100!L:R,7,FALSE),VLOOKUP(tables_543100!C279,input_543100!A:H,8,FALSE))</f>
        <v>821967.53845999995</v>
      </c>
      <c r="P279" s="43">
        <f ca="1">O279/SUM(O:O)</f>
        <v>6.3619778518536523E-3</v>
      </c>
      <c r="Q279" s="29">
        <v>1</v>
      </c>
      <c r="R279" s="29">
        <v>0</v>
      </c>
      <c r="S279" s="29">
        <v>0</v>
      </c>
      <c r="T279" s="29">
        <v>0</v>
      </c>
      <c r="U279" s="29">
        <v>0</v>
      </c>
      <c r="V279" s="29">
        <v>1</v>
      </c>
    </row>
    <row r="280" spans="1:22" ht="21" customHeight="1" x14ac:dyDescent="0.15">
      <c r="A280" s="2" t="str">
        <f ca="1">input_543100!A$2</f>
        <v>543100</v>
      </c>
      <c r="B280" s="73">
        <v>776</v>
      </c>
      <c r="C280" s="7" t="str">
        <f t="shared" si="8"/>
        <v>Premium5</v>
      </c>
      <c r="D280" s="7" t="str">
        <f t="shared" si="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2">
        <f ca="1">IFERROR(VLOOKUP(B280,input_543100!L:R,7,FALSE),VLOOKUP(tables_543100!C280,input_543100!A:H,8,FALSE))</f>
        <v>67472.461540000004</v>
      </c>
      <c r="P280" s="43">
        <f ca="1">O280/SUM(O:O)</f>
        <v>5.2223267445788155E-4</v>
      </c>
      <c r="Q280" s="29">
        <v>1</v>
      </c>
      <c r="R280" s="29">
        <v>0</v>
      </c>
      <c r="S280" s="29">
        <v>0</v>
      </c>
      <c r="T280" s="29">
        <v>0</v>
      </c>
      <c r="U280" s="29">
        <v>0</v>
      </c>
      <c r="V280" s="29">
        <v>1</v>
      </c>
    </row>
    <row r="281" spans="1:22" ht="21" customHeight="1" x14ac:dyDescent="0.15">
      <c r="A281" s="2" t="str">
        <f ca="1">input_543100!A$2</f>
        <v>543100</v>
      </c>
      <c r="B281" s="73">
        <v>777</v>
      </c>
      <c r="C281" s="7" t="str">
        <f t="shared" si="8"/>
        <v>Premium3</v>
      </c>
      <c r="D281" s="7" t="str">
        <f t="shared" si="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2">
        <f ca="1">IFERROR(VLOOKUP(B281,input_543100!L:R,7,FALSE),VLOOKUP(tables_543100!C281,input_543100!A:H,8,FALSE))</f>
        <v>0</v>
      </c>
      <c r="P281" s="43">
        <f ca="1">O281/SUM(O:O)</f>
        <v>0</v>
      </c>
      <c r="Q281" s="29">
        <v>1</v>
      </c>
      <c r="R281" s="29">
        <v>0</v>
      </c>
      <c r="S281" s="29">
        <v>0</v>
      </c>
      <c r="T281" s="29">
        <v>0</v>
      </c>
      <c r="U281" s="29">
        <v>0</v>
      </c>
      <c r="V281" s="29">
        <v>1</v>
      </c>
    </row>
    <row r="282" spans="1:22" ht="21" customHeight="1" x14ac:dyDescent="0.15">
      <c r="A282" s="2" t="str">
        <f ca="1">input_543100!A$2</f>
        <v>543100</v>
      </c>
      <c r="B282" s="73">
        <v>778</v>
      </c>
      <c r="C282" s="7" t="str">
        <f t="shared" si="8"/>
        <v>Premium4</v>
      </c>
      <c r="D282" s="7" t="str">
        <f t="shared" si="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2">
        <f ca="1">IFERROR(VLOOKUP(B282,input_543100!L:R,7,FALSE),VLOOKUP(tables_543100!C282,input_543100!A:H,8,FALSE))</f>
        <v>821967.53845999995</v>
      </c>
      <c r="P282" s="43">
        <f ca="1">O282/SUM(O:O)</f>
        <v>6.3619778518536523E-3</v>
      </c>
      <c r="Q282" s="29">
        <v>1</v>
      </c>
      <c r="R282" s="29">
        <v>0</v>
      </c>
      <c r="S282" s="29">
        <v>0</v>
      </c>
      <c r="T282" s="29">
        <v>0</v>
      </c>
      <c r="U282" s="29">
        <v>0</v>
      </c>
      <c r="V282" s="29">
        <v>1</v>
      </c>
    </row>
    <row r="283" spans="1:22" ht="21" customHeight="1" x14ac:dyDescent="0.15">
      <c r="A283" s="2" t="str">
        <f ca="1">input_543100!A$2</f>
        <v>543100</v>
      </c>
      <c r="B283" s="5">
        <v>779</v>
      </c>
      <c r="C283" s="7" t="str">
        <f t="shared" si="8"/>
        <v>Premium5</v>
      </c>
      <c r="D283" s="7" t="str">
        <f t="shared" si="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2">
        <f ca="1">IFERROR(VLOOKUP(B283,input_543100!L:R,7,FALSE),VLOOKUP(tables_543100!C283,input_543100!A:H,8,FALSE))</f>
        <v>67472.461540000004</v>
      </c>
      <c r="P283" s="43">
        <f ca="1">O283/SUM(O:O)</f>
        <v>5.2223267445788155E-4</v>
      </c>
      <c r="Q283" s="29">
        <v>1</v>
      </c>
      <c r="R283" s="29">
        <v>0</v>
      </c>
      <c r="S283" s="29">
        <v>0</v>
      </c>
      <c r="T283" s="29">
        <v>0</v>
      </c>
      <c r="U283" s="29">
        <v>0</v>
      </c>
      <c r="V283" s="29">
        <v>1</v>
      </c>
    </row>
    <row r="284" spans="1:22" ht="21" customHeight="1" x14ac:dyDescent="0.15">
      <c r="A284" s="2" t="str">
        <f ca="1">input_543100!A$2</f>
        <v>543100</v>
      </c>
      <c r="B284" s="5">
        <v>848</v>
      </c>
      <c r="C284" s="7" t="str">
        <f t="shared" ref="C284" si="10">D284&amp;J284&amp;E284&amp;F284&amp;G284</f>
        <v>PremiumSS5R5only</v>
      </c>
      <c r="D284" s="7" t="str">
        <f t="shared" si="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2">
        <f ca="1">IFERROR(VLOOKUP(B284,input_543100!L:R,7,FALSE),VLOOKUP(tables_543100!C284,input_543100!A:H,8,FALSE))</f>
        <v>79800</v>
      </c>
      <c r="P284" s="43">
        <f ca="1">O284/SUM(O:O)</f>
        <v>6.1764705882314766E-4</v>
      </c>
      <c r="Q284" s="29">
        <v>1</v>
      </c>
      <c r="R284" s="29">
        <v>0</v>
      </c>
      <c r="S284" s="29">
        <v>0</v>
      </c>
      <c r="T284" s="29">
        <v>0</v>
      </c>
      <c r="U284" s="29">
        <v>0</v>
      </c>
      <c r="V284" s="29">
        <v>1</v>
      </c>
    </row>
    <row r="285" spans="1:22" ht="21" customHeight="1" x14ac:dyDescent="0.15">
      <c r="A285" s="2" t="str">
        <f ca="1">input_543100!A$2</f>
        <v>543100</v>
      </c>
      <c r="B285" s="5">
        <v>850</v>
      </c>
      <c r="C285" s="7" t="str">
        <f t="shared" ref="C285:C286" si="11">D285&amp;J285&amp;E285&amp;F285&amp;G285</f>
        <v>PremiumSS5R5only</v>
      </c>
      <c r="D285" s="7" t="str">
        <f t="shared" si="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2">
        <f ca="1">IFERROR(VLOOKUP(B285,input_543100!L:R,7,FALSE),VLOOKUP(tables_543100!C285,input_543100!A:H,8,FALSE))</f>
        <v>79800</v>
      </c>
      <c r="P285" s="43">
        <f ca="1">O285/SUM(O:O)</f>
        <v>6.1764705882314766E-4</v>
      </c>
      <c r="Q285" s="29">
        <v>1</v>
      </c>
      <c r="R285" s="29">
        <v>0</v>
      </c>
      <c r="S285" s="29">
        <v>0</v>
      </c>
      <c r="T285" s="29">
        <v>0</v>
      </c>
      <c r="U285" s="29">
        <v>0</v>
      </c>
      <c r="V285" s="29">
        <v>1</v>
      </c>
    </row>
    <row r="286" spans="1:22" ht="21" customHeight="1" x14ac:dyDescent="0.15">
      <c r="A286" s="2" t="str">
        <f ca="1">input_543100!A$2</f>
        <v>543100</v>
      </c>
      <c r="B286" s="5">
        <v>852</v>
      </c>
      <c r="C286" s="7" t="str">
        <f t="shared" si="11"/>
        <v>Premium4R3less</v>
      </c>
      <c r="D286" s="7" t="str">
        <f t="shared" si="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2">
        <f ca="1">IFERROR(VLOOKUP(B286,input_543100!L:R,7,FALSE),VLOOKUP(tables_543100!C286,input_543100!A:H,8,FALSE))</f>
        <v>808500.96</v>
      </c>
      <c r="P286" s="43">
        <f ca="1">O286/SUM(O:O)</f>
        <v>6.2577473684171849E-3</v>
      </c>
      <c r="Q286" s="29">
        <v>1</v>
      </c>
      <c r="R286" s="29">
        <v>0</v>
      </c>
      <c r="S286" s="29">
        <v>0</v>
      </c>
      <c r="T286" s="29">
        <v>0</v>
      </c>
      <c r="U286" s="29">
        <v>0</v>
      </c>
      <c r="V286" s="29">
        <v>1</v>
      </c>
    </row>
    <row r="287" spans="1:22" ht="21" customHeight="1" x14ac:dyDescent="0.15">
      <c r="A287" s="2" t="str">
        <f ca="1">input_543100!A$2</f>
        <v>543100</v>
      </c>
      <c r="B287" s="5">
        <v>853</v>
      </c>
      <c r="C287" s="7" t="str">
        <f t="shared" ref="C287:C289" si="12">D287&amp;J287&amp;E287&amp;F287&amp;G287</f>
        <v>Premium5R3less</v>
      </c>
      <c r="D287" s="7" t="str">
        <f t="shared" si="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2">
        <f ca="1">IFERROR(VLOOKUP(B287,input_543100!L:R,7,FALSE),VLOOKUP(tables_543100!C287,input_543100!A:H,8,FALSE))</f>
        <v>62260.800000000003</v>
      </c>
      <c r="P287" s="43">
        <f ca="1">O287/SUM(O:O)</f>
        <v>4.8189473684180742E-4</v>
      </c>
      <c r="Q287" s="29">
        <v>1</v>
      </c>
      <c r="R287" s="29">
        <v>0</v>
      </c>
      <c r="S287" s="29">
        <v>0</v>
      </c>
      <c r="T287" s="29">
        <v>0</v>
      </c>
      <c r="U287" s="29">
        <v>0</v>
      </c>
      <c r="V287" s="29">
        <v>1</v>
      </c>
    </row>
    <row r="288" spans="1:22" ht="21" customHeight="1" x14ac:dyDescent="0.15">
      <c r="A288" s="2" t="str">
        <f ca="1">input_543100!A$2</f>
        <v>543100</v>
      </c>
      <c r="B288" s="5">
        <v>854</v>
      </c>
      <c r="C288" s="7" t="str">
        <f t="shared" si="12"/>
        <v>Premium4R3less</v>
      </c>
      <c r="D288" s="7" t="str">
        <f t="shared" si="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2">
        <f ca="1">IFERROR(VLOOKUP(B288,input_543100!L:R,7,FALSE),VLOOKUP(tables_543100!C288,input_543100!A:H,8,FALSE))</f>
        <v>808500.96</v>
      </c>
      <c r="P288" s="43">
        <f ca="1">O288/SUM(O:O)</f>
        <v>6.2577473684171849E-3</v>
      </c>
      <c r="Q288" s="29">
        <v>1</v>
      </c>
      <c r="R288" s="29">
        <v>0</v>
      </c>
      <c r="S288" s="29">
        <v>0</v>
      </c>
      <c r="T288" s="29">
        <v>0</v>
      </c>
      <c r="U288" s="29">
        <v>0</v>
      </c>
      <c r="V288" s="29">
        <v>1</v>
      </c>
    </row>
    <row r="289" spans="1:22" ht="21" customHeight="1" x14ac:dyDescent="0.15">
      <c r="A289" s="2" t="str">
        <f ca="1">input_543100!A$2</f>
        <v>543100</v>
      </c>
      <c r="B289" s="5">
        <v>855</v>
      </c>
      <c r="C289" s="7" t="str">
        <f t="shared" si="12"/>
        <v>Premium5R3less</v>
      </c>
      <c r="D289" s="7" t="str">
        <f t="shared" si="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2">
        <f ca="1">IFERROR(VLOOKUP(B289,input_543100!L:R,7,FALSE),VLOOKUP(tables_543100!C289,input_543100!A:H,8,FALSE))</f>
        <v>62260.800000000003</v>
      </c>
      <c r="P289" s="43">
        <f ca="1">O289/SUM(O:O)</f>
        <v>4.8189473684180742E-4</v>
      </c>
      <c r="Q289" s="29">
        <v>1</v>
      </c>
      <c r="R289" s="29">
        <v>0</v>
      </c>
      <c r="S289" s="29">
        <v>0</v>
      </c>
      <c r="T289" s="29">
        <v>0</v>
      </c>
      <c r="U289" s="29">
        <v>0</v>
      </c>
      <c r="V289" s="29">
        <v>1</v>
      </c>
    </row>
    <row r="290" spans="1:22" ht="21" customHeight="1" x14ac:dyDescent="0.15">
      <c r="A290" s="2" t="str">
        <f ca="1">input_543100!A$2</f>
        <v>543100</v>
      </c>
      <c r="B290" s="5">
        <v>862</v>
      </c>
      <c r="C290" s="7" t="str">
        <f t="shared" ref="C290:C294" si="13">D290&amp;J290&amp;E290&amp;F290&amp;G290</f>
        <v>Premium4R3less</v>
      </c>
      <c r="D290" s="7" t="str">
        <f t="shared" si="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2">
        <f ca="1">IFERROR(VLOOKUP(B290,input_543100!L:R,7,FALSE),VLOOKUP(tables_543100!C290,input_543100!A:H,8,FALSE))</f>
        <v>808500.96</v>
      </c>
      <c r="P290" s="43">
        <f ca="1">O290/SUM(O:O)</f>
        <v>6.2577473684171849E-3</v>
      </c>
      <c r="Q290" s="29">
        <v>1</v>
      </c>
      <c r="R290" s="29">
        <v>0</v>
      </c>
      <c r="S290" s="29">
        <v>0</v>
      </c>
      <c r="T290" s="29">
        <v>0</v>
      </c>
      <c r="U290" s="29">
        <v>0</v>
      </c>
      <c r="V290" s="29">
        <v>1</v>
      </c>
    </row>
    <row r="291" spans="1:22" ht="21" customHeight="1" x14ac:dyDescent="0.15">
      <c r="A291" s="2" t="str">
        <f ca="1">input_543100!A$2</f>
        <v>543100</v>
      </c>
      <c r="B291" s="5">
        <v>863</v>
      </c>
      <c r="C291" s="7" t="str">
        <f t="shared" si="13"/>
        <v>Premium5R3less</v>
      </c>
      <c r="D291" s="7" t="str">
        <f t="shared" si="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2">
        <f ca="1">IFERROR(VLOOKUP(B291,input_543100!L:R,7,FALSE),VLOOKUP(tables_543100!C291,input_543100!A:H,8,FALSE))</f>
        <v>62260.800000000003</v>
      </c>
      <c r="P291" s="43">
        <f ca="1">O291/SUM(O:O)</f>
        <v>4.8189473684180742E-4</v>
      </c>
      <c r="Q291" s="29">
        <v>1</v>
      </c>
      <c r="R291" s="29">
        <v>0</v>
      </c>
      <c r="S291" s="29">
        <v>0</v>
      </c>
      <c r="T291" s="29">
        <v>0</v>
      </c>
      <c r="U291" s="29">
        <v>0</v>
      </c>
      <c r="V291" s="29">
        <v>1</v>
      </c>
    </row>
    <row r="292" spans="1:22" ht="21" customHeight="1" x14ac:dyDescent="0.15">
      <c r="A292" s="2" t="str">
        <f ca="1">input_543100!A$2</f>
        <v>543100</v>
      </c>
      <c r="B292" s="5">
        <v>864</v>
      </c>
      <c r="C292" s="7" t="str">
        <f t="shared" si="13"/>
        <v>Premium4R3less</v>
      </c>
      <c r="D292" s="7" t="str">
        <f t="shared" si="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2">
        <f ca="1">IFERROR(VLOOKUP(B292,input_543100!L:R,7,FALSE),VLOOKUP(tables_543100!C292,input_543100!A:H,8,FALSE))</f>
        <v>808500.96</v>
      </c>
      <c r="P292" s="43">
        <f ca="1">O292/SUM(O:O)</f>
        <v>6.2577473684171849E-3</v>
      </c>
      <c r="Q292" s="29">
        <v>1</v>
      </c>
      <c r="R292" s="29">
        <v>0</v>
      </c>
      <c r="S292" s="29">
        <v>0</v>
      </c>
      <c r="T292" s="29">
        <v>0</v>
      </c>
      <c r="U292" s="29">
        <v>0</v>
      </c>
      <c r="V292" s="29">
        <v>1</v>
      </c>
    </row>
    <row r="293" spans="1:22" ht="21" customHeight="1" x14ac:dyDescent="0.15">
      <c r="A293" s="2" t="str">
        <f ca="1">input_543100!A$2</f>
        <v>543100</v>
      </c>
      <c r="B293" s="5">
        <v>865</v>
      </c>
      <c r="C293" s="7" t="str">
        <f t="shared" si="13"/>
        <v>Premium5R3less</v>
      </c>
      <c r="D293" s="7" t="str">
        <f t="shared" si="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2">
        <f ca="1">IFERROR(VLOOKUP(B293,input_543100!L:R,7,FALSE),VLOOKUP(tables_543100!C293,input_543100!A:H,8,FALSE))</f>
        <v>62260.800000000003</v>
      </c>
      <c r="P293" s="43">
        <f ca="1">O293/SUM(O:O)</f>
        <v>4.8189473684180742E-4</v>
      </c>
      <c r="Q293" s="29">
        <v>1</v>
      </c>
      <c r="R293" s="29">
        <v>0</v>
      </c>
      <c r="S293" s="29">
        <v>0</v>
      </c>
      <c r="T293" s="29">
        <v>0</v>
      </c>
      <c r="U293" s="29">
        <v>0</v>
      </c>
      <c r="V293" s="29">
        <v>1</v>
      </c>
    </row>
    <row r="294" spans="1:22" ht="21" customHeight="1" x14ac:dyDescent="0.15">
      <c r="A294" s="2" t="str">
        <f ca="1">input_543100!A$2</f>
        <v>543100</v>
      </c>
      <c r="B294" s="5">
        <v>866</v>
      </c>
      <c r="C294" s="7" t="str">
        <f t="shared" si="13"/>
        <v>PremiumSS5R5only</v>
      </c>
      <c r="D294" s="7" t="str">
        <f t="shared" si="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2">
        <f ca="1">IFERROR(VLOOKUP(B294,input_543100!L:R,7,FALSE),VLOOKUP(tables_543100!C294,input_543100!A:H,8,FALSE))</f>
        <v>79800</v>
      </c>
      <c r="P294" s="43">
        <f ca="1">O294/SUM(O:O)</f>
        <v>6.1764705882314766E-4</v>
      </c>
      <c r="Q294" s="29">
        <v>1</v>
      </c>
      <c r="R294" s="29">
        <v>0</v>
      </c>
      <c r="S294" s="29">
        <v>0</v>
      </c>
      <c r="T294" s="29">
        <v>0</v>
      </c>
      <c r="U294" s="29">
        <v>0</v>
      </c>
      <c r="V294" s="29">
        <v>1</v>
      </c>
    </row>
    <row r="295" spans="1:22" ht="21" customHeight="1" x14ac:dyDescent="0.15">
      <c r="A295" s="2" t="str">
        <f ca="1">input_543100!A$2</f>
        <v>543100</v>
      </c>
      <c r="B295" s="5">
        <v>868</v>
      </c>
      <c r="C295" s="7" t="str">
        <f t="shared" ref="C295:C299" si="14">D295&amp;J295&amp;E295&amp;F295&amp;G295</f>
        <v>PremiumSS5R5only</v>
      </c>
      <c r="D295" s="7" t="str">
        <f t="shared" si="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2">
        <f ca="1">IFERROR(VLOOKUP(B295,input_543100!L:R,7,FALSE),VLOOKUP(tables_543100!C295,input_543100!A:H,8,FALSE))</f>
        <v>79800</v>
      </c>
      <c r="P295" s="43">
        <f ca="1">O295/SUM(O:O)</f>
        <v>6.1764705882314766E-4</v>
      </c>
      <c r="Q295" s="29">
        <v>1</v>
      </c>
      <c r="R295" s="29">
        <v>0</v>
      </c>
      <c r="S295" s="29">
        <v>0</v>
      </c>
      <c r="T295" s="29">
        <v>0</v>
      </c>
      <c r="U295" s="29">
        <v>0</v>
      </c>
      <c r="V295" s="29">
        <v>1</v>
      </c>
    </row>
    <row r="296" spans="1:22" ht="21" customHeight="1" x14ac:dyDescent="0.15">
      <c r="A296" s="2" t="str">
        <f ca="1">input_543100!A$2</f>
        <v>543100</v>
      </c>
      <c r="B296" s="5">
        <v>937</v>
      </c>
      <c r="C296" s="7" t="str">
        <f t="shared" si="14"/>
        <v>PremiumSS5R5only</v>
      </c>
      <c r="D296" s="7" t="str">
        <f t="shared" si="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2">
        <f ca="1">IFERROR(VLOOKUP(B296,input_543100!L:R,7,FALSE),VLOOKUP(tables_543100!C296,input_543100!A:H,8,FALSE))</f>
        <v>79800</v>
      </c>
      <c r="P296" s="43">
        <f ca="1">O296/SUM(O:O)</f>
        <v>6.1764705882314766E-4</v>
      </c>
      <c r="Q296" s="29">
        <v>1</v>
      </c>
      <c r="R296" s="29">
        <v>0</v>
      </c>
      <c r="S296" s="29">
        <v>0</v>
      </c>
      <c r="T296" s="29">
        <v>0</v>
      </c>
      <c r="U296" s="29">
        <v>0</v>
      </c>
      <c r="V296" s="29">
        <v>1</v>
      </c>
    </row>
    <row r="297" spans="1:22" ht="21" customHeight="1" x14ac:dyDescent="0.15">
      <c r="A297" s="2" t="str">
        <f ca="1">input_543100!A$2</f>
        <v>543100</v>
      </c>
      <c r="B297" s="5">
        <v>939</v>
      </c>
      <c r="C297" s="7" t="str">
        <f t="shared" si="14"/>
        <v>Premium4R3less</v>
      </c>
      <c r="D297" s="7" t="str">
        <f t="shared" si="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2">
        <f ca="1">IFERROR(VLOOKUP(B297,input_543100!L:R,7,FALSE),VLOOKUP(tables_543100!C297,input_543100!A:H,8,FALSE))</f>
        <v>808500.96</v>
      </c>
      <c r="P297" s="43">
        <f ca="1">O297/SUM(O:O)</f>
        <v>6.2577473684171849E-3</v>
      </c>
      <c r="Q297" s="29">
        <v>1</v>
      </c>
      <c r="R297" s="29">
        <v>0</v>
      </c>
      <c r="S297" s="29">
        <v>0</v>
      </c>
      <c r="T297" s="29">
        <v>0</v>
      </c>
      <c r="U297" s="29">
        <v>0</v>
      </c>
      <c r="V297" s="29">
        <v>1</v>
      </c>
    </row>
    <row r="298" spans="1:22" ht="21" customHeight="1" x14ac:dyDescent="0.15">
      <c r="A298" s="2" t="str">
        <f ca="1">input_543100!A$2</f>
        <v>543100</v>
      </c>
      <c r="B298" s="5">
        <v>940</v>
      </c>
      <c r="C298" s="7" t="str">
        <f t="shared" si="14"/>
        <v>Premium5R3less</v>
      </c>
      <c r="D298" s="7" t="str">
        <f t="shared" si="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2">
        <f ca="1">IFERROR(VLOOKUP(B298,input_543100!L:R,7,FALSE),VLOOKUP(tables_543100!C298,input_543100!A:H,8,FALSE))</f>
        <v>62260.800000000003</v>
      </c>
      <c r="P298" s="43">
        <f ca="1">O298/SUM(O:O)</f>
        <v>4.8189473684180742E-4</v>
      </c>
      <c r="Q298" s="29">
        <v>1</v>
      </c>
      <c r="R298" s="29">
        <v>0</v>
      </c>
      <c r="S298" s="29">
        <v>0</v>
      </c>
      <c r="T298" s="29">
        <v>0</v>
      </c>
      <c r="U298" s="29">
        <v>0</v>
      </c>
      <c r="V298" s="29">
        <v>1</v>
      </c>
    </row>
    <row r="299" spans="1:22" ht="21" customHeight="1" x14ac:dyDescent="0.15">
      <c r="A299" s="2" t="str">
        <f ca="1">input_543100!A$2</f>
        <v>543100</v>
      </c>
      <c r="B299" s="5">
        <v>941</v>
      </c>
      <c r="C299" s="7" t="str">
        <f t="shared" si="14"/>
        <v>PremiumSS5R5only</v>
      </c>
      <c r="D299" s="7" t="str">
        <f t="shared" si="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2">
        <f ca="1">IFERROR(VLOOKUP(B299,input_543100!L:R,7,FALSE),VLOOKUP(tables_543100!C299,input_543100!A:H,8,FALSE))</f>
        <v>79800</v>
      </c>
      <c r="P299" s="43">
        <f ca="1">O299/SUM(O:O)</f>
        <v>6.1764705882314766E-4</v>
      </c>
      <c r="Q299" s="29">
        <v>1</v>
      </c>
      <c r="R299" s="29">
        <v>0</v>
      </c>
      <c r="S299" s="29">
        <v>0</v>
      </c>
      <c r="T299" s="29">
        <v>0</v>
      </c>
      <c r="U299" s="29">
        <v>0</v>
      </c>
      <c r="V299" s="29">
        <v>1</v>
      </c>
    </row>
    <row r="300" spans="1:22" ht="21" customHeight="1" x14ac:dyDescent="0.15">
      <c r="A300" s="2" t="str">
        <f ca="1">input_543100!A$2</f>
        <v>543100</v>
      </c>
      <c r="B300" s="5">
        <v>943</v>
      </c>
      <c r="C300" s="7" t="str">
        <f t="shared" ref="C300:C304" si="15">D300&amp;J300&amp;E300&amp;F300&amp;G300</f>
        <v>PremiumSS5R5only</v>
      </c>
      <c r="D300" s="7" t="str">
        <f t="shared" si="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2">
        <f ca="1">IFERROR(VLOOKUP(B300,input_543100!L:R,7,FALSE),VLOOKUP(tables_543100!C300,input_543100!A:H,8,FALSE))</f>
        <v>79800</v>
      </c>
      <c r="P300" s="43">
        <f ca="1">O300/SUM(O:O)</f>
        <v>6.1764705882314766E-4</v>
      </c>
      <c r="Q300" s="29">
        <v>1</v>
      </c>
      <c r="R300" s="29">
        <v>0</v>
      </c>
      <c r="S300" s="29">
        <v>0</v>
      </c>
      <c r="T300" s="29">
        <v>0</v>
      </c>
      <c r="U300" s="29">
        <v>0</v>
      </c>
      <c r="V300" s="29">
        <v>1</v>
      </c>
    </row>
    <row r="301" spans="1:22" ht="21" customHeight="1" x14ac:dyDescent="0.15">
      <c r="A301" s="2" t="str">
        <f ca="1">input_543100!A$2</f>
        <v>543100</v>
      </c>
      <c r="B301" s="5">
        <v>1012</v>
      </c>
      <c r="C301" s="7" t="str">
        <f t="shared" si="15"/>
        <v>PremiumSS5R5only</v>
      </c>
      <c r="D301" s="7" t="str">
        <f t="shared" si="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2">
        <f ca="1">IFERROR(VLOOKUP(B301,input_543100!L:R,7,FALSE),VLOOKUP(tables_543100!C301,input_543100!A:H,8,FALSE))</f>
        <v>79800</v>
      </c>
      <c r="P301" s="43">
        <f ca="1">O301/SUM(O:O)</f>
        <v>6.1764705882314766E-4</v>
      </c>
      <c r="Q301" s="29">
        <v>1</v>
      </c>
      <c r="R301" s="29">
        <v>0</v>
      </c>
      <c r="S301" s="29">
        <v>0</v>
      </c>
      <c r="T301" s="29">
        <v>0</v>
      </c>
      <c r="U301" s="29">
        <v>0</v>
      </c>
      <c r="V301" s="29">
        <v>1</v>
      </c>
    </row>
    <row r="302" spans="1:22" ht="21" customHeight="1" x14ac:dyDescent="0.15">
      <c r="A302" s="2" t="str">
        <f ca="1">input_543100!A$2</f>
        <v>543100</v>
      </c>
      <c r="B302" s="5">
        <v>1014</v>
      </c>
      <c r="C302" s="7" t="str">
        <f t="shared" si="15"/>
        <v>PremiumSS5R5only</v>
      </c>
      <c r="D302" s="7" t="str">
        <f t="shared" si="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2">
        <f ca="1">IFERROR(VLOOKUP(B302,input_543100!L:R,7,FALSE),VLOOKUP(tables_543100!C302,input_543100!A:H,8,FALSE))</f>
        <v>79800</v>
      </c>
      <c r="P302" s="43">
        <f ca="1">O302/SUM(O:O)</f>
        <v>6.1764705882314766E-4</v>
      </c>
      <c r="Q302" s="29">
        <v>1</v>
      </c>
      <c r="R302" s="29">
        <v>0</v>
      </c>
      <c r="S302" s="29">
        <v>0</v>
      </c>
      <c r="T302" s="29">
        <v>0</v>
      </c>
      <c r="U302" s="29">
        <v>0</v>
      </c>
      <c r="V302" s="29">
        <v>1</v>
      </c>
    </row>
    <row r="303" spans="1:22" ht="21" customHeight="1" x14ac:dyDescent="0.15">
      <c r="A303" s="2" t="str">
        <f ca="1">input_543100!A$2</f>
        <v>543100</v>
      </c>
      <c r="B303" s="5">
        <v>1016</v>
      </c>
      <c r="C303" s="7" t="str">
        <f t="shared" si="15"/>
        <v>Premium4R3less</v>
      </c>
      <c r="D303" s="7" t="str">
        <f t="shared" si="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2">
        <f ca="1">IFERROR(VLOOKUP(B303,input_543100!L:R,7,FALSE),VLOOKUP(tables_543100!C303,input_543100!A:H,8,FALSE))</f>
        <v>808500.96</v>
      </c>
      <c r="P303" s="43">
        <f ca="1">O303/SUM(O:O)</f>
        <v>6.2577473684171849E-3</v>
      </c>
      <c r="Q303" s="29">
        <v>1</v>
      </c>
      <c r="R303" s="29">
        <v>0</v>
      </c>
      <c r="S303" s="29">
        <v>0</v>
      </c>
      <c r="T303" s="29">
        <v>0</v>
      </c>
      <c r="U303" s="29">
        <v>0</v>
      </c>
      <c r="V303" s="29">
        <v>1</v>
      </c>
    </row>
    <row r="304" spans="1:22" ht="21" customHeight="1" x14ac:dyDescent="0.15">
      <c r="A304" s="2" t="str">
        <f ca="1">input_543100!A$2</f>
        <v>543100</v>
      </c>
      <c r="B304" s="5">
        <v>1017</v>
      </c>
      <c r="C304" s="7" t="str">
        <f t="shared" si="15"/>
        <v>Premium5R3less</v>
      </c>
      <c r="D304" s="7" t="str">
        <f t="shared" si="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2">
        <f ca="1">IFERROR(VLOOKUP(B304,input_543100!L:R,7,FALSE),VLOOKUP(tables_543100!C304,input_543100!A:H,8,FALSE))</f>
        <v>62260.800000000003</v>
      </c>
      <c r="P304" s="43">
        <f ca="1">O304/SUM(O:O)</f>
        <v>4.8189473684180742E-4</v>
      </c>
      <c r="Q304" s="29">
        <v>1</v>
      </c>
      <c r="R304" s="29">
        <v>0</v>
      </c>
      <c r="S304" s="29">
        <v>0</v>
      </c>
      <c r="T304" s="29">
        <v>0</v>
      </c>
      <c r="U304" s="29">
        <v>0</v>
      </c>
      <c r="V304" s="29">
        <v>1</v>
      </c>
    </row>
    <row r="305" spans="1:22" ht="21" customHeight="1" x14ac:dyDescent="0.15">
      <c r="A305" s="2" t="str">
        <f ca="1">input_543100!A$2</f>
        <v>543100</v>
      </c>
      <c r="B305" s="5">
        <v>1018</v>
      </c>
      <c r="C305" s="7" t="str">
        <f t="shared" ref="C305:C308" si="16">D305&amp;J305&amp;E305&amp;F305&amp;G305</f>
        <v>PremiumSS5R5only</v>
      </c>
      <c r="D305" s="7" t="str">
        <f t="shared" si="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2">
        <f ca="1">IFERROR(VLOOKUP(B305,input_543100!L:R,7,FALSE),VLOOKUP(tables_543100!C305,input_543100!A:H,8,FALSE))</f>
        <v>79800</v>
      </c>
      <c r="P305" s="43">
        <f ca="1">O305/SUM(O:O)</f>
        <v>6.1764705882314766E-4</v>
      </c>
      <c r="Q305" s="29">
        <v>1</v>
      </c>
      <c r="R305" s="29">
        <v>0</v>
      </c>
      <c r="S305" s="29">
        <v>0</v>
      </c>
      <c r="T305" s="29">
        <v>0</v>
      </c>
      <c r="U305" s="29">
        <v>0</v>
      </c>
      <c r="V305" s="29">
        <v>1</v>
      </c>
    </row>
    <row r="306" spans="1:22" ht="21" customHeight="1" x14ac:dyDescent="0.15">
      <c r="A306" s="2" t="str">
        <f ca="1">input_543100!A$2</f>
        <v>543100</v>
      </c>
      <c r="B306" s="5">
        <v>1026</v>
      </c>
      <c r="C306" s="7" t="str">
        <f t="shared" si="16"/>
        <v>Premium4R3less</v>
      </c>
      <c r="D306" s="7" t="str">
        <f t="shared" si="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2">
        <f ca="1">IFERROR(VLOOKUP(B306,input_543100!L:R,7,FALSE),VLOOKUP(tables_543100!C306,input_543100!A:H,8,FALSE))</f>
        <v>808500.96</v>
      </c>
      <c r="P306" s="43">
        <f ca="1">O306/SUM(O:O)</f>
        <v>6.2577473684171849E-3</v>
      </c>
      <c r="Q306" s="29">
        <v>1</v>
      </c>
      <c r="R306" s="29">
        <v>0</v>
      </c>
      <c r="S306" s="29">
        <v>0</v>
      </c>
      <c r="T306" s="29">
        <v>0</v>
      </c>
      <c r="U306" s="29">
        <v>0</v>
      </c>
      <c r="V306" s="29">
        <v>1</v>
      </c>
    </row>
    <row r="307" spans="1:22" ht="21" customHeight="1" x14ac:dyDescent="0.15">
      <c r="A307" s="2" t="str">
        <f ca="1">input_543100!A$2</f>
        <v>543100</v>
      </c>
      <c r="B307" s="5">
        <v>1027</v>
      </c>
      <c r="C307" s="7" t="str">
        <f t="shared" si="16"/>
        <v>Premium5R3less</v>
      </c>
      <c r="D307" s="7" t="str">
        <f t="shared" si="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2">
        <f ca="1">IFERROR(VLOOKUP(B307,input_543100!L:R,7,FALSE),VLOOKUP(tables_543100!C307,input_543100!A:H,8,FALSE))</f>
        <v>62260.800000000003</v>
      </c>
      <c r="P307" s="43">
        <f ca="1">O307/SUM(O:O)</f>
        <v>4.8189473684180742E-4</v>
      </c>
      <c r="Q307" s="29">
        <v>1</v>
      </c>
      <c r="R307" s="29">
        <v>0</v>
      </c>
      <c r="S307" s="29">
        <v>0</v>
      </c>
      <c r="T307" s="29">
        <v>0</v>
      </c>
      <c r="U307" s="29">
        <v>0</v>
      </c>
      <c r="V307" s="29">
        <v>1</v>
      </c>
    </row>
    <row r="308" spans="1:22" ht="21" customHeight="1" x14ac:dyDescent="0.15">
      <c r="A308" s="2" t="str">
        <f ca="1">input_543100!A$2</f>
        <v>543100</v>
      </c>
      <c r="B308" s="5">
        <v>1028</v>
      </c>
      <c r="C308" s="7" t="str">
        <f t="shared" si="16"/>
        <v>PremiumSS5R5only</v>
      </c>
      <c r="D308" s="7" t="str">
        <f t="shared" si="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2">
        <f ca="1">IFERROR(VLOOKUP(B308,input_543100!L:R,7,FALSE),VLOOKUP(tables_543100!C308,input_543100!A:H,8,FALSE))</f>
        <v>79800</v>
      </c>
      <c r="P308" s="43">
        <f ca="1">O308/SUM(O:O)</f>
        <v>6.1764705882314766E-4</v>
      </c>
      <c r="Q308" s="29">
        <v>1</v>
      </c>
      <c r="R308" s="29">
        <v>0</v>
      </c>
      <c r="S308" s="29">
        <v>0</v>
      </c>
      <c r="T308" s="29">
        <v>0</v>
      </c>
      <c r="U308" s="29">
        <v>0</v>
      </c>
      <c r="V308" s="29">
        <v>1</v>
      </c>
    </row>
    <row r="309" spans="1:22" ht="21" customHeight="1" x14ac:dyDescent="0.15">
      <c r="A309" s="2" t="str">
        <f ca="1">input_543100!A$2</f>
        <v>543100</v>
      </c>
      <c r="B309" s="5">
        <v>1031</v>
      </c>
      <c r="C309" s="7" t="str">
        <f t="shared" ref="C309" si="17">D309&amp;J309&amp;E309&amp;F309&amp;G309</f>
        <v>PremiumSS5R5only</v>
      </c>
      <c r="D309" s="7" t="str">
        <f t="shared" si="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2">
        <f ca="1">IFERROR(VLOOKUP(B309,input_543100!L:R,7,FALSE),VLOOKUP(tables_543100!C309,input_543100!A:H,8,FALSE))</f>
        <v>79800</v>
      </c>
      <c r="P309" s="43">
        <f ca="1">O309/SUM(O:O)</f>
        <v>6.1764705882314766E-4</v>
      </c>
      <c r="Q309" s="29">
        <v>1</v>
      </c>
      <c r="R309" s="29">
        <v>0</v>
      </c>
      <c r="S309" s="29">
        <v>0</v>
      </c>
      <c r="T309" s="29">
        <v>0</v>
      </c>
      <c r="U309" s="29">
        <v>0</v>
      </c>
      <c r="V309" s="29">
        <v>1</v>
      </c>
    </row>
    <row r="310" spans="1:22" ht="21" customHeight="1" x14ac:dyDescent="0.15">
      <c r="A310" s="2" t="str">
        <f ca="1">input_543100!A$2</f>
        <v>543100</v>
      </c>
      <c r="B310" s="5">
        <v>1033</v>
      </c>
      <c r="C310" s="7" t="str">
        <f t="shared" ref="C310:C314" si="18">D310&amp;J310&amp;E310&amp;F310&amp;G310</f>
        <v>PremiumSS5R5only</v>
      </c>
      <c r="D310" s="7" t="str">
        <f t="shared" si="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2">
        <f ca="1">IFERROR(VLOOKUP(B310,input_543100!L:R,7,FALSE),VLOOKUP(tables_543100!C310,input_543100!A:H,8,FALSE))</f>
        <v>79800</v>
      </c>
      <c r="P310" s="43">
        <f ca="1">O310/SUM(O:O)</f>
        <v>6.1764705882314766E-4</v>
      </c>
      <c r="Q310" s="29">
        <v>1</v>
      </c>
      <c r="R310" s="29">
        <v>0</v>
      </c>
      <c r="S310" s="29">
        <v>0</v>
      </c>
      <c r="T310" s="29">
        <v>0</v>
      </c>
      <c r="U310" s="29">
        <v>0</v>
      </c>
      <c r="V310" s="29">
        <v>1</v>
      </c>
    </row>
    <row r="311" spans="1:22" ht="21" customHeight="1" x14ac:dyDescent="0.15">
      <c r="A311" s="2" t="str">
        <f ca="1">input_543100!A$2</f>
        <v>543100</v>
      </c>
      <c r="B311" s="5">
        <v>1067</v>
      </c>
      <c r="C311" s="7" t="str">
        <f t="shared" si="18"/>
        <v>Premium4R3less</v>
      </c>
      <c r="D311" s="7" t="str">
        <f t="shared" si="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2">
        <f ca="1">IFERROR(VLOOKUP(B311,input_543100!L:R,7,FALSE),VLOOKUP(tables_543100!C311,input_543100!A:H,8,FALSE))</f>
        <v>808500.96</v>
      </c>
      <c r="P311" s="43">
        <f ca="1">O311/SUM(O:O)</f>
        <v>6.2577473684171849E-3</v>
      </c>
      <c r="Q311" s="29">
        <v>1</v>
      </c>
      <c r="R311" s="29">
        <v>0</v>
      </c>
      <c r="S311" s="29">
        <v>0</v>
      </c>
      <c r="T311" s="29">
        <v>0</v>
      </c>
      <c r="U311" s="29">
        <v>0</v>
      </c>
      <c r="V311" s="29">
        <v>1</v>
      </c>
    </row>
    <row r="312" spans="1:22" ht="21" customHeight="1" x14ac:dyDescent="0.15">
      <c r="A312" s="2" t="str">
        <f ca="1">input_543100!A$2</f>
        <v>543100</v>
      </c>
      <c r="B312" s="5">
        <v>1068</v>
      </c>
      <c r="C312" s="7" t="str">
        <f t="shared" si="18"/>
        <v>Premium5R3less</v>
      </c>
      <c r="D312" s="7" t="str">
        <f t="shared" si="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2">
        <f ca="1">IFERROR(VLOOKUP(B312,input_543100!L:R,7,FALSE),VLOOKUP(tables_543100!C312,input_543100!A:H,8,FALSE))</f>
        <v>62260.800000000003</v>
      </c>
      <c r="P312" s="43">
        <f ca="1">O312/SUM(O:O)</f>
        <v>4.8189473684180742E-4</v>
      </c>
      <c r="Q312" s="29">
        <v>1</v>
      </c>
      <c r="R312" s="29">
        <v>0</v>
      </c>
      <c r="S312" s="29">
        <v>0</v>
      </c>
      <c r="T312" s="29">
        <v>0</v>
      </c>
      <c r="U312" s="29">
        <v>0</v>
      </c>
      <c r="V312" s="29">
        <v>1</v>
      </c>
    </row>
    <row r="313" spans="1:22" ht="21" customHeight="1" x14ac:dyDescent="0.15">
      <c r="A313" s="2" t="str">
        <f ca="1">input_543100!A$2</f>
        <v>543100</v>
      </c>
      <c r="B313" s="5">
        <v>1069</v>
      </c>
      <c r="C313" s="7" t="str">
        <f t="shared" si="18"/>
        <v>PremiumSS5R5only</v>
      </c>
      <c r="D313" s="7" t="str">
        <f t="shared" si="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2">
        <f ca="1">IFERROR(VLOOKUP(B313,input_543100!L:R,7,FALSE),VLOOKUP(tables_543100!C313,input_543100!A:H,8,FALSE))</f>
        <v>79800</v>
      </c>
      <c r="P313" s="43">
        <f ca="1">O313/SUM(O:O)</f>
        <v>6.1764705882314766E-4</v>
      </c>
      <c r="Q313" s="29">
        <v>1</v>
      </c>
      <c r="R313" s="29">
        <v>0</v>
      </c>
      <c r="S313" s="29">
        <v>0</v>
      </c>
      <c r="T313" s="29">
        <v>0</v>
      </c>
      <c r="U313" s="29">
        <v>0</v>
      </c>
      <c r="V313" s="29">
        <v>1</v>
      </c>
    </row>
    <row r="314" spans="1:22" ht="21" customHeight="1" x14ac:dyDescent="0.15">
      <c r="A314" s="2" t="str">
        <f ca="1">input_543100!A$2</f>
        <v>543100</v>
      </c>
      <c r="B314" s="5">
        <v>1072</v>
      </c>
      <c r="C314" s="7" t="str">
        <f t="shared" si="18"/>
        <v>PremiumSS5R5only</v>
      </c>
      <c r="D314" s="7" t="str">
        <f t="shared" si="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2">
        <f ca="1">IFERROR(VLOOKUP(B314,input_543100!L:R,7,FALSE),VLOOKUP(tables_543100!C314,input_543100!A:H,8,FALSE))</f>
        <v>79800</v>
      </c>
      <c r="P314" s="43">
        <f ca="1">O314/SUM(O:O)</f>
        <v>6.1764705882314766E-4</v>
      </c>
      <c r="Q314" s="29">
        <v>1</v>
      </c>
      <c r="R314" s="29">
        <v>0</v>
      </c>
      <c r="S314" s="29">
        <v>0</v>
      </c>
      <c r="T314" s="29">
        <v>0</v>
      </c>
      <c r="U314" s="29">
        <v>0</v>
      </c>
      <c r="V314" s="29">
        <v>1</v>
      </c>
    </row>
    <row r="315" spans="1:22" ht="21" customHeight="1" x14ac:dyDescent="0.15">
      <c r="A315" s="2" t="str">
        <f ca="1">input_543100!A$2</f>
        <v>543100</v>
      </c>
      <c r="B315" s="5">
        <v>1074</v>
      </c>
      <c r="C315" s="7" t="str">
        <f t="shared" ref="C315:C319" si="19">D315&amp;J315&amp;E315&amp;F315&amp;G315</f>
        <v>PremiumSS5R5only</v>
      </c>
      <c r="D315" s="7" t="str">
        <f t="shared" si="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2">
        <f ca="1">IFERROR(VLOOKUP(B315,input_543100!L:R,7,FALSE),VLOOKUP(tables_543100!C315,input_543100!A:H,8,FALSE))</f>
        <v>79800</v>
      </c>
      <c r="P315" s="43">
        <f ca="1">O315/SUM(O:O)</f>
        <v>6.1764705882314766E-4</v>
      </c>
      <c r="Q315" s="29">
        <v>1</v>
      </c>
      <c r="R315" s="29">
        <v>0</v>
      </c>
      <c r="S315" s="29">
        <v>0</v>
      </c>
      <c r="T315" s="29">
        <v>0</v>
      </c>
      <c r="U315" s="29">
        <v>0</v>
      </c>
      <c r="V315" s="29">
        <v>1</v>
      </c>
    </row>
    <row r="316" spans="1:22" ht="21" customHeight="1" x14ac:dyDescent="0.15">
      <c r="A316" s="2" t="str">
        <f ca="1">input_543100!A$2</f>
        <v>543100</v>
      </c>
      <c r="B316" s="5">
        <v>1100</v>
      </c>
      <c r="C316" s="7" t="str">
        <f t="shared" si="19"/>
        <v>PremiumSS5R5only</v>
      </c>
      <c r="D316" s="7" t="str">
        <f t="shared" si="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2">
        <f ca="1">IFERROR(VLOOKUP(B316,input_543100!L:R,7,FALSE),VLOOKUP(tables_543100!C316,input_543100!A:H,8,FALSE))</f>
        <v>79800</v>
      </c>
      <c r="P316" s="43">
        <f ca="1">O316/SUM(O:O)</f>
        <v>6.1764705882314766E-4</v>
      </c>
      <c r="Q316" s="29">
        <v>1</v>
      </c>
      <c r="R316" s="29">
        <v>0</v>
      </c>
      <c r="S316" s="29">
        <v>0</v>
      </c>
      <c r="T316" s="29">
        <v>0</v>
      </c>
      <c r="U316" s="29">
        <v>0</v>
      </c>
      <c r="V316" s="29">
        <v>1</v>
      </c>
    </row>
    <row r="317" spans="1:22" ht="21" customHeight="1" x14ac:dyDescent="0.15">
      <c r="A317" s="2" t="str">
        <f ca="1">input_543100!A$2</f>
        <v>543100</v>
      </c>
      <c r="B317" s="5">
        <v>1102</v>
      </c>
      <c r="C317" s="7" t="str">
        <f t="shared" si="19"/>
        <v>PremiumSS5R5only</v>
      </c>
      <c r="D317" s="7" t="str">
        <f t="shared" si="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2">
        <f ca="1">IFERROR(VLOOKUP(B317,input_543100!L:R,7,FALSE),VLOOKUP(tables_543100!C317,input_543100!A:H,8,FALSE))</f>
        <v>79800</v>
      </c>
      <c r="P317" s="43">
        <f ca="1">O317/SUM(O:O)</f>
        <v>6.1764705882314766E-4</v>
      </c>
      <c r="Q317" s="29">
        <v>1</v>
      </c>
      <c r="R317" s="29">
        <v>0</v>
      </c>
      <c r="S317" s="29">
        <v>0</v>
      </c>
      <c r="T317" s="29">
        <v>0</v>
      </c>
      <c r="U317" s="29">
        <v>0</v>
      </c>
      <c r="V317" s="29">
        <v>1</v>
      </c>
    </row>
    <row r="318" spans="1:22" ht="21" customHeight="1" x14ac:dyDescent="0.15">
      <c r="A318" s="2" t="str">
        <f ca="1">input_543100!A$2</f>
        <v>543100</v>
      </c>
      <c r="B318" s="5">
        <v>1104</v>
      </c>
      <c r="C318" s="7" t="str">
        <f t="shared" si="19"/>
        <v>Premium4R3less</v>
      </c>
      <c r="D318" s="7" t="str">
        <f t="shared" si="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2">
        <f ca="1">IFERROR(VLOOKUP(B318,input_543100!L:R,7,FALSE),VLOOKUP(tables_543100!C318,input_543100!A:H,8,FALSE))</f>
        <v>808500.96</v>
      </c>
      <c r="P318" s="43">
        <f ca="1">O318/SUM(O:O)</f>
        <v>6.2577473684171849E-3</v>
      </c>
      <c r="Q318" s="29">
        <v>1</v>
      </c>
      <c r="R318" s="29">
        <v>0</v>
      </c>
      <c r="S318" s="29">
        <v>0</v>
      </c>
      <c r="T318" s="29">
        <v>0</v>
      </c>
      <c r="U318" s="29">
        <v>0</v>
      </c>
      <c r="V318" s="29">
        <v>1</v>
      </c>
    </row>
    <row r="319" spans="1:22" ht="21" customHeight="1" x14ac:dyDescent="0.15">
      <c r="A319" s="2" t="str">
        <f ca="1">input_543100!A$2</f>
        <v>543100</v>
      </c>
      <c r="B319" s="5">
        <v>1105</v>
      </c>
      <c r="C319" s="7" t="str">
        <f t="shared" si="19"/>
        <v>Premium5R3less</v>
      </c>
      <c r="D319" s="7" t="str">
        <f t="shared" si="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2">
        <f ca="1">IFERROR(VLOOKUP(B319,input_543100!L:R,7,FALSE),VLOOKUP(tables_543100!C319,input_543100!A:H,8,FALSE))</f>
        <v>62260.800000000003</v>
      </c>
      <c r="P319" s="43">
        <f ca="1">O319/SUM(O:O)</f>
        <v>4.8189473684180742E-4</v>
      </c>
      <c r="Q319" s="29">
        <v>1</v>
      </c>
      <c r="R319" s="29">
        <v>0</v>
      </c>
      <c r="S319" s="29">
        <v>0</v>
      </c>
      <c r="T319" s="29">
        <v>0</v>
      </c>
      <c r="U319" s="29">
        <v>0</v>
      </c>
      <c r="V319" s="29">
        <v>1</v>
      </c>
    </row>
    <row r="320" spans="1:22" ht="21" customHeight="1" x14ac:dyDescent="0.15">
      <c r="A320" s="2" t="str">
        <f ca="1">input_543100!A$2</f>
        <v>543100</v>
      </c>
      <c r="B320" s="5">
        <v>1106</v>
      </c>
      <c r="C320" s="7" t="str">
        <f t="shared" ref="C320:C324" si="20">D320&amp;J320&amp;E320&amp;F320&amp;G320</f>
        <v>PremiumSS5R5only</v>
      </c>
      <c r="D320" s="7" t="str">
        <f t="shared" si="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2">
        <f ca="1">IFERROR(VLOOKUP(B320,input_543100!L:R,7,FALSE),VLOOKUP(tables_543100!C320,input_543100!A:H,8,FALSE))</f>
        <v>79800</v>
      </c>
      <c r="P320" s="43">
        <f ca="1">O320/SUM(O:O)</f>
        <v>6.1764705882314766E-4</v>
      </c>
      <c r="Q320" s="29">
        <v>1</v>
      </c>
      <c r="R320" s="29">
        <v>0</v>
      </c>
      <c r="S320" s="29">
        <v>0</v>
      </c>
      <c r="T320" s="29">
        <v>0</v>
      </c>
      <c r="U320" s="29">
        <v>0</v>
      </c>
      <c r="V320" s="29">
        <v>1</v>
      </c>
    </row>
    <row r="321" spans="1:22" ht="21" customHeight="1" x14ac:dyDescent="0.15">
      <c r="A321" s="2" t="str">
        <f ca="1">input_543100!A$2</f>
        <v>543100</v>
      </c>
      <c r="B321" s="5">
        <v>1137</v>
      </c>
      <c r="C321" s="7" t="str">
        <f t="shared" si="20"/>
        <v>PremiumSS5R5only</v>
      </c>
      <c r="D321" s="7" t="str">
        <f t="shared" si="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2">
        <f ca="1">IFERROR(VLOOKUP(B321,input_543100!L:R,7,FALSE),VLOOKUP(tables_543100!C321,input_543100!A:H,8,FALSE))</f>
        <v>79800</v>
      </c>
      <c r="P321" s="43">
        <f ca="1">O321/SUM(O:O)</f>
        <v>6.1764705882314766E-4</v>
      </c>
      <c r="Q321" s="29">
        <v>1</v>
      </c>
      <c r="R321" s="29">
        <v>0</v>
      </c>
      <c r="S321" s="29">
        <v>0</v>
      </c>
      <c r="T321" s="29">
        <v>0</v>
      </c>
      <c r="U321" s="29">
        <v>0</v>
      </c>
      <c r="V321" s="29">
        <v>1</v>
      </c>
    </row>
    <row r="322" spans="1:22" ht="21" customHeight="1" x14ac:dyDescent="0.15">
      <c r="A322" s="2" t="str">
        <f ca="1">input_543100!A$2</f>
        <v>543100</v>
      </c>
      <c r="B322" s="5">
        <v>1139</v>
      </c>
      <c r="C322" s="7" t="str">
        <f t="shared" si="20"/>
        <v>PremiumSS5R5only</v>
      </c>
      <c r="D322" s="7" t="str">
        <f t="shared" si="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2">
        <f ca="1">IFERROR(VLOOKUP(B322,input_543100!L:R,7,FALSE),VLOOKUP(tables_543100!C322,input_543100!A:H,8,FALSE))</f>
        <v>79800</v>
      </c>
      <c r="P322" s="43">
        <f ca="1">O322/SUM(O:O)</f>
        <v>6.1764705882314766E-4</v>
      </c>
      <c r="Q322" s="29">
        <v>1</v>
      </c>
      <c r="R322" s="29">
        <v>0</v>
      </c>
      <c r="S322" s="29">
        <v>0</v>
      </c>
      <c r="T322" s="29">
        <v>0</v>
      </c>
      <c r="U322" s="29">
        <v>0</v>
      </c>
      <c r="V322" s="29">
        <v>1</v>
      </c>
    </row>
    <row r="323" spans="1:22" ht="21" customHeight="1" x14ac:dyDescent="0.15">
      <c r="A323" s="2" t="str">
        <f ca="1">input_543100!A$2</f>
        <v>543100</v>
      </c>
      <c r="B323" s="5">
        <v>1141</v>
      </c>
      <c r="C323" s="7" t="str">
        <f t="shared" si="20"/>
        <v>PremiumSS5R5only</v>
      </c>
      <c r="D323" s="7" t="str">
        <f t="shared" ref="D323:D330" si="21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2">
        <f ca="1">IFERROR(VLOOKUP(B323,input_543100!L:R,7,FALSE),VLOOKUP(tables_543100!C323,input_543100!A:H,8,FALSE))</f>
        <v>79800</v>
      </c>
      <c r="P323" s="43">
        <f ca="1">O323/SUM(O:O)</f>
        <v>6.1764705882314766E-4</v>
      </c>
      <c r="Q323" s="29">
        <v>1</v>
      </c>
      <c r="R323" s="29">
        <v>0</v>
      </c>
      <c r="S323" s="29">
        <v>0</v>
      </c>
      <c r="T323" s="29">
        <v>0</v>
      </c>
      <c r="U323" s="29">
        <v>0</v>
      </c>
      <c r="V323" s="29">
        <v>1</v>
      </c>
    </row>
    <row r="324" spans="1:22" ht="21" customHeight="1" x14ac:dyDescent="0.15">
      <c r="A324" s="2" t="str">
        <f ca="1">input_543100!A$2</f>
        <v>543100</v>
      </c>
      <c r="B324" s="2">
        <v>1143</v>
      </c>
      <c r="C324" s="7" t="str">
        <f t="shared" si="20"/>
        <v>Premium4R3less</v>
      </c>
      <c r="D324" s="7" t="str">
        <f t="shared" si="21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2">
        <f ca="1">IFERROR(VLOOKUP(B324,input_543100!L:R,7,FALSE),VLOOKUP(tables_543100!C324,input_543100!A:H,8,FALSE))</f>
        <v>808500.96</v>
      </c>
      <c r="P324" s="43">
        <f ca="1">O324/SUM(O:O)</f>
        <v>6.2577473684171849E-3</v>
      </c>
      <c r="Q324" s="29">
        <v>1</v>
      </c>
      <c r="R324" s="29">
        <v>0</v>
      </c>
      <c r="S324" s="29">
        <v>0</v>
      </c>
      <c r="T324" s="29">
        <v>0</v>
      </c>
      <c r="U324" s="29">
        <v>0</v>
      </c>
      <c r="V324" s="29">
        <v>1</v>
      </c>
    </row>
    <row r="325" spans="1:22" ht="21" customHeight="1" x14ac:dyDescent="0.15">
      <c r="A325" s="2" t="str">
        <f ca="1">input_543100!A$2</f>
        <v>543100</v>
      </c>
      <c r="B325" s="2">
        <v>1144</v>
      </c>
      <c r="C325" s="7" t="str">
        <f t="shared" ref="C325:C330" si="22">D325&amp;J325&amp;E325&amp;F325&amp;G325</f>
        <v>Premium5R3less</v>
      </c>
      <c r="D325" s="7" t="str">
        <f t="shared" si="21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2">
        <f ca="1">IFERROR(VLOOKUP(B325,input_543100!L:R,7,FALSE),VLOOKUP(tables_543100!C325,input_543100!A:H,8,FALSE))</f>
        <v>62260.800000000003</v>
      </c>
      <c r="P325" s="43">
        <f ca="1">O325/SUM(O:O)</f>
        <v>4.8189473684180742E-4</v>
      </c>
      <c r="Q325" s="29">
        <v>1</v>
      </c>
      <c r="R325" s="29">
        <v>0</v>
      </c>
      <c r="S325" s="29">
        <v>0</v>
      </c>
      <c r="T325" s="29">
        <v>0</v>
      </c>
      <c r="U325" s="29">
        <v>0</v>
      </c>
      <c r="V325" s="29">
        <v>1</v>
      </c>
    </row>
    <row r="326" spans="1:22" ht="21" customHeight="1" x14ac:dyDescent="0.15">
      <c r="A326" s="2" t="str">
        <f ca="1">input_543100!A$2</f>
        <v>543100</v>
      </c>
      <c r="B326" s="2">
        <v>1151</v>
      </c>
      <c r="C326" s="7" t="str">
        <f t="shared" si="22"/>
        <v>Premium4R3less</v>
      </c>
      <c r="D326" s="7" t="str">
        <f t="shared" si="21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2">
        <f ca="1">IFERROR(VLOOKUP(B326,input_543100!L:R,7,FALSE),VLOOKUP(tables_543100!C326,input_543100!A:H,8,FALSE))</f>
        <v>808500.96</v>
      </c>
      <c r="P326" s="43">
        <f ca="1">O326/SUM(O:O)</f>
        <v>6.2577473684171849E-3</v>
      </c>
      <c r="Q326" s="29">
        <v>1</v>
      </c>
      <c r="R326" s="29">
        <v>0</v>
      </c>
      <c r="S326" s="29">
        <v>0</v>
      </c>
      <c r="T326" s="29">
        <v>0</v>
      </c>
      <c r="U326" s="29">
        <v>0</v>
      </c>
      <c r="V326" s="29">
        <v>1</v>
      </c>
    </row>
    <row r="327" spans="1:22" ht="21" customHeight="1" x14ac:dyDescent="0.15">
      <c r="A327" s="2" t="str">
        <f ca="1">input_543100!A$2</f>
        <v>543100</v>
      </c>
      <c r="B327" s="2">
        <v>1152</v>
      </c>
      <c r="C327" s="7" t="str">
        <f t="shared" si="22"/>
        <v>Premium5R3less</v>
      </c>
      <c r="D327" s="7" t="str">
        <f t="shared" si="21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2">
        <f ca="1">IFERROR(VLOOKUP(B327,input_543100!L:R,7,FALSE),VLOOKUP(tables_543100!C327,input_543100!A:H,8,FALSE))</f>
        <v>62260.800000000003</v>
      </c>
      <c r="P327" s="43">
        <f ca="1">O327/SUM(O:O)</f>
        <v>4.8189473684180742E-4</v>
      </c>
      <c r="Q327" s="29">
        <v>1</v>
      </c>
      <c r="R327" s="29">
        <v>0</v>
      </c>
      <c r="S327" s="29">
        <v>0</v>
      </c>
      <c r="T327" s="29">
        <v>0</v>
      </c>
      <c r="U327" s="29">
        <v>0</v>
      </c>
      <c r="V327" s="29">
        <v>1</v>
      </c>
    </row>
    <row r="328" spans="1:22" ht="21" customHeight="1" x14ac:dyDescent="0.15">
      <c r="A328" s="2" t="str">
        <f ca="1">input_543100!A$2</f>
        <v>543100</v>
      </c>
      <c r="B328" s="2">
        <v>1153</v>
      </c>
      <c r="C328" s="7" t="str">
        <f t="shared" si="22"/>
        <v>PremiumSS5R5only</v>
      </c>
      <c r="D328" s="7" t="str">
        <f t="shared" si="21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2">
        <f ca="1">IFERROR(VLOOKUP(B328,input_543100!L:R,7,FALSE),VLOOKUP(tables_543100!C328,input_543100!A:H,8,FALSE))</f>
        <v>79800</v>
      </c>
      <c r="P328" s="43">
        <f ca="1">O328/SUM(O:O)</f>
        <v>6.1764705882314766E-4</v>
      </c>
      <c r="Q328" s="29">
        <v>1</v>
      </c>
      <c r="R328" s="29">
        <v>0</v>
      </c>
      <c r="S328" s="29">
        <v>0</v>
      </c>
      <c r="T328" s="29">
        <v>0</v>
      </c>
      <c r="U328" s="29">
        <v>0</v>
      </c>
      <c r="V328" s="29">
        <v>1</v>
      </c>
    </row>
    <row r="329" spans="1:22" ht="21" customHeight="1" x14ac:dyDescent="0.15">
      <c r="A329" s="2" t="str">
        <f ca="1">input_543100!A$2</f>
        <v>543100</v>
      </c>
      <c r="B329" s="2">
        <v>1155</v>
      </c>
      <c r="C329" s="7" t="str">
        <f t="shared" si="22"/>
        <v>PremiumSS5R5only</v>
      </c>
      <c r="D329" s="7" t="str">
        <f t="shared" si="21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2">
        <f ca="1">IFERROR(VLOOKUP(B329,input_543100!L:R,7,FALSE),VLOOKUP(tables_543100!C329,input_543100!A:H,8,FALSE))</f>
        <v>79800</v>
      </c>
      <c r="P329" s="43">
        <f ca="1">O329/SUM(O:O)</f>
        <v>6.1764705882314766E-4</v>
      </c>
      <c r="Q329" s="29">
        <v>1</v>
      </c>
      <c r="R329" s="29">
        <v>0</v>
      </c>
      <c r="S329" s="29">
        <v>0</v>
      </c>
      <c r="T329" s="29">
        <v>0</v>
      </c>
      <c r="U329" s="29">
        <v>0</v>
      </c>
      <c r="V329" s="29">
        <v>1</v>
      </c>
    </row>
    <row r="330" spans="1:22" ht="21" customHeight="1" x14ac:dyDescent="0.15">
      <c r="A330" s="2" t="str">
        <f ca="1">input_543100!A$2</f>
        <v>543100</v>
      </c>
      <c r="B330" s="2">
        <v>1157</v>
      </c>
      <c r="C330" s="7" t="str">
        <f t="shared" si="22"/>
        <v>PremiumSS5R5only</v>
      </c>
      <c r="D330" s="86" t="str">
        <f t="shared" si="21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2">
        <f ca="1">IFERROR(VLOOKUP(B330,input_543100!L:R,7,FALSE),VLOOKUP(tables_543100!C330,input_543100!A:H,8,FALSE))</f>
        <v>79800</v>
      </c>
      <c r="P330" s="43">
        <f ca="1">O330/SUM(O:O)</f>
        <v>6.1764705882314766E-4</v>
      </c>
      <c r="Q330" s="29">
        <v>1</v>
      </c>
      <c r="R330" s="29">
        <v>0</v>
      </c>
      <c r="S330" s="29">
        <v>0</v>
      </c>
      <c r="T330" s="29">
        <v>0</v>
      </c>
      <c r="U330" s="29">
        <v>0</v>
      </c>
      <c r="V330" s="29">
        <v>1</v>
      </c>
    </row>
    <row r="331" spans="1:22" ht="21" customHeight="1" x14ac:dyDescent="0.15">
      <c r="A331" s="2" t="str">
        <f ca="1">input_543100!A$2</f>
        <v>543100</v>
      </c>
      <c r="B331" s="55">
        <v>1214</v>
      </c>
      <c r="C331" s="7" t="str">
        <f t="shared" ref="C331:C335" si="23">D331&amp;J331&amp;E331&amp;F331&amp;G331</f>
        <v>PremiumSS5R5only</v>
      </c>
      <c r="D331" s="86" t="str">
        <f t="shared" ref="D331:D335" si="24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2">
        <f ca="1">IFERROR(VLOOKUP(B331,input_543100!L:R,7,FALSE),VLOOKUP(tables_543100!C331,input_543100!A:H,8,FALSE))</f>
        <v>79800</v>
      </c>
      <c r="P331" s="43">
        <f ca="1">O331/SUM(O:O)</f>
        <v>6.1764705882314766E-4</v>
      </c>
      <c r="Q331" s="29">
        <v>1</v>
      </c>
      <c r="R331" s="29">
        <v>0</v>
      </c>
      <c r="S331" s="29">
        <v>0</v>
      </c>
      <c r="T331" s="29">
        <v>0</v>
      </c>
      <c r="U331" s="29">
        <v>0</v>
      </c>
      <c r="V331" s="29">
        <v>1</v>
      </c>
    </row>
    <row r="332" spans="1:22" ht="21" customHeight="1" x14ac:dyDescent="0.15">
      <c r="A332" s="2" t="str">
        <f ca="1">input_543100!A$2</f>
        <v>543100</v>
      </c>
      <c r="B332" s="55">
        <v>1212</v>
      </c>
      <c r="C332" s="7" t="str">
        <f t="shared" si="23"/>
        <v>PremiumSS5R5only</v>
      </c>
      <c r="D332" s="86" t="str">
        <f t="shared" si="24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2">
        <f ca="1">IFERROR(VLOOKUP(B332,input_543100!L:R,7,FALSE),VLOOKUP(tables_543100!C332,input_543100!A:H,8,FALSE))</f>
        <v>79800</v>
      </c>
      <c r="P332" s="43">
        <f ca="1">O332/SUM(O:O)</f>
        <v>6.1764705882314766E-4</v>
      </c>
      <c r="Q332" s="29">
        <v>1</v>
      </c>
      <c r="R332" s="29">
        <v>0</v>
      </c>
      <c r="S332" s="29">
        <v>0</v>
      </c>
      <c r="T332" s="29">
        <v>0</v>
      </c>
      <c r="U332" s="29">
        <v>0</v>
      </c>
      <c r="V332" s="29">
        <v>1</v>
      </c>
    </row>
    <row r="333" spans="1:22" ht="21" customHeight="1" x14ac:dyDescent="0.15">
      <c r="A333" s="2" t="str">
        <f ca="1">input_543100!A$2</f>
        <v>543100</v>
      </c>
      <c r="B333" s="55">
        <v>1208</v>
      </c>
      <c r="C333" s="7" t="str">
        <f t="shared" si="23"/>
        <v>PremiumSS5R5only</v>
      </c>
      <c r="D333" s="86" t="str">
        <f t="shared" si="24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2">
        <f ca="1">IFERROR(VLOOKUP(B333,input_543100!L:R,7,FALSE),VLOOKUP(tables_543100!C333,input_543100!A:H,8,FALSE))</f>
        <v>79800</v>
      </c>
      <c r="P333" s="43">
        <f ca="1">O333/SUM(O:O)</f>
        <v>6.1764705882314766E-4</v>
      </c>
      <c r="Q333" s="29">
        <v>1</v>
      </c>
      <c r="R333" s="29">
        <v>0</v>
      </c>
      <c r="S333" s="29">
        <v>0</v>
      </c>
      <c r="T333" s="29">
        <v>0</v>
      </c>
      <c r="U333" s="29">
        <v>0</v>
      </c>
      <c r="V333" s="29">
        <v>1</v>
      </c>
    </row>
    <row r="334" spans="1:22" ht="21" customHeight="1" x14ac:dyDescent="0.15">
      <c r="A334" s="2" t="str">
        <f ca="1">input_543100!A$2</f>
        <v>543100</v>
      </c>
      <c r="B334" s="82">
        <v>1210</v>
      </c>
      <c r="C334" s="7" t="str">
        <f t="shared" si="23"/>
        <v>Premium4R3less</v>
      </c>
      <c r="D334" s="86" t="str">
        <f t="shared" si="24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2">
        <f ca="1">IFERROR(VLOOKUP(B334,input_543100!L:R,7,FALSE),VLOOKUP(tables_543100!C334,input_543100!A:H,8,FALSE))</f>
        <v>808500.96</v>
      </c>
      <c r="P334" s="43">
        <f ca="1">O334/SUM(O:O)</f>
        <v>6.2577473684171849E-3</v>
      </c>
      <c r="Q334" s="29">
        <v>1</v>
      </c>
      <c r="R334" s="29">
        <v>0</v>
      </c>
      <c r="S334" s="29">
        <v>0</v>
      </c>
      <c r="T334" s="29">
        <v>0</v>
      </c>
      <c r="U334" s="29">
        <v>0</v>
      </c>
      <c r="V334" s="29">
        <v>1</v>
      </c>
    </row>
    <row r="335" spans="1:22" ht="21" customHeight="1" x14ac:dyDescent="0.15">
      <c r="A335" s="2" t="str">
        <f ca="1">input_543100!A$2</f>
        <v>543100</v>
      </c>
      <c r="B335" s="55">
        <v>1211</v>
      </c>
      <c r="C335" s="7" t="str">
        <f t="shared" si="23"/>
        <v>Premium5R3less</v>
      </c>
      <c r="D335" s="86" t="str">
        <f t="shared" si="24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2">
        <f ca="1">IFERROR(VLOOKUP(B335,input_543100!L:R,7,FALSE),VLOOKUP(tables_543100!C335,input_543100!A:H,8,FALSE))</f>
        <v>62260.800000000003</v>
      </c>
      <c r="P335" s="43">
        <f ca="1">O335/SUM(O:O)</f>
        <v>4.8189473684180742E-4</v>
      </c>
      <c r="Q335" s="29">
        <v>1</v>
      </c>
      <c r="R335" s="29">
        <v>0</v>
      </c>
      <c r="S335" s="29">
        <v>0</v>
      </c>
      <c r="T335" s="29">
        <v>0</v>
      </c>
      <c r="U335" s="29">
        <v>0</v>
      </c>
      <c r="V335" s="29">
        <v>1</v>
      </c>
    </row>
    <row r="336" spans="1:22" ht="21" customHeight="1" x14ac:dyDescent="0.15">
      <c r="A336" s="2" t="str">
        <f ca="1">input_543100!A$2</f>
        <v>543100</v>
      </c>
      <c r="B336" s="2">
        <v>1224</v>
      </c>
      <c r="C336" s="7" t="str">
        <f t="shared" ref="C336:C340" si="25">D336&amp;J336&amp;E336&amp;F336&amp;G336</f>
        <v>Premium4R3less</v>
      </c>
      <c r="D336" s="86" t="str">
        <f t="shared" ref="D336:D340" si="26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2">
        <f ca="1">IFERROR(VLOOKUP(B336,input_543100!L:R,7,FALSE),VLOOKUP(tables_543100!C336,input_543100!A:H,8,FALSE))</f>
        <v>808500.96</v>
      </c>
      <c r="P336" s="43">
        <f ca="1">O336/SUM(O:O)</f>
        <v>6.2577473684171849E-3</v>
      </c>
      <c r="Q336" s="29">
        <v>1</v>
      </c>
      <c r="R336" s="29">
        <v>0</v>
      </c>
      <c r="S336" s="29">
        <v>0</v>
      </c>
      <c r="T336" s="29">
        <v>0</v>
      </c>
      <c r="U336" s="29">
        <v>0</v>
      </c>
      <c r="V336" s="29">
        <v>1</v>
      </c>
    </row>
    <row r="337" spans="1:22" ht="21" customHeight="1" x14ac:dyDescent="0.15">
      <c r="A337" s="2" t="str">
        <f ca="1">input_543100!A$2</f>
        <v>543100</v>
      </c>
      <c r="B337" s="2">
        <v>1225</v>
      </c>
      <c r="C337" s="7" t="str">
        <f t="shared" si="25"/>
        <v>Premium5R3less</v>
      </c>
      <c r="D337" s="86" t="str">
        <f t="shared" si="26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2">
        <f ca="1">IFERROR(VLOOKUP(B337,input_543100!L:R,7,FALSE),VLOOKUP(tables_543100!C337,input_543100!A:H,8,FALSE))</f>
        <v>62260.800000000003</v>
      </c>
      <c r="P337" s="43">
        <f ca="1">O337/SUM(O:O)</f>
        <v>4.8189473684180742E-4</v>
      </c>
      <c r="Q337" s="29">
        <v>1</v>
      </c>
      <c r="R337" s="29">
        <v>0</v>
      </c>
      <c r="S337" s="29">
        <v>0</v>
      </c>
      <c r="T337" s="29">
        <v>0</v>
      </c>
      <c r="U337" s="29">
        <v>0</v>
      </c>
      <c r="V337" s="29">
        <v>1</v>
      </c>
    </row>
    <row r="338" spans="1:22" ht="21" customHeight="1" x14ac:dyDescent="0.15">
      <c r="A338" s="2" t="str">
        <f ca="1">input_543100!A$2</f>
        <v>543100</v>
      </c>
      <c r="B338" s="2">
        <v>1226</v>
      </c>
      <c r="C338" s="7" t="str">
        <f t="shared" si="25"/>
        <v>PremiumSS5R5only</v>
      </c>
      <c r="D338" s="86" t="str">
        <f t="shared" si="26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2">
        <f ca="1">IFERROR(VLOOKUP(B338,input_543100!L:R,7,FALSE),VLOOKUP(tables_543100!C338,input_543100!A:H,8,FALSE))</f>
        <v>79800</v>
      </c>
      <c r="P338" s="43">
        <f ca="1">O338/SUM(O:O)</f>
        <v>6.1764705882314766E-4</v>
      </c>
      <c r="Q338" s="29">
        <v>1</v>
      </c>
      <c r="R338" s="29">
        <v>0</v>
      </c>
      <c r="S338" s="29">
        <v>0</v>
      </c>
      <c r="T338" s="29">
        <v>0</v>
      </c>
      <c r="U338" s="29">
        <v>0</v>
      </c>
      <c r="V338" s="29">
        <v>1</v>
      </c>
    </row>
    <row r="339" spans="1:22" ht="21" customHeight="1" x14ac:dyDescent="0.15">
      <c r="A339" s="2" t="str">
        <f ca="1">input_543100!A$2</f>
        <v>543100</v>
      </c>
      <c r="B339" s="2">
        <v>1228</v>
      </c>
      <c r="C339" s="7" t="str">
        <f t="shared" si="25"/>
        <v>PremiumSS5R5only</v>
      </c>
      <c r="D339" s="86" t="str">
        <f t="shared" si="26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2">
        <f ca="1">IFERROR(VLOOKUP(B339,input_543100!L:R,7,FALSE),VLOOKUP(tables_543100!C339,input_543100!A:H,8,FALSE))</f>
        <v>79800</v>
      </c>
      <c r="P339" s="43">
        <f ca="1">O339/SUM(O:O)</f>
        <v>6.1764705882314766E-4</v>
      </c>
      <c r="Q339" s="29">
        <v>1</v>
      </c>
      <c r="R339" s="29">
        <v>0</v>
      </c>
      <c r="S339" s="29">
        <v>0</v>
      </c>
      <c r="T339" s="29">
        <v>0</v>
      </c>
      <c r="U339" s="29">
        <v>0</v>
      </c>
      <c r="V339" s="29">
        <v>1</v>
      </c>
    </row>
    <row r="340" spans="1:22" ht="21" customHeight="1" x14ac:dyDescent="0.15">
      <c r="A340" s="2" t="str">
        <f ca="1">input_543100!A$2</f>
        <v>543100</v>
      </c>
      <c r="B340" s="2">
        <v>1230</v>
      </c>
      <c r="C340" s="7" t="str">
        <f t="shared" si="25"/>
        <v>PremiumSS5R5only</v>
      </c>
      <c r="D340" s="86" t="str">
        <f t="shared" si="26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2">
        <f ca="1">IFERROR(VLOOKUP(B340,input_543100!L:R,7,FALSE),VLOOKUP(tables_543100!C340,input_543100!A:H,8,FALSE))</f>
        <v>79800</v>
      </c>
      <c r="P340" s="43">
        <f ca="1">O340/SUM(O:O)</f>
        <v>6.1764705882314766E-4</v>
      </c>
      <c r="Q340" s="29">
        <v>1</v>
      </c>
      <c r="R340" s="29">
        <v>0</v>
      </c>
      <c r="S340" s="29">
        <v>0</v>
      </c>
      <c r="T340" s="29">
        <v>0</v>
      </c>
      <c r="U340" s="29">
        <v>0</v>
      </c>
      <c r="V340" s="29">
        <v>1</v>
      </c>
    </row>
    <row r="341" spans="1:22" ht="21" customHeight="1" x14ac:dyDescent="0.15">
      <c r="A341" s="2" t="str">
        <f ca="1">input_543100!A$2</f>
        <v>543100</v>
      </c>
      <c r="B341" s="2">
        <v>1244</v>
      </c>
      <c r="C341" s="7" t="str">
        <f t="shared" ref="C341:C348" si="27">D341&amp;J341&amp;E341&amp;F341&amp;G341</f>
        <v>PremiumSS5R5only</v>
      </c>
      <c r="D341" s="86" t="str">
        <f t="shared" ref="D341:D348" si="28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2">
        <f ca="1">IFERROR(VLOOKUP(B341,input_543100!L:R,7,FALSE),VLOOKUP(tables_543100!C341,input_543100!A:H,8,FALSE))</f>
        <v>79800</v>
      </c>
      <c r="P341" s="43">
        <f ca="1">O341/SUM(O:O)</f>
        <v>6.1764705882314766E-4</v>
      </c>
      <c r="Q341" s="29">
        <v>1</v>
      </c>
      <c r="R341" s="29">
        <v>0</v>
      </c>
      <c r="S341" s="29">
        <v>0</v>
      </c>
      <c r="T341" s="29">
        <v>0</v>
      </c>
      <c r="U341" s="29">
        <v>0</v>
      </c>
      <c r="V341" s="29">
        <v>1</v>
      </c>
    </row>
    <row r="342" spans="1:22" ht="21" customHeight="1" x14ac:dyDescent="0.15">
      <c r="A342" s="2" t="str">
        <f ca="1">input_543100!A$2</f>
        <v>543100</v>
      </c>
      <c r="B342" s="2">
        <v>1246</v>
      </c>
      <c r="C342" s="7" t="str">
        <f t="shared" si="27"/>
        <v>PremiumSS5R5only</v>
      </c>
      <c r="D342" s="86" t="str">
        <f t="shared" si="28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2">
        <f ca="1">IFERROR(VLOOKUP(B342,input_543100!L:R,7,FALSE),VLOOKUP(tables_543100!C342,input_543100!A:H,8,FALSE))</f>
        <v>79800</v>
      </c>
      <c r="P342" s="43">
        <f ca="1">O342/SUM(O:O)</f>
        <v>6.1764705882314766E-4</v>
      </c>
      <c r="Q342" s="29">
        <v>1</v>
      </c>
      <c r="R342" s="29">
        <v>0</v>
      </c>
      <c r="S342" s="29">
        <v>0</v>
      </c>
      <c r="T342" s="29">
        <v>0</v>
      </c>
      <c r="U342" s="29">
        <v>0</v>
      </c>
      <c r="V342" s="29">
        <v>1</v>
      </c>
    </row>
    <row r="343" spans="1:22" ht="21" customHeight="1" x14ac:dyDescent="0.15">
      <c r="A343" s="2" t="str">
        <f ca="1">input_543100!A$2</f>
        <v>543100</v>
      </c>
      <c r="B343" s="2">
        <v>1248</v>
      </c>
      <c r="C343" s="7" t="str">
        <f t="shared" si="27"/>
        <v>Premium4R3less</v>
      </c>
      <c r="D343" s="86" t="str">
        <f t="shared" si="28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2">
        <f ca="1">IFERROR(VLOOKUP(B343,input_543100!L:R,7,FALSE),VLOOKUP(tables_543100!C343,input_543100!A:H,8,FALSE))</f>
        <v>808500.96</v>
      </c>
      <c r="P343" s="43">
        <f ca="1">O343/SUM(O:O)</f>
        <v>6.2577473684171849E-3</v>
      </c>
      <c r="Q343" s="29">
        <v>1</v>
      </c>
      <c r="R343" s="29">
        <v>0</v>
      </c>
      <c r="S343" s="29">
        <v>0</v>
      </c>
      <c r="T343" s="29">
        <v>0</v>
      </c>
      <c r="U343" s="29">
        <v>0</v>
      </c>
      <c r="V343" s="29">
        <v>1</v>
      </c>
    </row>
    <row r="344" spans="1:22" ht="21" customHeight="1" x14ac:dyDescent="0.15">
      <c r="A344" s="2" t="str">
        <f ca="1">input_543100!A$2</f>
        <v>543100</v>
      </c>
      <c r="B344" s="2">
        <v>1249</v>
      </c>
      <c r="C344" s="7" t="str">
        <f t="shared" si="27"/>
        <v>Premium5R3less</v>
      </c>
      <c r="D344" s="86" t="str">
        <f t="shared" si="28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2">
        <f ca="1">IFERROR(VLOOKUP(B344,input_543100!L:R,7,FALSE),VLOOKUP(tables_543100!C344,input_543100!A:H,8,FALSE))</f>
        <v>62260.800000000003</v>
      </c>
      <c r="P344" s="43">
        <f ca="1">O344/SUM(O:O)</f>
        <v>4.8189473684180742E-4</v>
      </c>
      <c r="Q344" s="29">
        <v>1</v>
      </c>
      <c r="R344" s="29">
        <v>0</v>
      </c>
      <c r="S344" s="29">
        <v>0</v>
      </c>
      <c r="T344" s="29">
        <v>0</v>
      </c>
      <c r="U344" s="29">
        <v>0</v>
      </c>
      <c r="V344" s="29">
        <v>1</v>
      </c>
    </row>
    <row r="345" spans="1:22" ht="21" customHeight="1" x14ac:dyDescent="0.15">
      <c r="A345" s="2" t="str">
        <f ca="1">input_543100!A$2</f>
        <v>543100</v>
      </c>
      <c r="B345" s="2">
        <v>1250</v>
      </c>
      <c r="C345" s="7" t="str">
        <f t="shared" si="27"/>
        <v>PremiumSS5R5only</v>
      </c>
      <c r="D345" s="86" t="str">
        <f t="shared" si="28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2">
        <f ca="1">IFERROR(VLOOKUP(B345,input_543100!L:R,7,FALSE),VLOOKUP(tables_543100!C345,input_543100!A:H,8,FALSE))</f>
        <v>79800</v>
      </c>
      <c r="P345" s="43">
        <f ca="1">O345/SUM(O:O)</f>
        <v>6.1764705882314766E-4</v>
      </c>
      <c r="Q345" s="29">
        <v>1</v>
      </c>
      <c r="R345" s="29">
        <v>0</v>
      </c>
      <c r="S345" s="29">
        <v>0</v>
      </c>
      <c r="T345" s="29">
        <v>0</v>
      </c>
      <c r="U345" s="29">
        <v>0</v>
      </c>
      <c r="V345" s="29">
        <v>1</v>
      </c>
    </row>
    <row r="346" spans="1:22" ht="21" customHeight="1" x14ac:dyDescent="0.15">
      <c r="A346" s="2" t="str">
        <f ca="1">input_543100!A$2</f>
        <v>543100</v>
      </c>
      <c r="B346" s="1">
        <v>1260</v>
      </c>
      <c r="C346" s="7" t="str">
        <f t="shared" si="27"/>
        <v>PremiumSS5R5only</v>
      </c>
      <c r="D346" s="86" t="str">
        <f t="shared" si="28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2">
        <f ca="1">IFERROR(VLOOKUP(B346,input_543100!L:R,7,FALSE),VLOOKUP(tables_543100!C346,input_543100!A:H,8,FALSE))</f>
        <v>79800</v>
      </c>
      <c r="P346" s="43">
        <f ca="1">O346/SUM(O:O)</f>
        <v>6.1764705882314766E-4</v>
      </c>
      <c r="Q346" s="29">
        <v>1</v>
      </c>
      <c r="R346" s="29">
        <v>0</v>
      </c>
      <c r="S346" s="29">
        <v>0</v>
      </c>
      <c r="T346" s="29">
        <v>0</v>
      </c>
      <c r="U346" s="29">
        <v>0</v>
      </c>
      <c r="V346" s="29">
        <v>1</v>
      </c>
    </row>
    <row r="347" spans="1:22" ht="21" customHeight="1" x14ac:dyDescent="0.15">
      <c r="A347" s="2" t="str">
        <f ca="1">input_543100!A$2</f>
        <v>543100</v>
      </c>
      <c r="B347" s="1">
        <v>1262</v>
      </c>
      <c r="C347" s="7" t="str">
        <f t="shared" si="27"/>
        <v>PremiumSS5R5only</v>
      </c>
      <c r="D347" s="86" t="str">
        <f t="shared" si="28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2">
        <f ca="1">IFERROR(VLOOKUP(B347,input_543100!L:R,7,FALSE),VLOOKUP(tables_543100!C347,input_543100!A:H,8,FALSE))</f>
        <v>79800</v>
      </c>
      <c r="P347" s="43">
        <f ca="1">O347/SUM(O:O)</f>
        <v>6.1764705882314766E-4</v>
      </c>
      <c r="Q347" s="29">
        <v>1</v>
      </c>
      <c r="R347" s="29">
        <v>0</v>
      </c>
      <c r="S347" s="29">
        <v>0</v>
      </c>
      <c r="T347" s="29">
        <v>0</v>
      </c>
      <c r="U347" s="29">
        <v>0</v>
      </c>
      <c r="V347" s="29">
        <v>1</v>
      </c>
    </row>
    <row r="348" spans="1:22" ht="21" customHeight="1" x14ac:dyDescent="0.15">
      <c r="A348" s="2" t="str">
        <f ca="1">input_543100!A$2</f>
        <v>543100</v>
      </c>
      <c r="B348" s="1">
        <v>1264</v>
      </c>
      <c r="C348" s="7" t="str">
        <f t="shared" si="27"/>
        <v>PremiumSS5R5only</v>
      </c>
      <c r="D348" s="86" t="str">
        <f t="shared" si="28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2">
        <f ca="1">IFERROR(VLOOKUP(B348,input_543100!L:R,7,FALSE),VLOOKUP(tables_543100!C348,input_543100!A:H,8,FALSE))</f>
        <v>79800</v>
      </c>
      <c r="P348" s="43">
        <f ca="1">O348/SUM(O:O)</f>
        <v>6.1764705882314766E-4</v>
      </c>
      <c r="Q348" s="29">
        <v>1</v>
      </c>
      <c r="R348" s="29">
        <v>0</v>
      </c>
      <c r="S348" s="29">
        <v>0</v>
      </c>
      <c r="T348" s="29">
        <v>0</v>
      </c>
      <c r="U348" s="29">
        <v>0</v>
      </c>
      <c r="V348" s="29">
        <v>1</v>
      </c>
    </row>
    <row r="349" spans="1:22" ht="21" customHeight="1" x14ac:dyDescent="0.15">
      <c r="A349" s="2" t="str">
        <f ca="1">input_543100!A$2</f>
        <v>543100</v>
      </c>
      <c r="B349" s="1">
        <v>1266</v>
      </c>
      <c r="C349" s="7" t="str">
        <f t="shared" ref="C349:C351" si="29">D349&amp;J349&amp;E349&amp;F349&amp;G349</f>
        <v>Premium4R3less</v>
      </c>
      <c r="D349" s="86" t="str">
        <f t="shared" ref="D349:D351" si="30">IF(OR(I349="PremiumSS",I349="PremiumSSw"),"PremiumSS",IF(I349="PremiumSSS",I349,IF(I349="PremiumW",IF(J349=5,"premium",I349),"Premium")))</f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2">
        <f ca="1">IFERROR(VLOOKUP(B349,input_543100!L:R,7,FALSE),VLOOKUP(tables_543100!C349,input_543100!A:H,8,FALSE))</f>
        <v>808500.96</v>
      </c>
      <c r="P349" s="43">
        <f ca="1">O349/SUM(O:O)</f>
        <v>6.2577473684171849E-3</v>
      </c>
      <c r="Q349" s="29">
        <v>1</v>
      </c>
      <c r="R349" s="29">
        <v>0</v>
      </c>
      <c r="S349" s="29">
        <v>0</v>
      </c>
      <c r="T349" s="29">
        <v>0</v>
      </c>
      <c r="U349" s="29">
        <v>0</v>
      </c>
      <c r="V349" s="29">
        <v>1</v>
      </c>
    </row>
    <row r="350" spans="1:22" ht="21" customHeight="1" x14ac:dyDescent="0.15">
      <c r="A350" s="2" t="str">
        <f ca="1">input_543100!A$2</f>
        <v>543100</v>
      </c>
      <c r="B350" s="1">
        <v>1267</v>
      </c>
      <c r="C350" s="7" t="str">
        <f t="shared" si="29"/>
        <v>Premium5R3less</v>
      </c>
      <c r="D350" s="86" t="str">
        <f t="shared" si="30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2">
        <f ca="1">IFERROR(VLOOKUP(B350,input_543100!L:R,7,FALSE),VLOOKUP(tables_543100!C350,input_543100!A:H,8,FALSE))</f>
        <v>62260.800000000003</v>
      </c>
      <c r="P350" s="43">
        <f ca="1">O350/SUM(O:O)</f>
        <v>4.8189473684180742E-4</v>
      </c>
      <c r="Q350" s="29">
        <v>1</v>
      </c>
      <c r="R350" s="29">
        <v>0</v>
      </c>
      <c r="S350" s="29">
        <v>0</v>
      </c>
      <c r="T350" s="29">
        <v>0</v>
      </c>
      <c r="U350" s="29">
        <v>0</v>
      </c>
      <c r="V350" s="29">
        <v>1</v>
      </c>
    </row>
    <row r="351" spans="1:22" ht="21" customHeight="1" x14ac:dyDescent="0.15">
      <c r="A351" s="2" t="str">
        <f ca="1">input_543100!A$2</f>
        <v>543100</v>
      </c>
      <c r="B351" s="92">
        <v>1332</v>
      </c>
      <c r="C351" s="7" t="str">
        <f t="shared" si="29"/>
        <v>PremiumSS5R5only</v>
      </c>
      <c r="D351" s="86" t="str">
        <f t="shared" si="30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2">
        <f ca="1">IFERROR(VLOOKUP(B351,input_543100!L:R,7,FALSE),VLOOKUP(tables_543100!C351,input_543100!A:H,8,FALSE))</f>
        <v>79800</v>
      </c>
      <c r="P351" s="43">
        <f ca="1">O351/SUM(O:O)</f>
        <v>6.1764705882314766E-4</v>
      </c>
      <c r="Q351" s="29">
        <v>1</v>
      </c>
      <c r="R351" s="29">
        <v>0</v>
      </c>
      <c r="S351" s="29">
        <v>0</v>
      </c>
      <c r="T351" s="29">
        <v>0</v>
      </c>
      <c r="U351" s="29">
        <v>0</v>
      </c>
      <c r="V351" s="29">
        <v>1</v>
      </c>
    </row>
    <row r="352" spans="1:22" ht="21" customHeight="1" x14ac:dyDescent="0.15">
      <c r="A352" s="2" t="str">
        <f ca="1">input_543100!A$2</f>
        <v>543100</v>
      </c>
      <c r="B352" s="92">
        <v>1336</v>
      </c>
      <c r="C352" s="7" t="str">
        <f t="shared" ref="C352:C356" si="31">D352&amp;J352&amp;E352&amp;F352&amp;G352</f>
        <v>PremiumSS5R5only</v>
      </c>
      <c r="D352" s="86" t="str">
        <f t="shared" ref="D352:D356" si="32">IF(OR(I352="PremiumSS",I352="PremiumSSw"),"PremiumSS",IF(I352="PremiumSSS",I352,IF(I352="PremiumW",IF(J352=5,"premium",I352),"Premium")))</f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2">
        <f ca="1">IFERROR(VLOOKUP(B352,input_543100!L:R,7,FALSE),VLOOKUP(tables_543100!C352,input_543100!A:H,8,FALSE))</f>
        <v>79800</v>
      </c>
      <c r="P352" s="43">
        <f ca="1">O352/SUM(O:O)</f>
        <v>6.1764705882314766E-4</v>
      </c>
      <c r="Q352" s="29">
        <v>1</v>
      </c>
      <c r="R352" s="29">
        <v>0</v>
      </c>
      <c r="S352" s="29">
        <v>0</v>
      </c>
      <c r="T352" s="29">
        <v>0</v>
      </c>
      <c r="U352" s="29">
        <v>0</v>
      </c>
      <c r="V352" s="29">
        <v>1</v>
      </c>
    </row>
    <row r="353" spans="1:22" ht="21" customHeight="1" x14ac:dyDescent="0.15">
      <c r="A353" s="2" t="str">
        <f ca="1">input_543100!A$2</f>
        <v>543100</v>
      </c>
      <c r="B353" s="92">
        <v>1338</v>
      </c>
      <c r="C353" s="7" t="str">
        <f t="shared" si="31"/>
        <v>PremiumSS5R5only</v>
      </c>
      <c r="D353" s="86" t="str">
        <f t="shared" si="32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2">
        <f ca="1">IFERROR(VLOOKUP(B353,input_543100!L:R,7,FALSE),VLOOKUP(tables_543100!C353,input_543100!A:H,8,FALSE))</f>
        <v>79800</v>
      </c>
      <c r="P353" s="43">
        <f ca="1">O353/SUM(O:O)</f>
        <v>6.1764705882314766E-4</v>
      </c>
      <c r="Q353" s="29">
        <v>1</v>
      </c>
      <c r="R353" s="29">
        <v>0</v>
      </c>
      <c r="S353" s="29">
        <v>0</v>
      </c>
      <c r="T353" s="29">
        <v>0</v>
      </c>
      <c r="U353" s="29">
        <v>0</v>
      </c>
      <c r="V353" s="29">
        <v>1</v>
      </c>
    </row>
    <row r="354" spans="1:22" ht="21" customHeight="1" x14ac:dyDescent="0.15">
      <c r="A354" s="2" t="str">
        <f ca="1">input_543100!A$2</f>
        <v>543100</v>
      </c>
      <c r="B354" s="92">
        <v>1334</v>
      </c>
      <c r="C354" s="7" t="str">
        <f t="shared" si="31"/>
        <v>Premium4R3less</v>
      </c>
      <c r="D354" s="86" t="str">
        <f t="shared" si="32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2">
        <f ca="1">IFERROR(VLOOKUP(B354,input_543100!L:R,7,FALSE),VLOOKUP(tables_543100!C354,input_543100!A:H,8,FALSE))</f>
        <v>808500.96</v>
      </c>
      <c r="P354" s="43">
        <f ca="1">O354/SUM(O:O)</f>
        <v>6.2577473684171849E-3</v>
      </c>
      <c r="Q354" s="29">
        <v>1</v>
      </c>
      <c r="R354" s="29">
        <v>0</v>
      </c>
      <c r="S354" s="29">
        <v>0</v>
      </c>
      <c r="T354" s="29">
        <v>0</v>
      </c>
      <c r="U354" s="29">
        <v>0</v>
      </c>
      <c r="V354" s="29">
        <v>1</v>
      </c>
    </row>
    <row r="355" spans="1:22" ht="21" customHeight="1" x14ac:dyDescent="0.15">
      <c r="A355" s="2" t="str">
        <f ca="1">input_543100!A$2</f>
        <v>543100</v>
      </c>
      <c r="B355" s="92">
        <v>1335</v>
      </c>
      <c r="C355" s="7" t="str">
        <f t="shared" si="31"/>
        <v>Premium5R3less</v>
      </c>
      <c r="D355" s="86" t="str">
        <f t="shared" si="32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2">
        <f ca="1">IFERROR(VLOOKUP(B355,input_543100!L:R,7,FALSE),VLOOKUP(tables_543100!C355,input_543100!A:H,8,FALSE))</f>
        <v>62260.800000000003</v>
      </c>
      <c r="P355" s="43">
        <f ca="1">O355/SUM(O:O)</f>
        <v>4.8189473684180742E-4</v>
      </c>
      <c r="Q355" s="29">
        <v>1</v>
      </c>
      <c r="R355" s="29">
        <v>0</v>
      </c>
      <c r="S355" s="29">
        <v>0</v>
      </c>
      <c r="T355" s="29">
        <v>0</v>
      </c>
      <c r="U355" s="29">
        <v>0</v>
      </c>
      <c r="V355" s="29">
        <v>1</v>
      </c>
    </row>
    <row r="356" spans="1:22" ht="21" customHeight="1" x14ac:dyDescent="0.15">
      <c r="A356" s="2" t="str">
        <f ca="1">input_543100!A$2</f>
        <v>543100</v>
      </c>
      <c r="B356" s="55">
        <v>678</v>
      </c>
      <c r="C356" s="7" t="str">
        <f t="shared" si="31"/>
        <v>PremiumSS4R5only</v>
      </c>
      <c r="D356" s="86" t="str">
        <f t="shared" si="32"/>
        <v>PremiumSS</v>
      </c>
      <c r="E356" s="7" t="str">
        <f>IF(COUNTIF('R6追加前'!A:A,B356)=0,IF(OR(I356="PremiumSS",I356="PremiumSSw"),"R5only","R3less"),"")</f>
        <v>R5only</v>
      </c>
      <c r="F356" s="7" t="str">
        <f>IF(COUNTIF('R6開放'!A:A,B356)&gt;0,"R6release","")</f>
        <v/>
      </c>
      <c r="G356" s="7"/>
      <c r="H356" s="7" t="str">
        <f>VLOOKUP(B356,[1]characters!$A:$C,3,FALSE)</f>
        <v>レイヴン</v>
      </c>
      <c r="I356" s="7" t="str">
        <f>VLOOKUP(B356,[1]characters!$A:$J,10,FALSE)</f>
        <v>PremiumSS</v>
      </c>
      <c r="J356" s="7">
        <f>VLOOKUP(B356,[1]characters!$A:$I,9,FALSE)</f>
        <v>4</v>
      </c>
      <c r="K356" s="7" t="str">
        <f>VLOOKUP(B356,[1]characters!$A:$H,8,FALSE)</f>
        <v>green</v>
      </c>
      <c r="L356" s="7" t="str">
        <f>VLOOKUP(B356,[1]characters!$A:$K,11,FALSE)</f>
        <v>attack</v>
      </c>
      <c r="M356" s="7" t="str">
        <f>VLOOKUP(B356,[1]characters!$A:$M,13,FALSE)</f>
        <v>human</v>
      </c>
      <c r="N356" s="7" t="str">
        <f>VLOOKUP(B356,[1]characters!$A:$G,7,FALSE)</f>
        <v>男性</v>
      </c>
      <c r="O356" s="42">
        <f>IFERROR(VLOOKUP(B356,input_543100!L:R,7,FALSE),VLOOKUP(tables_543100!C356,input_543100!A:H,8,FALSE))</f>
        <v>129200</v>
      </c>
      <c r="P356" s="43">
        <f ca="1">O356/SUM(O:O)</f>
        <v>9.9999999999938203E-4</v>
      </c>
      <c r="Q356" s="29">
        <v>1</v>
      </c>
      <c r="R356" s="29">
        <v>0</v>
      </c>
      <c r="S356" s="29">
        <v>0</v>
      </c>
      <c r="T356" s="29">
        <v>0</v>
      </c>
      <c r="U356" s="29">
        <v>0</v>
      </c>
      <c r="V356" s="29">
        <v>1</v>
      </c>
    </row>
    <row r="357" spans="1:22" ht="21" customHeight="1" x14ac:dyDescent="0.15">
      <c r="A357" s="2" t="str">
        <f ca="1">input_543100!A$2</f>
        <v>543100</v>
      </c>
      <c r="B357" s="55">
        <v>679</v>
      </c>
      <c r="C357" s="7" t="str">
        <f t="shared" ref="C357:C361" si="33">D357&amp;J357&amp;E357&amp;F357&amp;G357</f>
        <v>PremiumSS5R5only</v>
      </c>
      <c r="D357" s="86" t="str">
        <f t="shared" ref="D357:D361" si="34">IF(OR(I357="PremiumSS",I357="PremiumSSw"),"PremiumSS",IF(I357="PremiumSSS",I357,IF(I357="PremiumW",IF(J357=5,"premium",I357),"Premium")))</f>
        <v>PremiumSS</v>
      </c>
      <c r="E357" s="7" t="str">
        <f>IF(COUNTIF('R6追加前'!A:A,B357)=0,IF(OR(I357="PremiumSS",I357="PremiumSSw"),"R5only","R3less"),"")</f>
        <v>R5only</v>
      </c>
      <c r="F357" s="7" t="str">
        <f>IF(COUNTIF('R6開放'!A:A,B357)&gt;0,"R6release","")</f>
        <v/>
      </c>
      <c r="G357" s="7"/>
      <c r="H357" s="7" t="str">
        <f>VLOOKUP(B357,[1]characters!$A:$C,3,FALSE)</f>
        <v>孤高の王子 レイヴン</v>
      </c>
      <c r="I357" s="7" t="str">
        <f>VLOOKUP(B357,[1]characters!$A:$J,10,FALSE)</f>
        <v>PremiumSS</v>
      </c>
      <c r="J357" s="7">
        <f>VLOOKUP(B357,[1]characters!$A:$I,9,FALSE)</f>
        <v>5</v>
      </c>
      <c r="K357" s="7" t="str">
        <f>VLOOKUP(B357,[1]characters!$A:$H,8,FALSE)</f>
        <v>green</v>
      </c>
      <c r="L357" s="7" t="str">
        <f>VLOOKUP(B357,[1]characters!$A:$K,11,FALSE)</f>
        <v>attack</v>
      </c>
      <c r="M357" s="7" t="str">
        <f>VLOOKUP(B357,[1]characters!$A:$M,13,FALSE)</f>
        <v>human</v>
      </c>
      <c r="N357" s="7" t="str">
        <f>VLOOKUP(B357,[1]characters!$A:$G,7,FALSE)</f>
        <v>男性</v>
      </c>
      <c r="O357" s="42">
        <f>IFERROR(VLOOKUP(B357,input_543100!L:R,7,FALSE),VLOOKUP(tables_543100!C357,input_543100!A:H,8,FALSE))</f>
        <v>129200</v>
      </c>
      <c r="P357" s="43">
        <f ca="1">O357/SUM(O:O)</f>
        <v>9.9999999999938203E-4</v>
      </c>
      <c r="Q357" s="29">
        <v>1</v>
      </c>
      <c r="R357" s="29">
        <v>0</v>
      </c>
      <c r="S357" s="29">
        <v>0</v>
      </c>
      <c r="T357" s="29">
        <v>0</v>
      </c>
      <c r="U357" s="29">
        <v>0</v>
      </c>
      <c r="V357" s="29">
        <v>1</v>
      </c>
    </row>
    <row r="358" spans="1:22" ht="21" customHeight="1" x14ac:dyDescent="0.15">
      <c r="A358" s="2" t="str">
        <f ca="1">input_543100!A$2</f>
        <v>543100</v>
      </c>
      <c r="B358" s="55">
        <v>1409</v>
      </c>
      <c r="C358" s="7" t="str">
        <f t="shared" si="33"/>
        <v>PremiumSS5R5only</v>
      </c>
      <c r="D358" s="86" t="str">
        <f t="shared" si="34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マシロ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heal</v>
      </c>
      <c r="M358" s="7" t="str">
        <f>VLOOKUP(B358,[1]characters!$A:$M,13,FALSE)</f>
        <v>human</v>
      </c>
      <c r="N358" s="7">
        <f>VLOOKUP(B358,[1]characters!$A:$G,7,FALSE)</f>
        <v>0</v>
      </c>
      <c r="O358" s="42">
        <f>IFERROR(VLOOKUP(B358,input_543100!L:R,7,FALSE),VLOOKUP(tables_543100!C358,input_543100!A:H,8,FALSE))</f>
        <v>258400</v>
      </c>
      <c r="P358" s="43">
        <f ca="1">O358/SUM(O:O)</f>
        <v>1.9999999999987641E-3</v>
      </c>
      <c r="Q358" s="29">
        <v>1</v>
      </c>
      <c r="R358" s="29">
        <v>0</v>
      </c>
      <c r="S358" s="29">
        <v>0</v>
      </c>
      <c r="T358" s="29">
        <v>0</v>
      </c>
      <c r="U358" s="29">
        <v>0</v>
      </c>
      <c r="V358" s="29">
        <v>1</v>
      </c>
    </row>
    <row r="359" spans="1:22" ht="21" customHeight="1" x14ac:dyDescent="0.15">
      <c r="A359" s="2" t="str">
        <f ca="1">input_543100!A$2</f>
        <v>543100</v>
      </c>
      <c r="B359" s="55">
        <v>1411</v>
      </c>
      <c r="C359" s="7" t="str">
        <f t="shared" si="33"/>
        <v>Premium5R3less</v>
      </c>
      <c r="D359" s="86" t="str">
        <f t="shared" si="34"/>
        <v>Premium</v>
      </c>
      <c r="E359" s="7" t="str">
        <f>IF(COUNTIF('R6追加前'!A:A,B359)=0,IF(OR(I359="PremiumSS",I359="PremiumSSw"),"R5only","R3less"),"")</f>
        <v>R3less</v>
      </c>
      <c r="F359" s="7" t="str">
        <f>IF(COUNTIF('R6開放'!A:A,B359)&gt;0,"R6release","")</f>
        <v/>
      </c>
      <c r="G359" s="7"/>
      <c r="H359" s="7" t="str">
        <f>VLOOKUP(B359,[1]characters!$A:$C,3,FALSE)</f>
        <v>ピーターパン・イノセンス</v>
      </c>
      <c r="I359" s="7" t="str">
        <f>VLOOKUP(B359,[1]characters!$A:$J,10,FALSE)</f>
        <v>PremiumS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human</v>
      </c>
      <c r="N359" s="7">
        <f>VLOOKUP(B359,[1]characters!$A:$G,7,FALSE)</f>
        <v>0</v>
      </c>
      <c r="O359" s="42">
        <f>IFERROR(VLOOKUP(B359,input_543100!L:R,7,FALSE),VLOOKUP(tables_543100!C359,input_543100!A:H,8,FALSE))</f>
        <v>12920000</v>
      </c>
      <c r="P359" s="43">
        <f ca="1">O359/SUM(O:O)</f>
        <v>9.9999999999938194E-2</v>
      </c>
      <c r="Q359" s="29">
        <v>1</v>
      </c>
      <c r="R359" s="29">
        <v>0</v>
      </c>
      <c r="S359" s="29">
        <v>0</v>
      </c>
      <c r="T359" s="29">
        <v>0</v>
      </c>
      <c r="U359" s="29">
        <v>0</v>
      </c>
      <c r="V359" s="29">
        <v>1</v>
      </c>
    </row>
    <row r="360" spans="1:22" ht="21" customHeight="1" x14ac:dyDescent="0.15">
      <c r="A360" s="2" t="str">
        <f ca="1">input_543100!A$2</f>
        <v>543100</v>
      </c>
      <c r="B360" s="55">
        <v>1412</v>
      </c>
      <c r="C360" s="7" t="str">
        <f t="shared" si="33"/>
        <v>Premium5R3less</v>
      </c>
      <c r="D360" s="86" t="str">
        <f t="shared" si="34"/>
        <v>Premium</v>
      </c>
      <c r="E360" s="7" t="str">
        <f>IF(COUNTIF('R6追加前'!A:A,B360)=0,IF(OR(I360="PremiumSS",I360="PremiumSSw"),"R5only","R3less"),"")</f>
        <v>R3less</v>
      </c>
      <c r="F360" s="7" t="str">
        <f>IF(COUNTIF('R6開放'!A:A,B360)&gt;0,"R6release","")</f>
        <v/>
      </c>
      <c r="G360" s="7"/>
      <c r="H360" s="7" t="str">
        <f>VLOOKUP(B360,[1]characters!$A:$C,3,FALSE)</f>
        <v>アレス・パッション</v>
      </c>
      <c r="I360" s="7" t="str">
        <f>VLOOKUP(B360,[1]characters!$A:$J,10,FALSE)</f>
        <v>PremiumS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god</v>
      </c>
      <c r="N360" s="7">
        <f>VLOOKUP(B360,[1]characters!$A:$G,7,FALSE)</f>
        <v>0</v>
      </c>
      <c r="O360" s="42">
        <f>IFERROR(VLOOKUP(B360,input_543100!L:R,7,FALSE),VLOOKUP(tables_543100!C360,input_543100!A:H,8,FALSE))</f>
        <v>12920000</v>
      </c>
      <c r="P360" s="43">
        <f ca="1">O360/SUM(O:O)</f>
        <v>9.9999999999938194E-2</v>
      </c>
      <c r="Q360" s="29">
        <v>1</v>
      </c>
      <c r="R360" s="29">
        <v>0</v>
      </c>
      <c r="S360" s="29">
        <v>0</v>
      </c>
      <c r="T360" s="29">
        <v>0</v>
      </c>
      <c r="U360" s="29">
        <v>0</v>
      </c>
      <c r="V360" s="29">
        <v>1</v>
      </c>
    </row>
    <row r="361" spans="1:22" ht="21" customHeight="1" x14ac:dyDescent="0.15">
      <c r="A361" s="2" t="str">
        <f ca="1">input_543100!A$2</f>
        <v>543100</v>
      </c>
      <c r="B361" s="55">
        <v>1413</v>
      </c>
      <c r="C361" s="7" t="str">
        <f t="shared" si="33"/>
        <v>Premium5R3less</v>
      </c>
      <c r="D361" s="86" t="str">
        <f t="shared" si="34"/>
        <v>Premium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クリムト・ペリューシド</v>
      </c>
      <c r="I361" s="7" t="str">
        <f>VLOOKUP(B361,[1]characters!$A:$J,10,FALSE)</f>
        <v>PremiumS</v>
      </c>
      <c r="J361" s="7">
        <f>VLOOKUP(B361,[1]characters!$A:$I,9,FALSE)</f>
        <v>5</v>
      </c>
      <c r="K361" s="7" t="str">
        <f>VLOOKUP(B361,[1]characters!$A:$H,8,FALSE)</f>
        <v>green</v>
      </c>
      <c r="L361" s="7" t="str">
        <f>VLOOKUP(B361,[1]characters!$A:$K,11,FALSE)</f>
        <v>technical</v>
      </c>
      <c r="M361" s="7" t="str">
        <f>VLOOKUP(B361,[1]characters!$A:$M,13,FALSE)</f>
        <v>human</v>
      </c>
      <c r="N361" s="7">
        <f>VLOOKUP(B361,[1]characters!$A:$G,7,FALSE)</f>
        <v>0</v>
      </c>
      <c r="O361" s="42">
        <f>IFERROR(VLOOKUP(B361,input_543100!L:R,7,FALSE),VLOOKUP(tables_543100!C361,input_543100!A:H,8,FALSE))</f>
        <v>12920000</v>
      </c>
      <c r="P361" s="43">
        <f ca="1">O361/SUM(O:O)</f>
        <v>9.9999999999938194E-2</v>
      </c>
      <c r="Q361" s="29">
        <v>1</v>
      </c>
      <c r="R361" s="29">
        <v>0</v>
      </c>
      <c r="S361" s="29">
        <v>0</v>
      </c>
      <c r="T361" s="29">
        <v>0</v>
      </c>
      <c r="U361" s="29">
        <v>0</v>
      </c>
      <c r="V361" s="29">
        <v>1</v>
      </c>
    </row>
  </sheetData>
  <autoFilter ref="A1:V294"/>
  <phoneticPr fontId="24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4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5">
        <v>668</v>
      </c>
      <c r="B246" s="7" t="str">
        <f>VLOOKUP(A246,[1]characters!$A:$C,3,FALSE)</f>
        <v>アグニ</v>
      </c>
    </row>
    <row r="247" spans="1:2" x14ac:dyDescent="0.15">
      <c r="A247" s="55">
        <v>669</v>
      </c>
      <c r="B247" s="7" t="str">
        <f>VLOOKUP(A247,[1]characters!$A:$C,3,FALSE)</f>
        <v>天地の仲界 アグニ</v>
      </c>
    </row>
    <row r="248" spans="1:2" x14ac:dyDescent="0.15">
      <c r="A248" s="55">
        <v>670</v>
      </c>
      <c r="B248" s="7" t="str">
        <f>VLOOKUP(A248,[1]characters!$A:$C,3,FALSE)</f>
        <v>陽天の噴煙 アグニ</v>
      </c>
    </row>
    <row r="249" spans="1:2" x14ac:dyDescent="0.15">
      <c r="A249" s="55">
        <v>671</v>
      </c>
      <c r="B249" s="7" t="str">
        <f>VLOOKUP(A249,[1]characters!$A:$C,3,FALSE)</f>
        <v>ハヌマーン</v>
      </c>
    </row>
    <row r="250" spans="1:2" x14ac:dyDescent="0.15">
      <c r="A250" s="55">
        <v>672</v>
      </c>
      <c r="B250" s="7" t="str">
        <f>VLOOKUP(A250,[1]characters!$A:$C,3,FALSE)</f>
        <v>西遊韋駄天 ハヌマーン</v>
      </c>
    </row>
    <row r="251" spans="1:2" x14ac:dyDescent="0.15">
      <c r="A251" s="55">
        <v>673</v>
      </c>
      <c r="B251" s="7" t="str">
        <f>VLOOKUP(A251,[1]characters!$A:$C,3,FALSE)</f>
        <v>変幻自在の猿王 ハヌマーン</v>
      </c>
    </row>
    <row r="252" spans="1:2" x14ac:dyDescent="0.15">
      <c r="A252" s="55">
        <v>674</v>
      </c>
      <c r="B252" s="7" t="str">
        <f>VLOOKUP(A252,[1]characters!$A:$C,3,FALSE)</f>
        <v>サラスヴァティ</v>
      </c>
    </row>
    <row r="253" spans="1:2" x14ac:dyDescent="0.15">
      <c r="A253" s="55">
        <v>675</v>
      </c>
      <c r="B253" s="7" t="str">
        <f>VLOOKUP(A253,[1]characters!$A:$C,3,FALSE)</f>
        <v>芸楽の奔流 サラスヴァティ</v>
      </c>
    </row>
    <row r="254" spans="1:2" x14ac:dyDescent="0.15">
      <c r="A254" s="55">
        <v>676</v>
      </c>
      <c r="B254" s="7" t="str">
        <f>VLOOKUP(A254,[1]characters!$A:$C,3,FALSE)</f>
        <v>ヴィシュヌ</v>
      </c>
    </row>
    <row r="255" spans="1:2" x14ac:dyDescent="0.15">
      <c r="A255" s="55">
        <v>677</v>
      </c>
      <c r="B255" s="7" t="str">
        <f>VLOOKUP(A255,[1]characters!$A:$C,3,FALSE)</f>
        <v>武遊闊歩 ヴィシュヌ</v>
      </c>
    </row>
    <row r="256" spans="1:2" x14ac:dyDescent="0.15">
      <c r="A256" s="55">
        <v>770</v>
      </c>
      <c r="B256" s="7" t="str">
        <f>VLOOKUP(A256,[1]characters!$A:$C,3,FALSE)</f>
        <v>ハヅル</v>
      </c>
    </row>
    <row r="257" spans="1:2" x14ac:dyDescent="0.15">
      <c r="A257" s="55">
        <v>771</v>
      </c>
      <c r="B257" s="7" t="str">
        <f>VLOOKUP(A257,[1]characters!$A:$C,3,FALSE)</f>
        <v>天織羽鶴 ハヅル</v>
      </c>
    </row>
    <row r="258" spans="1:2" x14ac:dyDescent="0.15">
      <c r="A258" s="55">
        <v>772</v>
      </c>
      <c r="B258" s="7" t="str">
        <f>VLOOKUP(A258,[1]characters!$A:$C,3,FALSE)</f>
        <v>イナバ</v>
      </c>
    </row>
    <row r="259" spans="1:2" x14ac:dyDescent="0.15">
      <c r="A259" s="55">
        <v>773</v>
      </c>
      <c r="B259" s="7" t="str">
        <f>VLOOKUP(A259,[1]characters!$A:$C,3,FALSE)</f>
        <v>浮跳天兎 イナバ</v>
      </c>
    </row>
    <row r="260" spans="1:2" x14ac:dyDescent="0.15">
      <c r="A260" s="55">
        <v>774</v>
      </c>
      <c r="B260" s="7" t="str">
        <f>VLOOKUP(A260,[1]characters!$A:$C,3,FALSE)</f>
        <v>ミズチ</v>
      </c>
    </row>
    <row r="261" spans="1:2" x14ac:dyDescent="0.15">
      <c r="A261" s="55">
        <v>775</v>
      </c>
      <c r="B261" s="7" t="str">
        <f>VLOOKUP(A261,[1]characters!$A:$C,3,FALSE)</f>
        <v>水底霊竜 ミズチ</v>
      </c>
    </row>
    <row r="262" spans="1:2" x14ac:dyDescent="0.15">
      <c r="A262" s="55">
        <v>776</v>
      </c>
      <c r="B262" s="7" t="str">
        <f>VLOOKUP(A262,[1]characters!$A:$C,3,FALSE)</f>
        <v>水竜底主 ミズチ</v>
      </c>
    </row>
    <row r="263" spans="1:2" x14ac:dyDescent="0.15">
      <c r="A263" s="55">
        <v>777</v>
      </c>
      <c r="B263" s="7" t="str">
        <f>VLOOKUP(A263,[1]characters!$A:$C,3,FALSE)</f>
        <v>ガメック</v>
      </c>
    </row>
    <row r="264" spans="1:2" x14ac:dyDescent="0.15">
      <c r="A264" s="55">
        <v>778</v>
      </c>
      <c r="B264" s="7" t="str">
        <f>VLOOKUP(A264,[1]characters!$A:$C,3,FALSE)</f>
        <v>一亀懸明 ガメック</v>
      </c>
    </row>
    <row r="265" spans="1:2" x14ac:dyDescent="0.15">
      <c r="A265" s="55">
        <v>779</v>
      </c>
      <c r="B265" s="7" t="str">
        <f>VLOOKUP(A265,[1]characters!$A:$C,3,FALSE)</f>
        <v>頑堅咬亀 ガメック</v>
      </c>
    </row>
    <row r="266" spans="1:2" x14ac:dyDescent="0.15">
      <c r="A266" s="55">
        <v>779</v>
      </c>
      <c r="B266" s="7" t="str">
        <f>VLOOKUP(A266,[1]characters!$A:$C,3,FALSE)</f>
        <v>頑堅咬亀 ガメック</v>
      </c>
    </row>
  </sheetData>
  <phoneticPr fontId="24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7" t="s">
        <v>53</v>
      </c>
      <c r="B1" s="37"/>
    </row>
    <row r="2" spans="1:2" x14ac:dyDescent="0.15">
      <c r="A2" s="32" t="s">
        <v>1</v>
      </c>
      <c r="B2" s="36" t="s">
        <v>57</v>
      </c>
    </row>
    <row r="3" spans="1:2" x14ac:dyDescent="0.15">
      <c r="A3" s="6">
        <v>166</v>
      </c>
      <c r="B3" s="36" t="str">
        <f>VLOOKUP(A3,[1]characters!$A:$C,3,FALSE)</f>
        <v>ベリアル</v>
      </c>
    </row>
    <row r="4" spans="1:2" x14ac:dyDescent="0.15">
      <c r="A4" s="6">
        <v>167</v>
      </c>
      <c r="B4" s="36" t="str">
        <f>VLOOKUP(A4,[1]characters!$A:$C,3,FALSE)</f>
        <v>逆徒 ベリアル</v>
      </c>
    </row>
    <row r="5" spans="1:2" x14ac:dyDescent="0.15">
      <c r="A5" s="6">
        <v>168</v>
      </c>
      <c r="B5" s="36" t="str">
        <f>VLOOKUP(A5,[1]characters!$A:$C,3,FALSE)</f>
        <v>猛進の大逆者 ベリアル</v>
      </c>
    </row>
    <row r="6" spans="1:2" x14ac:dyDescent="0.15">
      <c r="A6" s="32">
        <v>169</v>
      </c>
      <c r="B6" s="36" t="str">
        <f>VLOOKUP(A6,[1]characters!$A:$C,3,FALSE)</f>
        <v>オセ</v>
      </c>
    </row>
    <row r="7" spans="1:2" x14ac:dyDescent="0.15">
      <c r="A7" s="32">
        <v>170</v>
      </c>
      <c r="B7" s="36" t="str">
        <f>VLOOKUP(A7,[1]characters!$A:$C,3,FALSE)</f>
        <v>識徒 オセ</v>
      </c>
    </row>
    <row r="8" spans="1:2" x14ac:dyDescent="0.15">
      <c r="A8" s="32">
        <v>171</v>
      </c>
      <c r="B8" s="36" t="str">
        <f>VLOOKUP(A8,[1]characters!$A:$C,3,FALSE)</f>
        <v>精解の預知者 オセ</v>
      </c>
    </row>
    <row r="9" spans="1:2" x14ac:dyDescent="0.15">
      <c r="A9" s="32">
        <v>172</v>
      </c>
      <c r="B9" s="36" t="str">
        <f>VLOOKUP(A9,[1]characters!$A:$C,3,FALSE)</f>
        <v>フォルネウス</v>
      </c>
    </row>
    <row r="10" spans="1:2" x14ac:dyDescent="0.15">
      <c r="A10" s="32">
        <v>173</v>
      </c>
      <c r="B10" s="36" t="str">
        <f>VLOOKUP(A10,[1]characters!$A:$C,3,FALSE)</f>
        <v>公爵 フォルネウス</v>
      </c>
    </row>
    <row r="11" spans="1:2" x14ac:dyDescent="0.15">
      <c r="A11" s="32">
        <v>174</v>
      </c>
      <c r="B11" s="36" t="str">
        <f>VLOOKUP(A11,[1]characters!$A:$C,3,FALSE)</f>
        <v>偽愛の大公爵 フォルネウス</v>
      </c>
    </row>
    <row r="12" spans="1:2" x14ac:dyDescent="0.15">
      <c r="A12" s="32">
        <v>235</v>
      </c>
      <c r="B12" s="36" t="str">
        <f>VLOOKUP(A12,[1]characters!$A:$C,3,FALSE)</f>
        <v>イザナミ</v>
      </c>
    </row>
    <row r="13" spans="1:2" x14ac:dyDescent="0.15">
      <c r="A13" s="32">
        <v>236</v>
      </c>
      <c r="B13" s="36" t="str">
        <f>VLOOKUP(A13,[1]characters!$A:$C,3,FALSE)</f>
        <v>神産 イザナミ</v>
      </c>
    </row>
    <row r="14" spans="1:2" x14ac:dyDescent="0.15">
      <c r="A14" s="32">
        <v>237</v>
      </c>
      <c r="B14" s="36" t="str">
        <f>VLOOKUP(A14,[1]characters!$A:$C,3,FALSE)</f>
        <v>森羅万象の神母 イザナミ</v>
      </c>
    </row>
  </sheetData>
  <phoneticPr fontId="2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input_543100</vt:lpstr>
      <vt:lpstr>tables_543100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2017-03-03T03:24:28Z</dcterms:modified>
</cp:coreProperties>
</file>