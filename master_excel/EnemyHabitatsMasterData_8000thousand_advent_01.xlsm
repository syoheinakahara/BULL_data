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BULL_data/master_excel/"/>
    </mc:Choice>
  </mc:AlternateContent>
  <bookViews>
    <workbookView xWindow="-440" yWindow="460" windowWidth="27320" windowHeight="140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5" i="11" l="1"/>
  <c r="O27" i="9"/>
  <c r="N27" i="9"/>
  <c r="M27" i="9"/>
  <c r="L27" i="9"/>
  <c r="K27" i="9"/>
  <c r="J27" i="9"/>
  <c r="I27" i="9"/>
  <c r="H27" i="9"/>
  <c r="G27" i="9"/>
  <c r="E27" i="9"/>
  <c r="D27" i="9"/>
  <c r="A27" i="9"/>
  <c r="AD113" i="10"/>
  <c r="AC113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AD106" i="10"/>
  <c r="AC106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I28" i="21"/>
  <c r="J28" i="21"/>
  <c r="G28" i="21"/>
  <c r="F28" i="21"/>
  <c r="D28" i="21"/>
  <c r="C28" i="21"/>
  <c r="I27" i="21"/>
  <c r="J27" i="21"/>
  <c r="G27" i="21"/>
  <c r="F27" i="21"/>
  <c r="D27" i="21"/>
  <c r="C27" i="21"/>
  <c r="I26" i="21"/>
  <c r="J26" i="21"/>
  <c r="G26" i="21"/>
  <c r="F26" i="21"/>
  <c r="D26" i="21"/>
  <c r="C26" i="21"/>
  <c r="I25" i="21"/>
  <c r="J25" i="21"/>
  <c r="G25" i="21"/>
  <c r="F25" i="21"/>
  <c r="D25" i="21"/>
  <c r="C25" i="21"/>
  <c r="I24" i="21"/>
  <c r="J24" i="21"/>
  <c r="G24" i="21"/>
  <c r="F24" i="21"/>
  <c r="D24" i="21"/>
  <c r="C24" i="21"/>
  <c r="I23" i="21"/>
  <c r="J23" i="21"/>
  <c r="G23" i="21"/>
  <c r="F23" i="21"/>
  <c r="D23" i="21"/>
  <c r="C23" i="21"/>
  <c r="I22" i="21"/>
  <c r="J22" i="21"/>
  <c r="G22" i="21"/>
  <c r="F22" i="21"/>
  <c r="D22" i="21"/>
  <c r="C22" i="21"/>
  <c r="I21" i="21"/>
  <c r="J21" i="21"/>
  <c r="G21" i="21"/>
  <c r="F21" i="21"/>
  <c r="D21" i="21"/>
  <c r="C21" i="21"/>
  <c r="I20" i="21"/>
  <c r="J20" i="21"/>
  <c r="G20" i="21"/>
  <c r="F20" i="21"/>
  <c r="D20" i="21"/>
  <c r="C20" i="21"/>
  <c r="I19" i="21"/>
  <c r="J19" i="21"/>
  <c r="G19" i="21"/>
  <c r="F19" i="21"/>
  <c r="D19" i="21"/>
  <c r="C19" i="21"/>
  <c r="I18" i="21"/>
  <c r="J18" i="21"/>
  <c r="G18" i="21"/>
  <c r="F18" i="21"/>
  <c r="D18" i="21"/>
  <c r="C18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O143" i="9"/>
  <c r="N143" i="9"/>
  <c r="M143" i="9"/>
  <c r="L143" i="9"/>
  <c r="K143" i="9"/>
  <c r="J143" i="9"/>
  <c r="I143" i="9"/>
  <c r="H143" i="9"/>
  <c r="G143" i="9"/>
  <c r="E143" i="9"/>
  <c r="D143" i="9"/>
  <c r="A143" i="9"/>
  <c r="O142" i="9"/>
  <c r="N142" i="9"/>
  <c r="M142" i="9"/>
  <c r="L142" i="9"/>
  <c r="K142" i="9"/>
  <c r="J142" i="9"/>
  <c r="I142" i="9"/>
  <c r="H142" i="9"/>
  <c r="G142" i="9"/>
  <c r="E142" i="9"/>
  <c r="D142" i="9"/>
  <c r="A142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E109" i="9"/>
  <c r="D109" i="9"/>
  <c r="A109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O70" i="9"/>
  <c r="N70" i="9"/>
  <c r="M70" i="9"/>
  <c r="L70" i="9"/>
  <c r="K70" i="9"/>
  <c r="J70" i="9"/>
  <c r="I70" i="9"/>
  <c r="H70" i="9"/>
  <c r="G70" i="9"/>
  <c r="E70" i="9"/>
  <c r="D70" i="9"/>
  <c r="A70" i="9"/>
  <c r="J114" i="11"/>
  <c r="J113" i="11"/>
  <c r="J112" i="11"/>
  <c r="J111" i="11"/>
  <c r="J110" i="11"/>
  <c r="J109" i="11"/>
  <c r="J108" i="11"/>
  <c r="J107" i="11"/>
  <c r="J106" i="11"/>
  <c r="AD115" i="10"/>
  <c r="AC115" i="10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AD114" i="10"/>
  <c r="AC114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AD112" i="10"/>
  <c r="AC112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AD111" i="10"/>
  <c r="AC111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AD110" i="10"/>
  <c r="AC110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AD109" i="10"/>
  <c r="AC109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AD108" i="10"/>
  <c r="AC108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AD107" i="10"/>
  <c r="AC107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AD105" i="10"/>
  <c r="AC105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N3" i="22"/>
  <c r="G3" i="22"/>
  <c r="F3" i="22"/>
  <c r="D3" i="22"/>
  <c r="C3" i="22"/>
  <c r="A3" i="22"/>
  <c r="N2" i="22"/>
  <c r="G2" i="22"/>
  <c r="F2" i="22"/>
  <c r="D2" i="22"/>
  <c r="C2" i="22"/>
  <c r="A2" i="22"/>
  <c r="AD104" i="10"/>
  <c r="AC104" i="10"/>
  <c r="AD103" i="10"/>
  <c r="AC103" i="10"/>
  <c r="AD102" i="10"/>
  <c r="AC102" i="10"/>
  <c r="AD101" i="10"/>
  <c r="AC101" i="10"/>
  <c r="AD100" i="10"/>
  <c r="AC100" i="10"/>
  <c r="AD99" i="10"/>
  <c r="AC99" i="10"/>
  <c r="AD98" i="10"/>
  <c r="AC98" i="10"/>
  <c r="AD97" i="10"/>
  <c r="AC97" i="10"/>
  <c r="AD96" i="10"/>
  <c r="AC96" i="10"/>
  <c r="AD95" i="10"/>
  <c r="AC95" i="10"/>
  <c r="AD94" i="10"/>
  <c r="AC94" i="10"/>
  <c r="AD93" i="10"/>
  <c r="AC93" i="10"/>
  <c r="AD92" i="10"/>
  <c r="AC92" i="10"/>
  <c r="AD91" i="10"/>
  <c r="AC91" i="10"/>
  <c r="AD90" i="10"/>
  <c r="AC90" i="10"/>
  <c r="AD89" i="10"/>
  <c r="AC89" i="10"/>
  <c r="AD88" i="10"/>
  <c r="AC88" i="10"/>
  <c r="AD87" i="10"/>
  <c r="AC87" i="10"/>
  <c r="AD86" i="10"/>
  <c r="AC86" i="10"/>
  <c r="AD85" i="10"/>
  <c r="AC85" i="10"/>
  <c r="AD84" i="10"/>
  <c r="AC84" i="10"/>
  <c r="AD83" i="10"/>
  <c r="AC83" i="10"/>
  <c r="AD82" i="10"/>
  <c r="AC82" i="10"/>
  <c r="AD81" i="10"/>
  <c r="AC81" i="10"/>
  <c r="AD80" i="10"/>
  <c r="AC80" i="10"/>
  <c r="AD79" i="10"/>
  <c r="AC79" i="10"/>
  <c r="AD78" i="10"/>
  <c r="AC78" i="10"/>
  <c r="AD77" i="10"/>
  <c r="AC77" i="10"/>
  <c r="AD76" i="10"/>
  <c r="AC76" i="10"/>
  <c r="AD75" i="10"/>
  <c r="AC75" i="10"/>
  <c r="AD74" i="10"/>
  <c r="AC74" i="10"/>
  <c r="AD73" i="10"/>
  <c r="AC73" i="10"/>
  <c r="AD72" i="10"/>
  <c r="AC72" i="10"/>
  <c r="AD71" i="10"/>
  <c r="AC71" i="10"/>
  <c r="AD70" i="10"/>
  <c r="AC70" i="10"/>
  <c r="AD69" i="10"/>
  <c r="AC69" i="10"/>
  <c r="AD68" i="10"/>
  <c r="AC68" i="10"/>
  <c r="AD67" i="10"/>
  <c r="AC67" i="10"/>
  <c r="AD66" i="10"/>
  <c r="AC66" i="10"/>
  <c r="AD65" i="10"/>
  <c r="AC65" i="10"/>
  <c r="AD64" i="10"/>
  <c r="AC64" i="10"/>
  <c r="AD63" i="10"/>
  <c r="AC63" i="10"/>
  <c r="AD62" i="10"/>
  <c r="AC62" i="10"/>
  <c r="AD61" i="10"/>
  <c r="AC61" i="10"/>
  <c r="AD60" i="10"/>
  <c r="AC60" i="10"/>
  <c r="AD59" i="10"/>
  <c r="AC59" i="10"/>
  <c r="AD58" i="10"/>
  <c r="AC58" i="10"/>
  <c r="AD57" i="10"/>
  <c r="AC57" i="10"/>
  <c r="AD56" i="10"/>
  <c r="AC56" i="10"/>
  <c r="AD55" i="10"/>
  <c r="AC55" i="10"/>
  <c r="AD54" i="10"/>
  <c r="AC54" i="10"/>
  <c r="AD53" i="10"/>
  <c r="AC53" i="10"/>
  <c r="AD52" i="10"/>
  <c r="AC52" i="10"/>
  <c r="AD51" i="10"/>
  <c r="AC51" i="10"/>
  <c r="AD50" i="10"/>
  <c r="AC50" i="10"/>
  <c r="AD49" i="10"/>
  <c r="AC49" i="10"/>
  <c r="AD48" i="10"/>
  <c r="AC48" i="10"/>
  <c r="AD47" i="10"/>
  <c r="AC47" i="10"/>
  <c r="AD46" i="10"/>
  <c r="AC46" i="10"/>
  <c r="AD45" i="10"/>
  <c r="AC45" i="10"/>
  <c r="AD44" i="10"/>
  <c r="AC44" i="10"/>
  <c r="AD43" i="10"/>
  <c r="AC43" i="10"/>
  <c r="AD42" i="10"/>
  <c r="AC42" i="10"/>
  <c r="AD41" i="10"/>
  <c r="AC41" i="10"/>
  <c r="AD40" i="10"/>
  <c r="AC40" i="10"/>
  <c r="AD39" i="10"/>
  <c r="AC39" i="10"/>
  <c r="AD38" i="10"/>
  <c r="AC38" i="10"/>
  <c r="AD37" i="10"/>
  <c r="AC37" i="10"/>
  <c r="AD36" i="10"/>
  <c r="AC36" i="10"/>
  <c r="AD35" i="10"/>
  <c r="AC35" i="10"/>
  <c r="AD34" i="10"/>
  <c r="AC34" i="10"/>
  <c r="AD33" i="10"/>
  <c r="AC33" i="10"/>
  <c r="AD32" i="10"/>
  <c r="AC32" i="10"/>
  <c r="AD31" i="10"/>
  <c r="AC31" i="10"/>
  <c r="AD30" i="10"/>
  <c r="AC30" i="10"/>
  <c r="AD29" i="10"/>
  <c r="AC29" i="10"/>
  <c r="AD28" i="10"/>
  <c r="AC28" i="10"/>
  <c r="AD27" i="10"/>
  <c r="AC27" i="10"/>
  <c r="AD26" i="10"/>
  <c r="AC26" i="10"/>
  <c r="AD25" i="10"/>
  <c r="AC25" i="10"/>
  <c r="AD24" i="10"/>
  <c r="AC24" i="10"/>
  <c r="AD23" i="10"/>
  <c r="AC23" i="10"/>
  <c r="AD22" i="10"/>
  <c r="AC22" i="10"/>
  <c r="AD21" i="10"/>
  <c r="AC21" i="10"/>
  <c r="AD20" i="10"/>
  <c r="AC20" i="10"/>
  <c r="AD19" i="10"/>
  <c r="AC19" i="10"/>
  <c r="AD18" i="10"/>
  <c r="AC18" i="10"/>
  <c r="AD17" i="10"/>
  <c r="AC17" i="10"/>
  <c r="AD16" i="10"/>
  <c r="AC16" i="10"/>
  <c r="AD15" i="10"/>
  <c r="AC15" i="10"/>
  <c r="AD14" i="10"/>
  <c r="AC14" i="10"/>
  <c r="AD13" i="10"/>
  <c r="AC13" i="10"/>
  <c r="AD12" i="10"/>
  <c r="AC12" i="10"/>
  <c r="AD11" i="10"/>
  <c r="AC11" i="10"/>
  <c r="AD10" i="10"/>
  <c r="AC10" i="10"/>
  <c r="AD9" i="10"/>
  <c r="AC9" i="10"/>
  <c r="AD8" i="10"/>
  <c r="AC8" i="10"/>
  <c r="AD7" i="10"/>
  <c r="AC7" i="10"/>
  <c r="AD6" i="10"/>
  <c r="AC6" i="10"/>
  <c r="AD5" i="10"/>
  <c r="AC5" i="10"/>
  <c r="AD4" i="10"/>
  <c r="AC4" i="10"/>
  <c r="AD3" i="10"/>
  <c r="AC3" i="10"/>
  <c r="AD2" i="10"/>
  <c r="AC2" i="10"/>
  <c r="O4" i="9"/>
  <c r="N4" i="9"/>
  <c r="M4" i="9"/>
  <c r="L4" i="9"/>
  <c r="K4" i="9"/>
  <c r="J4" i="9"/>
  <c r="I4" i="9"/>
  <c r="H4" i="9"/>
  <c r="G4" i="9"/>
  <c r="E4" i="9"/>
  <c r="D4" i="9"/>
  <c r="A4" i="9"/>
  <c r="Y9" i="7"/>
  <c r="W9" i="7"/>
  <c r="U9" i="7"/>
  <c r="R9" i="7"/>
  <c r="Q9" i="7"/>
  <c r="P9" i="7"/>
  <c r="O9" i="7"/>
  <c r="N9" i="7"/>
  <c r="Y8" i="7"/>
  <c r="W8" i="7"/>
  <c r="U8" i="7"/>
  <c r="R8" i="7"/>
  <c r="Q8" i="7"/>
  <c r="P8" i="7"/>
  <c r="O8" i="7"/>
  <c r="N8" i="7"/>
  <c r="Y7" i="7"/>
  <c r="W7" i="7"/>
  <c r="U7" i="7"/>
  <c r="R7" i="7"/>
  <c r="Q7" i="7"/>
  <c r="P7" i="7"/>
  <c r="O7" i="7"/>
  <c r="N7" i="7"/>
  <c r="Y6" i="7"/>
  <c r="W6" i="7"/>
  <c r="U6" i="7"/>
  <c r="R6" i="7"/>
  <c r="Q6" i="7"/>
  <c r="P6" i="7"/>
  <c r="O6" i="7"/>
  <c r="N6" i="7"/>
  <c r="Y5" i="7"/>
  <c r="W5" i="7"/>
  <c r="U5" i="7"/>
  <c r="R5" i="7"/>
  <c r="Q5" i="7"/>
  <c r="P5" i="7"/>
  <c r="O5" i="7"/>
  <c r="N5" i="7"/>
  <c r="Y4" i="7"/>
  <c r="W4" i="7"/>
  <c r="U4" i="7"/>
  <c r="R4" i="7"/>
  <c r="Q4" i="7"/>
  <c r="P4" i="7"/>
  <c r="O4" i="7"/>
  <c r="N4" i="7"/>
  <c r="Y3" i="7"/>
  <c r="W3" i="7"/>
  <c r="U3" i="7"/>
  <c r="R3" i="7"/>
  <c r="Q3" i="7"/>
  <c r="P3" i="7"/>
  <c r="O3" i="7"/>
  <c r="N3" i="7"/>
  <c r="Y2" i="7"/>
  <c r="W2" i="7"/>
  <c r="U2" i="7"/>
  <c r="R2" i="7"/>
  <c r="Q2" i="7"/>
  <c r="P2" i="7"/>
  <c r="O2" i="7"/>
  <c r="N2" i="7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AF12" i="1"/>
  <c r="AI12" i="1"/>
  <c r="AG12" i="1"/>
  <c r="AE12" i="1"/>
  <c r="X12" i="1"/>
  <c r="V12" i="1"/>
  <c r="T12" i="1"/>
  <c r="Q12" i="1"/>
  <c r="P12" i="1"/>
  <c r="O12" i="1"/>
  <c r="N12" i="1"/>
  <c r="M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AF9" i="1"/>
  <c r="AI9" i="1"/>
  <c r="AG9" i="1"/>
  <c r="AE9" i="1"/>
  <c r="X9" i="1"/>
  <c r="V9" i="1"/>
  <c r="T9" i="1"/>
  <c r="Q9" i="1"/>
  <c r="P9" i="1"/>
  <c r="O9" i="1"/>
  <c r="N9" i="1"/>
  <c r="M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AF6" i="1"/>
  <c r="AI6" i="1"/>
  <c r="AG6" i="1"/>
  <c r="AE6" i="1"/>
  <c r="X6" i="1"/>
  <c r="V6" i="1"/>
  <c r="T6" i="1"/>
  <c r="Q6" i="1"/>
  <c r="P6" i="1"/>
  <c r="O6" i="1"/>
  <c r="N6" i="1"/>
  <c r="M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AF3" i="1"/>
  <c r="AI3" i="1"/>
  <c r="AG3" i="1"/>
  <c r="AE3" i="1"/>
  <c r="X3" i="1"/>
  <c r="V3" i="1"/>
  <c r="T3" i="1"/>
  <c r="Q3" i="1"/>
  <c r="P3" i="1"/>
  <c r="O3" i="1"/>
  <c r="N3" i="1"/>
  <c r="M3" i="1"/>
  <c r="AD2" i="1"/>
  <c r="AF2" i="1"/>
  <c r="AI2" i="1"/>
  <c r="AG2" i="1"/>
  <c r="AE2" i="1"/>
  <c r="X2" i="1"/>
  <c r="V2" i="1"/>
  <c r="T2" i="1"/>
  <c r="Q2" i="1"/>
  <c r="P2" i="1"/>
  <c r="O2" i="1"/>
  <c r="N2" i="1"/>
  <c r="M2" i="1"/>
  <c r="E42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6" i="9"/>
  <c r="N26" i="9"/>
  <c r="M26" i="9"/>
  <c r="L26" i="9"/>
  <c r="K26" i="9"/>
  <c r="J26" i="9"/>
  <c r="I26" i="9"/>
  <c r="H26" i="9"/>
  <c r="G26" i="9"/>
  <c r="E26" i="9"/>
  <c r="D26" i="9"/>
  <c r="A26" i="9"/>
  <c r="J68" i="11"/>
  <c r="O43" i="9"/>
  <c r="N43" i="9"/>
  <c r="M43" i="9"/>
  <c r="L43" i="9"/>
  <c r="K43" i="9"/>
  <c r="J43" i="9"/>
  <c r="I43" i="9"/>
  <c r="H43" i="9"/>
  <c r="G43" i="9"/>
  <c r="E43" i="9"/>
  <c r="D43" i="9"/>
  <c r="A43" i="9"/>
  <c r="J30" i="11"/>
  <c r="O18" i="9"/>
  <c r="N18" i="9"/>
  <c r="M18" i="9"/>
  <c r="L18" i="9"/>
  <c r="K18" i="9"/>
  <c r="J18" i="9"/>
  <c r="I18" i="9"/>
  <c r="H18" i="9"/>
  <c r="G18" i="9"/>
  <c r="E18" i="9"/>
  <c r="D18" i="9"/>
  <c r="A18" i="9"/>
  <c r="J29" i="11"/>
  <c r="O17" i="9"/>
  <c r="N17" i="9"/>
  <c r="M17" i="9"/>
  <c r="L17" i="9"/>
  <c r="K17" i="9"/>
  <c r="J17" i="9"/>
  <c r="I17" i="9"/>
  <c r="H17" i="9"/>
  <c r="G17" i="9"/>
  <c r="E17" i="9"/>
  <c r="D17" i="9"/>
  <c r="A17" i="9"/>
  <c r="J79" i="11"/>
  <c r="O51" i="9"/>
  <c r="N51" i="9"/>
  <c r="M51" i="9"/>
  <c r="L51" i="9"/>
  <c r="K51" i="9"/>
  <c r="J51" i="9"/>
  <c r="I51" i="9"/>
  <c r="H51" i="9"/>
  <c r="G51" i="9"/>
  <c r="E51" i="9"/>
  <c r="D51" i="9"/>
  <c r="A51" i="9"/>
  <c r="J78" i="11"/>
  <c r="O50" i="9"/>
  <c r="N50" i="9"/>
  <c r="M50" i="9"/>
  <c r="L50" i="9"/>
  <c r="K50" i="9"/>
  <c r="J50" i="9"/>
  <c r="I50" i="9"/>
  <c r="H50" i="9"/>
  <c r="G50" i="9"/>
  <c r="E50" i="9"/>
  <c r="D50" i="9"/>
  <c r="A50" i="9"/>
  <c r="J77" i="11"/>
  <c r="O49" i="9"/>
  <c r="N49" i="9"/>
  <c r="M49" i="9"/>
  <c r="L49" i="9"/>
  <c r="K49" i="9"/>
  <c r="J49" i="9"/>
  <c r="I49" i="9"/>
  <c r="H49" i="9"/>
  <c r="G49" i="9"/>
  <c r="E49" i="9"/>
  <c r="D49" i="9"/>
  <c r="A49" i="9"/>
  <c r="J76" i="11"/>
  <c r="O48" i="9"/>
  <c r="N48" i="9"/>
  <c r="M48" i="9"/>
  <c r="L48" i="9"/>
  <c r="K48" i="9"/>
  <c r="J48" i="9"/>
  <c r="I48" i="9"/>
  <c r="H48" i="9"/>
  <c r="G48" i="9"/>
  <c r="E48" i="9"/>
  <c r="D48" i="9"/>
  <c r="A48" i="9"/>
  <c r="J75" i="11"/>
  <c r="O47" i="9"/>
  <c r="N47" i="9"/>
  <c r="M47" i="9"/>
  <c r="L47" i="9"/>
  <c r="K47" i="9"/>
  <c r="J47" i="9"/>
  <c r="I47" i="9"/>
  <c r="H47" i="9"/>
  <c r="G47" i="9"/>
  <c r="E47" i="9"/>
  <c r="D47" i="9"/>
  <c r="A47" i="9"/>
  <c r="J74" i="11"/>
  <c r="O46" i="9"/>
  <c r="N46" i="9"/>
  <c r="M46" i="9"/>
  <c r="L46" i="9"/>
  <c r="K46" i="9"/>
  <c r="J46" i="9"/>
  <c r="I46" i="9"/>
  <c r="H46" i="9"/>
  <c r="G46" i="9"/>
  <c r="E46" i="9"/>
  <c r="D46" i="9"/>
  <c r="A46" i="9"/>
  <c r="J73" i="11"/>
  <c r="O45" i="9"/>
  <c r="N45" i="9"/>
  <c r="M45" i="9"/>
  <c r="L45" i="9"/>
  <c r="K45" i="9"/>
  <c r="J45" i="9"/>
  <c r="I45" i="9"/>
  <c r="H45" i="9"/>
  <c r="G45" i="9"/>
  <c r="E45" i="9"/>
  <c r="D45" i="9"/>
  <c r="A45" i="9"/>
  <c r="J72" i="11"/>
  <c r="O44" i="9"/>
  <c r="N44" i="9"/>
  <c r="M44" i="9"/>
  <c r="L44" i="9"/>
  <c r="K44" i="9"/>
  <c r="J44" i="9"/>
  <c r="I44" i="9"/>
  <c r="H44" i="9"/>
  <c r="G44" i="9"/>
  <c r="E44" i="9"/>
  <c r="D44" i="9"/>
  <c r="A44" i="9"/>
  <c r="J65" i="11"/>
  <c r="O42" i="9"/>
  <c r="N42" i="9"/>
  <c r="M42" i="9"/>
  <c r="L42" i="9"/>
  <c r="K42" i="9"/>
  <c r="J42" i="9"/>
  <c r="I42" i="9"/>
  <c r="H42" i="9"/>
  <c r="G42" i="9"/>
  <c r="D42" i="9"/>
  <c r="A42" i="9"/>
  <c r="J64" i="11"/>
  <c r="O41" i="9"/>
  <c r="N41" i="9"/>
  <c r="M41" i="9"/>
  <c r="L41" i="9"/>
  <c r="K41" i="9"/>
  <c r="J41" i="9"/>
  <c r="I41" i="9"/>
  <c r="H41" i="9"/>
  <c r="G41" i="9"/>
  <c r="E41" i="9"/>
  <c r="D41" i="9"/>
  <c r="A41" i="9"/>
  <c r="J63" i="11"/>
  <c r="O40" i="9"/>
  <c r="N40" i="9"/>
  <c r="M40" i="9"/>
  <c r="L40" i="9"/>
  <c r="K40" i="9"/>
  <c r="J40" i="9"/>
  <c r="I40" i="9"/>
  <c r="H40" i="9"/>
  <c r="G40" i="9"/>
  <c r="E40" i="9"/>
  <c r="D40" i="9"/>
  <c r="A40" i="9"/>
  <c r="J62" i="11"/>
  <c r="O39" i="9"/>
  <c r="N39" i="9"/>
  <c r="M39" i="9"/>
  <c r="L39" i="9"/>
  <c r="K39" i="9"/>
  <c r="J39" i="9"/>
  <c r="I39" i="9"/>
  <c r="H39" i="9"/>
  <c r="G39" i="9"/>
  <c r="E39" i="9"/>
  <c r="D39" i="9"/>
  <c r="A39" i="9"/>
  <c r="J59" i="11"/>
  <c r="O38" i="9"/>
  <c r="N38" i="9"/>
  <c r="M38" i="9"/>
  <c r="L38" i="9"/>
  <c r="K38" i="9"/>
  <c r="J38" i="9"/>
  <c r="I38" i="9"/>
  <c r="H38" i="9"/>
  <c r="G38" i="9"/>
  <c r="E38" i="9"/>
  <c r="D38" i="9"/>
  <c r="A38" i="9"/>
  <c r="J58" i="11"/>
  <c r="O37" i="9"/>
  <c r="N37" i="9"/>
  <c r="M37" i="9"/>
  <c r="L37" i="9"/>
  <c r="K37" i="9"/>
  <c r="J37" i="9"/>
  <c r="I37" i="9"/>
  <c r="H37" i="9"/>
  <c r="G37" i="9"/>
  <c r="E37" i="9"/>
  <c r="D37" i="9"/>
  <c r="A37" i="9"/>
  <c r="J57" i="11"/>
  <c r="O36" i="9"/>
  <c r="N36" i="9"/>
  <c r="M36" i="9"/>
  <c r="L36" i="9"/>
  <c r="K36" i="9"/>
  <c r="J36" i="9"/>
  <c r="I36" i="9"/>
  <c r="H36" i="9"/>
  <c r="G36" i="9"/>
  <c r="E36" i="9"/>
  <c r="D36" i="9"/>
  <c r="A36" i="9"/>
  <c r="J56" i="11"/>
  <c r="O35" i="9"/>
  <c r="N35" i="9"/>
  <c r="M35" i="9"/>
  <c r="L35" i="9"/>
  <c r="K35" i="9"/>
  <c r="J35" i="9"/>
  <c r="I35" i="9"/>
  <c r="H35" i="9"/>
  <c r="G35" i="9"/>
  <c r="E35" i="9"/>
  <c r="D35" i="9"/>
  <c r="A35" i="9"/>
  <c r="J55" i="11"/>
  <c r="O34" i="9"/>
  <c r="N34" i="9"/>
  <c r="M34" i="9"/>
  <c r="L34" i="9"/>
  <c r="K34" i="9"/>
  <c r="J34" i="9"/>
  <c r="I34" i="9"/>
  <c r="H34" i="9"/>
  <c r="G34" i="9"/>
  <c r="E34" i="9"/>
  <c r="D34" i="9"/>
  <c r="A34" i="9"/>
  <c r="J54" i="11"/>
  <c r="O33" i="9"/>
  <c r="N33" i="9"/>
  <c r="M33" i="9"/>
  <c r="L33" i="9"/>
  <c r="K33" i="9"/>
  <c r="J33" i="9"/>
  <c r="I33" i="9"/>
  <c r="H33" i="9"/>
  <c r="G33" i="9"/>
  <c r="E33" i="9"/>
  <c r="D33" i="9"/>
  <c r="A33" i="9"/>
  <c r="J53" i="11"/>
  <c r="O32" i="9"/>
  <c r="N32" i="9"/>
  <c r="M32" i="9"/>
  <c r="L32" i="9"/>
  <c r="K32" i="9"/>
  <c r="J32" i="9"/>
  <c r="I32" i="9"/>
  <c r="H32" i="9"/>
  <c r="G32" i="9"/>
  <c r="E32" i="9"/>
  <c r="D32" i="9"/>
  <c r="A32" i="9"/>
  <c r="J52" i="11"/>
  <c r="O25" i="9"/>
  <c r="N25" i="9"/>
  <c r="M25" i="9"/>
  <c r="L25" i="9"/>
  <c r="K25" i="9"/>
  <c r="J25" i="9"/>
  <c r="I25" i="9"/>
  <c r="H25" i="9"/>
  <c r="G25" i="9"/>
  <c r="E25" i="9"/>
  <c r="D25" i="9"/>
  <c r="A25" i="9"/>
  <c r="J47" i="11"/>
  <c r="O24" i="9"/>
  <c r="N24" i="9"/>
  <c r="M24" i="9"/>
  <c r="L24" i="9"/>
  <c r="K24" i="9"/>
  <c r="J24" i="9"/>
  <c r="I24" i="9"/>
  <c r="H24" i="9"/>
  <c r="G24" i="9"/>
  <c r="E24" i="9"/>
  <c r="D24" i="9"/>
  <c r="A24" i="9"/>
  <c r="J41" i="11"/>
  <c r="O23" i="9"/>
  <c r="N23" i="9"/>
  <c r="M23" i="9"/>
  <c r="L23" i="9"/>
  <c r="K23" i="9"/>
  <c r="J23" i="9"/>
  <c r="I23" i="9"/>
  <c r="H23" i="9"/>
  <c r="G23" i="9"/>
  <c r="E23" i="9"/>
  <c r="D23" i="9"/>
  <c r="A23" i="9"/>
  <c r="J40" i="11"/>
  <c r="O22" i="9"/>
  <c r="N22" i="9"/>
  <c r="M22" i="9"/>
  <c r="L22" i="9"/>
  <c r="K22" i="9"/>
  <c r="J22" i="9"/>
  <c r="I22" i="9"/>
  <c r="H22" i="9"/>
  <c r="G22" i="9"/>
  <c r="E22" i="9"/>
  <c r="D22" i="9"/>
  <c r="A22" i="9"/>
  <c r="J39" i="11"/>
  <c r="O21" i="9"/>
  <c r="N21" i="9"/>
  <c r="M21" i="9"/>
  <c r="L21" i="9"/>
  <c r="K21" i="9"/>
  <c r="J21" i="9"/>
  <c r="I21" i="9"/>
  <c r="H21" i="9"/>
  <c r="G21" i="9"/>
  <c r="E21" i="9"/>
  <c r="D21" i="9"/>
  <c r="A21" i="9"/>
  <c r="J38" i="11"/>
  <c r="O20" i="9"/>
  <c r="N20" i="9"/>
  <c r="M20" i="9"/>
  <c r="L20" i="9"/>
  <c r="K20" i="9"/>
  <c r="J20" i="9"/>
  <c r="I20" i="9"/>
  <c r="H20" i="9"/>
  <c r="G20" i="9"/>
  <c r="E20" i="9"/>
  <c r="D20" i="9"/>
  <c r="A20" i="9"/>
  <c r="J32" i="11"/>
  <c r="O19" i="9"/>
  <c r="N19" i="9"/>
  <c r="M19" i="9"/>
  <c r="L19" i="9"/>
  <c r="K19" i="9"/>
  <c r="J19" i="9"/>
  <c r="I19" i="9"/>
  <c r="H19" i="9"/>
  <c r="G19" i="9"/>
  <c r="E19" i="9"/>
  <c r="D19" i="9"/>
  <c r="A19" i="9"/>
  <c r="J26" i="11"/>
  <c r="O16" i="9"/>
  <c r="N16" i="9"/>
  <c r="M16" i="9"/>
  <c r="L16" i="9"/>
  <c r="K16" i="9"/>
  <c r="J16" i="9"/>
  <c r="I16" i="9"/>
  <c r="H16" i="9"/>
  <c r="G16" i="9"/>
  <c r="E16" i="9"/>
  <c r="D16" i="9"/>
  <c r="A16" i="9"/>
  <c r="J25" i="11"/>
  <c r="O15" i="9"/>
  <c r="N15" i="9"/>
  <c r="M15" i="9"/>
  <c r="L15" i="9"/>
  <c r="K15" i="9"/>
  <c r="J15" i="9"/>
  <c r="I15" i="9"/>
  <c r="H15" i="9"/>
  <c r="G15" i="9"/>
  <c r="E15" i="9"/>
  <c r="D15" i="9"/>
  <c r="A15" i="9"/>
  <c r="J24" i="11"/>
  <c r="O14" i="9"/>
  <c r="N14" i="9"/>
  <c r="M14" i="9"/>
  <c r="L14" i="9"/>
  <c r="K14" i="9"/>
  <c r="J14" i="9"/>
  <c r="I14" i="9"/>
  <c r="H14" i="9"/>
  <c r="G14" i="9"/>
  <c r="E14" i="9"/>
  <c r="D14" i="9"/>
  <c r="A14" i="9"/>
  <c r="J23" i="11"/>
  <c r="O13" i="9"/>
  <c r="N13" i="9"/>
  <c r="M13" i="9"/>
  <c r="L13" i="9"/>
  <c r="K13" i="9"/>
  <c r="J13" i="9"/>
  <c r="I13" i="9"/>
  <c r="H13" i="9"/>
  <c r="G13" i="9"/>
  <c r="E13" i="9"/>
  <c r="D13" i="9"/>
  <c r="A13" i="9"/>
  <c r="J22" i="11"/>
  <c r="O12" i="9"/>
  <c r="N12" i="9"/>
  <c r="M12" i="9"/>
  <c r="L12" i="9"/>
  <c r="K12" i="9"/>
  <c r="J12" i="9"/>
  <c r="I12" i="9"/>
  <c r="H12" i="9"/>
  <c r="G12" i="9"/>
  <c r="E12" i="9"/>
  <c r="D12" i="9"/>
  <c r="A12" i="9"/>
  <c r="J16" i="11"/>
  <c r="O11" i="9"/>
  <c r="N11" i="9"/>
  <c r="M11" i="9"/>
  <c r="L11" i="9"/>
  <c r="K11" i="9"/>
  <c r="J11" i="9"/>
  <c r="I11" i="9"/>
  <c r="H11" i="9"/>
  <c r="G11" i="9"/>
  <c r="E11" i="9"/>
  <c r="D11" i="9"/>
  <c r="A11" i="9"/>
  <c r="J15" i="11"/>
  <c r="O10" i="9"/>
  <c r="N10" i="9"/>
  <c r="M10" i="9"/>
  <c r="L10" i="9"/>
  <c r="K10" i="9"/>
  <c r="J10" i="9"/>
  <c r="I10" i="9"/>
  <c r="H10" i="9"/>
  <c r="G10" i="9"/>
  <c r="E10" i="9"/>
  <c r="D10" i="9"/>
  <c r="A10" i="9"/>
  <c r="J14" i="11"/>
  <c r="O9" i="9"/>
  <c r="N9" i="9"/>
  <c r="M9" i="9"/>
  <c r="L9" i="9"/>
  <c r="K9" i="9"/>
  <c r="J9" i="9"/>
  <c r="I9" i="9"/>
  <c r="H9" i="9"/>
  <c r="G9" i="9"/>
  <c r="E9" i="9"/>
  <c r="D9" i="9"/>
  <c r="A9" i="9"/>
  <c r="J13" i="11"/>
  <c r="O8" i="9"/>
  <c r="N8" i="9"/>
  <c r="M8" i="9"/>
  <c r="L8" i="9"/>
  <c r="K8" i="9"/>
  <c r="J8" i="9"/>
  <c r="I8" i="9"/>
  <c r="H8" i="9"/>
  <c r="G8" i="9"/>
  <c r="E8" i="9"/>
  <c r="D8" i="9"/>
  <c r="A8" i="9"/>
  <c r="J12" i="11"/>
  <c r="O7" i="9"/>
  <c r="N7" i="9"/>
  <c r="M7" i="9"/>
  <c r="L7" i="9"/>
  <c r="K7" i="9"/>
  <c r="J7" i="9"/>
  <c r="I7" i="9"/>
  <c r="H7" i="9"/>
  <c r="G7" i="9"/>
  <c r="E7" i="9"/>
  <c r="D7" i="9"/>
  <c r="A7" i="9"/>
  <c r="J8" i="11"/>
  <c r="O6" i="9"/>
  <c r="N6" i="9"/>
  <c r="M6" i="9"/>
  <c r="L6" i="9"/>
  <c r="K6" i="9"/>
  <c r="J6" i="9"/>
  <c r="I6" i="9"/>
  <c r="H6" i="9"/>
  <c r="G6" i="9"/>
  <c r="E6" i="9"/>
  <c r="D6" i="9"/>
  <c r="A6" i="9"/>
  <c r="J7" i="11"/>
  <c r="O5" i="9"/>
  <c r="N5" i="9"/>
  <c r="M5" i="9"/>
  <c r="L5" i="9"/>
  <c r="K5" i="9"/>
  <c r="J5" i="9"/>
  <c r="I5" i="9"/>
  <c r="H5" i="9"/>
  <c r="G5" i="9"/>
  <c r="E5" i="9"/>
  <c r="D5" i="9"/>
  <c r="A5" i="9"/>
  <c r="J3" i="11"/>
  <c r="O3" i="9"/>
  <c r="N3" i="9"/>
  <c r="M3" i="9"/>
  <c r="L3" i="9"/>
  <c r="K3" i="9"/>
  <c r="J3" i="9"/>
  <c r="I3" i="9"/>
  <c r="H3" i="9"/>
  <c r="G3" i="9"/>
  <c r="E3" i="9"/>
  <c r="D3" i="9"/>
  <c r="A3" i="9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1" i="11"/>
  <c r="J70" i="11"/>
  <c r="J69" i="11"/>
  <c r="J67" i="11"/>
  <c r="J66" i="11"/>
  <c r="J61" i="11"/>
  <c r="J60" i="11"/>
  <c r="J51" i="11"/>
  <c r="J50" i="11"/>
  <c r="J49" i="11"/>
  <c r="J48" i="11"/>
  <c r="J46" i="11"/>
  <c r="J45" i="11"/>
  <c r="J44" i="11"/>
  <c r="J43" i="11"/>
  <c r="J42" i="11"/>
  <c r="J37" i="11"/>
  <c r="J36" i="11"/>
  <c r="J35" i="11"/>
  <c r="J34" i="11"/>
  <c r="J33" i="11"/>
  <c r="J31" i="11"/>
  <c r="J28" i="11"/>
  <c r="J27" i="11"/>
  <c r="J21" i="11"/>
  <c r="J20" i="11"/>
  <c r="J19" i="11"/>
  <c r="J18" i="11"/>
  <c r="J17" i="11"/>
  <c r="J11" i="11"/>
  <c r="J10" i="11"/>
  <c r="J9" i="11"/>
  <c r="J6" i="11"/>
  <c r="J5" i="11"/>
  <c r="J4" i="11"/>
  <c r="M88" i="10"/>
  <c r="T88" i="10"/>
  <c r="W88" i="10"/>
  <c r="V88" i="10"/>
  <c r="X88" i="10"/>
  <c r="U88" i="10"/>
  <c r="Y88" i="10"/>
  <c r="M98" i="10"/>
  <c r="N98" i="10"/>
  <c r="O98" i="10"/>
  <c r="Q98" i="10"/>
  <c r="P98" i="10"/>
  <c r="R98" i="10"/>
  <c r="S9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M97" i="10"/>
  <c r="N97" i="10"/>
  <c r="O97" i="10"/>
  <c r="Q97" i="10"/>
  <c r="P97" i="10"/>
  <c r="R97" i="10"/>
  <c r="S9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2" i="10"/>
  <c r="T82" i="10"/>
  <c r="W82" i="10"/>
  <c r="V82" i="10"/>
  <c r="X82" i="10"/>
  <c r="U82" i="10"/>
  <c r="Y82" i="10"/>
  <c r="M104" i="10"/>
  <c r="N104" i="10"/>
  <c r="O104" i="10"/>
  <c r="Q104" i="10"/>
  <c r="P104" i="10"/>
  <c r="R104" i="10"/>
  <c r="S104" i="10"/>
  <c r="M94" i="10"/>
  <c r="N94" i="10"/>
  <c r="Q94" i="10"/>
  <c r="P94" i="10"/>
  <c r="R94" i="10"/>
  <c r="O94" i="10"/>
  <c r="S94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T104" i="10"/>
  <c r="W104" i="10"/>
  <c r="V104" i="10"/>
  <c r="X104" i="10"/>
  <c r="U104" i="10"/>
  <c r="Y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T98" i="10"/>
  <c r="W98" i="10"/>
  <c r="V98" i="10"/>
  <c r="X98" i="10"/>
  <c r="U98" i="10"/>
  <c r="Y98" i="10"/>
  <c r="G98" i="10"/>
  <c r="J98" i="10"/>
  <c r="I98" i="10"/>
  <c r="K98" i="10"/>
  <c r="H98" i="10"/>
  <c r="L98" i="10"/>
  <c r="T97" i="10"/>
  <c r="W97" i="10"/>
  <c r="V97" i="10"/>
  <c r="X97" i="10"/>
  <c r="U97" i="10"/>
  <c r="Y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T94" i="10"/>
  <c r="W94" i="10"/>
  <c r="V94" i="10"/>
  <c r="X94" i="10"/>
  <c r="U94" i="10"/>
  <c r="Y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13" i="7"/>
  <c r="W13" i="7"/>
  <c r="U13" i="7"/>
  <c r="R13" i="7"/>
  <c r="Q13" i="7"/>
  <c r="P13" i="7"/>
  <c r="O13" i="7"/>
  <c r="N13" i="7"/>
  <c r="H1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13" i="7"/>
  <c r="I13" i="7"/>
  <c r="D13" i="7"/>
  <c r="F13" i="7"/>
  <c r="E13" i="7"/>
  <c r="A13" i="7"/>
  <c r="Y12" i="7"/>
  <c r="W12" i="7"/>
  <c r="U12" i="7"/>
  <c r="R12" i="7"/>
  <c r="Q12" i="7"/>
  <c r="P12" i="7"/>
  <c r="O12" i="7"/>
  <c r="N12" i="7"/>
  <c r="H12" i="7"/>
  <c r="J12" i="7"/>
  <c r="I12" i="7"/>
  <c r="D12" i="7"/>
  <c r="F12" i="7"/>
  <c r="E12" i="7"/>
  <c r="A12" i="7"/>
  <c r="Y11" i="7"/>
  <c r="W11" i="7"/>
  <c r="U11" i="7"/>
  <c r="R11" i="7"/>
  <c r="Q11" i="7"/>
  <c r="P11" i="7"/>
  <c r="O11" i="7"/>
  <c r="N11" i="7"/>
  <c r="H11" i="7"/>
  <c r="J11" i="7"/>
  <c r="I11" i="7"/>
  <c r="D11" i="7"/>
  <c r="F11" i="7"/>
  <c r="E11" i="7"/>
  <c r="A11" i="7"/>
  <c r="Y10" i="7"/>
  <c r="W10" i="7"/>
  <c r="U10" i="7"/>
  <c r="R10" i="7"/>
  <c r="Q10" i="7"/>
  <c r="P10" i="7"/>
  <c r="O10" i="7"/>
  <c r="N10" i="7"/>
  <c r="H10" i="7"/>
  <c r="J10" i="7"/>
  <c r="I10" i="7"/>
  <c r="D10" i="7"/>
  <c r="F10" i="7"/>
  <c r="E10" i="7"/>
  <c r="A10" i="7"/>
  <c r="H9" i="7"/>
  <c r="J9" i="7"/>
  <c r="I9" i="7"/>
  <c r="D9" i="7"/>
  <c r="F9" i="7"/>
  <c r="E9" i="7"/>
  <c r="A9" i="7"/>
  <c r="H8" i="7"/>
  <c r="J8" i="7"/>
  <c r="I8" i="7"/>
  <c r="D8" i="7"/>
  <c r="F8" i="7"/>
  <c r="E8" i="7"/>
  <c r="A8" i="7"/>
  <c r="H7" i="7"/>
  <c r="J7" i="7"/>
  <c r="I7" i="7"/>
  <c r="D7" i="7"/>
  <c r="F7" i="7"/>
  <c r="E7" i="7"/>
  <c r="A7" i="7"/>
  <c r="H6" i="7"/>
  <c r="J6" i="7"/>
  <c r="I6" i="7"/>
  <c r="D6" i="7"/>
  <c r="F6" i="7"/>
  <c r="E6" i="7"/>
  <c r="A6" i="7"/>
  <c r="H5" i="7"/>
  <c r="J5" i="7"/>
  <c r="I5" i="7"/>
  <c r="D5" i="7"/>
  <c r="F5" i="7"/>
  <c r="E5" i="7"/>
  <c r="A5" i="7"/>
  <c r="H4" i="7"/>
  <c r="J4" i="7"/>
  <c r="I4" i="7"/>
  <c r="D4" i="7"/>
  <c r="F4" i="7"/>
  <c r="E4" i="7"/>
  <c r="A4" i="7"/>
  <c r="H3" i="7"/>
  <c r="J3" i="7"/>
  <c r="I3" i="7"/>
  <c r="D3" i="7"/>
  <c r="F3" i="7"/>
  <c r="E3" i="7"/>
  <c r="A3" i="7"/>
  <c r="AD19" i="1"/>
  <c r="AF19" i="1"/>
  <c r="AI19" i="1"/>
  <c r="AG19" i="1"/>
  <c r="AE19" i="1"/>
  <c r="X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F18" i="1"/>
  <c r="AI18" i="1"/>
  <c r="AG18" i="1"/>
  <c r="AE18" i="1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D17" i="1"/>
  <c r="AF17" i="1"/>
  <c r="AI17" i="1"/>
  <c r="AG17" i="1"/>
  <c r="AE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H13" i="1"/>
  <c r="J13" i="1"/>
  <c r="I13" i="1"/>
  <c r="D13" i="1"/>
  <c r="F13" i="1"/>
  <c r="E13" i="1"/>
  <c r="A13" i="1"/>
  <c r="H12" i="1"/>
  <c r="J12" i="1"/>
  <c r="I12" i="1"/>
  <c r="D12" i="1"/>
  <c r="F12" i="1"/>
  <c r="E12" i="1"/>
  <c r="A12" i="1"/>
  <c r="H11" i="1"/>
  <c r="J11" i="1"/>
  <c r="I11" i="1"/>
  <c r="D11" i="1"/>
  <c r="F11" i="1"/>
  <c r="E11" i="1"/>
  <c r="A11" i="1"/>
  <c r="H10" i="1"/>
  <c r="J10" i="1"/>
  <c r="I10" i="1"/>
  <c r="D10" i="1"/>
  <c r="F10" i="1"/>
  <c r="E10" i="1"/>
  <c r="A10" i="1"/>
  <c r="H9" i="1"/>
  <c r="J9" i="1"/>
  <c r="I9" i="1"/>
  <c r="D9" i="1"/>
  <c r="F9" i="1"/>
  <c r="E9" i="1"/>
  <c r="A9" i="1"/>
  <c r="H8" i="1"/>
  <c r="J8" i="1"/>
  <c r="I8" i="1"/>
  <c r="D8" i="1"/>
  <c r="F8" i="1"/>
  <c r="E8" i="1"/>
  <c r="A8" i="1"/>
  <c r="H7" i="1"/>
  <c r="J7" i="1"/>
  <c r="I7" i="1"/>
  <c r="D7" i="1"/>
  <c r="F7" i="1"/>
  <c r="E7" i="1"/>
  <c r="A7" i="1"/>
  <c r="H6" i="1"/>
  <c r="J6" i="1"/>
  <c r="I6" i="1"/>
  <c r="D6" i="1"/>
  <c r="F6" i="1"/>
  <c r="E6" i="1"/>
  <c r="A6" i="1"/>
  <c r="H5" i="1"/>
  <c r="J5" i="1"/>
  <c r="I5" i="1"/>
  <c r="D5" i="1"/>
  <c r="F5" i="1"/>
  <c r="E5" i="1"/>
  <c r="A5" i="1"/>
  <c r="H4" i="1"/>
  <c r="J4" i="1"/>
  <c r="I4" i="1"/>
  <c r="D4" i="1"/>
  <c r="F4" i="1"/>
  <c r="E4" i="1"/>
  <c r="A4" i="1"/>
  <c r="H3" i="1"/>
  <c r="J3" i="1"/>
  <c r="I3" i="1"/>
  <c r="D3" i="1"/>
  <c r="F3" i="1"/>
  <c r="E3" i="1"/>
  <c r="A3" i="1"/>
  <c r="H13" i="2"/>
  <c r="E13" i="2"/>
  <c r="D13" i="2"/>
  <c r="H2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E1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I2" i="21"/>
  <c r="J2" i="21"/>
  <c r="G2" i="21"/>
  <c r="F2" i="21"/>
  <c r="D2" i="21"/>
  <c r="C2" i="21"/>
  <c r="E12" i="16"/>
  <c r="E11" i="16"/>
  <c r="B2" i="19"/>
  <c r="G2" i="19"/>
  <c r="F2" i="19"/>
  <c r="D2" i="19"/>
  <c r="C2" i="19"/>
  <c r="E10" i="16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E9" i="16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<sst xmlns="http://schemas.openxmlformats.org/spreadsheetml/2006/main" count="2082" uniqueCount="436">
  <si>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</si>
  <si>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</si>
  <si>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</si>
  <si>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</si>
  <si>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</si>
  <si>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</si>
  <si>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</si>
  <si>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</si>
  <si>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</si>
  <si>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</si>
  <si>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</si>
  <si>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</si>
  <si>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</si>
  <si>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</si>
  <si>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</si>
  <si>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</si>
  <si>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</si>
  <si>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</si>
  <si>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</si>
  <si>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</si>
  <si>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</si>
  <si>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</si>
  <si>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</si>
  <si>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</si>
  <si>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</si>
  <si>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</si>
  <si>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</si>
  <si>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</si>
  <si>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</si>
  <si>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</si>
  <si>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</si>
  <si>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</si>
  <si>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</si>
  <si>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</si>
  <si>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</si>
  <si>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</si>
  <si>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</si>
  <si>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</si>
  <si>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</si>
  <si>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</si>
  <si>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</si>
  <si>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</si>
  <si>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</si>
  <si>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</si>
  <si>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</si>
  <si>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</si>
  <si>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</si>
  <si>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</si>
  <si>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</si>
  <si>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</si>
  <si>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</si>
  <si>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</si>
  <si>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</si>
  <si>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</si>
  <si>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</si>
  <si>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</si>
  <si>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</si>
  <si>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</si>
  <si>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</si>
  <si>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</si>
  <si>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</si>
  <si>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</si>
  <si>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</si>
  <si>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</si>
  <si>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</si>
  <si>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</si>
  <si>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</si>
  <si>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</si>
  <si>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</si>
  <si>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</si>
  <si>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</si>
  <si>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</si>
  <si>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</si>
  <si>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</si>
  <si>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</si>
  <si>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</si>
  <si>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</si>
  <si>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</si>
  <si>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</si>
  <si>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</si>
  <si>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</si>
  <si>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</si>
  <si>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</si>
  <si>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</si>
  <si>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</si>
  <si>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</si>
  <si>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</si>
  <si>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</si>
  <si>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</si>
  <si>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</si>
  <si>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</si>
  <si>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</si>
  <si>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</si>
  <si>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</si>
  <si>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</si>
  <si>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</si>
  <si>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</si>
  <si>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</si>
  <si>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</si>
  <si>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</si>
  <si>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</si>
  <si>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</si>
  <si>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</si>
  <si>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</si>
  <si>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</si>
  <si>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</si>
  <si>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</si>
  <si>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</si>
  <si>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</si>
  <si>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</si>
  <si>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</si>
  <si>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</si>
  <si>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</si>
  <si>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</si>
  <si>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</si>
  <si>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</si>
  <si>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</si>
  <si>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</si>
  <si>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</si>
  <si>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</si>
  <si>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</si>
  <si>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</si>
  <si>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</si>
  <si>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</si>
  <si>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</si>
  <si>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</si>
  <si>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</si>
  <si>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</si>
  <si>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</si>
  <si>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</si>
  <si>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</si>
  <si>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</si>
  <si>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</si>
  <si>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</si>
  <si>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</si>
  <si>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</si>
  <si>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</si>
  <si>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</si>
  <si>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</si>
  <si>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</si>
  <si>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</si>
  <si>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</si>
  <si>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</si>
  <si>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</si>
  <si>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</si>
  <si>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</si>
  <si>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</si>
  <si>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</si>
  <si>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</si>
  <si>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</si>
  <si>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</si>
  <si>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</si>
  <si>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</si>
  <si>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</si>
  <si>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</si>
  <si>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</si>
  <si>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</si>
  <si>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</si>
  <si>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</si>
  <si>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</si>
  <si>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</si>
  <si>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</si>
  <si>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</si>
  <si>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</si>
  <si>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</si>
  <si>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</si>
  <si>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</si>
  <si>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</si>
  <si>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</si>
  <si>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</si>
  <si>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</si>
  <si>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</si>
  <si>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</si>
  <si>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</si>
  <si>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</si>
  <si>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</si>
  <si>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</si>
  <si>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</si>
  <si>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</si>
  <si>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</si>
  <si>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</si>
  <si>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</si>
  <si>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</si>
  <si>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</si>
  <si>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</si>
  <si>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</si>
  <si>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</si>
  <si>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</si>
  <si>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</si>
  <si>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</si>
  <si>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</si>
  <si>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</si>
  <si>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</si>
  <si>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</si>
  <si>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</si>
  <si>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</si>
  <si>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</si>
  <si>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</si>
  <si>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</si>
  <si>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</si>
  <si>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</si>
  <si>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</si>
  <si>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</si>
  <si>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</si>
  <si>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</si>
  <si>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</si>
  <si>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</si>
  <si>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</si>
  <si>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</si>
  <si>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</si>
  <si>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</si>
  <si>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</si>
  <si>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</si>
  <si>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</si>
  <si>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</si>
  <si>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</si>
  <si>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</si>
  <si>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</si>
  <si>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</si>
  <si>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</si>
  <si>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</si>
  <si>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</si>
  <si>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</si>
  <si>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</si>
  <si>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</si>
  <si>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</si>
  <si>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</si>
  <si>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</si>
  <si>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</si>
  <si>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</si>
  <si>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</si>
  <si>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</si>
  <si>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</si>
  <si>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</si>
  <si>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</si>
  <si>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</si>
  <si>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</si>
  <si>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</si>
  <si>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</si>
  <si>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</si>
  <si>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</si>
  <si>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</si>
  <si>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</si>
  <si>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</si>
  <si>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</si>
  <si>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</si>
  <si>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</si>
  <si>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</si>
  <si>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</si>
  <si>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</si>
  <si>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</si>
  <si>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</si>
  <si>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</si>
  <si>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</si>
  <si>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</si>
  <si>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</si>
  <si>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</si>
  <si>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</si>
  <si>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</si>
  <si>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</si>
  <si>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</si>
  <si>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</si>
  <si>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</si>
  <si>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</si>
  <si>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</si>
  <si>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[effect:enemy_message, val1:1.2, val2:1.2]</t>
    <phoneticPr fontId="5"/>
  </si>
  <si>
    <t>ユノ</t>
    <phoneticPr fontId="5"/>
  </si>
  <si>
    <t>予備枠</t>
    <rPh sb="0" eb="3">
      <t>ヨｂ</t>
    </rPh>
    <phoneticPr fontId="5"/>
  </si>
  <si>
    <t>アカネ</t>
    <phoneticPr fontId="5"/>
  </si>
  <si>
    <t>ハートパネルプロテクト</t>
    <phoneticPr fontId="5"/>
  </si>
  <si>
    <t>全体攻撃</t>
    <rPh sb="0" eb="4">
      <t>ゼンタ</t>
    </rPh>
    <phoneticPr fontId="5"/>
  </si>
  <si>
    <t>ハヅル1</t>
    <phoneticPr fontId="5"/>
  </si>
  <si>
    <t>ハヅル2</t>
    <phoneticPr fontId="5"/>
  </si>
  <si>
    <t>即死予告</t>
    <rPh sb="0" eb="4">
      <t>ソｋ</t>
    </rPh>
    <phoneticPr fontId="5"/>
  </si>
  <si>
    <t>即死攻撃</t>
    <rPh sb="0" eb="4">
      <t>ソｋ</t>
    </rPh>
    <phoneticPr fontId="5"/>
  </si>
  <si>
    <t>ハヅル3</t>
    <phoneticPr fontId="5"/>
  </si>
  <si>
    <t>バハムート</t>
    <phoneticPr fontId="5"/>
  </si>
  <si>
    <t>状態異常耐性</t>
    <rPh sb="0" eb="6">
      <t>ｊｙ</t>
    </rPh>
    <phoneticPr fontId="5"/>
  </si>
  <si>
    <t>ハートパネルをお邪魔パネルに変換</t>
    <rPh sb="14" eb="16">
      <t>ヘｎ</t>
    </rPh>
    <phoneticPr fontId="5"/>
  </si>
  <si>
    <t>ヒュウガ</t>
    <phoneticPr fontId="5"/>
  </si>
  <si>
    <t>ヘルレイザー1</t>
    <phoneticPr fontId="5"/>
  </si>
  <si>
    <t>ヘルレイザー2</t>
    <phoneticPr fontId="5"/>
  </si>
  <si>
    <t>即死攻撃予告</t>
    <rPh sb="0" eb="6">
      <t>ソｋ</t>
    </rPh>
    <phoneticPr fontId="5"/>
  </si>
  <si>
    <t>ヘルレイザー3</t>
    <phoneticPr fontId="5"/>
  </si>
  <si>
    <t>ja</t>
    <phoneticPr fontId="5"/>
  </si>
  <si>
    <t>クエスト基礎設計フォーマット</t>
    <phoneticPr fontId="11"/>
  </si>
  <si>
    <t>[effect:enemy_message, val1:1.2, val2:1.2],[effect:spread, val:2.0],[effect:spread, val:2.0],[effect:spread, val:2.0],[effect:spread, val:2.0],[effect:spread, val:2.0]</t>
    <phoneticPr fontId="5"/>
  </si>
  <si>
    <t>old</t>
    <phoneticPr fontId="5"/>
  </si>
  <si>
    <t>[effect:enemy_message, val1:1.2, val2:1.2],[effect:rush, count:4, val:0.25]</t>
    <phoneticPr fontId="5"/>
  </si>
  <si>
    <t>[effect:enemy_message, val1:1.2, val2:1.2],[effect:dis_heart, turn:4, animation:enemy_dis_heart]</t>
    <phoneticPr fontId="5"/>
  </si>
  <si>
    <t>[effect:enemy_message, val1:1.2, val2:1.2],[effect:tolerance, target:myself, turn:-1, count:-1, tolerance_effect:all, animation:enemy_tolerance],[effect:fix_speed, target:myself, turn:2]</t>
    <phoneticPr fontId="5"/>
  </si>
  <si>
    <t>[effect:enemy_message, val1:1.2, val2:1.2],[effect:dis_heart, turn:4, animation:enemy_dis_heart]</t>
    <phoneticPr fontId="5"/>
  </si>
  <si>
    <t>4回連続攻撃</t>
    <rPh sb="1" eb="2">
      <t>カ</t>
    </rPh>
    <rPh sb="2" eb="6">
      <t>レンゾｋ</t>
    </rPh>
    <phoneticPr fontId="5"/>
  </si>
  <si>
    <t>クリティカル！+
属性パネルをお邪魔パネルに2個変換</t>
    <rPh sb="9" eb="11">
      <t>ゾｋ</t>
    </rPh>
    <rPh sb="23" eb="24">
      <t>コ</t>
    </rPh>
    <rPh sb="24" eb="26">
      <t>ヘンカｎ</t>
    </rPh>
    <phoneticPr fontId="5"/>
  </si>
  <si>
    <t>4ターンハートパネル無効</t>
    <rPh sb="10" eb="12">
      <t>ムコ</t>
    </rPh>
    <phoneticPr fontId="5"/>
  </si>
  <si>
    <t>[effect:enemy_message, val1:1.2, val2:1.2],[effect:spread, val:0.28]</t>
    <phoneticPr fontId="5"/>
  </si>
  <si>
    <t>[effect:enemy_message, val1:1.2, val2:1.2],[effect:spread, val:0.28]</t>
    <phoneticPr fontId="5"/>
  </si>
  <si>
    <t>全てのマイナス効果を解除+
特定エリアをハートパネルとお邪魔パネルに変換+
残りHPの100%消費</t>
    <rPh sb="0" eb="1">
      <t>スベテノ</t>
    </rPh>
    <rPh sb="7" eb="9">
      <t>コウｋ</t>
    </rPh>
    <rPh sb="14" eb="16">
      <t>トクテ</t>
    </rPh>
    <rPh sb="34" eb="36">
      <t>ヘｎ</t>
    </rPh>
    <rPh sb="38" eb="39">
      <t>ノコｒ</t>
    </rPh>
    <rPh sb="47" eb="49">
      <t>ｓｙ</t>
    </rPh>
    <phoneticPr fontId="5"/>
  </si>
  <si>
    <t>[effect:enemy_message, val1:1.2, val2:1.2],[effect:tolerance, target:myself, turn:-1, count:-1, tolerance_effect:all, animation:enemy_tolerance],[effect:fix_speed, target:myself, turn:1]</t>
    <phoneticPr fontId="5"/>
  </si>
  <si>
    <t>お邪魔パネルを吸収して全体攻撃(最大10個)</t>
    <rPh sb="7" eb="9">
      <t>キュウシュ</t>
    </rPh>
    <rPh sb="11" eb="13">
      <t>ゼｎ</t>
    </rPh>
    <rPh sb="13" eb="15">
      <t>コウゲｋ</t>
    </rPh>
    <rPh sb="16" eb="18">
      <t>サ</t>
    </rPh>
    <rPh sb="20" eb="21">
      <t>コ</t>
    </rPh>
    <phoneticPr fontId="5"/>
  </si>
  <si>
    <t>お邪魔パネルを吸収して攻撃(最大3個)</t>
    <rPh sb="7" eb="9">
      <t>キュウシュ</t>
    </rPh>
    <rPh sb="11" eb="13">
      <t>タンタ</t>
    </rPh>
    <rPh sb="14" eb="16">
      <t>サ</t>
    </rPh>
    <rPh sb="17" eb="18">
      <t>コ</t>
    </rPh>
    <phoneticPr fontId="5"/>
  </si>
  <si>
    <t>状態異常耐性+
全てのマイナス効果を解除</t>
    <rPh sb="0" eb="6">
      <t>ｊｙ</t>
    </rPh>
    <rPh sb="8" eb="9">
      <t>スベｔ</t>
    </rPh>
    <rPh sb="15" eb="17">
      <t>コウｋ</t>
    </rPh>
    <rPh sb="18" eb="20">
      <t>カ</t>
    </rPh>
    <phoneticPr fontId="5"/>
  </si>
  <si>
    <t>6ターンハートパネルドロップ率UP+
4ターンハートパネル無効</t>
    <rPh sb="29" eb="31">
      <t>ムコ</t>
    </rPh>
    <phoneticPr fontId="5"/>
  </si>
  <si>
    <t>ハートパネルを吸収して攻撃力UP(最大10個)</t>
    <rPh sb="7" eb="9">
      <t>9ｓｙ</t>
    </rPh>
    <rPh sb="11" eb="14">
      <t>コウゲｋ</t>
    </rPh>
    <rPh sb="17" eb="19">
      <t>サ</t>
    </rPh>
    <rPh sb="21" eb="22">
      <t>コ</t>
    </rPh>
    <phoneticPr fontId="5"/>
  </si>
  <si>
    <t>特定エリアをハートパネルとお邪魔パネルに変換</t>
    <phoneticPr fontId="5"/>
  </si>
  <si>
    <t>お邪魔パネルを吸収して攻撃(最大5個)</t>
    <rPh sb="7" eb="13">
      <t>キュウシュ</t>
    </rPh>
    <rPh sb="14" eb="16">
      <t>サ</t>
    </rPh>
    <rPh sb="17" eb="18">
      <t>コ</t>
    </rPh>
    <phoneticPr fontId="5"/>
  </si>
  <si>
    <t>属性パネルをお邪魔パネルに5個変換+
4回連続攻撃</t>
    <rPh sb="0" eb="2">
      <t>ゾｋ</t>
    </rPh>
    <rPh sb="14" eb="15">
      <t>コ</t>
    </rPh>
    <rPh sb="15" eb="17">
      <t>ヘｎ</t>
    </rPh>
    <rPh sb="20" eb="21">
      <t>カ</t>
    </rPh>
    <rPh sb="21" eb="23">
      <t>レｎ</t>
    </rPh>
    <rPh sb="23" eb="25">
      <t>コウゲｋ</t>
    </rPh>
    <phoneticPr fontId="5"/>
  </si>
  <si>
    <t>炎剛の鼓吹</t>
    <phoneticPr fontId="5"/>
  </si>
  <si>
    <t>灼熱の歓迎</t>
    <rPh sb="0" eb="2">
      <t>シャクネｔ</t>
    </rPh>
    <rPh sb="3" eb="5">
      <t>カンゲ</t>
    </rPh>
    <phoneticPr fontId="5"/>
  </si>
  <si>
    <t>狂乱打</t>
    <rPh sb="0" eb="3">
      <t>キョ</t>
    </rPh>
    <phoneticPr fontId="5"/>
  </si>
  <si>
    <t>火の粉</t>
    <rPh sb="0" eb="1">
      <t>ヒ</t>
    </rPh>
    <phoneticPr fontId="5"/>
  </si>
  <si>
    <t>種火の再燃</t>
    <rPh sb="0" eb="2">
      <t>タｎ</t>
    </rPh>
    <rPh sb="3" eb="5">
      <t>サ</t>
    </rPh>
    <phoneticPr fontId="5"/>
  </si>
  <si>
    <t>ここは通行禁止です</t>
    <rPh sb="3" eb="7">
      <t>ツウコ</t>
    </rPh>
    <phoneticPr fontId="5"/>
  </si>
  <si>
    <t>いいでしょう…お行きなさい</t>
    <phoneticPr fontId="5"/>
  </si>
  <si>
    <t>どうしても通るというならば…</t>
    <rPh sb="5" eb="6">
      <t>10ｒ</t>
    </rPh>
    <phoneticPr fontId="5"/>
  </si>
  <si>
    <t>この試練を越えて行きなさい</t>
    <rPh sb="2" eb="4">
      <t>シレｎ</t>
    </rPh>
    <rPh sb="5" eb="6">
      <t>コ</t>
    </rPh>
    <phoneticPr fontId="5"/>
  </si>
  <si>
    <t>この先は危険です</t>
    <rPh sb="4" eb="6">
      <t>キケｎ</t>
    </rPh>
    <phoneticPr fontId="5"/>
  </si>
  <si>
    <t>千鶴飛羽</t>
    <phoneticPr fontId="5"/>
  </si>
  <si>
    <t>天羽織り・甲式</t>
    <rPh sb="6" eb="7">
      <t>コウシｋ</t>
    </rPh>
    <phoneticPr fontId="5"/>
  </si>
  <si>
    <t>天羽織り・無式</t>
    <rPh sb="5" eb="6">
      <t>ム</t>
    </rPh>
    <rPh sb="6" eb="7">
      <t>コウシｋ</t>
    </rPh>
    <phoneticPr fontId="5"/>
  </si>
  <si>
    <t>天羽織り・攻式</t>
    <rPh sb="5" eb="6">
      <t>コウゲｋ</t>
    </rPh>
    <rPh sb="6" eb="7">
      <t>コウシｋ</t>
    </rPh>
    <phoneticPr fontId="5"/>
  </si>
  <si>
    <t>炎陣包囲</t>
    <rPh sb="0" eb="1">
      <t>enn</t>
    </rPh>
    <rPh sb="1" eb="2">
      <t>エンジン</t>
    </rPh>
    <rPh sb="2" eb="4">
      <t>ホ</t>
    </rPh>
    <phoneticPr fontId="5"/>
  </si>
  <si>
    <t>バーンナップ</t>
    <phoneticPr fontId="5"/>
  </si>
  <si>
    <t>ラブ・バイオレンス</t>
    <phoneticPr fontId="5"/>
  </si>
  <si>
    <t>ラブ・スタンピード</t>
    <phoneticPr fontId="5"/>
  </si>
  <si>
    <t>プリバージョン</t>
    <phoneticPr fontId="5"/>
  </si>
  <si>
    <t>クールダウン</t>
    <phoneticPr fontId="5"/>
  </si>
  <si>
    <t>来たね！相手になってやるわ！</t>
    <rPh sb="0" eb="1">
      <t>キタネ</t>
    </rPh>
    <rPh sb="4" eb="6">
      <t>ア</t>
    </rPh>
    <phoneticPr fontId="5"/>
  </si>
  <si>
    <t>まずは小手調べよ！</t>
    <rPh sb="3" eb="6">
      <t>コテシラｂ</t>
    </rPh>
    <phoneticPr fontId="5"/>
  </si>
  <si>
    <t>ダウングレード！</t>
    <phoneticPr fontId="5"/>
  </si>
  <si>
    <t>まだまだ行くよ！</t>
    <rPh sb="4" eb="5">
      <t>イｋ</t>
    </rPh>
    <phoneticPr fontId="5"/>
  </si>
  <si>
    <t>これは耐えられる！？</t>
    <rPh sb="3" eb="4">
      <t>タ</t>
    </rPh>
    <phoneticPr fontId="5"/>
  </si>
  <si>
    <t>もう終わり？つまんないの…</t>
    <phoneticPr fontId="5"/>
  </si>
  <si>
    <t>さて、仕切り直しっと</t>
    <rPh sb="3" eb="5">
      <t>シキリナオｓ</t>
    </rPh>
    <phoneticPr fontId="5"/>
  </si>
  <si>
    <t>ほらほら、いくよ！</t>
    <phoneticPr fontId="5"/>
  </si>
  <si>
    <t>おっきいのいくよー！</t>
    <phoneticPr fontId="5"/>
  </si>
  <si>
    <t>HELLRAISER</t>
    <phoneticPr fontId="5"/>
  </si>
  <si>
    <t>作り変えてやる！</t>
    <rPh sb="0" eb="1">
      <t>ツクｒ</t>
    </rPh>
    <phoneticPr fontId="5"/>
  </si>
  <si>
    <t>へえ、これでもまだもつ？</t>
    <phoneticPr fontId="5"/>
  </si>
  <si>
    <t>おっきいのいくよー！</t>
    <phoneticPr fontId="5"/>
  </si>
  <si>
    <t>熱く熱く燃やしてやるよ！</t>
    <rPh sb="0" eb="1">
      <t>アツｋ</t>
    </rPh>
    <rPh sb="4" eb="5">
      <t>モヤｓ</t>
    </rPh>
    <phoneticPr fontId="5"/>
  </si>
  <si>
    <t>誰かに止めてほしかったのかもね…</t>
    <rPh sb="0" eb="1">
      <t>ダｒ</t>
    </rPh>
    <rPh sb="3" eb="4">
      <t>トｍ</t>
    </rPh>
    <phoneticPr fontId="5"/>
  </si>
  <si>
    <t>セルシウス…</t>
    <phoneticPr fontId="5"/>
  </si>
  <si>
    <t>哀れみなんかかけてほしくないわ…</t>
    <rPh sb="0" eb="1">
      <t>アｗ</t>
    </rPh>
    <phoneticPr fontId="5"/>
  </si>
  <si>
    <t>[effect:enemy_message, val1:1.2, val2:2.6],[effect:critical, val:1.2, animation:enemy_critical],[effect:force_change_block, new_block:jammer, target:normal, count:2, val:0, animation:change_block]</t>
    <phoneticPr fontId="5"/>
  </si>
  <si>
    <t>[effect:enemy_message, val1:1.4, val2:1.2],[effect:tolerance, target:myself, turn:-1, count:-1, tolerance_effect:all, animation:enemy_tolerance],[effect:fix_speed, target:myself, turn:2]</t>
    <phoneticPr fontId="5"/>
  </si>
  <si>
    <t>[effect:enemy_message, val1:1.3, val2:4.9],[effect:remove_enhancement, target:unit_all, target_effect:all, target_type:debuff, animation:frozen_wave],[effect:force_change_block, new_block:jammer, target:block_all, count:0, val:0],[effect:change_range_block, block_change:1, base_type:1, square_count:7, position01:24, value_rad01:7.0, new_block:block_heart, target:jammer, count:0, val:0, animation:change_range_block],[effect:suicide, target:myself, val:1, dead_type:suicide, animation:enemy_suicide]</t>
    <phoneticPr fontId="5"/>
  </si>
  <si>
    <t>[effect:enemy_message, val1:1.2, val2:2.2],[effect:break_attack, target:unit_all, val:0.03, lowest_val:1000, count:10, color:red, block01:jammer]</t>
    <phoneticPr fontId="5"/>
  </si>
  <si>
    <t>[effect:enemy_message, val1:1.2, val2:1.9],[effect:break_attack, target:unit_one, val:0.25, lowest_val:1500, count:3, color:red, block01:jammer]</t>
    <phoneticPr fontId="5"/>
  </si>
  <si>
    <t>[effect:enemy_message, val1:1.4, val2:1.2],[effect:tolerance, target:myself, turn:-1, count:-1, tolerance_effect:all, animation:enemy_tolerance],[effect:fix_speed, target:myself, turn:1]</t>
    <phoneticPr fontId="5"/>
  </si>
  <si>
    <t>[effect:enemy_message, val1:1.3, val2:1.2],[effect:spread, val:2.0],[effect:spread, val:2.0],[effect:spread, val:2.0],[effect:spread, val:2.0],[effect:spread, val:2.0]</t>
    <phoneticPr fontId="5"/>
  </si>
  <si>
    <t>[effect:enemy_message, val1:1.2, val2:2.0],[effect:tolerance, target:myself, turn:-1, count:-1, tolerance_effect:all, animation:enemy_tolerance],[effect:remove_enhancement, target:unit_all, target_effect:all, target_type:debuff, animation:frozen_wave],[effect:fix_speed, target:myself, turn:1]</t>
    <phoneticPr fontId="5"/>
  </si>
  <si>
    <t>[effect:enemy_message, val1:1.2, val2:3.1],[effect:change_panel_ratio, turn:6, block_type:heal, val:0.4, animation:block_incidence04],[effect:dis_heart, turn:4, animation:enemy_dis_heart]</t>
    <phoneticPr fontId="5"/>
  </si>
  <si>
    <t>[effect:enemy_message, val1:1.2, val2:2.3],[effect:break_enchance_enemy, target:myself, val:0.02, lowest_val:0.1, count:10, status:attack, turn:-1, block01:block_heart, calc:mul, animation:enemy_enhance_attack]</t>
    <phoneticPr fontId="5"/>
  </si>
  <si>
    <t>[effect:enemy_message, val1:1.2, val2:2.2],[effect:force_change_block, new_block:block_heart, target:block_all, count:0, val:0],[effect:change_range_block, block_change:1, base_type:0, square_count:7, position01:7, position02:21, position03:35, value_h01:1, value_h02:1, value_h03:1, value_w01:7, value_w02:7, value_w03:7, new_block:jammer, target:block_heart, count:0, val:0, animation:change_range_block]</t>
    <phoneticPr fontId="5"/>
  </si>
  <si>
    <t>[effect:enemy_message, val1:1.2, val2:2.5],[effect:force_change_block, new_block:jammer, target:normal, count:5, val:0, animation:change_block],[effect:rush, count:4, val:0.27]</t>
    <phoneticPr fontId="5"/>
  </si>
  <si>
    <t>[effect:enemy_message, val1:1.6, val2:2.1]</t>
    <phoneticPr fontId="5"/>
  </si>
  <si>
    <t>[effect:enemy_message, val1:1.6, val2:2.2]</t>
    <phoneticPr fontId="5"/>
  </si>
  <si>
    <t>[effect:enemy_message, val1:2.1, val2:2.5]</t>
    <phoneticPr fontId="5"/>
  </si>
  <si>
    <t>full_member</t>
    <phoneticPr fontId="5"/>
  </si>
  <si>
    <t>link</t>
    <phoneticPr fontId="5"/>
  </si>
  <si>
    <t>unit</t>
  </si>
  <si>
    <t>[effect:enemy_message, val1:1.2, val2:1.9],[effect:break_attack, target:unit_one, val:0.12, lowest_val:2000, count:5, color:red, block01:jammer]</t>
    <phoneticPr fontId="5"/>
  </si>
  <si>
    <t>アカネはランダムでお邪魔パネルに変換し
それを吸収して攻撃してきます
なるべく残さないようにしましょう</t>
    <phoneticPr fontId="5"/>
  </si>
  <si>
    <t>バハムートは全てのハートパネルを
お邪魔パネルに変換します
あらかじめハートパネルを消して
回復しておきましょう</t>
    <phoneticPr fontId="5"/>
  </si>
  <si>
    <t>1ゲージ目のヘルレイザーは
HPの割合ダメージを頻繁に使用した後
即死攻撃を行います
回復よりも攻撃を優先しましょう</t>
    <phoneticPr fontId="5"/>
  </si>
  <si>
    <t>2ゲージ目のヘルレイザーは
ハートパネル無効で妨害をしたり
ハートパネルを吸収して攻撃してきます</t>
    <phoneticPr fontId="5"/>
  </si>
  <si>
    <t>ヘルレイザーは生まれた時から
その力を危険視され凍結されていたため
現在に至るまでとても孤独でした</t>
    <phoneticPr fontId="5"/>
  </si>
  <si>
    <t>データ破壊事件の現場には必ずこの言葉が
残されていました
ヘルレイザーはメッセージを通して
仲間を欲しがっていたのかもしれません</t>
    <phoneticPr fontId="5"/>
  </si>
  <si>
    <t>孤独の少女</t>
    <phoneticPr fontId="5"/>
  </si>
  <si>
    <t>complete</t>
    <phoneticPr fontId="5"/>
  </si>
  <si>
    <t>アンタもアタシを止められないのね…</t>
    <rPh sb="8" eb="9">
      <t>トｍ</t>
    </rPh>
    <phoneticPr fontId="5"/>
  </si>
  <si>
    <t>アラ？かわいいウィルスさんね
アタシを止めに来たのかしら？</t>
    <phoneticPr fontId="5"/>
  </si>
  <si>
    <t>[effect:enemy_message, val1:2.9, val2:1.2],[effect:tolerance, target:myself, turn:-1, count:-1, tolerance_effect:all, animation:enemy_tolerance],[effect:fix_speed, target:myself, turn:1]</t>
    <phoneticPr fontId="5"/>
  </si>
  <si>
    <t>セルシウス…アタシを止めるっていうの？</t>
    <rPh sb="10" eb="11">
      <t>トｍ</t>
    </rPh>
    <phoneticPr fontId="5"/>
  </si>
  <si>
    <t>アタシだって…本当は…</t>
    <rPh sb="7" eb="9">
      <t>ホンｔ</t>
    </rPh>
    <phoneticPr fontId="5"/>
  </si>
  <si>
    <t>でも…アタシも仲間ってヤツがほしかった…</t>
    <rPh sb="7" eb="9">
      <t>ナｋ</t>
    </rPh>
    <phoneticPr fontId="5"/>
  </si>
  <si>
    <t>今はアンタの冷たさが気持ちいいわ…</t>
    <rPh sb="0" eb="1">
      <t>イｍ</t>
    </rPh>
    <rPh sb="6" eb="7">
      <t>ツｍ</t>
    </rPh>
    <rPh sb="10" eb="12">
      <t>キモｔ</t>
    </rPh>
    <phoneticPr fontId="5"/>
  </si>
  <si>
    <t>状況全部がアンタの敵よ！</t>
    <rPh sb="0" eb="4">
      <t>ｊｙ</t>
    </rPh>
    <rPh sb="9" eb="10">
      <t>テ</t>
    </rPh>
    <phoneticPr fontId="5"/>
  </si>
  <si>
    <t>残りHPの80％ダメージ！</t>
    <rPh sb="0" eb="1">
      <t>ノコｒ</t>
    </rPh>
    <phoneticPr fontId="5"/>
  </si>
  <si>
    <t>6ターンハートパネルドロップ率UP+
2ターン全ユニットの回復力50%DOWN</t>
    <rPh sb="23" eb="24">
      <t>ゼｎ</t>
    </rPh>
    <rPh sb="29" eb="32">
      <t>カ</t>
    </rPh>
    <phoneticPr fontId="5"/>
  </si>
  <si>
    <t>[effect:enemy_message, val1:1.2, val2:3.9],[effect:change_panel_ratio, turn:6, block_type:heal, val:0.4, animation:block_incidence04],[effect:degrade_unit, target:unit_all, turn:2, status:heal, val:0.5, calc:mul, animation:degrade_unit_all_heal]</t>
    <phoneticPr fontId="5"/>
  </si>
  <si>
    <t>単体攻撃+
6ターン全ユニットにウィルス</t>
    <rPh sb="0" eb="4">
      <t>タンタ</t>
    </rPh>
    <rPh sb="10" eb="11">
      <t>ゼｎ</t>
    </rPh>
    <phoneticPr fontId="5"/>
  </si>
  <si>
    <t>[effect:enemy_message, val1:1.2, val2:2.0],[effect:virus, target:unit_all, turn:6, rate:1, val:0.05, animation:enemy_virus],[effect:rush, count:1, val:1]</t>
    <phoneticPr fontId="5"/>
  </si>
  <si>
    <t>残りHPの50％ダメージ！</t>
    <rPh sb="0" eb="1">
      <t>ノコｒ</t>
    </rPh>
    <phoneticPr fontId="5"/>
  </si>
  <si>
    <t>[effect:enemy_message, val1:1.2, val2:1.3],[effect:damage_gravity, val:0.5, animation:fevergauge_down]</t>
    <phoneticPr fontId="5"/>
  </si>
  <si>
    <t>[effect:enemy_message, val1:1.2, val2:1.3],[effect:damage_gravity, val:0.5, animation:fevergauge_down]</t>
    <phoneticPr fontId="5"/>
  </si>
  <si>
    <t>[effect:enemy_message, val1:1.2, val2:1.3],[effect:damage_gravity, val:0.8, animation:fevergauge_down]</t>
    <phoneticPr fontId="5"/>
  </si>
  <si>
    <t>[effect:enemy_message, val1:1.2, val2:1.3],[effect:damage_gravity, val:0.8, animation:fevergauge_down]</t>
    <phoneticPr fontId="5"/>
  </si>
  <si>
    <t>超強力な全体攻撃</t>
    <rPh sb="0" eb="3">
      <t>チョ</t>
    </rPh>
    <rPh sb="4" eb="8">
      <t>ゼｎ</t>
    </rPh>
    <phoneticPr fontId="5"/>
  </si>
  <si>
    <t>ハートパネルを吸収して全体攻撃(最大7個)</t>
    <rPh sb="7" eb="9">
      <t>9ｓｙ</t>
    </rPh>
    <rPh sb="11" eb="13">
      <t>ゼｎ</t>
    </rPh>
    <rPh sb="16" eb="18">
      <t>サ</t>
    </rPh>
    <rPh sb="19" eb="20">
      <t>コ</t>
    </rPh>
    <phoneticPr fontId="5"/>
  </si>
  <si>
    <t>[effect:enemy_message, val1:1.2, val2:2.1],[effect:break_attack, target:unit_all, val:0.04, lowest_val:1000, count:7, color:red, block01:block_heart]</t>
    <phoneticPr fontId="5"/>
  </si>
  <si>
    <t>ハートパネルを吸収して全体攻撃(最大5個)</t>
    <rPh sb="7" eb="9">
      <t>9ｓｙ</t>
    </rPh>
    <rPh sb="11" eb="13">
      <t>ゼｎ</t>
    </rPh>
    <rPh sb="16" eb="18">
      <t>サ</t>
    </rPh>
    <rPh sb="19" eb="20">
      <t>コ</t>
    </rPh>
    <phoneticPr fontId="5"/>
  </si>
  <si>
    <t>[effect:enemy_message, val1:1.2, val2:2.1],[effect:break_attack, target:unit_all, val:0.05, lowest_val:500, count:5, color:red, block01:block_heart]</t>
    <phoneticPr fontId="5"/>
  </si>
  <si>
    <t>【次のターン即死級の全体攻撃！】</t>
    <rPh sb="1" eb="2">
      <t>ツｇ</t>
    </rPh>
    <rPh sb="6" eb="9">
      <t>ソｋ</t>
    </rPh>
    <rPh sb="10" eb="14">
      <t>ゼｎ</t>
    </rPh>
    <phoneticPr fontId="5"/>
  </si>
  <si>
    <t>[effect:enemy_message, val1:1.7, val2:1.6]</t>
    <phoneticPr fontId="5"/>
  </si>
  <si>
    <t>[effect:enemy_message, val1:1.2, val2:2.6],[effect:tolerance, target:myself, turn:-1, count:-1, tolerance_effect:all, animation:enemy_tolerance],[effect:fix_speed, target:myself, turn:1]</t>
    <phoneticPr fontId="5"/>
  </si>
  <si>
    <t>意地悪にいこっか</t>
    <rPh sb="0" eb="3">
      <t>イｊ</t>
    </rPh>
    <phoneticPr fontId="5"/>
  </si>
  <si>
    <t>ハートパネルをお邪魔パネルに10個変換</t>
    <rPh sb="16" eb="17">
      <t>コ</t>
    </rPh>
    <rPh sb="17" eb="19">
      <t>ヘｎ</t>
    </rPh>
    <phoneticPr fontId="5"/>
  </si>
  <si>
    <t>[effect:enemy_message, val1:1.2, val2:2.6],[effect:critical, val:1.2, animation:enemy_critical],[effect:force_change_block, new_block:jammer, target:normal, count:1, val:0, animation:change_block]</t>
    <phoneticPr fontId="5"/>
  </si>
  <si>
    <t>クリティカル！+
属性パネルをお邪魔パネルに1個変換</t>
    <rPh sb="9" eb="11">
      <t>ゾｋ</t>
    </rPh>
    <rPh sb="23" eb="24">
      <t>コ</t>
    </rPh>
    <rPh sb="24" eb="26">
      <t>ヘンカｎ</t>
    </rPh>
    <phoneticPr fontId="5"/>
  </si>
  <si>
    <t>[effect:enemy_message, val1:1.2, val2:1.2],[effect:damage_gravity, val:0.5, animation:fevergauge_down]</t>
    <phoneticPr fontId="5"/>
  </si>
  <si>
    <t>[effect:enemy_message, val1:1.2, val2:1.2],[effect:damage_gravity, val:0.5, animation:fevergauge_down]</t>
    <phoneticPr fontId="5"/>
  </si>
  <si>
    <t>ハートパネルをお邪魔パネルに5個変換</t>
    <rPh sb="15" eb="16">
      <t>コ</t>
    </rPh>
    <rPh sb="16" eb="18">
      <t>ヘｎ</t>
    </rPh>
    <phoneticPr fontId="5"/>
  </si>
  <si>
    <t>ハヅルはハートパネル無効や
ハートパネルプロテクトで
回復を妨害します
パネル無効を解除できると
安定して戦えるようになります</t>
    <phoneticPr fontId="5"/>
  </si>
  <si>
    <t>3ゲージ目のヘルレイザーは
HPが一定以下になると即死攻撃を行います
予告をしている間に
フィーバーやスキルで倒しきりましょう</t>
    <phoneticPr fontId="5"/>
  </si>
  <si>
    <t>残りHPの50％ダメージ！+
7ターン全ユニットの回復力50%DOWN
【5ターン後に即死級の全体攻撃！】</t>
    <rPh sb="0" eb="1">
      <t>ノコｒ</t>
    </rPh>
    <rPh sb="19" eb="20">
      <t>ゼｎ</t>
    </rPh>
    <rPh sb="25" eb="28">
      <t>カ</t>
    </rPh>
    <rPh sb="41" eb="42">
      <t>ゴ</t>
    </rPh>
    <rPh sb="43" eb="51">
      <t>ソｋ</t>
    </rPh>
    <phoneticPr fontId="5"/>
  </si>
  <si>
    <t>4ターンハートパネル無効+
超高確率で赤、緑パネルがハートパネルとしてドロップ</t>
    <rPh sb="10" eb="12">
      <t>ムコ</t>
    </rPh>
    <rPh sb="14" eb="16">
      <t>tyoukou</t>
    </rPh>
    <rPh sb="16" eb="18">
      <t>カクリｔ</t>
    </rPh>
    <rPh sb="19" eb="20">
      <t>アｋ</t>
    </rPh>
    <rPh sb="21" eb="22">
      <t>ミドｒ</t>
    </rPh>
    <phoneticPr fontId="5"/>
  </si>
  <si>
    <t>状態異常耐性
【敵のHP40％以下で即死級の攻撃！】</t>
    <rPh sb="0" eb="4">
      <t>ｊｙ</t>
    </rPh>
    <rPh sb="4" eb="6">
      <t>タイセ</t>
    </rPh>
    <rPh sb="8" eb="9">
      <t>テｋ</t>
    </rPh>
    <rPh sb="15" eb="17">
      <t>イカｄ</t>
    </rPh>
    <rPh sb="18" eb="24">
      <t>ソｋ</t>
    </rPh>
    <phoneticPr fontId="5"/>
  </si>
  <si>
    <t>超高確率でハートパネルをお邪魔パネルとしてドロップ</t>
    <rPh sb="0" eb="2">
      <t>チョ</t>
    </rPh>
    <rPh sb="2" eb="4">
      <t>カクリｔ</t>
    </rPh>
    <phoneticPr fontId="5"/>
  </si>
  <si>
    <t>[effect:enemy_message, val1:1.2, val2:2.5],[effect:drop_block, block_type:jammer, color:block_heart, val:0, rate:0.4, turn:-1, animation:jammer_influence04]</t>
    <phoneticPr fontId="5"/>
  </si>
  <si>
    <t>[effect:enemy_message, val1:1.2, val2:5.3],[effect:damage_gravity, val:0.5, animation:fevergauge_down],[effect:degrade_unit, target:unit_all, turn:7, status:heal, val:0.5, calc:mul, animation:degrade_unit_all_heal]</t>
    <phoneticPr fontId="5"/>
  </si>
  <si>
    <t>[effect:enemy_message, val1:1.3, val2:3.9],[effect:drop_block, block_type:normal, block_color:block_heart, color:block_red, val:0, rate:0.35, turn:-1],[effect:drop_block, block_type:normal, block_color:block_heart, color:block_green, val:0, rate:0.35, turn:-1],[effect:dis_heart, turn:4, animation:enemy_dis_heart]</t>
    <phoneticPr fontId="5"/>
  </si>
  <si>
    <t>[effect:enemy_message, val1:1.2, val2:1.9],[effect:break_attack, target:unit_one, val:0.25, lowest_val:1500, count:3, color:red, block01:jammer]</t>
    <phoneticPr fontId="5"/>
  </si>
  <si>
    <t>自分と近い存在であるウィルスでありながら
気ままに暮らしているハッピーたちには
羨望のような感情を持っているようです</t>
    <phoneticPr fontId="5"/>
  </si>
  <si>
    <t>ウィルス</t>
    <phoneticPr fontId="5"/>
  </si>
  <si>
    <t>お邪魔パネルを吸収して攻撃(最大3個)</t>
    <rPh sb="7" eb="9">
      <t>キュウシュ</t>
    </rPh>
    <phoneticPr fontId="5"/>
  </si>
  <si>
    <t>3ターン全ユニットの回復力50%DOWN</t>
    <rPh sb="4" eb="5">
      <t>ゼンｙ</t>
    </rPh>
    <rPh sb="10" eb="13">
      <t>カイフｋ</t>
    </rPh>
    <phoneticPr fontId="5"/>
  </si>
  <si>
    <t>[effect:enemy_message, val1:1.2, val2:2.0],[effect:degrade_unit, target:unit_all, turn:3, status:heal, val:0.5, calc:mul, animation:degrade_unit_all_heal]</t>
    <phoneticPr fontId="5"/>
  </si>
  <si>
    <t>状態異常耐性
【敵のHP35％以下で即死級の攻撃！】</t>
    <rPh sb="0" eb="4">
      <t>ｊｙ</t>
    </rPh>
    <rPh sb="4" eb="6">
      <t>タイセ</t>
    </rPh>
    <rPh sb="8" eb="9">
      <t>テｋ</t>
    </rPh>
    <rPh sb="15" eb="17">
      <t>イカｄ</t>
    </rPh>
    <rPh sb="18" eb="24">
      <t>ソｋ</t>
    </rPh>
    <phoneticPr fontId="5"/>
  </si>
  <si>
    <t>状態異常耐性
【敵のHP30％以下で即死級の攻撃！】</t>
    <rPh sb="0" eb="4">
      <t>ｊｙ</t>
    </rPh>
    <rPh sb="4" eb="6">
      <t>タイセ</t>
    </rPh>
    <rPh sb="8" eb="9">
      <t>テｋ</t>
    </rPh>
    <rPh sb="15" eb="17">
      <t>イカｄ</t>
    </rPh>
    <rPh sb="18" eb="24">
      <t>ソｋ</t>
    </rPh>
    <phoneticPr fontId="5"/>
  </si>
  <si>
    <t xml:space="preserve">状態異常耐性+
Cパネル生成短縮(効果特大) </t>
    <rPh sb="0" eb="6">
      <t>ｊｙ</t>
    </rPh>
    <rPh sb="14" eb="16">
      <t>タンシュｋ</t>
    </rPh>
    <rPh sb="19" eb="21">
      <t>トｋ</t>
    </rPh>
    <phoneticPr fontId="5"/>
  </si>
  <si>
    <t>[effect:enemy_message, val1:1.9, val2:2.3],[effect:tolerance, target:myself, turn:-1, count:-1, tolerance_effect:all, animation:enemy_tolerance],[effect:fix_speed, target:myself, turn:1],[effect:crash_condition, target:unit_all, turn:-1, val:-3]</t>
    <phoneticPr fontId="5"/>
  </si>
  <si>
    <t>バハムートはハートパネルを
お邪魔パネルに変換します
あらかじめハートパネルを消して
回復しておきましょう</t>
    <phoneticPr fontId="5"/>
  </si>
  <si>
    <t>HELLRAISER</t>
    <phoneticPr fontId="5"/>
  </si>
  <si>
    <t>5ターン敵全体の攻撃力UP+
行動頻度UP</t>
    <rPh sb="4" eb="7">
      <t>テｋ</t>
    </rPh>
    <rPh sb="8" eb="11">
      <t>コウゲｋ</t>
    </rPh>
    <rPh sb="15" eb="17">
      <t>コウｄ</t>
    </rPh>
    <rPh sb="17" eb="19">
      <t>コウゲｋ</t>
    </rPh>
    <phoneticPr fontId="5"/>
  </si>
  <si>
    <t>[effect:enemy_message, val1:1.2, val2:2.1],[effect:enhance_enemy, target:enemy_all, turn:5, status:attack, val:0.3, calc:mul, animation:enemy_enhance_attack],[effect:fix_speed, target:myself, turn:1]</t>
    <phoneticPr fontId="5"/>
  </si>
  <si>
    <t>[effect:enemy_message, val1:1.2, val2:1.2],[effect:panel_freeze, target:normal, color:block_heart, count:-1]</t>
    <phoneticPr fontId="5"/>
  </si>
  <si>
    <t>[effect:enemy_message, val1:1.2, val2:1.2],[effect:panel_freeze, target:normal, color:block_heart, count:-1]</t>
    <phoneticPr fontId="5"/>
  </si>
  <si>
    <t>[effect:enemy_message, val1:1.2, val2:1.6],[effect:force_change_block, new_block:jammer, target:block_heart, count:0, val:0, animation:change_block]</t>
    <phoneticPr fontId="5"/>
  </si>
  <si>
    <t>[effect:enemy_message, val1:1.2, val2:1.4],[effect:force_change_block, new_block:jammer, target:block_heart, count:5, val:0, animation:change_block]</t>
    <phoneticPr fontId="5"/>
  </si>
  <si>
    <t>[effect:enemy_message, val1:1.2, val2:1.5],[effect:force_change_block, new_block:jammer, target:block_heart, count:10, val:0, animation:change_block]</t>
    <phoneticPr fontId="5"/>
  </si>
  <si>
    <t>全ユニットの攻撃力を30%UP</t>
    <phoneticPr fontId="5"/>
  </si>
  <si>
    <t>[effect:enemy_message, val1:1.2, val2:1.5],[effect:enhance_unit, target:unit_all, turn:-1, status:attack, val:0.3, calc:mul]</t>
    <phoneticPr fontId="5"/>
  </si>
  <si>
    <t>[effect:enemy_message, val1:1.2, val2:1.3],[effect:damage_gravity, val:0.8, animation:fevergauge_down]</t>
    <phoneticPr fontId="5"/>
  </si>
  <si>
    <t>[effect:enemy_message, val1:1.2, val2:1.3],[effect:damage_gravity, val:0.8, animation:fevergauge_down]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</si>
</sst>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8" xfId="0" applyFont="1" applyFill="1" applyBorder="1" applyAlignment="1">
      <alignment vertical="center"/>
    </xf>
    <xf numFmtId="0" fontId="6" fillId="5" borderId="6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6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6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9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6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vertical="center"/>
    </xf>
    <xf numFmtId="0" fontId="16" fillId="3" borderId="6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horizontal="left" vertical="center" wrapText="1"/>
    </xf>
    <xf numFmtId="14" fontId="16" fillId="0" borderId="6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6" xfId="0" applyFont="1" applyFill="1" applyBorder="1"/>
    <xf numFmtId="0" fontId="0" fillId="11" borderId="6" xfId="0" applyFill="1" applyBorder="1"/>
    <xf numFmtId="0" fontId="0" fillId="0" borderId="6" xfId="0" applyBorder="1"/>
    <xf numFmtId="0" fontId="0" fillId="6" borderId="6" xfId="0" applyFill="1" applyBorder="1"/>
    <xf numFmtId="0" fontId="26" fillId="12" borderId="6" xfId="0" applyFont="1" applyFill="1" applyBorder="1"/>
    <xf numFmtId="0" fontId="13" fillId="11" borderId="6" xfId="434" applyFont="1" applyFill="1" applyBorder="1" applyAlignment="1"/>
    <xf numFmtId="0" fontId="24" fillId="0" borderId="6" xfId="434" applyBorder="1" applyAlignment="1"/>
    <xf numFmtId="0" fontId="0" fillId="13" borderId="6" xfId="0" applyFill="1" applyBorder="1"/>
    <xf numFmtId="0" fontId="16" fillId="3" borderId="6" xfId="0" applyFont="1" applyFill="1" applyBorder="1" applyAlignment="1">
      <alignment horizontal="left" vertical="center" wrapText="1"/>
    </xf>
    <xf numFmtId="0" fontId="16" fillId="6" borderId="6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6" xfId="615" applyFont="1" applyFill="1" applyBorder="1"/>
    <xf numFmtId="0" fontId="0" fillId="0" borderId="6" xfId="615" applyFont="1" applyBorder="1"/>
    <xf numFmtId="0" fontId="2" fillId="11" borderId="6" xfId="615" applyFill="1" applyBorder="1"/>
    <xf numFmtId="0" fontId="4" fillId="0" borderId="6" xfId="0" applyFont="1" applyBorder="1" applyAlignment="1">
      <alignment vertical="center"/>
    </xf>
    <xf numFmtId="0" fontId="6" fillId="5" borderId="10" xfId="0" applyFont="1" applyFill="1" applyBorder="1" applyAlignment="1">
      <alignment vertical="center"/>
    </xf>
    <xf numFmtId="0" fontId="0" fillId="3" borderId="6" xfId="0" applyFill="1" applyBorder="1"/>
    <xf numFmtId="0" fontId="16" fillId="3" borderId="6" xfId="614" applyFont="1" applyFill="1" applyBorder="1" applyAlignment="1">
      <alignment horizontal="left"/>
    </xf>
    <xf numFmtId="0" fontId="16" fillId="6" borderId="6" xfId="0" applyFont="1" applyFill="1" applyBorder="1" applyAlignment="1">
      <alignment horizontal="center"/>
    </xf>
    <xf numFmtId="56" fontId="16" fillId="6" borderId="6" xfId="0" applyNumberFormat="1" applyFont="1" applyFill="1" applyBorder="1" applyAlignment="1">
      <alignment horizontal="center"/>
    </xf>
    <xf numFmtId="0" fontId="2" fillId="0" borderId="0" xfId="615"/>
    <xf numFmtId="0" fontId="27" fillId="6" borderId="6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6" fillId="14" borderId="6" xfId="0" applyFont="1" applyFill="1" applyBorder="1" applyAlignment="1">
      <alignment horizontal="center"/>
    </xf>
    <xf numFmtId="0" fontId="16" fillId="15" borderId="6" xfId="0" applyFont="1" applyFill="1" applyBorder="1" applyAlignment="1">
      <alignment horizontal="center"/>
    </xf>
    <xf numFmtId="0" fontId="0" fillId="15" borderId="6" xfId="0" applyFill="1" applyBorder="1"/>
    <xf numFmtId="0" fontId="27" fillId="0" borderId="6" xfId="0" applyFont="1" applyFill="1" applyBorder="1"/>
    <xf numFmtId="0" fontId="28" fillId="0" borderId="6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6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6" xfId="0" applyFont="1" applyFill="1" applyBorder="1"/>
    <xf numFmtId="0" fontId="31" fillId="0" borderId="6" xfId="0" applyFont="1" applyFill="1" applyBorder="1"/>
    <xf numFmtId="0" fontId="27" fillId="0" borderId="0" xfId="0" applyFont="1" applyFill="1"/>
    <xf numFmtId="0" fontId="16" fillId="30" borderId="6" xfId="0" applyFont="1" applyFill="1" applyBorder="1" applyAlignment="1">
      <alignment horizontal="center"/>
    </xf>
    <xf numFmtId="0" fontId="30" fillId="30" borderId="6" xfId="0" applyFont="1" applyFill="1" applyBorder="1"/>
    <xf numFmtId="0" fontId="16" fillId="13" borderId="6" xfId="0" applyFont="1" applyFill="1" applyBorder="1" applyAlignment="1">
      <alignment horizontal="center"/>
    </xf>
    <xf numFmtId="56" fontId="16" fillId="14" borderId="6" xfId="0" applyNumberFormat="1" applyFont="1" applyFill="1" applyBorder="1" applyAlignment="1">
      <alignment horizontal="center"/>
    </xf>
    <xf numFmtId="0" fontId="31" fillId="14" borderId="6" xfId="0" applyFont="1" applyFill="1" applyBorder="1"/>
    <xf numFmtId="38" fontId="16" fillId="14" borderId="6" xfId="628" applyFont="1" applyFill="1" applyBorder="1" applyAlignment="1"/>
    <xf numFmtId="0" fontId="16" fillId="6" borderId="6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6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6" xfId="0" applyFont="1" applyFill="1" applyBorder="1"/>
    <xf numFmtId="22" fontId="30" fillId="0" borderId="6" xfId="0" quotePrefix="1" applyNumberFormat="1" applyFont="1" applyFill="1" applyBorder="1"/>
    <xf numFmtId="0" fontId="30" fillId="0" borderId="6" xfId="0" quotePrefix="1" applyFont="1" applyFill="1" applyBorder="1"/>
    <xf numFmtId="0" fontId="2" fillId="0" borderId="6" xfId="615" applyBorder="1"/>
    <xf numFmtId="0" fontId="2" fillId="6" borderId="6" xfId="615" applyFill="1" applyBorder="1"/>
    <xf numFmtId="0" fontId="4" fillId="31" borderId="6" xfId="0" applyFont="1" applyFill="1" applyBorder="1" applyAlignment="1">
      <alignment horizontal="left" vertical="center"/>
    </xf>
    <xf numFmtId="1" fontId="32" fillId="31" borderId="6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0" fillId="3" borderId="6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/>
    </xf>
    <xf numFmtId="0" fontId="12" fillId="32" borderId="1" xfId="0" applyFont="1" applyFill="1" applyBorder="1" applyAlignment="1">
      <alignment vertical="center"/>
    </xf>
    <xf numFmtId="38" fontId="16" fillId="0" borderId="6" xfId="628" applyFont="1" applyFill="1" applyBorder="1" applyAlignment="1">
      <alignment wrapText="1"/>
    </xf>
    <xf numFmtId="0" fontId="16" fillId="33" borderId="6" xfId="0" applyFont="1" applyFill="1" applyBorder="1" applyAlignment="1">
      <alignment vertical="center"/>
    </xf>
    <xf numFmtId="0" fontId="16" fillId="33" borderId="6" xfId="0" applyFont="1" applyFill="1" applyBorder="1" applyAlignment="1">
      <alignment horizontal="left" vertical="center"/>
    </xf>
    <xf numFmtId="0" fontId="16" fillId="33" borderId="6" xfId="0" applyFont="1" applyFill="1" applyBorder="1" applyAlignment="1">
      <alignment horizontal="left" vertical="center" wrapText="1"/>
    </xf>
    <xf numFmtId="14" fontId="16" fillId="33" borderId="6" xfId="0" applyNumberFormat="1" applyFont="1" applyFill="1" applyBorder="1" applyAlignment="1">
      <alignment horizontal="left" vertical="center"/>
    </xf>
    <xf numFmtId="0" fontId="16" fillId="33" borderId="0" xfId="0" applyFont="1" applyFill="1" applyAlignment="1">
      <alignment vertical="center"/>
    </xf>
    <xf numFmtId="0" fontId="16" fillId="34" borderId="6" xfId="0" applyFont="1" applyFill="1" applyBorder="1" applyAlignment="1">
      <alignment vertical="center"/>
    </xf>
    <xf numFmtId="0" fontId="16" fillId="34" borderId="6" xfId="0" applyFont="1" applyFill="1" applyBorder="1" applyAlignment="1">
      <alignment horizontal="left" vertical="center"/>
    </xf>
    <xf numFmtId="0" fontId="16" fillId="34" borderId="6" xfId="0" applyFont="1" applyFill="1" applyBorder="1" applyAlignment="1">
      <alignment horizontal="left" vertical="center" wrapText="1"/>
    </xf>
    <xf numFmtId="14" fontId="16" fillId="34" borderId="6" xfId="0" applyNumberFormat="1" applyFont="1" applyFill="1" applyBorder="1" applyAlignment="1">
      <alignment horizontal="left" vertical="center"/>
    </xf>
    <xf numFmtId="0" fontId="16" fillId="34" borderId="0" xfId="0" applyFont="1" applyFill="1" applyAlignment="1">
      <alignment vertical="center"/>
    </xf>
    <xf numFmtId="0" fontId="16" fillId="6" borderId="6" xfId="0" applyFont="1" applyFill="1" applyBorder="1" applyAlignment="1">
      <alignment vertical="center"/>
    </xf>
    <xf numFmtId="0" fontId="16" fillId="35" borderId="6" xfId="0" applyFont="1" applyFill="1" applyBorder="1" applyAlignment="1">
      <alignment vertical="center"/>
    </xf>
    <xf numFmtId="0" fontId="16" fillId="32" borderId="6" xfId="0" applyFont="1" applyFill="1" applyBorder="1" applyAlignment="1">
      <alignment vertical="center"/>
    </xf>
    <xf numFmtId="0" fontId="14" fillId="32" borderId="6" xfId="0" applyFont="1" applyFill="1" applyBorder="1" applyAlignment="1">
      <alignment vertical="center"/>
    </xf>
    <xf numFmtId="0" fontId="16" fillId="13" borderId="6" xfId="0" applyFont="1" applyFill="1" applyBorder="1" applyAlignment="1">
      <alignment horizontal="left" vertical="center" wrapText="1"/>
    </xf>
    <xf numFmtId="0" fontId="16" fillId="36" borderId="6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48101</v>
          </cell>
        </row>
        <row r="259">
          <cell r="A259">
            <v>48501</v>
          </cell>
        </row>
        <row r="260">
          <cell r="A260">
            <v>48502</v>
          </cell>
        </row>
        <row r="261">
          <cell r="A261">
            <v>48503</v>
          </cell>
        </row>
        <row r="262">
          <cell r="A262">
            <v>48701</v>
          </cell>
        </row>
        <row r="263">
          <cell r="A263">
            <v>48702</v>
          </cell>
        </row>
        <row r="264">
          <cell r="A264">
            <v>41001</v>
          </cell>
        </row>
        <row r="265">
          <cell r="A265">
            <v>41002</v>
          </cell>
        </row>
        <row r="266">
          <cell r="A266">
            <v>41003</v>
          </cell>
        </row>
        <row r="267">
          <cell r="A267">
            <v>41004</v>
          </cell>
        </row>
        <row r="268">
          <cell r="A268">
            <v>41005</v>
          </cell>
        </row>
        <row r="269">
          <cell r="A269">
            <v>41006</v>
          </cell>
        </row>
        <row r="270">
          <cell r="A270">
            <v>41007</v>
          </cell>
        </row>
        <row r="271">
          <cell r="A271">
            <v>41008</v>
          </cell>
        </row>
        <row r="272">
          <cell r="A272">
            <v>41009</v>
          </cell>
        </row>
        <row r="273">
          <cell r="A273">
            <v>41010</v>
          </cell>
        </row>
        <row r="274">
          <cell r="A274">
            <v>41011</v>
          </cell>
        </row>
        <row r="275">
          <cell r="A275">
            <v>41012</v>
          </cell>
        </row>
        <row r="276">
          <cell r="A276">
            <v>41013</v>
          </cell>
        </row>
        <row r="277">
          <cell r="A277">
            <v>41014</v>
          </cell>
        </row>
        <row r="278">
          <cell r="A278">
            <v>41015</v>
          </cell>
        </row>
        <row r="279">
          <cell r="A279">
            <v>47001</v>
          </cell>
        </row>
        <row r="280">
          <cell r="A280">
            <v>47002</v>
          </cell>
        </row>
        <row r="281">
          <cell r="A281">
            <v>47003</v>
          </cell>
        </row>
        <row r="282">
          <cell r="A282">
            <v>47004</v>
          </cell>
        </row>
        <row r="283">
          <cell r="A283">
            <v>47005</v>
          </cell>
        </row>
        <row r="284">
          <cell r="A284">
            <v>47006</v>
          </cell>
        </row>
        <row r="285">
          <cell r="A285">
            <v>47007</v>
          </cell>
        </row>
        <row r="286">
          <cell r="A286">
            <v>47008</v>
          </cell>
        </row>
        <row r="287">
          <cell r="A287">
            <v>47009</v>
          </cell>
        </row>
        <row r="288">
          <cell r="A288">
            <v>47010</v>
          </cell>
        </row>
        <row r="289">
          <cell r="A289">
            <v>47011</v>
          </cell>
        </row>
        <row r="290">
          <cell r="A290">
            <v>47012</v>
          </cell>
        </row>
        <row r="291">
          <cell r="A291">
            <v>47013</v>
          </cell>
        </row>
        <row r="292">
          <cell r="A292">
            <v>47014</v>
          </cell>
        </row>
        <row r="293">
          <cell r="A293">
            <v>47015</v>
          </cell>
        </row>
        <row r="294">
          <cell r="A294">
            <v>47016</v>
          </cell>
        </row>
        <row r="295">
          <cell r="A295">
            <v>49001</v>
          </cell>
        </row>
        <row r="296">
          <cell r="A296">
            <v>49002</v>
          </cell>
        </row>
        <row r="297">
          <cell r="A297">
            <v>49003</v>
          </cell>
        </row>
        <row r="298">
          <cell r="A298">
            <v>49004</v>
          </cell>
        </row>
        <row r="299">
          <cell r="A299">
            <v>49005</v>
          </cell>
        </row>
        <row r="300">
          <cell r="A300">
            <v>49006</v>
          </cell>
        </row>
        <row r="301">
          <cell r="A301">
            <v>49007</v>
          </cell>
        </row>
        <row r="302">
          <cell r="A302">
            <v>49008</v>
          </cell>
        </row>
        <row r="303">
          <cell r="A303">
            <v>49009</v>
          </cell>
        </row>
        <row r="304">
          <cell r="A304">
            <v>49010</v>
          </cell>
        </row>
        <row r="305">
          <cell r="A305">
            <v>49011</v>
          </cell>
        </row>
        <row r="306">
          <cell r="A306">
            <v>49012</v>
          </cell>
        </row>
        <row r="307">
          <cell r="A307">
            <v>49013</v>
          </cell>
        </row>
        <row r="308">
          <cell r="A308">
            <v>49014</v>
          </cell>
        </row>
        <row r="309">
          <cell r="A309">
            <v>49015</v>
          </cell>
        </row>
        <row r="310">
          <cell r="A310">
            <v>49016</v>
          </cell>
        </row>
        <row r="311">
          <cell r="A311">
            <v>50001</v>
          </cell>
        </row>
        <row r="312">
          <cell r="A312">
            <v>50002</v>
          </cell>
        </row>
        <row r="313">
          <cell r="A313">
            <v>50003</v>
          </cell>
        </row>
        <row r="314">
          <cell r="A314">
            <v>50004</v>
          </cell>
        </row>
        <row r="315">
          <cell r="A315">
            <v>50005</v>
          </cell>
        </row>
        <row r="316">
          <cell r="A316">
            <v>50006</v>
          </cell>
        </row>
        <row r="317">
          <cell r="A317">
            <v>50007</v>
          </cell>
        </row>
        <row r="318">
          <cell r="A318">
            <v>50008</v>
          </cell>
        </row>
        <row r="319">
          <cell r="A319">
            <v>50009</v>
          </cell>
        </row>
        <row r="320">
          <cell r="A320">
            <v>50010</v>
          </cell>
        </row>
        <row r="321">
          <cell r="A321">
            <v>50011</v>
          </cell>
        </row>
        <row r="322">
          <cell r="A322">
            <v>50012</v>
          </cell>
        </row>
        <row r="323">
          <cell r="A323">
            <v>50013</v>
          </cell>
        </row>
        <row r="324">
          <cell r="A324">
            <v>50014</v>
          </cell>
        </row>
        <row r="325">
          <cell r="A325">
            <v>50015</v>
          </cell>
        </row>
        <row r="326">
          <cell r="A326">
            <v>50016</v>
          </cell>
        </row>
        <row r="327">
          <cell r="A327">
            <v>51001</v>
          </cell>
        </row>
        <row r="328">
          <cell r="A328">
            <v>51002</v>
          </cell>
        </row>
        <row r="329">
          <cell r="A329">
            <v>58001</v>
          </cell>
        </row>
        <row r="330">
          <cell r="A330">
            <v>58002</v>
          </cell>
        </row>
        <row r="331">
          <cell r="A331">
            <v>58003</v>
          </cell>
        </row>
        <row r="332">
          <cell r="A332">
            <v>58101</v>
          </cell>
        </row>
        <row r="333">
          <cell r="A333">
            <v>59001</v>
          </cell>
        </row>
        <row r="334">
          <cell r="A334">
            <v>59002</v>
          </cell>
        </row>
        <row r="335">
          <cell r="A335">
            <v>59003</v>
          </cell>
        </row>
        <row r="336">
          <cell r="A336">
            <v>60001</v>
          </cell>
        </row>
        <row r="337">
          <cell r="A337">
            <v>60002</v>
          </cell>
        </row>
        <row r="338">
          <cell r="A338">
            <v>60003</v>
          </cell>
        </row>
        <row r="339">
          <cell r="A339">
            <v>60004</v>
          </cell>
        </row>
        <row r="340">
          <cell r="A340">
            <v>60005</v>
          </cell>
        </row>
        <row r="341">
          <cell r="A341">
            <v>60006</v>
          </cell>
        </row>
        <row r="342">
          <cell r="A342">
            <v>60007</v>
          </cell>
        </row>
        <row r="343">
          <cell r="A343">
            <v>60010</v>
          </cell>
        </row>
        <row r="344">
          <cell r="A344">
            <v>60011</v>
          </cell>
        </row>
        <row r="345">
          <cell r="A345">
            <v>61011</v>
          </cell>
        </row>
        <row r="346">
          <cell r="A346">
            <v>60012</v>
          </cell>
        </row>
        <row r="347">
          <cell r="A347">
            <v>60013</v>
          </cell>
        </row>
        <row r="348">
          <cell r="A348">
            <v>60014</v>
          </cell>
        </row>
        <row r="349">
          <cell r="A349">
            <v>60015</v>
          </cell>
        </row>
        <row r="350">
          <cell r="A350">
            <v>60016</v>
          </cell>
        </row>
        <row r="351">
          <cell r="A351">
            <v>60017</v>
          </cell>
        </row>
        <row r="352">
          <cell r="A352">
            <v>60018</v>
          </cell>
        </row>
        <row r="353">
          <cell r="A353">
            <v>60019</v>
          </cell>
        </row>
        <row r="354">
          <cell r="A354">
            <v>60020</v>
          </cell>
        </row>
        <row r="355">
          <cell r="A355">
            <v>60025</v>
          </cell>
        </row>
        <row r="356">
          <cell r="A356">
            <v>60026</v>
          </cell>
        </row>
        <row r="357">
          <cell r="A357">
            <v>60027</v>
          </cell>
        </row>
        <row r="358">
          <cell r="A358">
            <v>60028</v>
          </cell>
        </row>
        <row r="359">
          <cell r="A359">
            <v>60029</v>
          </cell>
        </row>
        <row r="360">
          <cell r="A360">
            <v>60030</v>
          </cell>
        </row>
        <row r="361">
          <cell r="A361">
            <v>60031</v>
          </cell>
        </row>
        <row r="362">
          <cell r="A362">
            <v>65523</v>
          </cell>
        </row>
        <row r="363">
          <cell r="A363">
            <v>65524</v>
          </cell>
        </row>
        <row r="364">
          <cell r="A364">
            <v>65525</v>
          </cell>
        </row>
        <row r="365">
          <cell r="A365">
            <v>65526</v>
          </cell>
        </row>
        <row r="366">
          <cell r="A366">
            <v>65527</v>
          </cell>
        </row>
        <row r="367">
          <cell r="A367">
            <v>65528</v>
          </cell>
        </row>
        <row r="368">
          <cell r="A368">
            <v>65529</v>
          </cell>
        </row>
        <row r="369">
          <cell r="A369">
            <v>65530</v>
          </cell>
        </row>
        <row r="370">
          <cell r="A370">
            <v>65531</v>
          </cell>
        </row>
        <row r="371">
          <cell r="A371">
            <v>65532</v>
          </cell>
        </row>
        <row r="372">
          <cell r="A372">
            <v>65533</v>
          </cell>
        </row>
        <row r="373">
          <cell r="A373">
            <v>65534</v>
          </cell>
        </row>
        <row r="374">
          <cell r="A374">
            <v>65535</v>
          </cell>
        </row>
        <row r="375">
          <cell r="A375">
            <v>60021</v>
          </cell>
        </row>
        <row r="376">
          <cell r="A376">
            <v>60022</v>
          </cell>
        </row>
        <row r="377">
          <cell r="A377">
            <v>60023</v>
          </cell>
        </row>
        <row r="378">
          <cell r="A37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41004_1</v>
          </cell>
        </row>
        <row r="819">
          <cell r="A819" t="str">
            <v>41004_2</v>
          </cell>
        </row>
        <row r="820">
          <cell r="A820" t="str">
            <v>41004_3</v>
          </cell>
        </row>
        <row r="821">
          <cell r="A821" t="str">
            <v>41005_1</v>
          </cell>
        </row>
        <row r="822">
          <cell r="A822" t="str">
            <v>41005_2</v>
          </cell>
        </row>
        <row r="823">
          <cell r="A823" t="str">
            <v>41005_3</v>
          </cell>
        </row>
        <row r="824">
          <cell r="A824" t="str">
            <v>41006_1</v>
          </cell>
        </row>
        <row r="825">
          <cell r="A825" t="str">
            <v>41006_2</v>
          </cell>
        </row>
        <row r="826">
          <cell r="A826" t="str">
            <v>41006_3</v>
          </cell>
        </row>
        <row r="827">
          <cell r="A827" t="str">
            <v>41007_1</v>
          </cell>
        </row>
        <row r="828">
          <cell r="A828" t="str">
            <v>41007_2</v>
          </cell>
        </row>
        <row r="829">
          <cell r="A829" t="str">
            <v>41007_3</v>
          </cell>
        </row>
        <row r="830">
          <cell r="A830" t="str">
            <v>41008_1</v>
          </cell>
        </row>
        <row r="831">
          <cell r="A831" t="str">
            <v>41008_2</v>
          </cell>
        </row>
        <row r="832">
          <cell r="A832" t="str">
            <v>41008_3</v>
          </cell>
        </row>
        <row r="833">
          <cell r="A833" t="str">
            <v>41009_1</v>
          </cell>
        </row>
        <row r="834">
          <cell r="A834" t="str">
            <v>41009_2</v>
          </cell>
        </row>
        <row r="835">
          <cell r="A835" t="str">
            <v>41009_3</v>
          </cell>
        </row>
        <row r="836">
          <cell r="A836" t="str">
            <v>41010_1</v>
          </cell>
        </row>
        <row r="837">
          <cell r="A837" t="str">
            <v>41010_2</v>
          </cell>
        </row>
        <row r="838">
          <cell r="A838" t="str">
            <v>41010_3</v>
          </cell>
        </row>
        <row r="839">
          <cell r="A839" t="str">
            <v>41011_1</v>
          </cell>
        </row>
        <row r="840">
          <cell r="A840" t="str">
            <v>41011_2</v>
          </cell>
        </row>
        <row r="841">
          <cell r="A841" t="str">
            <v>41012_1</v>
          </cell>
        </row>
        <row r="842">
          <cell r="A842" t="str">
            <v>41012_2</v>
          </cell>
        </row>
        <row r="843">
          <cell r="A843" t="str">
            <v>41013_1</v>
          </cell>
        </row>
        <row r="844">
          <cell r="A844" t="str">
            <v>41013_2</v>
          </cell>
        </row>
        <row r="845">
          <cell r="A845" t="str">
            <v>41014_1</v>
          </cell>
        </row>
        <row r="846">
          <cell r="A846" t="str">
            <v>41014_2</v>
          </cell>
        </row>
        <row r="847">
          <cell r="A847" t="str">
            <v>41015_1</v>
          </cell>
        </row>
        <row r="848">
          <cell r="A848" t="str">
            <v>41015_2</v>
          </cell>
        </row>
        <row r="849">
          <cell r="A849" t="str">
            <v>47001_1</v>
          </cell>
        </row>
        <row r="850">
          <cell r="A850" t="str">
            <v>47001_2</v>
          </cell>
        </row>
        <row r="851">
          <cell r="A851" t="str">
            <v>47002_1</v>
          </cell>
        </row>
        <row r="852">
          <cell r="A852" t="str">
            <v>47002_2</v>
          </cell>
        </row>
        <row r="853">
          <cell r="A853" t="str">
            <v>47003_1</v>
          </cell>
        </row>
        <row r="854">
          <cell r="A854" t="str">
            <v>47003_2</v>
          </cell>
        </row>
        <row r="855">
          <cell r="A855" t="str">
            <v>47003_3</v>
          </cell>
        </row>
        <row r="856">
          <cell r="A856" t="str">
            <v>47003_4</v>
          </cell>
        </row>
        <row r="857">
          <cell r="A857" t="str">
            <v>47004_1</v>
          </cell>
        </row>
        <row r="858">
          <cell r="A858" t="str">
            <v>47004_2</v>
          </cell>
        </row>
        <row r="859">
          <cell r="A859" t="str">
            <v>47004_3</v>
          </cell>
        </row>
        <row r="860">
          <cell r="A860" t="str">
            <v>47004_4</v>
          </cell>
        </row>
        <row r="861">
          <cell r="A861" t="str">
            <v>47005_1</v>
          </cell>
        </row>
        <row r="862">
          <cell r="A862" t="str">
            <v>47006_1</v>
          </cell>
        </row>
        <row r="863">
          <cell r="A863" t="str">
            <v>47006_2</v>
          </cell>
        </row>
        <row r="864">
          <cell r="A864" t="str">
            <v>47007_1</v>
          </cell>
        </row>
        <row r="865">
          <cell r="A865" t="str">
            <v>47007_2</v>
          </cell>
        </row>
        <row r="866">
          <cell r="A866" t="str">
            <v>47008_1</v>
          </cell>
        </row>
        <row r="867">
          <cell r="A867" t="str">
            <v>47008_2</v>
          </cell>
        </row>
        <row r="868">
          <cell r="A868" t="str">
            <v>47009_1</v>
          </cell>
        </row>
        <row r="869">
          <cell r="A869" t="str">
            <v>47009_2</v>
          </cell>
        </row>
        <row r="870">
          <cell r="A870" t="str">
            <v>47010_1</v>
          </cell>
        </row>
        <row r="871">
          <cell r="A871" t="str">
            <v>47010_2</v>
          </cell>
        </row>
        <row r="872">
          <cell r="A872" t="str">
            <v>47011_1</v>
          </cell>
        </row>
        <row r="873">
          <cell r="A873" t="str">
            <v>47012_1</v>
          </cell>
        </row>
        <row r="874">
          <cell r="A874" t="str">
            <v>47012_2</v>
          </cell>
        </row>
        <row r="875">
          <cell r="A875" t="str">
            <v>47013_1</v>
          </cell>
        </row>
        <row r="876">
          <cell r="A876" t="str">
            <v>47013_2</v>
          </cell>
        </row>
        <row r="877">
          <cell r="A877" t="str">
            <v>47013_3</v>
          </cell>
        </row>
        <row r="878">
          <cell r="A878" t="str">
            <v>47013_4</v>
          </cell>
        </row>
        <row r="879">
          <cell r="A879" t="str">
            <v>47014_1</v>
          </cell>
        </row>
        <row r="880">
          <cell r="A880" t="str">
            <v>47014_2</v>
          </cell>
        </row>
        <row r="881">
          <cell r="A881" t="str">
            <v>47014_3</v>
          </cell>
        </row>
        <row r="882">
          <cell r="A882" t="str">
            <v>47015_1</v>
          </cell>
        </row>
        <row r="883">
          <cell r="A883" t="str">
            <v>47015_2</v>
          </cell>
        </row>
        <row r="884">
          <cell r="A884" t="str">
            <v>47015_3</v>
          </cell>
        </row>
        <row r="885">
          <cell r="A885" t="str">
            <v>47016_1</v>
          </cell>
        </row>
        <row r="886">
          <cell r="A886" t="str">
            <v>47016_2</v>
          </cell>
        </row>
        <row r="887">
          <cell r="A887" t="str">
            <v>47016_3</v>
          </cell>
        </row>
        <row r="888">
          <cell r="A888" t="str">
            <v>48001_1</v>
          </cell>
        </row>
        <row r="889">
          <cell r="A889" t="str">
            <v>48002_1</v>
          </cell>
        </row>
        <row r="890">
          <cell r="A890" t="str">
            <v>48002_2</v>
          </cell>
        </row>
        <row r="891">
          <cell r="A891" t="str">
            <v>48002_3</v>
          </cell>
        </row>
        <row r="892">
          <cell r="A892" t="str">
            <v>48003_1</v>
          </cell>
        </row>
        <row r="893">
          <cell r="A893" t="str">
            <v>48003_2</v>
          </cell>
        </row>
        <row r="894">
          <cell r="A894" t="str">
            <v>48004_1</v>
          </cell>
        </row>
        <row r="895">
          <cell r="A895" t="str">
            <v>48004_2</v>
          </cell>
        </row>
        <row r="896">
          <cell r="A896" t="str">
            <v>48005_1</v>
          </cell>
        </row>
        <row r="897">
          <cell r="A897" t="str">
            <v>48005_2</v>
          </cell>
        </row>
        <row r="898">
          <cell r="A898" t="str">
            <v>48006_1</v>
          </cell>
        </row>
        <row r="899">
          <cell r="A899" t="str">
            <v>48006_2</v>
          </cell>
        </row>
        <row r="900">
          <cell r="A900" t="str">
            <v>48007_1</v>
          </cell>
        </row>
        <row r="901">
          <cell r="A901" t="str">
            <v>48007_2</v>
          </cell>
        </row>
        <row r="902">
          <cell r="A902" t="str">
            <v>48008_1</v>
          </cell>
        </row>
        <row r="903">
          <cell r="A903" t="str">
            <v>48008_2</v>
          </cell>
        </row>
        <row r="904">
          <cell r="A904" t="str">
            <v>48009_1</v>
          </cell>
        </row>
        <row r="905">
          <cell r="A905" t="str">
            <v>48009_2</v>
          </cell>
        </row>
        <row r="906">
          <cell r="A906" t="str">
            <v>48010_1</v>
          </cell>
        </row>
        <row r="907">
          <cell r="A907" t="str">
            <v>48011_1</v>
          </cell>
        </row>
        <row r="908">
          <cell r="A908" t="str">
            <v>48011_2</v>
          </cell>
        </row>
        <row r="909">
          <cell r="A909" t="str">
            <v>48012_1</v>
          </cell>
        </row>
        <row r="910">
          <cell r="A910" t="str">
            <v>48012_2</v>
          </cell>
        </row>
        <row r="911">
          <cell r="A911" t="str">
            <v>48013_1</v>
          </cell>
        </row>
        <row r="912">
          <cell r="A912" t="str">
            <v>48013_2</v>
          </cell>
        </row>
        <row r="913">
          <cell r="A913" t="str">
            <v>48014_1</v>
          </cell>
        </row>
        <row r="914">
          <cell r="A914" t="str">
            <v>48014_2</v>
          </cell>
        </row>
        <row r="915">
          <cell r="A915" t="str">
            <v>48015_1</v>
          </cell>
        </row>
        <row r="916">
          <cell r="A916" t="str">
            <v>48015_2</v>
          </cell>
        </row>
        <row r="917">
          <cell r="A917" t="str">
            <v>48101_1</v>
          </cell>
        </row>
        <row r="918">
          <cell r="A918" t="str">
            <v>48101_2</v>
          </cell>
        </row>
        <row r="919">
          <cell r="A919" t="str">
            <v>48501_1</v>
          </cell>
        </row>
        <row r="920">
          <cell r="A920" t="str">
            <v>48501_2</v>
          </cell>
        </row>
        <row r="921">
          <cell r="A921" t="str">
            <v>48502_1</v>
          </cell>
        </row>
        <row r="922">
          <cell r="A922" t="str">
            <v>48502_2</v>
          </cell>
        </row>
        <row r="923">
          <cell r="A923" t="str">
            <v>48503_1</v>
          </cell>
        </row>
        <row r="924">
          <cell r="A924" t="str">
            <v>48503_2</v>
          </cell>
        </row>
        <row r="925">
          <cell r="A925" t="str">
            <v>48701_1</v>
          </cell>
        </row>
        <row r="926">
          <cell r="A926" t="str">
            <v>48701_2</v>
          </cell>
        </row>
        <row r="927">
          <cell r="A927" t="str">
            <v>48702_1</v>
          </cell>
        </row>
        <row r="928">
          <cell r="A928" t="str">
            <v>48702_2</v>
          </cell>
        </row>
        <row r="929">
          <cell r="A929" t="str">
            <v>49001_1</v>
          </cell>
        </row>
        <row r="930">
          <cell r="A930" t="str">
            <v>49002_1</v>
          </cell>
        </row>
        <row r="931">
          <cell r="A931" t="str">
            <v>49002_2</v>
          </cell>
        </row>
        <row r="932">
          <cell r="A932" t="str">
            <v>49003_1</v>
          </cell>
        </row>
        <row r="933">
          <cell r="A933" t="str">
            <v>49003_2</v>
          </cell>
        </row>
        <row r="934">
          <cell r="A934" t="str">
            <v>49004_1</v>
          </cell>
        </row>
        <row r="935">
          <cell r="A935" t="str">
            <v>49004_2</v>
          </cell>
        </row>
        <row r="936">
          <cell r="A936" t="str">
            <v>49004_3</v>
          </cell>
        </row>
        <row r="937">
          <cell r="A937" t="str">
            <v>49005_1</v>
          </cell>
        </row>
        <row r="938">
          <cell r="A938" t="str">
            <v>49006_1</v>
          </cell>
        </row>
        <row r="939">
          <cell r="A939" t="str">
            <v>49006_2</v>
          </cell>
        </row>
        <row r="940">
          <cell r="A940" t="str">
            <v>49007_1</v>
          </cell>
        </row>
        <row r="941">
          <cell r="A941" t="str">
            <v>49007_2</v>
          </cell>
        </row>
        <row r="942">
          <cell r="A942" t="str">
            <v>49007_3</v>
          </cell>
        </row>
        <row r="943">
          <cell r="A943" t="str">
            <v>49008_1</v>
          </cell>
        </row>
        <row r="944">
          <cell r="A944" t="str">
            <v>49009_1</v>
          </cell>
        </row>
        <row r="945">
          <cell r="A945" t="str">
            <v>49010_1</v>
          </cell>
        </row>
        <row r="946">
          <cell r="A946" t="str">
            <v>49011_1</v>
          </cell>
        </row>
        <row r="947">
          <cell r="A947" t="str">
            <v>49012_1</v>
          </cell>
        </row>
        <row r="948">
          <cell r="A948" t="str">
            <v>49013_1</v>
          </cell>
        </row>
        <row r="949">
          <cell r="A949" t="str">
            <v>49014_1</v>
          </cell>
        </row>
        <row r="950">
          <cell r="A950" t="str">
            <v>49014_2</v>
          </cell>
        </row>
        <row r="951">
          <cell r="A951" t="str">
            <v>49015_1</v>
          </cell>
        </row>
        <row r="952">
          <cell r="A952" t="str">
            <v>49015_2</v>
          </cell>
        </row>
        <row r="953">
          <cell r="A953" t="str">
            <v>49015_3</v>
          </cell>
        </row>
        <row r="954">
          <cell r="A954" t="str">
            <v>49016_1</v>
          </cell>
        </row>
        <row r="955">
          <cell r="A955" t="str">
            <v>49016_2</v>
          </cell>
        </row>
        <row r="956">
          <cell r="A956" t="str">
            <v>50001_1</v>
          </cell>
        </row>
        <row r="957">
          <cell r="A957" t="str">
            <v>50002_1</v>
          </cell>
        </row>
        <row r="958">
          <cell r="A958" t="str">
            <v>50003_1</v>
          </cell>
        </row>
        <row r="959">
          <cell r="A959" t="str">
            <v>50004_1</v>
          </cell>
        </row>
        <row r="960">
          <cell r="A960" t="str">
            <v>50005_1</v>
          </cell>
        </row>
        <row r="961">
          <cell r="A961" t="str">
            <v>50006_1</v>
          </cell>
        </row>
        <row r="962">
          <cell r="A962" t="str">
            <v>50007_1</v>
          </cell>
        </row>
        <row r="963">
          <cell r="A963" t="str">
            <v>50008_1</v>
          </cell>
        </row>
        <row r="964">
          <cell r="A964" t="str">
            <v>50009_1</v>
          </cell>
        </row>
        <row r="965">
          <cell r="A965" t="str">
            <v>50010_1</v>
          </cell>
        </row>
        <row r="966">
          <cell r="A966" t="str">
            <v>50011_1</v>
          </cell>
        </row>
        <row r="967">
          <cell r="A967" t="str">
            <v>50012_1</v>
          </cell>
        </row>
        <row r="968">
          <cell r="A968" t="str">
            <v>50013_1</v>
          </cell>
        </row>
        <row r="969">
          <cell r="A969" t="str">
            <v>50014_1</v>
          </cell>
        </row>
        <row r="970">
          <cell r="A970" t="str">
            <v>50015_1</v>
          </cell>
        </row>
        <row r="971">
          <cell r="A971" t="str">
            <v>50016_1</v>
          </cell>
        </row>
        <row r="972">
          <cell r="A972" t="str">
            <v>51001_1</v>
          </cell>
        </row>
        <row r="973">
          <cell r="A973" t="str">
            <v>51002_1</v>
          </cell>
        </row>
        <row r="974">
          <cell r="A974" t="str">
            <v>58001_1</v>
          </cell>
        </row>
        <row r="975">
          <cell r="A975" t="str">
            <v>58002_1</v>
          </cell>
        </row>
        <row r="976">
          <cell r="A976" t="str">
            <v>58003_1</v>
          </cell>
        </row>
        <row r="977">
          <cell r="A977" t="str">
            <v>58101_1</v>
          </cell>
        </row>
        <row r="978">
          <cell r="A978" t="str">
            <v>59001_1</v>
          </cell>
        </row>
        <row r="979">
          <cell r="A979" t="str">
            <v>59002_1</v>
          </cell>
        </row>
        <row r="980">
          <cell r="A980" t="str">
            <v>59003_1</v>
          </cell>
        </row>
        <row r="981">
          <cell r="A981" t="str">
            <v>59003_2</v>
          </cell>
        </row>
        <row r="982">
          <cell r="A982" t="str">
            <v>60001_1</v>
          </cell>
        </row>
        <row r="983">
          <cell r="A983" t="str">
            <v>60002_1</v>
          </cell>
        </row>
        <row r="984">
          <cell r="A984" t="str">
            <v>60002_2</v>
          </cell>
        </row>
        <row r="985">
          <cell r="A985" t="str">
            <v>60003_1</v>
          </cell>
        </row>
        <row r="986">
          <cell r="A986" t="str">
            <v>60003_2</v>
          </cell>
        </row>
        <row r="987">
          <cell r="A987" t="str">
            <v>60003_3</v>
          </cell>
        </row>
        <row r="988">
          <cell r="A988" t="str">
            <v>60004_1</v>
          </cell>
        </row>
        <row r="989">
          <cell r="A989" t="str">
            <v>60005_1</v>
          </cell>
        </row>
        <row r="990">
          <cell r="A990" t="str">
            <v>60006_1</v>
          </cell>
        </row>
        <row r="991">
          <cell r="A991" t="str">
            <v>60006_2</v>
          </cell>
        </row>
        <row r="992">
          <cell r="A992" t="str">
            <v>60006_3</v>
          </cell>
        </row>
        <row r="993">
          <cell r="A993" t="str">
            <v>60007_1</v>
          </cell>
        </row>
        <row r="994">
          <cell r="A994" t="str">
            <v>60007_2</v>
          </cell>
        </row>
        <row r="995">
          <cell r="A995" t="str">
            <v>60007_3</v>
          </cell>
        </row>
        <row r="996">
          <cell r="A996" t="str">
            <v>60010_1</v>
          </cell>
        </row>
        <row r="997">
          <cell r="A997" t="str">
            <v>60011_1</v>
          </cell>
        </row>
        <row r="998">
          <cell r="A998" t="str">
            <v>60011_2</v>
          </cell>
        </row>
        <row r="999">
          <cell r="A999" t="str">
            <v>60012_1</v>
          </cell>
        </row>
        <row r="1000">
          <cell r="A1000" t="str">
            <v>60013_1</v>
          </cell>
        </row>
        <row r="1001">
          <cell r="A1001" t="str">
            <v>60013_2</v>
          </cell>
        </row>
        <row r="1002">
          <cell r="A1002" t="str">
            <v>60013_3</v>
          </cell>
        </row>
        <row r="1003">
          <cell r="A1003" t="str">
            <v>60014_1</v>
          </cell>
        </row>
        <row r="1004">
          <cell r="A1004" t="str">
            <v>60015_1</v>
          </cell>
        </row>
        <row r="1005">
          <cell r="A1005" t="str">
            <v>60016_1</v>
          </cell>
        </row>
        <row r="1006">
          <cell r="A1006" t="str">
            <v>60017_1</v>
          </cell>
        </row>
        <row r="1007">
          <cell r="A1007" t="str">
            <v>60018_1</v>
          </cell>
        </row>
        <row r="1008">
          <cell r="A1008" t="str">
            <v>60019_1</v>
          </cell>
        </row>
        <row r="1009">
          <cell r="A1009" t="str">
            <v>60020_1</v>
          </cell>
        </row>
        <row r="1010">
          <cell r="A1010" t="str">
            <v>60021_3</v>
          </cell>
        </row>
        <row r="1011">
          <cell r="A1011" t="str">
            <v>60022_3</v>
          </cell>
        </row>
        <row r="1012">
          <cell r="A1012" t="str">
            <v>60023_3</v>
          </cell>
        </row>
        <row r="1013">
          <cell r="A1013" t="str">
            <v>60024_3</v>
          </cell>
        </row>
        <row r="1014">
          <cell r="A1014" t="str">
            <v>60025_1</v>
          </cell>
        </row>
        <row r="1015">
          <cell r="A1015" t="str">
            <v>60026_1</v>
          </cell>
        </row>
        <row r="1016">
          <cell r="A1016" t="str">
            <v>61011_1</v>
          </cell>
        </row>
        <row r="1017">
          <cell r="A1017" t="str">
            <v>60027_1</v>
          </cell>
        </row>
        <row r="1018">
          <cell r="A1018" t="str">
            <v>60028_1</v>
          </cell>
        </row>
        <row r="1019">
          <cell r="A1019" t="str">
            <v>60029_1</v>
          </cell>
        </row>
        <row r="1020">
          <cell r="A1020" t="str">
            <v>60030_1</v>
          </cell>
        </row>
        <row r="1021">
          <cell r="A1021" t="str">
            <v>60031_1</v>
          </cell>
        </row>
        <row r="1022">
          <cell r="A1022" t="str">
            <v>65523_1</v>
          </cell>
        </row>
        <row r="1023">
          <cell r="A1023" t="str">
            <v>65523_2</v>
          </cell>
        </row>
        <row r="1024">
          <cell r="A1024" t="str">
            <v>65523_3</v>
          </cell>
        </row>
        <row r="1025">
          <cell r="A1025" t="str">
            <v>65524_1</v>
          </cell>
        </row>
        <row r="1026">
          <cell r="A1026" t="str">
            <v>65524_2</v>
          </cell>
        </row>
        <row r="1027">
          <cell r="A1027" t="str">
            <v>65525_1</v>
          </cell>
        </row>
        <row r="1028">
          <cell r="A1028" t="str">
            <v>65526_1</v>
          </cell>
        </row>
        <row r="1029">
          <cell r="A1029" t="str">
            <v>65526_2</v>
          </cell>
        </row>
        <row r="1030">
          <cell r="A1030" t="str">
            <v>65527_1</v>
          </cell>
        </row>
        <row r="1031">
          <cell r="A1031" t="str">
            <v>65528_1</v>
          </cell>
        </row>
        <row r="1032">
          <cell r="A1032" t="str">
            <v>65529_1</v>
          </cell>
        </row>
        <row r="1033">
          <cell r="A1033" t="str">
            <v>65530_1</v>
          </cell>
        </row>
        <row r="1034">
          <cell r="A1034" t="str">
            <v>65531_1</v>
          </cell>
        </row>
        <row r="1035">
          <cell r="A1035" t="str">
            <v>65531_2</v>
          </cell>
        </row>
        <row r="1036">
          <cell r="A1036" t="str">
            <v>65532_1</v>
          </cell>
        </row>
        <row r="1037">
          <cell r="A1037" t="str">
            <v>65532_2</v>
          </cell>
        </row>
        <row r="1038">
          <cell r="A1038" t="str">
            <v>65533_1</v>
          </cell>
        </row>
        <row r="1039">
          <cell r="A1039" t="str">
            <v>65533_2</v>
          </cell>
        </row>
        <row r="1040">
          <cell r="A1040" t="str">
            <v>65534_1</v>
          </cell>
        </row>
        <row r="1041">
          <cell r="A1041" t="str">
            <v>65535_1</v>
          </cell>
        </row>
        <row r="1042">
          <cell r="A1042" t="str">
            <v>65535_2</v>
          </cell>
        </row>
        <row r="1043">
          <cell r="A1043" t="str">
            <v>65535_3</v>
          </cell>
        </row>
        <row r="1044">
          <cell r="A1044" t="str">
            <v>65535_4</v>
          </cell>
        </row>
        <row r="1045">
          <cell r="A1045" t="str">
            <v>65535_5</v>
          </cell>
        </row>
        <row r="1046">
          <cell r="A1046" t="str">
            <v>65535_6</v>
          </cell>
        </row>
        <row r="1047">
          <cell r="A1047" t="str">
            <v>65535_7</v>
          </cell>
        </row>
        <row r="1048">
          <cell r="A1048" t="str">
            <v>65535_8</v>
          </cell>
        </row>
        <row r="1049">
          <cell r="A1049" t="str">
            <v>65535_9</v>
          </cell>
        </row>
        <row r="1050">
          <cell r="A1050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6001</v>
          </cell>
        </row>
        <row r="1465">
          <cell r="A1465">
            <v>6002</v>
          </cell>
        </row>
        <row r="1466">
          <cell r="A1466">
            <v>6003</v>
          </cell>
        </row>
        <row r="1467">
          <cell r="A1467">
            <v>6004</v>
          </cell>
        </row>
        <row r="1468">
          <cell r="A1468">
            <v>6005</v>
          </cell>
        </row>
        <row r="1469">
          <cell r="A1469">
            <v>6006</v>
          </cell>
        </row>
        <row r="1470">
          <cell r="A1470">
            <v>6007</v>
          </cell>
        </row>
        <row r="1471">
          <cell r="A1471">
            <v>6008</v>
          </cell>
        </row>
        <row r="1472">
          <cell r="A1472">
            <v>6009</v>
          </cell>
        </row>
        <row r="1473">
          <cell r="A1473">
            <v>6010</v>
          </cell>
        </row>
        <row r="1474">
          <cell r="A1474">
            <v>6011</v>
          </cell>
        </row>
        <row r="1475">
          <cell r="A1475">
            <v>6012</v>
          </cell>
        </row>
        <row r="1476">
          <cell r="A1476">
            <v>6013</v>
          </cell>
        </row>
        <row r="1477">
          <cell r="A1477">
            <v>6014</v>
          </cell>
        </row>
        <row r="1478">
          <cell r="A1478">
            <v>6015</v>
          </cell>
        </row>
        <row r="1479">
          <cell r="A1479">
            <v>6016</v>
          </cell>
        </row>
        <row r="1480">
          <cell r="A1480">
            <v>6017</v>
          </cell>
        </row>
        <row r="1481">
          <cell r="A1481">
            <v>6018</v>
          </cell>
        </row>
        <row r="1482">
          <cell r="A1482">
            <v>6019</v>
          </cell>
        </row>
        <row r="1483">
          <cell r="A1483">
            <v>6020</v>
          </cell>
        </row>
        <row r="1484">
          <cell r="A1484">
            <v>8001</v>
          </cell>
        </row>
        <row r="1485">
          <cell r="A1485">
            <v>8002</v>
          </cell>
        </row>
        <row r="1486">
          <cell r="A1486">
            <v>8003</v>
          </cell>
        </row>
        <row r="1487">
          <cell r="A1487">
            <v>8004</v>
          </cell>
        </row>
        <row r="1488">
          <cell r="A1488">
            <v>8005</v>
          </cell>
        </row>
        <row r="1489">
          <cell r="A1489">
            <v>8006</v>
          </cell>
        </row>
        <row r="1490">
          <cell r="A1490">
            <v>8007</v>
          </cell>
        </row>
        <row r="1491">
          <cell r="A1491">
            <v>8008</v>
          </cell>
        </row>
        <row r="1492">
          <cell r="A1492">
            <v>8009</v>
          </cell>
        </row>
        <row r="1493">
          <cell r="A1493">
            <v>8010</v>
          </cell>
        </row>
        <row r="1494">
          <cell r="A1494">
            <v>8011</v>
          </cell>
        </row>
        <row r="1495">
          <cell r="A1495">
            <v>8012</v>
          </cell>
        </row>
        <row r="1496">
          <cell r="A1496">
            <v>8013</v>
          </cell>
        </row>
        <row r="1497">
          <cell r="A1497">
            <v>8014</v>
          </cell>
        </row>
        <row r="1498">
          <cell r="A1498">
            <v>8015</v>
          </cell>
        </row>
        <row r="1499">
          <cell r="A1499">
            <v>8016</v>
          </cell>
        </row>
        <row r="1500">
          <cell r="A1500">
            <v>8017</v>
          </cell>
        </row>
        <row r="1501">
          <cell r="A1501">
            <v>8018</v>
          </cell>
        </row>
        <row r="1502">
          <cell r="A1502">
            <v>8019</v>
          </cell>
        </row>
        <row r="1503">
          <cell r="A1503">
            <v>8020</v>
          </cell>
        </row>
        <row r="1504">
          <cell r="A1504">
            <v>8021</v>
          </cell>
        </row>
        <row r="1505">
          <cell r="A1505">
            <v>8022</v>
          </cell>
        </row>
        <row r="1506">
          <cell r="A1506">
            <v>8023</v>
          </cell>
        </row>
        <row r="1507">
          <cell r="A1507">
            <v>8024</v>
          </cell>
        </row>
        <row r="1508">
          <cell r="A1508">
            <v>8025</v>
          </cell>
        </row>
        <row r="1509">
          <cell r="A1509">
            <v>8026</v>
          </cell>
        </row>
        <row r="1510">
          <cell r="A1510">
            <v>8027</v>
          </cell>
        </row>
        <row r="1511">
          <cell r="A1511">
            <v>8028</v>
          </cell>
        </row>
        <row r="1512">
          <cell r="A1512">
            <v>8029</v>
          </cell>
        </row>
        <row r="1513">
          <cell r="A1513">
            <v>8030</v>
          </cell>
        </row>
        <row r="1514">
          <cell r="A1514">
            <v>8031</v>
          </cell>
        </row>
        <row r="1515">
          <cell r="A1515">
            <v>8032</v>
          </cell>
        </row>
        <row r="1516">
          <cell r="A1516">
            <v>8033</v>
          </cell>
        </row>
        <row r="1517">
          <cell r="A1517">
            <v>8034</v>
          </cell>
        </row>
        <row r="1518">
          <cell r="A1518">
            <v>8035</v>
          </cell>
        </row>
        <row r="1519">
          <cell r="A1519">
            <v>8036</v>
          </cell>
        </row>
        <row r="1520">
          <cell r="A1520">
            <v>8037</v>
          </cell>
        </row>
        <row r="1521">
          <cell r="A1521">
            <v>8038</v>
          </cell>
        </row>
        <row r="1522">
          <cell r="A1522">
            <v>8039</v>
          </cell>
        </row>
        <row r="1523">
          <cell r="A1523">
            <v>8040</v>
          </cell>
        </row>
        <row r="1524">
          <cell r="A1524">
            <v>8041</v>
          </cell>
        </row>
        <row r="1525">
          <cell r="A1525">
            <v>8042</v>
          </cell>
        </row>
        <row r="1526">
          <cell r="A1526">
            <v>8043</v>
          </cell>
        </row>
        <row r="1527">
          <cell r="A1527">
            <v>8044</v>
          </cell>
        </row>
        <row r="1528">
          <cell r="A1528">
            <v>8045</v>
          </cell>
        </row>
        <row r="1529">
          <cell r="A1529">
            <v>8046</v>
          </cell>
        </row>
        <row r="1530">
          <cell r="A1530">
            <v>8047</v>
          </cell>
        </row>
        <row r="1531">
          <cell r="A1531">
            <v>8048</v>
          </cell>
        </row>
        <row r="1532">
          <cell r="A1532">
            <v>8049</v>
          </cell>
        </row>
        <row r="1533">
          <cell r="A1533">
            <v>8050</v>
          </cell>
        </row>
        <row r="1534">
          <cell r="A1534">
            <v>8051</v>
          </cell>
        </row>
        <row r="1535">
          <cell r="A1535">
            <v>8052</v>
          </cell>
        </row>
        <row r="1536">
          <cell r="A1536">
            <v>8053</v>
          </cell>
        </row>
        <row r="1537">
          <cell r="A1537">
            <v>8054</v>
          </cell>
        </row>
        <row r="1538">
          <cell r="A1538">
            <v>8055</v>
          </cell>
        </row>
        <row r="1539">
          <cell r="A1539">
            <v>8056</v>
          </cell>
        </row>
        <row r="1540">
          <cell r="A1540">
            <v>8057</v>
          </cell>
        </row>
        <row r="1541">
          <cell r="A1541">
            <v>8058</v>
          </cell>
        </row>
        <row r="1542">
          <cell r="A1542">
            <v>8059</v>
          </cell>
        </row>
        <row r="1543">
          <cell r="A1543">
            <v>8060</v>
          </cell>
        </row>
        <row r="1544">
          <cell r="A1544">
            <v>8061</v>
          </cell>
        </row>
        <row r="1545">
          <cell r="A1545">
            <v>8062</v>
          </cell>
        </row>
        <row r="1546">
          <cell r="A1546">
            <v>8063</v>
          </cell>
        </row>
        <row r="1547">
          <cell r="A1547">
            <v>8064</v>
          </cell>
        </row>
        <row r="1548">
          <cell r="A1548">
            <v>8065</v>
          </cell>
        </row>
        <row r="1549">
          <cell r="A1549">
            <v>8066</v>
          </cell>
        </row>
        <row r="1550">
          <cell r="A1550">
            <v>8067</v>
          </cell>
        </row>
        <row r="1551">
          <cell r="A1551">
            <v>8068</v>
          </cell>
        </row>
        <row r="1552">
          <cell r="A1552">
            <v>8069</v>
          </cell>
        </row>
        <row r="1553">
          <cell r="A1553">
            <v>8070</v>
          </cell>
        </row>
        <row r="1554">
          <cell r="A1554">
            <v>8071</v>
          </cell>
        </row>
        <row r="1555">
          <cell r="A1555">
            <v>8072</v>
          </cell>
        </row>
        <row r="1556">
          <cell r="A1556">
            <v>8073</v>
          </cell>
        </row>
        <row r="1557">
          <cell r="A1557">
            <v>8074</v>
          </cell>
        </row>
        <row r="1558">
          <cell r="A1558">
            <v>8077</v>
          </cell>
        </row>
        <row r="1559">
          <cell r="A1559">
            <v>8078</v>
          </cell>
        </row>
        <row r="1560">
          <cell r="A1560">
            <v>8079</v>
          </cell>
        </row>
        <row r="1561">
          <cell r="A1561">
            <v>8080</v>
          </cell>
        </row>
        <row r="1562">
          <cell r="A1562">
            <v>8081</v>
          </cell>
        </row>
        <row r="1563">
          <cell r="A1563">
            <v>8082</v>
          </cell>
        </row>
        <row r="1564">
          <cell r="A1564">
            <v>8083</v>
          </cell>
        </row>
        <row r="1565">
          <cell r="A1565">
            <v>8084</v>
          </cell>
        </row>
        <row r="1566">
          <cell r="A1566">
            <v>8085</v>
          </cell>
        </row>
        <row r="1567">
          <cell r="A1567">
            <v>8086</v>
          </cell>
        </row>
        <row r="1568">
          <cell r="A1568">
            <v>8087</v>
          </cell>
        </row>
        <row r="1569">
          <cell r="A1569">
            <v>8088</v>
          </cell>
        </row>
        <row r="1570">
          <cell r="A1570">
            <v>8089</v>
          </cell>
        </row>
        <row r="1571">
          <cell r="A1571">
            <v>8090</v>
          </cell>
        </row>
        <row r="1572">
          <cell r="A1572">
            <v>8095</v>
          </cell>
        </row>
        <row r="1573">
          <cell r="A1573">
            <v>8096</v>
          </cell>
        </row>
        <row r="1574">
          <cell r="A1574">
            <v>8097</v>
          </cell>
        </row>
        <row r="1575">
          <cell r="A1575">
            <v>8098</v>
          </cell>
        </row>
        <row r="1576">
          <cell r="A1576">
            <v>8099</v>
          </cell>
        </row>
        <row r="1577">
          <cell r="A1577">
            <v>8100</v>
          </cell>
        </row>
        <row r="1578">
          <cell r="A1578">
            <v>8101</v>
          </cell>
        </row>
        <row r="1579">
          <cell r="A1579">
            <v>8102</v>
          </cell>
        </row>
        <row r="1580">
          <cell r="A1580">
            <v>8103</v>
          </cell>
        </row>
        <row r="1581">
          <cell r="A1581">
            <v>8104</v>
          </cell>
        </row>
        <row r="1582">
          <cell r="A1582">
            <v>8105</v>
          </cell>
        </row>
        <row r="1583">
          <cell r="A1583">
            <v>8106</v>
          </cell>
        </row>
        <row r="1584">
          <cell r="A1584">
            <v>8111</v>
          </cell>
        </row>
        <row r="1585">
          <cell r="A1585">
            <v>8112</v>
          </cell>
        </row>
        <row r="1586">
          <cell r="A1586">
            <v>8113</v>
          </cell>
        </row>
        <row r="1587">
          <cell r="A1587">
            <v>8114</v>
          </cell>
        </row>
        <row r="1588">
          <cell r="A1588">
            <v>8115</v>
          </cell>
        </row>
        <row r="1589">
          <cell r="A1589">
            <v>8116</v>
          </cell>
        </row>
        <row r="1590">
          <cell r="A1590">
            <v>8117</v>
          </cell>
        </row>
        <row r="1591">
          <cell r="A1591">
            <v>8118</v>
          </cell>
        </row>
        <row r="1592">
          <cell r="A1592">
            <v>8119</v>
          </cell>
        </row>
        <row r="1593">
          <cell r="A1593">
            <v>8120</v>
          </cell>
        </row>
        <row r="1594">
          <cell r="A1594">
            <v>8121</v>
          </cell>
        </row>
        <row r="1595">
          <cell r="A1595">
            <v>8122</v>
          </cell>
        </row>
        <row r="1596">
          <cell r="A1596">
            <v>8127</v>
          </cell>
        </row>
        <row r="1597">
          <cell r="A1597">
            <v>8128</v>
          </cell>
        </row>
        <row r="1598">
          <cell r="A1598">
            <v>8129</v>
          </cell>
        </row>
        <row r="1599">
          <cell r="A1599">
            <v>8130</v>
          </cell>
        </row>
        <row r="1600">
          <cell r="A1600">
            <v>8131</v>
          </cell>
        </row>
        <row r="1601">
          <cell r="A1601">
            <v>8132</v>
          </cell>
        </row>
        <row r="1602">
          <cell r="A1602">
            <v>8133</v>
          </cell>
        </row>
        <row r="1603">
          <cell r="A1603">
            <v>8134</v>
          </cell>
        </row>
        <row r="1604">
          <cell r="A1604">
            <v>8135</v>
          </cell>
        </row>
        <row r="1605">
          <cell r="A1605">
            <v>8136</v>
          </cell>
        </row>
        <row r="1606">
          <cell r="A1606">
            <v>8137</v>
          </cell>
        </row>
        <row r="1607">
          <cell r="A1607">
            <v>8138</v>
          </cell>
        </row>
        <row r="1608">
          <cell r="A1608">
            <v>9001</v>
          </cell>
        </row>
        <row r="1609">
          <cell r="A1609">
            <v>9002</v>
          </cell>
        </row>
        <row r="1610">
          <cell r="A1610">
            <v>9003</v>
          </cell>
        </row>
        <row r="1611">
          <cell r="A1611">
            <v>9004</v>
          </cell>
        </row>
        <row r="1612">
          <cell r="A1612">
            <v>9005</v>
          </cell>
        </row>
        <row r="1613">
          <cell r="A1613">
            <v>9006</v>
          </cell>
        </row>
        <row r="1614">
          <cell r="A1614">
            <v>9007</v>
          </cell>
        </row>
        <row r="1615">
          <cell r="A1615">
            <v>9008</v>
          </cell>
        </row>
        <row r="1616">
          <cell r="A1616">
            <v>10101</v>
          </cell>
        </row>
        <row r="1617">
          <cell r="A1617">
            <v>10102</v>
          </cell>
        </row>
        <row r="1618">
          <cell r="A1618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1" sqref="A1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287</v>
      </c>
      <c r="B2" s="56" t="s">
        <v>107</v>
      </c>
      <c r="C2" s="61">
        <v>47014</v>
      </c>
      <c r="D2" s="56" t="s">
        <v>108</v>
      </c>
      <c r="E2" s="55" t="str">
        <f>B2&amp;C2&amp;D2</f>
        <v>floors_47014.tmp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287</v>
      </c>
      <c r="B3" s="56" t="s">
        <v>110</v>
      </c>
      <c r="C3" s="61">
        <v>47014</v>
      </c>
      <c r="D3" s="56" t="s">
        <v>108</v>
      </c>
      <c r="E3" s="55" t="str">
        <f>B3&amp;C3&amp;D3</f>
        <v>enemy_habitats_47014.tmp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180</v>
      </c>
    </row>
    <row r="4" spans="1:30" x14ac:dyDescent="0.15">
      <c r="A4" s="60" t="s">
        <v>287</v>
      </c>
      <c r="B4" s="56" t="s">
        <v>112</v>
      </c>
      <c r="C4" s="61">
        <v>47014</v>
      </c>
      <c r="D4" s="56" t="s">
        <v>108</v>
      </c>
      <c r="E4" s="55" t="str">
        <f>B4&amp;C4&amp;D4</f>
        <v>enemy_habitat_S_47014.tmp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287</v>
      </c>
      <c r="B5" s="56" t="s">
        <v>114</v>
      </c>
      <c r="C5" s="61">
        <v>47014</v>
      </c>
      <c r="D5" s="56" t="s">
        <v>108</v>
      </c>
      <c r="E5" s="55" t="str">
        <f>B5&amp;C5&amp;D5</f>
        <v>enemy_skill_sets_47014.tmp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287</v>
      </c>
      <c r="B6" s="56" t="s">
        <v>116</v>
      </c>
      <c r="C6" s="61">
        <v>47014</v>
      </c>
      <c r="D6" s="56" t="s">
        <v>117</v>
      </c>
      <c r="E6" s="55" t="str">
        <f t="shared" ref="E6:E10" si="0">B6&amp;C6&amp;D6</f>
        <v>enemy_skills_tmp_47014.tmp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287</v>
      </c>
      <c r="B7" s="56" t="s">
        <v>118</v>
      </c>
      <c r="C7" s="61">
        <v>47014</v>
      </c>
      <c r="D7" s="56" t="s">
        <v>108</v>
      </c>
      <c r="E7" s="55" t="str">
        <f>B7&amp;C7&amp;D7</f>
        <v>enemy_skills_i18n_47014.tmp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287</v>
      </c>
      <c r="B8" s="56" t="s">
        <v>120</v>
      </c>
      <c r="C8" s="61">
        <v>47014</v>
      </c>
      <c r="D8" s="56" t="s">
        <v>121</v>
      </c>
      <c r="E8" s="55" t="str">
        <f t="shared" si="0"/>
        <v>enemy_skill_triggers_47014.tmp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287</v>
      </c>
      <c r="B9" s="66" t="s">
        <v>179</v>
      </c>
      <c r="C9" s="61">
        <v>47014</v>
      </c>
      <c r="D9" s="66" t="s">
        <v>173</v>
      </c>
      <c r="E9" s="67" t="str">
        <f t="shared" si="0"/>
        <v>stage_bug_bonuses_47014.tmp</v>
      </c>
      <c r="F9" s="66" t="s">
        <v>174</v>
      </c>
      <c r="G9" s="63" t="s">
        <v>151</v>
      </c>
      <c r="H9" s="63" t="s">
        <v>175</v>
      </c>
      <c r="I9" s="63" t="s">
        <v>176</v>
      </c>
      <c r="J9" s="65" t="s">
        <v>177</v>
      </c>
      <c r="K9" s="63" t="s">
        <v>178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189</v>
      </c>
      <c r="B10" s="66" t="s">
        <v>203</v>
      </c>
      <c r="C10" s="61">
        <v>47014</v>
      </c>
      <c r="D10" s="66" t="s">
        <v>182</v>
      </c>
      <c r="E10" s="67" t="str">
        <f t="shared" si="0"/>
        <v>stage_hints_data_c_47014.tmp</v>
      </c>
      <c r="F10" s="66" t="s">
        <v>211</v>
      </c>
      <c r="G10" s="72" t="s">
        <v>183</v>
      </c>
      <c r="H10" s="72" t="s">
        <v>175</v>
      </c>
      <c r="I10" s="73" t="s">
        <v>184</v>
      </c>
      <c r="J10" s="65" t="s">
        <v>185</v>
      </c>
      <c r="K10" s="65" t="s">
        <v>186</v>
      </c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</row>
    <row r="11" spans="1:30" s="74" customFormat="1" x14ac:dyDescent="0.15">
      <c r="A11" s="60" t="s">
        <v>287</v>
      </c>
      <c r="B11" s="66" t="s">
        <v>204</v>
      </c>
      <c r="C11" s="61">
        <v>47014</v>
      </c>
      <c r="D11" s="66" t="s">
        <v>173</v>
      </c>
      <c r="E11" s="67" t="str">
        <f t="shared" ref="E11:E13" si="1">B11&amp;C11&amp;D11</f>
        <v>stage_hints_data_f_47014.tmp</v>
      </c>
      <c r="F11" s="66" t="s">
        <v>213</v>
      </c>
      <c r="G11" s="72" t="s">
        <v>183</v>
      </c>
      <c r="H11" s="72" t="s">
        <v>175</v>
      </c>
      <c r="I11" s="73" t="s">
        <v>184</v>
      </c>
      <c r="J11" s="65" t="s">
        <v>185</v>
      </c>
      <c r="K11" s="65" t="s">
        <v>186</v>
      </c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</row>
    <row r="12" spans="1:30" s="74" customFormat="1" x14ac:dyDescent="0.15">
      <c r="A12" s="60" t="s">
        <v>287</v>
      </c>
      <c r="B12" s="66" t="s">
        <v>205</v>
      </c>
      <c r="C12" s="61">
        <v>47014</v>
      </c>
      <c r="D12" s="66" t="s">
        <v>173</v>
      </c>
      <c r="E12" s="67" t="str">
        <f t="shared" si="1"/>
        <v>stage_hints_i18n_47014.tmp</v>
      </c>
      <c r="F12" s="66" t="s">
        <v>214</v>
      </c>
      <c r="G12" s="73" t="s">
        <v>206</v>
      </c>
      <c r="H12" s="94" t="s">
        <v>207</v>
      </c>
      <c r="I12" s="72" t="s">
        <v>208</v>
      </c>
      <c r="J12" s="103" t="s">
        <v>209</v>
      </c>
      <c r="K12" s="65" t="s">
        <v>210</v>
      </c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</row>
    <row r="13" spans="1:30" s="74" customFormat="1" x14ac:dyDescent="0.15">
      <c r="A13" s="60" t="s">
        <v>287</v>
      </c>
      <c r="B13" s="66" t="s">
        <v>260</v>
      </c>
      <c r="C13" s="61">
        <v>47014</v>
      </c>
      <c r="D13" s="66" t="s">
        <v>241</v>
      </c>
      <c r="E13" s="67" t="str">
        <f t="shared" si="1"/>
        <v>stage_bonuses_47014.tmp</v>
      </c>
      <c r="F13" s="66" t="s">
        <v>240</v>
      </c>
      <c r="G13" s="72" t="s">
        <v>242</v>
      </c>
      <c r="H13" s="72" t="s">
        <v>243</v>
      </c>
      <c r="I13" s="72" t="s">
        <v>244</v>
      </c>
      <c r="J13" s="72" t="s">
        <v>245</v>
      </c>
      <c r="K13" s="72" t="s">
        <v>246</v>
      </c>
      <c r="L13" s="72" t="s">
        <v>247</v>
      </c>
      <c r="M13" s="72" t="s">
        <v>248</v>
      </c>
      <c r="N13" s="72" t="s">
        <v>249</v>
      </c>
      <c r="O13" s="72" t="s">
        <v>250</v>
      </c>
      <c r="P13" s="72" t="s">
        <v>251</v>
      </c>
      <c r="Q13" s="72" t="s">
        <v>252</v>
      </c>
      <c r="R13" s="72" t="s">
        <v>253</v>
      </c>
      <c r="S13" s="72" t="s">
        <v>254</v>
      </c>
      <c r="T13" s="72" t="s">
        <v>255</v>
      </c>
      <c r="U13" s="72" t="s">
        <v>256</v>
      </c>
      <c r="V13" s="72" t="s">
        <v>257</v>
      </c>
      <c r="W13" s="72" t="s">
        <v>258</v>
      </c>
      <c r="X13" s="72" t="s">
        <v>259</v>
      </c>
      <c r="Y13" s="102"/>
      <c r="Z13" s="102"/>
      <c r="AA13" s="102"/>
      <c r="AB13" s="102"/>
      <c r="AC13" s="102"/>
      <c r="AD13" s="102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K2" sqref="J2:K5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47014_1-1</v>
      </c>
      <c r="B2" s="15" t="str">
        <f>IF(COUNTIF(enemy_habitats!$H:$H,A2),"OK","NG")</f>
        <v>OK</v>
      </c>
      <c r="C2" s="7">
        <v>47014</v>
      </c>
      <c r="D2" s="10" t="str">
        <f ca="1">VLOOKUP($C2,OFFSET([2]quests!$A$1,0,0,COUNTA([2]quests!$A:$A),MATCH(D$1,[2]quests!$1:$1,0)-MATCH($C$1,[2]quests!$1:$1,0)+1),MATCH(D$1,[2]quests!$1:$1,0)-MATCH($C$1,[2]quests!$1:$1,0)+1,FALSE)</f>
        <v>ヘルレイザー襲来！</v>
      </c>
      <c r="E2" s="17" t="str">
        <f ca="1">VLOOKUP($C2,OFFSET([2]quests!$A$1,0,0,COUNTA([2]quests!$A:$A),MATCH(E$1,[2]quests!$1:$1,0)-MATCH($C$1,[2]quests!$1:$1,0)+1),MATCH(E$1,[2]quests!$1:$1,0)-MATCH($C$1,[2]quests!$1:$1,0)+1,FALSE)</f>
        <v>800万ダウンロード記念イベント</v>
      </c>
      <c r="F2" s="20">
        <v>1</v>
      </c>
      <c r="G2" s="22" t="str">
        <f>C2&amp;"_"&amp;F2</f>
        <v>47014_1</v>
      </c>
      <c r="H2" s="14" t="str">
        <f ca="1">VLOOKUP($G2,OFFSET([2]stages!$A$1,0,0,COUNTA([2]stages!$A:$A),MATCH(H$1,[2]stages!$2:$2,0)-MATCH($G$1,[2]stages!$2:$2,0)+1),MATCH(H$1,[2]stages!$2:$2,0)-MATCH($G$1,[2]stages!$2:$2,0)+1,FALSE)</f>
        <v>【上級】ヘルレイザー襲来</v>
      </c>
      <c r="I2" s="20">
        <v>1</v>
      </c>
      <c r="J2" s="11">
        <v>50</v>
      </c>
      <c r="K2" s="11">
        <v>50</v>
      </c>
    </row>
    <row r="3" spans="1:11" ht="21" customHeight="1" x14ac:dyDescent="0.15">
      <c r="A3" s="15" t="str">
        <f t="shared" ref="A3:A5" si="0">G3&amp;"-"&amp;I3</f>
        <v>47014_1-2</v>
      </c>
      <c r="B3" s="15" t="str">
        <f>IF(COUNTIF(enemy_habitats!$H:$H,A3),"OK","NG")</f>
        <v>OK</v>
      </c>
      <c r="C3" s="7">
        <v>47014</v>
      </c>
      <c r="D3" s="10" t="str">
        <f ca="1">VLOOKUP($C3,OFFSET([2]quests!$A$1,0,0,COUNTA([2]quests!$A:$A),MATCH(D$1,[2]quests!$1:$1,0)-MATCH($C$1,[2]quests!$1:$1,0)+1),MATCH(D$1,[2]quests!$1:$1,0)-MATCH($C$1,[2]quests!$1:$1,0)+1,FALSE)</f>
        <v>ヘルレイザー襲来！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800万ダウンロード記念イベント</v>
      </c>
      <c r="F3" s="20">
        <v>1</v>
      </c>
      <c r="G3" s="22" t="str">
        <f t="shared" ref="G3:G5" si="1">C3&amp;"_"&amp;F3</f>
        <v>47014_1</v>
      </c>
      <c r="H3" s="14" t="str">
        <f ca="1">VLOOKUP($G3,OFFSET([2]stages!$A$1,0,0,COUNTA([2]stages!$A:$A),MATCH(H$1,[2]stages!$2:$2,0)-MATCH($G$1,[2]stages!$2:$2,0)+1),MATCH(H$1,[2]stages!$2:$2,0)-MATCH($G$1,[2]stages!$2:$2,0)+1,FALSE)</f>
        <v>【上級】ヘルレイザー襲来</v>
      </c>
      <c r="I3" s="20">
        <v>2</v>
      </c>
      <c r="J3" s="11">
        <v>60</v>
      </c>
      <c r="K3" s="11">
        <v>60</v>
      </c>
    </row>
    <row r="4" spans="1:11" ht="21" customHeight="1" x14ac:dyDescent="0.15">
      <c r="A4" s="15" t="str">
        <f t="shared" si="0"/>
        <v>47014_1-3</v>
      </c>
      <c r="B4" s="15" t="str">
        <f>IF(COUNTIF(enemy_habitats!$H:$H,A4),"OK","NG")</f>
        <v>OK</v>
      </c>
      <c r="C4" s="7">
        <v>47014</v>
      </c>
      <c r="D4" s="10" t="str">
        <f ca="1">VLOOKUP($C4,OFFSET([2]quests!$A$1,0,0,COUNTA([2]quests!$A:$A),MATCH(D$1,[2]quests!$1:$1,0)-MATCH($C$1,[2]quests!$1:$1,0)+1),MATCH(D$1,[2]quests!$1:$1,0)-MATCH($C$1,[2]quests!$1:$1,0)+1,FALSE)</f>
        <v>ヘルレイザー襲来！</v>
      </c>
      <c r="E4" s="17" t="str">
        <f ca="1">VLOOKUP($C4,OFFSET([2]quests!$A$1,0,0,COUNTA([2]quests!$A:$A),MATCH(E$1,[2]quests!$1:$1,0)-MATCH($C$1,[2]quests!$1:$1,0)+1),MATCH(E$1,[2]quests!$1:$1,0)-MATCH($C$1,[2]quests!$1:$1,0)+1,FALSE)</f>
        <v>800万ダウンロード記念イベント</v>
      </c>
      <c r="F4" s="20">
        <v>1</v>
      </c>
      <c r="G4" s="22" t="str">
        <f t="shared" si="1"/>
        <v>47014_1</v>
      </c>
      <c r="H4" s="14" t="str">
        <f ca="1">VLOOKUP($G4,OFFSET([2]stages!$A$1,0,0,COUNTA([2]stages!$A:$A),MATCH(H$1,[2]stages!$2:$2,0)-MATCH($G$1,[2]stages!$2:$2,0)+1),MATCH(H$1,[2]stages!$2:$2,0)-MATCH($G$1,[2]stages!$2:$2,0)+1,FALSE)</f>
        <v>【上級】ヘルレイザー襲来</v>
      </c>
      <c r="I4" s="20">
        <v>3</v>
      </c>
      <c r="J4" s="11">
        <v>55</v>
      </c>
      <c r="K4" s="11">
        <v>55</v>
      </c>
    </row>
    <row r="5" spans="1:11" ht="21" customHeight="1" x14ac:dyDescent="0.15">
      <c r="A5" s="15" t="str">
        <f t="shared" si="0"/>
        <v>47014_1-4</v>
      </c>
      <c r="B5" s="15" t="str">
        <f>IF(COUNTIF(enemy_habitats!$H:$H,A5),"OK","NG")</f>
        <v>OK</v>
      </c>
      <c r="C5" s="7">
        <v>47014</v>
      </c>
      <c r="D5" s="10" t="str">
        <f ca="1">VLOOKUP($C5,OFFSET([2]quests!$A$1,0,0,COUNTA([2]quests!$A:$A),MATCH(D$1,[2]quests!$1:$1,0)-MATCH($C$1,[2]quests!$1:$1,0)+1),MATCH(D$1,[2]quests!$1:$1,0)-MATCH($C$1,[2]quests!$1:$1,0)+1,FALSE)</f>
        <v>ヘルレイザー襲来！</v>
      </c>
      <c r="E5" s="17" t="str">
        <f ca="1">VLOOKUP($C5,OFFSET([2]quests!$A$1,0,0,COUNTA([2]quests!$A:$A),MATCH(E$1,[2]quests!$1:$1,0)-MATCH($C$1,[2]quests!$1:$1,0)+1),MATCH(E$1,[2]quests!$1:$1,0)-MATCH($C$1,[2]quests!$1:$1,0)+1,FALSE)</f>
        <v>800万ダウンロード記念イベント</v>
      </c>
      <c r="F5" s="20">
        <v>1</v>
      </c>
      <c r="G5" s="22" t="str">
        <f t="shared" si="1"/>
        <v>47014_1</v>
      </c>
      <c r="H5" s="14" t="str">
        <f ca="1">VLOOKUP($G5,OFFSET([2]stages!$A$1,0,0,COUNTA([2]stages!$A:$A),MATCH(H$1,[2]stages!$2:$2,0)-MATCH($G$1,[2]stages!$2:$2,0)+1),MATCH(H$1,[2]stages!$2:$2,0)-MATCH($G$1,[2]stages!$2:$2,0)+1,FALSE)</f>
        <v>【上級】ヘルレイザー襲来</v>
      </c>
      <c r="I5" s="20">
        <v>4</v>
      </c>
      <c r="J5" s="11">
        <v>60</v>
      </c>
      <c r="K5" s="11">
        <v>60</v>
      </c>
    </row>
    <row r="6" spans="1:11" ht="21" customHeight="1" x14ac:dyDescent="0.15">
      <c r="A6" s="15" t="str">
        <f>G6&amp;"-"&amp;I6</f>
        <v>47014_2-1</v>
      </c>
      <c r="B6" s="15" t="str">
        <f>IF(COUNTIF(enemy_habitats!$H:$H,A6),"OK","NG")</f>
        <v>OK</v>
      </c>
      <c r="C6" s="7">
        <v>47014</v>
      </c>
      <c r="D6" s="10" t="str">
        <f ca="1">VLOOKUP($C6,OFFSET([2]quests!$A$1,0,0,COUNTA([2]quests!$A:$A),MATCH(D$1,[2]quests!$1:$1,0)-MATCH($C$1,[2]quests!$1:$1,0)+1),MATCH(D$1,[2]quests!$1:$1,0)-MATCH($C$1,[2]quests!$1:$1,0)+1,FALSE)</f>
        <v>ヘルレイザー襲来！</v>
      </c>
      <c r="E6" s="17" t="str">
        <f ca="1">VLOOKUP($C6,OFFSET([2]quests!$A$1,0,0,COUNTA([2]quests!$A:$A),MATCH(E$1,[2]quests!$1:$1,0)-MATCH($C$1,[2]quests!$1:$1,0)+1),MATCH(E$1,[2]quests!$1:$1,0)-MATCH($C$1,[2]quests!$1:$1,0)+1,FALSE)</f>
        <v>800万ダウンロード記念イベント</v>
      </c>
      <c r="F6" s="20">
        <v>2</v>
      </c>
      <c r="G6" s="22" t="str">
        <f>C6&amp;"_"&amp;F6</f>
        <v>47014_2</v>
      </c>
      <c r="H6" s="14" t="str">
        <f ca="1">VLOOKUP($G6,OFFSET([2]stages!$A$1,0,0,COUNTA([2]stages!$A:$A),MATCH(H$1,[2]stages!$2:$2,0)-MATCH($G$1,[2]stages!$2:$2,0)+1),MATCH(H$1,[2]stages!$2:$2,0)-MATCH($G$1,[2]stages!$2:$2,0)+1,FALSE)</f>
        <v>【超絶級】ヘルレイザー襲来</v>
      </c>
      <c r="I6" s="20">
        <v>1</v>
      </c>
      <c r="J6" s="11">
        <v>50</v>
      </c>
      <c r="K6" s="11">
        <v>50</v>
      </c>
    </row>
    <row r="7" spans="1:11" ht="21" customHeight="1" x14ac:dyDescent="0.15">
      <c r="A7" s="15" t="str">
        <f t="shared" ref="A7:A9" si="2">G7&amp;"-"&amp;I7</f>
        <v>47014_2-2</v>
      </c>
      <c r="B7" s="15" t="str">
        <f>IF(COUNTIF(enemy_habitats!$H:$H,A7),"OK","NG")</f>
        <v>OK</v>
      </c>
      <c r="C7" s="7">
        <v>47014</v>
      </c>
      <c r="D7" s="10" t="str">
        <f ca="1">VLOOKUP($C7,OFFSET([2]quests!$A$1,0,0,COUNTA([2]quests!$A:$A),MATCH(D$1,[2]quests!$1:$1,0)-MATCH($C$1,[2]quests!$1:$1,0)+1),MATCH(D$1,[2]quests!$1:$1,0)-MATCH($C$1,[2]quests!$1:$1,0)+1,FALSE)</f>
        <v>ヘルレイザー襲来！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800万ダウンロード記念イベント</v>
      </c>
      <c r="F7" s="20">
        <v>2</v>
      </c>
      <c r="G7" s="22" t="str">
        <f t="shared" ref="G7:G9" si="3">C7&amp;"_"&amp;F7</f>
        <v>47014_2</v>
      </c>
      <c r="H7" s="14" t="str">
        <f ca="1">VLOOKUP($G7,OFFSET([2]stages!$A$1,0,0,COUNTA([2]stages!$A:$A),MATCH(H$1,[2]stages!$2:$2,0)-MATCH($G$1,[2]stages!$2:$2,0)+1),MATCH(H$1,[2]stages!$2:$2,0)-MATCH($G$1,[2]stages!$2:$2,0)+1,FALSE)</f>
        <v>【超絶級】ヘルレイザー襲来</v>
      </c>
      <c r="I7" s="20">
        <v>2</v>
      </c>
      <c r="J7" s="11">
        <v>60</v>
      </c>
      <c r="K7" s="11">
        <v>60</v>
      </c>
    </row>
    <row r="8" spans="1:11" ht="21" customHeight="1" x14ac:dyDescent="0.15">
      <c r="A8" s="15" t="str">
        <f t="shared" si="2"/>
        <v>47014_2-3</v>
      </c>
      <c r="B8" s="15" t="str">
        <f>IF(COUNTIF(enemy_habitats!$H:$H,A8),"OK","NG")</f>
        <v>OK</v>
      </c>
      <c r="C8" s="7">
        <v>47014</v>
      </c>
      <c r="D8" s="10" t="str">
        <f ca="1">VLOOKUP($C8,OFFSET([2]quests!$A$1,0,0,COUNTA([2]quests!$A:$A),MATCH(D$1,[2]quests!$1:$1,0)-MATCH($C$1,[2]quests!$1:$1,0)+1),MATCH(D$1,[2]quests!$1:$1,0)-MATCH($C$1,[2]quests!$1:$1,0)+1,FALSE)</f>
        <v>ヘルレイザー襲来！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800万ダウンロード記念イベント</v>
      </c>
      <c r="F8" s="20">
        <v>2</v>
      </c>
      <c r="G8" s="22" t="str">
        <f t="shared" si="3"/>
        <v>47014_2</v>
      </c>
      <c r="H8" s="14" t="str">
        <f ca="1">VLOOKUP($G8,OFFSET([2]stages!$A$1,0,0,COUNTA([2]stages!$A:$A),MATCH(H$1,[2]stages!$2:$2,0)-MATCH($G$1,[2]stages!$2:$2,0)+1),MATCH(H$1,[2]stages!$2:$2,0)-MATCH($G$1,[2]stages!$2:$2,0)+1,FALSE)</f>
        <v>【超絶級】ヘルレイザー襲来</v>
      </c>
      <c r="I8" s="20">
        <v>3</v>
      </c>
      <c r="J8" s="11">
        <v>55</v>
      </c>
      <c r="K8" s="11">
        <v>55</v>
      </c>
    </row>
    <row r="9" spans="1:11" ht="21" customHeight="1" x14ac:dyDescent="0.15">
      <c r="A9" s="15" t="str">
        <f t="shared" si="2"/>
        <v>47014_2-4</v>
      </c>
      <c r="B9" s="15" t="str">
        <f>IF(COUNTIF(enemy_habitats!$H:$H,A9),"OK","NG")</f>
        <v>OK</v>
      </c>
      <c r="C9" s="7">
        <v>47014</v>
      </c>
      <c r="D9" s="10" t="str">
        <f ca="1">VLOOKUP($C9,OFFSET([2]quests!$A$1,0,0,COUNTA([2]quests!$A:$A),MATCH(D$1,[2]quests!$1:$1,0)-MATCH($C$1,[2]quests!$1:$1,0)+1),MATCH(D$1,[2]quests!$1:$1,0)-MATCH($C$1,[2]quests!$1:$1,0)+1,FALSE)</f>
        <v>ヘルレイザー襲来！</v>
      </c>
      <c r="E9" s="17" t="str">
        <f ca="1">VLOOKUP($C9,OFFSET([2]quests!$A$1,0,0,COUNTA([2]quests!$A:$A),MATCH(E$1,[2]quests!$1:$1,0)-MATCH($C$1,[2]quests!$1:$1,0)+1),MATCH(E$1,[2]quests!$1:$1,0)-MATCH($C$1,[2]quests!$1:$1,0)+1,FALSE)</f>
        <v>800万ダウンロード記念イベント</v>
      </c>
      <c r="F9" s="20">
        <v>2</v>
      </c>
      <c r="G9" s="22" t="str">
        <f t="shared" si="3"/>
        <v>47014_2</v>
      </c>
      <c r="H9" s="14" t="str">
        <f ca="1">VLOOKUP($G9,OFFSET([2]stages!$A$1,0,0,COUNTA([2]stages!$A:$A),MATCH(H$1,[2]stages!$2:$2,0)-MATCH($G$1,[2]stages!$2:$2,0)+1),MATCH(H$1,[2]stages!$2:$2,0)-MATCH($G$1,[2]stages!$2:$2,0)+1,FALSE)</f>
        <v>【超絶級】ヘルレイザー襲来</v>
      </c>
      <c r="I9" s="20">
        <v>4</v>
      </c>
      <c r="J9" s="11">
        <v>60</v>
      </c>
      <c r="K9" s="11">
        <v>60</v>
      </c>
    </row>
    <row r="10" spans="1:11" ht="21" customHeight="1" x14ac:dyDescent="0.15">
      <c r="A10" s="15" t="str">
        <f>G10&amp;"-"&amp;I10</f>
        <v>47014_3-1</v>
      </c>
      <c r="B10" s="15" t="str">
        <f>IF(COUNTIF(enemy_habitats!$H:$H,A10),"OK","NG")</f>
        <v>OK</v>
      </c>
      <c r="C10" s="7">
        <v>47014</v>
      </c>
      <c r="D10" s="10" t="str">
        <f ca="1">VLOOKUP($C10,OFFSET([2]quests!$A$1,0,0,COUNTA([2]quests!$A:$A),MATCH(D$1,[2]quests!$1:$1,0)-MATCH($C$1,[2]quests!$1:$1,0)+1),MATCH(D$1,[2]quests!$1:$1,0)-MATCH($C$1,[2]quests!$1:$1,0)+1,FALSE)</f>
        <v>ヘルレイザー襲来！</v>
      </c>
      <c r="E10" s="17" t="str">
        <f ca="1">VLOOKUP($C10,OFFSET([2]quests!$A$1,0,0,COUNTA([2]quests!$A:$A),MATCH(E$1,[2]quests!$1:$1,0)-MATCH($C$1,[2]quests!$1:$1,0)+1),MATCH(E$1,[2]quests!$1:$1,0)-MATCH($C$1,[2]quests!$1:$1,0)+1,FALSE)</f>
        <v>800万ダウンロード記念イベント</v>
      </c>
      <c r="F10" s="20">
        <v>3</v>
      </c>
      <c r="G10" s="22" t="str">
        <f>C10&amp;"_"&amp;F10</f>
        <v>47014_3</v>
      </c>
      <c r="H10" s="14" t="str">
        <f ca="1">VLOOKUP($G10,OFFSET([2]stages!$A$1,0,0,COUNTA([2]stages!$A:$A),MATCH(H$1,[2]stages!$2:$2,0)-MATCH($G$1,[2]stages!$2:$2,0)+1),MATCH(H$1,[2]stages!$2:$2,0)-MATCH($G$1,[2]stages!$2:$2,0)+1,FALSE)</f>
        <v>【ウィザード級】ヘルレイザー襲来</v>
      </c>
      <c r="I10" s="20">
        <v>1</v>
      </c>
      <c r="J10" s="11">
        <v>50</v>
      </c>
      <c r="K10" s="11">
        <v>50</v>
      </c>
    </row>
    <row r="11" spans="1:11" ht="21" customHeight="1" x14ac:dyDescent="0.15">
      <c r="A11" s="15" t="str">
        <f t="shared" ref="A11:A13" si="4">G11&amp;"-"&amp;I11</f>
        <v>47014_3-2</v>
      </c>
      <c r="B11" s="15" t="str">
        <f>IF(COUNTIF(enemy_habitats!$H:$H,A11),"OK","NG")</f>
        <v>OK</v>
      </c>
      <c r="C11" s="7">
        <v>47014</v>
      </c>
      <c r="D11" s="10" t="str">
        <f ca="1">VLOOKUP($C11,OFFSET([2]quests!$A$1,0,0,COUNTA([2]quests!$A:$A),MATCH(D$1,[2]quests!$1:$1,0)-MATCH($C$1,[2]quests!$1:$1,0)+1),MATCH(D$1,[2]quests!$1:$1,0)-MATCH($C$1,[2]quests!$1:$1,0)+1,FALSE)</f>
        <v>ヘルレイザー襲来！</v>
      </c>
      <c r="E11" s="17" t="str">
        <f ca="1">VLOOKUP($C11,OFFSET([2]quests!$A$1,0,0,COUNTA([2]quests!$A:$A),MATCH(E$1,[2]quests!$1:$1,0)-MATCH($C$1,[2]quests!$1:$1,0)+1),MATCH(E$1,[2]quests!$1:$1,0)-MATCH($C$1,[2]quests!$1:$1,0)+1,FALSE)</f>
        <v>800万ダウンロード記念イベント</v>
      </c>
      <c r="F11" s="20">
        <v>3</v>
      </c>
      <c r="G11" s="22" t="str">
        <f t="shared" ref="G11:G13" si="5">C11&amp;"_"&amp;F11</f>
        <v>47014_3</v>
      </c>
      <c r="H11" s="14" t="str">
        <f ca="1">VLOOKUP($G11,OFFSET([2]stages!$A$1,0,0,COUNTA([2]stages!$A:$A),MATCH(H$1,[2]stages!$2:$2,0)-MATCH($G$1,[2]stages!$2:$2,0)+1),MATCH(H$1,[2]stages!$2:$2,0)-MATCH($G$1,[2]stages!$2:$2,0)+1,FALSE)</f>
        <v>【ウィザード級】ヘルレイザー襲来</v>
      </c>
      <c r="I11" s="20">
        <v>2</v>
      </c>
      <c r="J11" s="11">
        <v>60</v>
      </c>
      <c r="K11" s="11">
        <v>60</v>
      </c>
    </row>
    <row r="12" spans="1:11" ht="21" customHeight="1" x14ac:dyDescent="0.15">
      <c r="A12" s="15" t="str">
        <f t="shared" si="4"/>
        <v>47014_3-3</v>
      </c>
      <c r="B12" s="15" t="str">
        <f>IF(COUNTIF(enemy_habitats!$H:$H,A12),"OK","NG")</f>
        <v>OK</v>
      </c>
      <c r="C12" s="7">
        <v>47014</v>
      </c>
      <c r="D12" s="10" t="str">
        <f ca="1">VLOOKUP($C12,OFFSET([2]quests!$A$1,0,0,COUNTA([2]quests!$A:$A),MATCH(D$1,[2]quests!$1:$1,0)-MATCH($C$1,[2]quests!$1:$1,0)+1),MATCH(D$1,[2]quests!$1:$1,0)-MATCH($C$1,[2]quests!$1:$1,0)+1,FALSE)</f>
        <v>ヘルレイザー襲来！</v>
      </c>
      <c r="E12" s="17" t="str">
        <f ca="1">VLOOKUP($C12,OFFSET([2]quests!$A$1,0,0,COUNTA([2]quests!$A:$A),MATCH(E$1,[2]quests!$1:$1,0)-MATCH($C$1,[2]quests!$1:$1,0)+1),MATCH(E$1,[2]quests!$1:$1,0)-MATCH($C$1,[2]quests!$1:$1,0)+1,FALSE)</f>
        <v>800万ダウンロード記念イベント</v>
      </c>
      <c r="F12" s="20">
        <v>3</v>
      </c>
      <c r="G12" s="22" t="str">
        <f t="shared" si="5"/>
        <v>47014_3</v>
      </c>
      <c r="H12" s="14" t="str">
        <f ca="1">VLOOKUP($G12,OFFSET([2]stages!$A$1,0,0,COUNTA([2]stages!$A:$A),MATCH(H$1,[2]stages!$2:$2,0)-MATCH($G$1,[2]stages!$2:$2,0)+1),MATCH(H$1,[2]stages!$2:$2,0)-MATCH($G$1,[2]stages!$2:$2,0)+1,FALSE)</f>
        <v>【ウィザード級】ヘルレイザー襲来</v>
      </c>
      <c r="I12" s="20">
        <v>3</v>
      </c>
      <c r="J12" s="11">
        <v>55</v>
      </c>
      <c r="K12" s="11">
        <v>55</v>
      </c>
    </row>
    <row r="13" spans="1:11" ht="21" customHeight="1" x14ac:dyDescent="0.15">
      <c r="A13" s="15" t="str">
        <f t="shared" si="4"/>
        <v>47014_3-4</v>
      </c>
      <c r="B13" s="15" t="str">
        <f>IF(COUNTIF(enemy_habitats!$H:$H,A13),"OK","NG")</f>
        <v>OK</v>
      </c>
      <c r="C13" s="7">
        <v>47014</v>
      </c>
      <c r="D13" s="10" t="str">
        <f ca="1">VLOOKUP($C13,OFFSET([2]quests!$A$1,0,0,COUNTA([2]quests!$A:$A),MATCH(D$1,[2]quests!$1:$1,0)-MATCH($C$1,[2]quests!$1:$1,0)+1),MATCH(D$1,[2]quests!$1:$1,0)-MATCH($C$1,[2]quests!$1:$1,0)+1,FALSE)</f>
        <v>ヘルレイザー襲来！</v>
      </c>
      <c r="E13" s="17" t="str">
        <f ca="1">VLOOKUP($C13,OFFSET([2]quests!$A$1,0,0,COUNTA([2]quests!$A:$A),MATCH(E$1,[2]quests!$1:$1,0)-MATCH($C$1,[2]quests!$1:$1,0)+1),MATCH(E$1,[2]quests!$1:$1,0)-MATCH($C$1,[2]quests!$1:$1,0)+1,FALSE)</f>
        <v>800万ダウンロード記念イベント</v>
      </c>
      <c r="F13" s="20">
        <v>3</v>
      </c>
      <c r="G13" s="22" t="str">
        <f t="shared" si="5"/>
        <v>47014_3</v>
      </c>
      <c r="H13" s="14" t="str">
        <f ca="1">VLOOKUP($G13,OFFSET([2]stages!$A$1,0,0,COUNTA([2]stages!$A:$A),MATCH(H$1,[2]stages!$2:$2,0)-MATCH($G$1,[2]stages!$2:$2,0)+1),MATCH(H$1,[2]stages!$2:$2,0)-MATCH($G$1,[2]stages!$2:$2,0)+1,FALSE)</f>
        <v>【ウィザード級】ヘルレイザー襲来</v>
      </c>
      <c r="I13" s="20">
        <v>4</v>
      </c>
      <c r="J13" s="11">
        <v>60</v>
      </c>
      <c r="K13" s="1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3" sqref="L3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6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bestFit="1" customWidth="1" outlineLevel="1"/>
    <col min="32" max="32" width="8" style="13" bestFit="1" customWidth="1" outlineLevel="1"/>
    <col min="33" max="33" width="12" style="13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4" t="s">
        <v>261</v>
      </c>
      <c r="U1" s="25" t="s">
        <v>50</v>
      </c>
      <c r="V1" s="104" t="s">
        <v>262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181</v>
      </c>
    </row>
    <row r="2" spans="1:42" ht="21" customHeight="1" x14ac:dyDescent="0.15">
      <c r="A2" s="15" t="str">
        <f>B2&amp;"_"&amp;C2&amp;"-"&amp;G2&amp;"/"&amp;L2&amp;"&lt;lv"&amp;R2&amp;"&gt;s"&amp;AC2</f>
        <v>47014_1-1/126&lt;lv35&gt;s2</v>
      </c>
      <c r="B2" s="7">
        <v>47014</v>
      </c>
      <c r="C2" s="108">
        <v>1</v>
      </c>
      <c r="D2" s="2" t="str">
        <f>B2&amp;"_"&amp;C2</f>
        <v>47014_1</v>
      </c>
      <c r="E2" s="4" t="str">
        <f ca="1">VLOOKUP($B2,OFFSET([2]quests!$A$1,0,0,COUNTA([2]quests!$A:$A),MATCH(E$1,[2]quests!$1:$1,0)-MATCH($B$1,[2]quests!$1:$1,0)+1),MATCH(E$1,[2]quests!$1:$1,0)-MATCH($B$1,[2]quests!$1:$1,0)+1,FALSE)</f>
        <v>ヘルレイザー襲来！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【上級】ヘルレイザー襲来</v>
      </c>
      <c r="G2" s="20">
        <v>1</v>
      </c>
      <c r="H2" s="14" t="str">
        <f>B2&amp;"_"&amp;C2&amp;"-"&amp;G2</f>
        <v>47014_1-1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7" t="s">
        <v>53</v>
      </c>
      <c r="L2" s="19">
        <v>126</v>
      </c>
      <c r="M2" s="16" t="str">
        <f ca="1">VLOOKUP($L2,OFFSET([3]enemies!$A$1,0,0,COUNTA([3]enemies!$A:$A),MATCH(M$1,[3]enemies!$1:$1,0)-MATCH($L$1,[3]enemies!$1:$1,0)+1),MATCH(M$1,[3]enemies!$1:$1,0)-MATCH($L$1,[3]enemies!$1:$1,0)+1,FALSE)</f>
        <v>骨器使い ユノ</v>
      </c>
      <c r="N2" s="16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6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6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35</v>
      </c>
      <c r="S2" s="24">
        <v>1.2</v>
      </c>
      <c r="T2" s="105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45289.2</v>
      </c>
      <c r="U2" s="24">
        <v>0.7</v>
      </c>
      <c r="V2" s="105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3211.6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6">
        <v>47014000</v>
      </c>
      <c r="Z2" s="6">
        <v>1</v>
      </c>
      <c r="AA2" s="6">
        <v>100</v>
      </c>
      <c r="AB2" s="6">
        <v>1</v>
      </c>
      <c r="AC2" s="16">
        <v>2</v>
      </c>
      <c r="AD2" s="23">
        <f>L2</f>
        <v>126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骨器使い ユノ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" s="7">
        <v>1</v>
      </c>
      <c r="AI2" s="23">
        <f ca="1">AF2</f>
        <v>3</v>
      </c>
      <c r="AJ2" s="7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5" t="str">
        <f>B3&amp;"_"&amp;C3&amp;"-"&amp;G3&amp;"/"&amp;L3&amp;"&lt;lv"&amp;R3&amp;"&gt;s"&amp;AC3</f>
        <v>47014_1-1/15&lt;lv40&gt;s1</v>
      </c>
      <c r="B3" s="7">
        <v>47014</v>
      </c>
      <c r="C3" s="108">
        <v>1</v>
      </c>
      <c r="D3" s="2" t="str">
        <f>B3&amp;"_"&amp;C3</f>
        <v>47014_1</v>
      </c>
      <c r="E3" s="4" t="str">
        <f ca="1">VLOOKUP($B3,OFFSET([2]quests!$A$1,0,0,COUNTA([2]quests!$A:$A),MATCH(E$1,[2]quests!$1:$1,0)-MATCH($B$1,[2]quests!$1:$1,0)+1),MATCH(E$1,[2]quests!$1:$1,0)-MATCH($B$1,[2]quests!$1:$1,0)+1,FALSE)</f>
        <v>ヘルレイザー襲来！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【上級】ヘルレイザー襲来</v>
      </c>
      <c r="G3" s="20">
        <v>1</v>
      </c>
      <c r="H3" s="14" t="str">
        <f>B3&amp;"_"&amp;C3&amp;"-"&amp;G3</f>
        <v>47014_1-1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7" t="s">
        <v>53</v>
      </c>
      <c r="L3" s="19">
        <v>15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アカネ</v>
      </c>
      <c r="N3" s="16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40</v>
      </c>
      <c r="S3" s="24">
        <v>2.2000000000000002</v>
      </c>
      <c r="T3" s="105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17164.400000000001</v>
      </c>
      <c r="U3" s="24">
        <v>0.4</v>
      </c>
      <c r="V3" s="105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1005.6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124">
        <v>47014201</v>
      </c>
      <c r="Z3" s="6">
        <v>2</v>
      </c>
      <c r="AA3" s="6">
        <v>100</v>
      </c>
      <c r="AB3" s="6">
        <v>0</v>
      </c>
      <c r="AC3" s="16">
        <v>1</v>
      </c>
      <c r="AD3" s="109">
        <v>1696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ファルネーゼ・コア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3" s="7">
        <v>1</v>
      </c>
      <c r="AI3" s="23">
        <f ca="1">AF3</f>
        <v>4</v>
      </c>
      <c r="AJ3" s="109">
        <v>60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5" t="str">
        <f t="shared" ref="A4:A7" si="0">B4&amp;"_"&amp;C4&amp;"-"&amp;G4&amp;"/"&amp;L4&amp;"&lt;lv"&amp;R4&amp;"&gt;s"&amp;AC4</f>
        <v>47014_1-2/771&lt;lv40&gt;s2</v>
      </c>
      <c r="B4" s="7">
        <v>47014</v>
      </c>
      <c r="C4" s="108">
        <v>1</v>
      </c>
      <c r="D4" s="2" t="str">
        <f t="shared" ref="D4:D7" si="1">B4&amp;"_"&amp;C4</f>
        <v>47014_1</v>
      </c>
      <c r="E4" s="4" t="str">
        <f ca="1">VLOOKUP($B4,OFFSET([2]quests!$A$1,0,0,COUNTA([2]quests!$A:$A),MATCH(E$1,[2]quests!$1:$1,0)-MATCH($B$1,[2]quests!$1:$1,0)+1),MATCH(E$1,[2]quests!$1:$1,0)-MATCH($B$1,[2]quests!$1:$1,0)+1,FALSE)</f>
        <v>ヘルレイザー襲来！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【上級】ヘルレイザー襲来</v>
      </c>
      <c r="G4" s="20">
        <v>2</v>
      </c>
      <c r="H4" s="14" t="str">
        <f t="shared" ref="H4:H7" si="2">B4&amp;"_"&amp;C4&amp;"-"&amp;G4</f>
        <v>47014_1-2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1</v>
      </c>
      <c r="L4" s="19">
        <v>771</v>
      </c>
      <c r="M4" s="16" t="str">
        <f ca="1">VLOOKUP($L4,OFFSET([3]enemies!$A$1,0,0,COUNTA([3]enemies!$A:$A),MATCH(M$1,[3]enemies!$1:$1,0)-MATCH($L$1,[3]enemies!$1:$1,0)+1),MATCH(M$1,[3]enemies!$1:$1,0)-MATCH($L$1,[3]enemies!$1:$1,0)+1,FALSE)</f>
        <v>天織羽鶴 ハヅル</v>
      </c>
      <c r="N4" s="16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6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6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40</v>
      </c>
      <c r="S4" s="24">
        <v>1.9</v>
      </c>
      <c r="T4" s="105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134045</v>
      </c>
      <c r="U4" s="24">
        <v>0.6</v>
      </c>
      <c r="V4" s="105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3051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124">
        <v>47014202</v>
      </c>
      <c r="Z4" s="6">
        <v>1</v>
      </c>
      <c r="AA4" s="6">
        <v>100</v>
      </c>
      <c r="AB4" s="6">
        <v>1</v>
      </c>
      <c r="AC4" s="16">
        <v>2</v>
      </c>
      <c r="AD4" s="23">
        <f t="shared" ref="AD4:AD7" si="3">L4</f>
        <v>771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天織羽鶴 ハヅル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4" s="7">
        <v>1</v>
      </c>
      <c r="AI4" s="23">
        <f t="shared" ref="AI4:AI7" ca="1" si="4">AF4</f>
        <v>5</v>
      </c>
      <c r="AJ4" s="7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5" t="str">
        <f t="shared" si="0"/>
        <v>47014_1-3/380&lt;lv40&gt;s1</v>
      </c>
      <c r="B5" s="7">
        <v>47014</v>
      </c>
      <c r="C5" s="108">
        <v>1</v>
      </c>
      <c r="D5" s="2" t="str">
        <f t="shared" si="1"/>
        <v>47014_1</v>
      </c>
      <c r="E5" s="4" t="str">
        <f ca="1">VLOOKUP($B5,OFFSET([2]quests!$A$1,0,0,COUNTA([2]quests!$A:$A),MATCH(E$1,[2]quests!$1:$1,0)-MATCH($B$1,[2]quests!$1:$1,0)+1),MATCH(E$1,[2]quests!$1:$1,0)-MATCH($B$1,[2]quests!$1:$1,0)+1,FALSE)</f>
        <v>ヘルレイザー襲来！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【上級】ヘルレイザー襲来</v>
      </c>
      <c r="G5" s="20">
        <v>3</v>
      </c>
      <c r="H5" s="14" t="str">
        <f t="shared" si="2"/>
        <v>47014_1-3</v>
      </c>
      <c r="I5" s="4">
        <f ca="1">VLOOKUP($H5,OFFSET(floors!$A$1,0,0,COUNTA(floors!$A:$A),MATCH(I$1,floors!$1:$1,0)-MATCH($H$1,floors!$1:$1,0)+1),MATCH(I$1,floors!$1:$1,0)-MATCH($H$1,floors!$1:$1,0)+1,FALSE)</f>
        <v>55</v>
      </c>
      <c r="J5" s="4">
        <f ca="1">VLOOKUP($H5,OFFSET(floors!$A$1,0,0,COUNTA(floors!$A:$A),MATCH(J$1,floors!$1:$1,0)-MATCH($H$1,floors!$1:$1,0)+1),MATCH(J$1,floors!$1:$1,0)-MATCH($H$1,floors!$1:$1,0)+1,FALSE)</f>
        <v>55</v>
      </c>
      <c r="K5" s="37" t="s">
        <v>53</v>
      </c>
      <c r="L5" s="19">
        <v>380</v>
      </c>
      <c r="M5" s="16" t="str">
        <f ca="1">VLOOKUP($L5,OFFSET([3]enemies!$A$1,0,0,COUNTA([3]enemies!$A:$A),MATCH(M$1,[3]enemies!$1:$1,0)-MATCH($L$1,[3]enemies!$1:$1,0)+1),MATCH(M$1,[3]enemies!$1:$1,0)-MATCH($L$1,[3]enemies!$1:$1,0)+1,FALSE)</f>
        <v>バハムート</v>
      </c>
      <c r="N5" s="16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dragon</v>
      </c>
      <c r="Q5" s="16">
        <f ca="1">VLOOKUP($L5,OFFSET([3]enemies!$A$1,0,0,COUNTA([3]enemies!$A:$A),MATCH(Q$1,[3]enemies!$1:$1,0)-MATCH($L$1,[3]enemies!$1:$1,0)+1),MATCH(Q$1,[3]enemies!$1:$1,0)-MATCH($L$1,[3]enemies!$1:$1,0)+1,FALSE)</f>
        <v>25</v>
      </c>
      <c r="R5" s="5">
        <v>40</v>
      </c>
      <c r="S5" s="24">
        <v>2.9</v>
      </c>
      <c r="T5" s="105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149474.69999999998</v>
      </c>
      <c r="U5" s="24">
        <v>1</v>
      </c>
      <c r="V5" s="105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4086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123">
        <v>47014205</v>
      </c>
      <c r="Z5" s="6">
        <v>1</v>
      </c>
      <c r="AA5" s="6">
        <v>100</v>
      </c>
      <c r="AB5" s="6">
        <v>1</v>
      </c>
      <c r="AC5" s="16">
        <v>1</v>
      </c>
      <c r="AD5" s="23">
        <f t="shared" si="3"/>
        <v>380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バハムート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3">
        <f t="shared" ca="1" si="4"/>
        <v>3</v>
      </c>
      <c r="AJ5" s="7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5" t="str">
        <f t="shared" si="0"/>
        <v>47014_1-3/41&lt;lv40&gt;s1</v>
      </c>
      <c r="B6" s="7">
        <v>47014</v>
      </c>
      <c r="C6" s="108">
        <v>1</v>
      </c>
      <c r="D6" s="2" t="str">
        <f t="shared" si="1"/>
        <v>47014_1</v>
      </c>
      <c r="E6" s="4" t="str">
        <f ca="1">VLOOKUP($B6,OFFSET([2]quests!$A$1,0,0,COUNTA([2]quests!$A:$A),MATCH(E$1,[2]quests!$1:$1,0)-MATCH($B$1,[2]quests!$1:$1,0)+1),MATCH(E$1,[2]quests!$1:$1,0)-MATCH($B$1,[2]quests!$1:$1,0)+1,FALSE)</f>
        <v>ヘルレイザー襲来！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【上級】ヘルレイザー襲来</v>
      </c>
      <c r="G6" s="20">
        <v>3</v>
      </c>
      <c r="H6" s="14" t="str">
        <f t="shared" si="2"/>
        <v>47014_1-3</v>
      </c>
      <c r="I6" s="4">
        <f ca="1">VLOOKUP($H6,OFFSET(floors!$A$1,0,0,COUNTA(floors!$A:$A),MATCH(I$1,floors!$1:$1,0)-MATCH($H$1,floors!$1:$1,0)+1),MATCH(I$1,floors!$1:$1,0)-MATCH($H$1,floors!$1:$1,0)+1,FALSE)</f>
        <v>55</v>
      </c>
      <c r="J6" s="4">
        <f ca="1">VLOOKUP($H6,OFFSET(floors!$A$1,0,0,COUNTA(floors!$A:$A),MATCH(J$1,floors!$1:$1,0)-MATCH($H$1,floors!$1:$1,0)+1),MATCH(J$1,floors!$1:$1,0)-MATCH($H$1,floors!$1:$1,0)+1,FALSE)</f>
        <v>55</v>
      </c>
      <c r="K6" s="37" t="s">
        <v>53</v>
      </c>
      <c r="L6" s="19">
        <v>41</v>
      </c>
      <c r="M6" s="16" t="str">
        <f ca="1">VLOOKUP($L6,OFFSET([3]enemies!$A$1,0,0,COUNTA([3]enemies!$A:$A),MATCH(M$1,[3]enemies!$1:$1,0)-MATCH($L$1,[3]enemies!$1:$1,0)+1),MATCH(M$1,[3]enemies!$1:$1,0)-MATCH($L$1,[3]enemies!$1:$1,0)+1,FALSE)</f>
        <v>ヒュウガ</v>
      </c>
      <c r="N6" s="16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6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6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40</v>
      </c>
      <c r="S6" s="24">
        <v>3</v>
      </c>
      <c r="T6" s="105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28635</v>
      </c>
      <c r="U6" s="24">
        <v>1</v>
      </c>
      <c r="V6" s="105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3716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6">
        <v>47014006</v>
      </c>
      <c r="Z6" s="6">
        <v>2</v>
      </c>
      <c r="AA6" s="6">
        <v>100</v>
      </c>
      <c r="AB6" s="6">
        <v>0</v>
      </c>
      <c r="AC6" s="16">
        <v>1</v>
      </c>
      <c r="AD6" s="109">
        <v>1696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ファルネーゼ・コア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6" s="7">
        <v>1</v>
      </c>
      <c r="AI6" s="23">
        <f t="shared" ca="1" si="4"/>
        <v>4</v>
      </c>
      <c r="AJ6" s="109">
        <v>60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5" t="str">
        <f t="shared" si="0"/>
        <v>47014_1-4/1342&lt;lv35&gt;s1</v>
      </c>
      <c r="B7" s="7">
        <v>47014</v>
      </c>
      <c r="C7" s="108">
        <v>1</v>
      </c>
      <c r="D7" s="2" t="str">
        <f t="shared" si="1"/>
        <v>47014_1</v>
      </c>
      <c r="E7" s="4" t="str">
        <f ca="1">VLOOKUP($B7,OFFSET([2]quests!$A$1,0,0,COUNTA([2]quests!$A:$A),MATCH(E$1,[2]quests!$1:$1,0)-MATCH($B$1,[2]quests!$1:$1,0)+1),MATCH(E$1,[2]quests!$1:$1,0)-MATCH($B$1,[2]quests!$1:$1,0)+1,FALSE)</f>
        <v>ヘルレイザー襲来！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【上級】ヘルレイザー襲来</v>
      </c>
      <c r="G7" s="20">
        <v>4</v>
      </c>
      <c r="H7" s="14" t="str">
        <f t="shared" si="2"/>
        <v>47014_1-4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2</v>
      </c>
      <c r="L7" s="19">
        <v>1342</v>
      </c>
      <c r="M7" s="16" t="str">
        <f ca="1">VLOOKUP($L7,OFFSET([3]enemies!$A$1,0,0,COUNTA([3]enemies!$A:$A),MATCH(M$1,[3]enemies!$1:$1,0)-MATCH($L$1,[3]enemies!$1:$1,0)+1),MATCH(M$1,[3]enemies!$1:$1,0)-MATCH($L$1,[3]enemies!$1:$1,0)+1,FALSE)</f>
        <v>ヘルレイザー</v>
      </c>
      <c r="N7" s="16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6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35</v>
      </c>
      <c r="S7" s="24">
        <v>2.8</v>
      </c>
      <c r="T7" s="105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173740</v>
      </c>
      <c r="U7" s="24">
        <v>1.2</v>
      </c>
      <c r="V7" s="105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6234</v>
      </c>
      <c r="W7" s="5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6">
        <v>47014007</v>
      </c>
      <c r="Z7" s="6">
        <v>1</v>
      </c>
      <c r="AA7" s="6">
        <v>100</v>
      </c>
      <c r="AB7" s="6">
        <v>1</v>
      </c>
      <c r="AC7" s="16">
        <v>1</v>
      </c>
      <c r="AD7" s="23">
        <f t="shared" si="3"/>
        <v>1342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ヘルレイザー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3">
        <f t="shared" ca="1" si="4"/>
        <v>5</v>
      </c>
      <c r="AJ7" s="7">
        <v>10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5" t="str">
        <f>B8&amp;"_"&amp;C8&amp;"-"&amp;G8&amp;"/"&amp;L8&amp;"&lt;lv"&amp;R8&amp;"&gt;s"&amp;AC8</f>
        <v>47014_2-1/126&lt;lv50&gt;s2</v>
      </c>
      <c r="B8" s="7">
        <v>47014</v>
      </c>
      <c r="C8" s="20">
        <v>2</v>
      </c>
      <c r="D8" s="2" t="str">
        <f>B8&amp;"_"&amp;C8</f>
        <v>47014_2</v>
      </c>
      <c r="E8" s="4" t="str">
        <f ca="1">VLOOKUP($B8,OFFSET([2]quests!$A$1,0,0,COUNTA([2]quests!$A:$A),MATCH(E$1,[2]quests!$1:$1,0)-MATCH($B$1,[2]quests!$1:$1,0)+1),MATCH(E$1,[2]quests!$1:$1,0)-MATCH($B$1,[2]quests!$1:$1,0)+1,FALSE)</f>
        <v>ヘルレイザー襲来！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【超絶級】ヘルレイザー襲来</v>
      </c>
      <c r="G8" s="20">
        <v>1</v>
      </c>
      <c r="H8" s="14" t="str">
        <f>B8&amp;"_"&amp;C8&amp;"-"&amp;G8</f>
        <v>47014_2-1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37" t="s">
        <v>53</v>
      </c>
      <c r="L8" s="19">
        <v>126</v>
      </c>
      <c r="M8" s="16" t="str">
        <f ca="1">VLOOKUP($L8,OFFSET([3]enemies!$A$1,0,0,COUNTA([3]enemies!$A:$A),MATCH(M$1,[3]enemies!$1:$1,0)-MATCH($L$1,[3]enemies!$1:$1,0)+1),MATCH(M$1,[3]enemies!$1:$1,0)-MATCH($L$1,[3]enemies!$1:$1,0)+1,FALSE)</f>
        <v>骨器使い ユノ</v>
      </c>
      <c r="N8" s="16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6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6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50</v>
      </c>
      <c r="S8" s="24">
        <v>2</v>
      </c>
      <c r="T8" s="105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106502</v>
      </c>
      <c r="U8" s="24">
        <v>0.7</v>
      </c>
      <c r="V8" s="105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4531.7999999999993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46">
        <v>47014000</v>
      </c>
      <c r="Z8" s="6">
        <v>1</v>
      </c>
      <c r="AA8" s="6">
        <v>100</v>
      </c>
      <c r="AB8" s="6">
        <v>1</v>
      </c>
      <c r="AC8" s="16">
        <v>2</v>
      </c>
      <c r="AD8" s="23">
        <f>L8</f>
        <v>126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骨器使い ユノ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8" s="7">
        <v>1</v>
      </c>
      <c r="AI8" s="23">
        <f ca="1">AF8</f>
        <v>3</v>
      </c>
      <c r="AJ8" s="7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5" t="str">
        <f>B9&amp;"_"&amp;C9&amp;"-"&amp;G9&amp;"/"&amp;L9&amp;"&lt;lv"&amp;R9&amp;"&gt;s"&amp;AC9</f>
        <v>47014_2-1/15&lt;lv55&gt;s1</v>
      </c>
      <c r="B9" s="7">
        <v>47014</v>
      </c>
      <c r="C9" s="20">
        <v>2</v>
      </c>
      <c r="D9" s="2" t="str">
        <f>B9&amp;"_"&amp;C9</f>
        <v>47014_2</v>
      </c>
      <c r="E9" s="4" t="str">
        <f ca="1">VLOOKUP($B9,OFFSET([2]quests!$A$1,0,0,COUNTA([2]quests!$A:$A),MATCH(E$1,[2]quests!$1:$1,0)-MATCH($B$1,[2]quests!$1:$1,0)+1),MATCH(E$1,[2]quests!$1:$1,0)-MATCH($B$1,[2]quests!$1:$1,0)+1,FALSE)</f>
        <v>ヘルレイザー襲来！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【超絶級】ヘルレイザー襲来</v>
      </c>
      <c r="G9" s="20">
        <v>1</v>
      </c>
      <c r="H9" s="14" t="str">
        <f>B9&amp;"_"&amp;C9&amp;"-"&amp;G9</f>
        <v>47014_2-1</v>
      </c>
      <c r="I9" s="4">
        <f ca="1">VLOOKUP($H9,OFFSET(floors!$A$1,0,0,COUNTA(floors!$A:$A),MATCH(I$1,floors!$1:$1,0)-MATCH($H$1,floors!$1:$1,0)+1),MATCH(I$1,floors!$1:$1,0)-MATCH($H$1,floors!$1:$1,0)+1,FALSE)</f>
        <v>50</v>
      </c>
      <c r="J9" s="4">
        <f ca="1">VLOOKUP($H9,OFFSET(floors!$A$1,0,0,COUNTA(floors!$A:$A),MATCH(J$1,floors!$1:$1,0)-MATCH($H$1,floors!$1:$1,0)+1),MATCH(J$1,floors!$1:$1,0)-MATCH($H$1,floors!$1:$1,0)+1,FALSE)</f>
        <v>50</v>
      </c>
      <c r="K9" s="37" t="s">
        <v>53</v>
      </c>
      <c r="L9" s="19">
        <v>15</v>
      </c>
      <c r="M9" s="16" t="str">
        <f ca="1">VLOOKUP($L9,OFFSET([3]enemies!$A$1,0,0,COUNTA([3]enemies!$A:$A),MATCH(M$1,[3]enemies!$1:$1,0)-MATCH($L$1,[3]enemies!$1:$1,0)+1),MATCH(M$1,[3]enemies!$1:$1,0)-MATCH($L$1,[3]enemies!$1:$1,0)+1,FALSE)</f>
        <v>アカネ</v>
      </c>
      <c r="N9" s="16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6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6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55</v>
      </c>
      <c r="S9" s="24">
        <v>3</v>
      </c>
      <c r="T9" s="105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31866</v>
      </c>
      <c r="U9" s="24">
        <v>0.4</v>
      </c>
      <c r="V9" s="105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1369.2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46">
        <v>47014001</v>
      </c>
      <c r="Z9" s="6">
        <v>2</v>
      </c>
      <c r="AA9" s="6">
        <v>100</v>
      </c>
      <c r="AB9" s="6">
        <v>0</v>
      </c>
      <c r="AC9" s="16">
        <v>1</v>
      </c>
      <c r="AD9" s="109">
        <v>1696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ファルネーゼ・コア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9" s="7">
        <v>1</v>
      </c>
      <c r="AI9" s="23">
        <f ca="1">AF9</f>
        <v>4</v>
      </c>
      <c r="AJ9" s="109">
        <v>70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x14ac:dyDescent="0.15">
      <c r="A10" s="15" t="str">
        <f t="shared" ref="A10:A13" si="5">B10&amp;"_"&amp;C10&amp;"-"&amp;G10&amp;"/"&amp;L10&amp;"&lt;lv"&amp;R10&amp;"&gt;s"&amp;AC10</f>
        <v>47014_2-2/771&lt;lv55&gt;s2</v>
      </c>
      <c r="B10" s="7">
        <v>47014</v>
      </c>
      <c r="C10" s="20">
        <v>2</v>
      </c>
      <c r="D10" s="2" t="str">
        <f t="shared" ref="D10:D13" si="6">B10&amp;"_"&amp;C10</f>
        <v>47014_2</v>
      </c>
      <c r="E10" s="4" t="str">
        <f ca="1">VLOOKUP($B10,OFFSET([2]quests!$A$1,0,0,COUNTA([2]quests!$A:$A),MATCH(E$1,[2]quests!$1:$1,0)-MATCH($B$1,[2]quests!$1:$1,0)+1),MATCH(E$1,[2]quests!$1:$1,0)-MATCH($B$1,[2]quests!$1:$1,0)+1,FALSE)</f>
        <v>ヘルレイザー襲来！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【超絶級】ヘルレイザー襲来</v>
      </c>
      <c r="G10" s="20">
        <v>2</v>
      </c>
      <c r="H10" s="14" t="str">
        <f t="shared" ref="H10:H13" si="7">B10&amp;"_"&amp;C10&amp;"-"&amp;G10</f>
        <v>47014_2-2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>
        <v>3</v>
      </c>
      <c r="L10" s="19">
        <v>771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天織羽鶴 ハヅル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6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55</v>
      </c>
      <c r="S10" s="24">
        <v>2.2999999999999998</v>
      </c>
      <c r="T10" s="105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220914.99999999997</v>
      </c>
      <c r="U10" s="24">
        <v>0.6</v>
      </c>
      <c r="V10" s="105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4153.8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46">
        <v>47014002</v>
      </c>
      <c r="Z10" s="6">
        <v>1</v>
      </c>
      <c r="AA10" s="6">
        <v>100</v>
      </c>
      <c r="AB10" s="6">
        <v>1</v>
      </c>
      <c r="AC10" s="16">
        <v>2</v>
      </c>
      <c r="AD10" s="23">
        <f t="shared" ref="AD10:AD13" si="8">L10</f>
        <v>771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天織羽鶴 ハヅル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0" s="7">
        <v>1</v>
      </c>
      <c r="AI10" s="23">
        <f t="shared" ref="AI10:AI13" ca="1" si="9">AF10</f>
        <v>5</v>
      </c>
      <c r="AJ10" s="7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  <row r="11" spans="1:42" ht="21" customHeight="1" x14ac:dyDescent="0.15">
      <c r="A11" s="15" t="str">
        <f t="shared" si="5"/>
        <v>47014_2-3/380&lt;lv55&gt;s1</v>
      </c>
      <c r="B11" s="7">
        <v>47014</v>
      </c>
      <c r="C11" s="20">
        <v>2</v>
      </c>
      <c r="D11" s="2" t="str">
        <f t="shared" si="6"/>
        <v>47014_2</v>
      </c>
      <c r="E11" s="4" t="str">
        <f ca="1">VLOOKUP($B11,OFFSET([2]quests!$A$1,0,0,COUNTA([2]quests!$A:$A),MATCH(E$1,[2]quests!$1:$1,0)-MATCH($B$1,[2]quests!$1:$1,0)+1),MATCH(E$1,[2]quests!$1:$1,0)-MATCH($B$1,[2]quests!$1:$1,0)+1,FALSE)</f>
        <v>ヘルレイザー襲来！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【超絶級】ヘルレイザー襲来</v>
      </c>
      <c r="G11" s="20">
        <v>3</v>
      </c>
      <c r="H11" s="14" t="str">
        <f t="shared" si="7"/>
        <v>47014_2-3</v>
      </c>
      <c r="I11" s="4">
        <f ca="1">VLOOKUP($H11,OFFSET(floors!$A$1,0,0,COUNTA(floors!$A:$A),MATCH(I$1,floors!$1:$1,0)-MATCH($H$1,floors!$1:$1,0)+1),MATCH(I$1,floors!$1:$1,0)-MATCH($H$1,floors!$1:$1,0)+1,FALSE)</f>
        <v>55</v>
      </c>
      <c r="J11" s="4">
        <f ca="1">VLOOKUP($H11,OFFSET(floors!$A$1,0,0,COUNTA(floors!$A:$A),MATCH(J$1,floors!$1:$1,0)-MATCH($H$1,floors!$1:$1,0)+1),MATCH(J$1,floors!$1:$1,0)-MATCH($H$1,floors!$1:$1,0)+1,FALSE)</f>
        <v>55</v>
      </c>
      <c r="K11" s="37" t="s">
        <v>53</v>
      </c>
      <c r="L11" s="19">
        <v>380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バハムート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6">
        <f ca="1">VLOOKUP($L11,OFFSET([3]enemies!$A$1,0,0,COUNTA([3]enemies!$A:$A),MATCH(Q$1,[3]enemies!$1:$1,0)-MATCH($L$1,[3]enemies!$1:$1,0)+1),MATCH(Q$1,[3]enemies!$1:$1,0)-MATCH($L$1,[3]enemies!$1:$1,0)+1,FALSE)</f>
        <v>25</v>
      </c>
      <c r="R11" s="5">
        <v>55</v>
      </c>
      <c r="S11" s="24">
        <v>3.4</v>
      </c>
      <c r="T11" s="105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238588.19999999998</v>
      </c>
      <c r="U11" s="24">
        <v>1</v>
      </c>
      <c r="V11" s="105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5563</v>
      </c>
      <c r="W11" s="5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124">
        <v>47014105</v>
      </c>
      <c r="Z11" s="6">
        <v>1</v>
      </c>
      <c r="AA11" s="6">
        <v>100</v>
      </c>
      <c r="AB11" s="6">
        <v>1</v>
      </c>
      <c r="AC11" s="16">
        <v>1</v>
      </c>
      <c r="AD11" s="23">
        <f t="shared" si="8"/>
        <v>380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バハムート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1" s="7">
        <v>1</v>
      </c>
      <c r="AI11" s="23">
        <f t="shared" ca="1" si="9"/>
        <v>3</v>
      </c>
      <c r="AJ11" s="7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8">
        <v>1</v>
      </c>
    </row>
    <row r="12" spans="1:42" ht="21" customHeight="1" x14ac:dyDescent="0.15">
      <c r="A12" s="15" t="str">
        <f t="shared" si="5"/>
        <v>47014_2-3/41&lt;lv55&gt;s1</v>
      </c>
      <c r="B12" s="7">
        <v>47014</v>
      </c>
      <c r="C12" s="20">
        <v>2</v>
      </c>
      <c r="D12" s="2" t="str">
        <f t="shared" si="6"/>
        <v>47014_2</v>
      </c>
      <c r="E12" s="4" t="str">
        <f ca="1">VLOOKUP($B12,OFFSET([2]quests!$A$1,0,0,COUNTA([2]quests!$A:$A),MATCH(E$1,[2]quests!$1:$1,0)-MATCH($B$1,[2]quests!$1:$1,0)+1),MATCH(E$1,[2]quests!$1:$1,0)-MATCH($B$1,[2]quests!$1:$1,0)+1,FALSE)</f>
        <v>ヘルレイザー襲来！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【超絶級】ヘルレイザー襲来</v>
      </c>
      <c r="G12" s="20">
        <v>3</v>
      </c>
      <c r="H12" s="14" t="str">
        <f t="shared" si="7"/>
        <v>47014_2-3</v>
      </c>
      <c r="I12" s="4">
        <f ca="1">VLOOKUP($H12,OFFSET(floors!$A$1,0,0,COUNTA(floors!$A:$A),MATCH(I$1,floors!$1:$1,0)-MATCH($H$1,floors!$1:$1,0)+1),MATCH(I$1,floors!$1:$1,0)-MATCH($H$1,floors!$1:$1,0)+1,FALSE)</f>
        <v>55</v>
      </c>
      <c r="J12" s="4">
        <f ca="1">VLOOKUP($H12,OFFSET(floors!$A$1,0,0,COUNTA(floors!$A:$A),MATCH(J$1,floors!$1:$1,0)-MATCH($H$1,floors!$1:$1,0)+1),MATCH(J$1,floors!$1:$1,0)-MATCH($H$1,floors!$1:$1,0)+1,FALSE)</f>
        <v>55</v>
      </c>
      <c r="K12" s="37" t="s">
        <v>53</v>
      </c>
      <c r="L12" s="19">
        <v>41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ヒュウガ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dragon</v>
      </c>
      <c r="Q12" s="16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55</v>
      </c>
      <c r="S12" s="24">
        <v>4</v>
      </c>
      <c r="T12" s="105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51980</v>
      </c>
      <c r="U12" s="24">
        <v>1</v>
      </c>
      <c r="V12" s="105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5059</v>
      </c>
      <c r="W12" s="5">
        <v>0</v>
      </c>
      <c r="X12" s="4" t="e">
        <f ca="1">VLOOKUP($Y12,OFFSET([5]enemy_skill_sets!$B$1,0,0,COUNTA([5]enemy_skill_sets!$B:$B),MATCH(M$1,[5]enemy_skill_sets!$1:$1,0)-MATCH($Y$1,[5]enemy_skill_sets!$1:$1,0)+2),MATCH(M$1,[5]enemy_skill_sets!$1:$1,0)-MATCH($Y$1,[5]enemy_skill_sets!$1:$1,0)+2,FALSE)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2" s="46">
        <v>47014006</v>
      </c>
      <c r="Z12" s="6">
        <v>2</v>
      </c>
      <c r="AA12" s="6">
        <v>100</v>
      </c>
      <c r="AB12" s="6">
        <v>0</v>
      </c>
      <c r="AC12" s="16">
        <v>1</v>
      </c>
      <c r="AD12" s="109">
        <v>1696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ファルネーゼ・コア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2" s="7">
        <v>1</v>
      </c>
      <c r="AI12" s="23">
        <f t="shared" ca="1" si="9"/>
        <v>4</v>
      </c>
      <c r="AJ12" s="109">
        <v>70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8">
        <v>1</v>
      </c>
    </row>
    <row r="13" spans="1:42" ht="21" customHeight="1" x14ac:dyDescent="0.15">
      <c r="A13" s="15" t="str">
        <f t="shared" si="5"/>
        <v>47014_2-4/1342&lt;lv50&gt;s1</v>
      </c>
      <c r="B13" s="7">
        <v>47014</v>
      </c>
      <c r="C13" s="20">
        <v>2</v>
      </c>
      <c r="D13" s="2" t="str">
        <f t="shared" si="6"/>
        <v>47014_2</v>
      </c>
      <c r="E13" s="4" t="str">
        <f ca="1">VLOOKUP($B13,OFFSET([2]quests!$A$1,0,0,COUNTA([2]quests!$A:$A),MATCH(E$1,[2]quests!$1:$1,0)-MATCH($B$1,[2]quests!$1:$1,0)+1),MATCH(E$1,[2]quests!$1:$1,0)-MATCH($B$1,[2]quests!$1:$1,0)+1,FALSE)</f>
        <v>ヘルレイザー襲来！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【超絶級】ヘルレイザー襲来</v>
      </c>
      <c r="G13" s="20">
        <v>4</v>
      </c>
      <c r="H13" s="14" t="str">
        <f t="shared" si="7"/>
        <v>47014_2-4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7">
        <v>4</v>
      </c>
      <c r="L13" s="19">
        <v>1342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ヘルレイザー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machine</v>
      </c>
      <c r="Q13" s="16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50</v>
      </c>
      <c r="S13" s="24">
        <v>3</v>
      </c>
      <c r="T13" s="105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262650</v>
      </c>
      <c r="U13" s="24">
        <v>1.2</v>
      </c>
      <c r="V13" s="105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8796</v>
      </c>
      <c r="W13" s="5">
        <v>0</v>
      </c>
      <c r="X13" s="4" t="e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3" s="46">
        <v>47014007</v>
      </c>
      <c r="Z13" s="6">
        <v>1</v>
      </c>
      <c r="AA13" s="6">
        <v>100</v>
      </c>
      <c r="AB13" s="6">
        <v>1</v>
      </c>
      <c r="AC13" s="16">
        <v>1</v>
      </c>
      <c r="AD13" s="23">
        <f t="shared" si="8"/>
        <v>1342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ヘルレイザー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3">
        <f t="shared" ca="1" si="9"/>
        <v>5</v>
      </c>
      <c r="AJ13" s="7">
        <v>20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8">
        <v>1</v>
      </c>
    </row>
    <row r="14" spans="1:42" ht="21" customHeight="1" x14ac:dyDescent="0.15">
      <c r="A14" s="15" t="str">
        <f>B14&amp;"_"&amp;C14&amp;"-"&amp;G14&amp;"/"&amp;L14&amp;"&lt;lv"&amp;R14&amp;"&gt;s"&amp;AC14</f>
        <v>47014_3-1/126&lt;lv80&gt;s2</v>
      </c>
      <c r="B14" s="7">
        <v>47014</v>
      </c>
      <c r="C14" s="108">
        <v>3</v>
      </c>
      <c r="D14" s="2" t="str">
        <f>B14&amp;"_"&amp;C14</f>
        <v>47014_3</v>
      </c>
      <c r="E14" s="4" t="str">
        <f ca="1">VLOOKUP($B14,OFFSET([2]quests!$A$1,0,0,COUNTA([2]quests!$A:$A),MATCH(E$1,[2]quests!$1:$1,0)-MATCH($B$1,[2]quests!$1:$1,0)+1),MATCH(E$1,[2]quests!$1:$1,0)-MATCH($B$1,[2]quests!$1:$1,0)+1,FALSE)</f>
        <v>ヘルレイザー襲来！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【ウィザード級】ヘルレイザー襲来</v>
      </c>
      <c r="G14" s="20">
        <v>1</v>
      </c>
      <c r="H14" s="14" t="str">
        <f>B14&amp;"_"&amp;C14&amp;"-"&amp;G14</f>
        <v>47014_3-1</v>
      </c>
      <c r="I14" s="4">
        <f ca="1">VLOOKUP($H14,OFFSET(floors!$A$1,0,0,COUNTA(floors!$A:$A),MATCH(I$1,floors!$1:$1,0)-MATCH($H$1,floors!$1:$1,0)+1),MATCH(I$1,floors!$1:$1,0)-MATCH($H$1,floors!$1:$1,0)+1,FALSE)</f>
        <v>50</v>
      </c>
      <c r="J14" s="4">
        <f ca="1">VLOOKUP($H14,OFFSET(floors!$A$1,0,0,COUNTA(floors!$A:$A),MATCH(J$1,floors!$1:$1,0)-MATCH($H$1,floors!$1:$1,0)+1),MATCH(J$1,floors!$1:$1,0)-MATCH($H$1,floors!$1:$1,0)+1,FALSE)</f>
        <v>50</v>
      </c>
      <c r="K14" s="37" t="s">
        <v>53</v>
      </c>
      <c r="L14" s="19">
        <v>126</v>
      </c>
      <c r="M14" s="16" t="str">
        <f ca="1">VLOOKUP($L14,OFFSET([3]enemies!$A$1,0,0,COUNTA([3]enemies!$A:$A),MATCH(M$1,[3]enemies!$1:$1,0)-MATCH($L$1,[3]enemies!$1:$1,0)+1),MATCH(M$1,[3]enemies!$1:$1,0)-MATCH($L$1,[3]enemies!$1:$1,0)+1,FALSE)</f>
        <v>骨器使い ユノ</v>
      </c>
      <c r="N14" s="16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6" t="str">
        <f ca="1">VLOOKUP($L14,OFFSET([4]characters!$A$1,0,0,COUNTA([4]characters!$A:$A),MATCH(O$1,[4]characters!$1:$1,0)-MATCH($L$1,[4]characters!$1:$1,0)+1),MATCH(O$1,[4]characters!$1:$1,0)-MATCH($L$1,[4]characters!$1:$1,0)+1,FALSE)</f>
        <v>PremiumW</v>
      </c>
      <c r="P14" s="16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6">
        <f ca="1">VLOOKUP($L14,OFFSET([3]enemies!$A$1,0,0,COUNTA([3]enemies!$A:$A),MATCH(Q$1,[3]enemies!$1:$1,0)-MATCH($L$1,[3]enemies!$1:$1,0)+1),MATCH(Q$1,[3]enemies!$1:$1,0)-MATCH($L$1,[3]enemies!$1:$1,0)+1,FALSE)</f>
        <v>20</v>
      </c>
      <c r="R14" s="5">
        <v>80</v>
      </c>
      <c r="S14" s="24">
        <v>2</v>
      </c>
      <c r="T14" s="105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168542</v>
      </c>
      <c r="U14" s="24">
        <v>0.7</v>
      </c>
      <c r="V14" s="105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7171.4999999999991</v>
      </c>
      <c r="W14" s="5">
        <v>0</v>
      </c>
      <c r="X14" s="4" t="e">
        <f ca="1">VLOOKUP($Y14,OFFSET([5]enemy_skill_sets!$B$1,0,0,COUNTA([5]enemy_skill_sets!$B:$B),MATCH(M$1,[5]enemy_skill_sets!$1:$1,0)-MATCH($Y$1,[5]enemy_skill_sets!$1:$1,0)+2),MATCH(M$1,[5]enemy_skill_sets!$1:$1,0)-MATCH($Y$1,[5]enemy_skill_sets!$1:$1,0)+2,FALSE)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4" s="46">
        <v>47014000</v>
      </c>
      <c r="Z14" s="6">
        <v>1</v>
      </c>
      <c r="AA14" s="6">
        <v>100</v>
      </c>
      <c r="AB14" s="6">
        <v>1</v>
      </c>
      <c r="AC14" s="16">
        <v>2</v>
      </c>
      <c r="AD14" s="23">
        <f>L14</f>
        <v>126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骨器使い ユノ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3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4" s="7">
        <v>1</v>
      </c>
      <c r="AI14" s="23">
        <f ca="1">AF14</f>
        <v>3</v>
      </c>
      <c r="AJ14" s="7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8">
        <v>1</v>
      </c>
    </row>
    <row r="15" spans="1:42" ht="21" customHeight="1" x14ac:dyDescent="0.15">
      <c r="A15" s="15" t="str">
        <f>B15&amp;"_"&amp;C15&amp;"-"&amp;G15&amp;"/"&amp;L15&amp;"&lt;lv"&amp;R15&amp;"&gt;s"&amp;AC15</f>
        <v>47014_3-1/15&lt;lv80&gt;s1</v>
      </c>
      <c r="B15" s="7">
        <v>47014</v>
      </c>
      <c r="C15" s="108">
        <v>3</v>
      </c>
      <c r="D15" s="2" t="str">
        <f>B15&amp;"_"&amp;C15</f>
        <v>47014_3</v>
      </c>
      <c r="E15" s="4" t="str">
        <f ca="1">VLOOKUP($B15,OFFSET([2]quests!$A$1,0,0,COUNTA([2]quests!$A:$A),MATCH(E$1,[2]quests!$1:$1,0)-MATCH($B$1,[2]quests!$1:$1,0)+1),MATCH(E$1,[2]quests!$1:$1,0)-MATCH($B$1,[2]quests!$1:$1,0)+1,FALSE)</f>
        <v>ヘルレイザー襲来！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【ウィザード級】ヘルレイザー襲来</v>
      </c>
      <c r="G15" s="20">
        <v>1</v>
      </c>
      <c r="H15" s="14" t="str">
        <f>B15&amp;"_"&amp;C15&amp;"-"&amp;G15</f>
        <v>47014_3-1</v>
      </c>
      <c r="I15" s="4">
        <f ca="1">VLOOKUP($H15,OFFSET(floors!$A$1,0,0,COUNTA(floors!$A:$A),MATCH(I$1,floors!$1:$1,0)-MATCH($H$1,floors!$1:$1,0)+1),MATCH(I$1,floors!$1:$1,0)-MATCH($H$1,floors!$1:$1,0)+1,FALSE)</f>
        <v>50</v>
      </c>
      <c r="J15" s="4">
        <f ca="1">VLOOKUP($H15,OFFSET(floors!$A$1,0,0,COUNTA(floors!$A:$A),MATCH(J$1,floors!$1:$1,0)-MATCH($H$1,floors!$1:$1,0)+1),MATCH(J$1,floors!$1:$1,0)-MATCH($H$1,floors!$1:$1,0)+1,FALSE)</f>
        <v>50</v>
      </c>
      <c r="K15" s="37" t="s">
        <v>53</v>
      </c>
      <c r="L15" s="19">
        <v>15</v>
      </c>
      <c r="M15" s="16" t="str">
        <f ca="1">VLOOKUP($L15,OFFSET([3]enemies!$A$1,0,0,COUNTA([3]enemies!$A:$A),MATCH(M$1,[3]enemies!$1:$1,0)-MATCH($L$1,[3]enemies!$1:$1,0)+1),MATCH(M$1,[3]enemies!$1:$1,0)-MATCH($L$1,[3]enemies!$1:$1,0)+1,FALSE)</f>
        <v>アカネ</v>
      </c>
      <c r="N15" s="16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6" t="str">
        <f ca="1">VLOOKUP($L15,OFFSET([4]characters!$A$1,0,0,COUNTA([4]characters!$A:$A),MATCH(O$1,[4]characters!$1:$1,0)-MATCH($L$1,[4]characters!$1:$1,0)+1),MATCH(O$1,[4]characters!$1:$1,0)-MATCH($L$1,[4]characters!$1:$1,0)+1,FALSE)</f>
        <v>Drop1W</v>
      </c>
      <c r="P15" s="16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6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80</v>
      </c>
      <c r="S15" s="24">
        <v>2.7</v>
      </c>
      <c r="T15" s="105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41369.4</v>
      </c>
      <c r="U15" s="24">
        <v>0.4</v>
      </c>
      <c r="V15" s="105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1975.2</v>
      </c>
      <c r="W15" s="5">
        <v>0</v>
      </c>
      <c r="X15" s="4" t="e">
        <f ca="1">VLOOKUP($Y15,OFFSET([5]enemy_skill_sets!$B$1,0,0,COUNTA([5]enemy_skill_sets!$B:$B),MATCH(M$1,[5]enemy_skill_sets!$1:$1,0)-MATCH($Y$1,[5]enemy_skill_sets!$1:$1,0)+2),MATCH(M$1,[5]enemy_skill_sets!$1:$1,0)-MATCH($Y$1,[5]enemy_skill_sets!$1:$1,0)+2,FALSE)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5" s="46">
        <v>47014001</v>
      </c>
      <c r="Z15" s="6">
        <v>2</v>
      </c>
      <c r="AA15" s="6">
        <v>100</v>
      </c>
      <c r="AB15" s="6">
        <v>0</v>
      </c>
      <c r="AC15" s="16">
        <v>1</v>
      </c>
      <c r="AD15" s="109">
        <v>1696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ファルネーゼ・コア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5" s="7">
        <v>1</v>
      </c>
      <c r="AI15" s="23">
        <f ca="1">AF15</f>
        <v>4</v>
      </c>
      <c r="AJ15" s="109">
        <v>80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8">
        <v>1</v>
      </c>
    </row>
    <row r="16" spans="1:42" ht="21" customHeight="1" x14ac:dyDescent="0.15">
      <c r="A16" s="15" t="str">
        <f t="shared" ref="A16:A19" si="10">B16&amp;"_"&amp;C16&amp;"-"&amp;G16&amp;"/"&amp;L16&amp;"&lt;lv"&amp;R16&amp;"&gt;s"&amp;AC16</f>
        <v>47014_3-2/771&lt;lv80&gt;s2</v>
      </c>
      <c r="B16" s="7">
        <v>47014</v>
      </c>
      <c r="C16" s="108">
        <v>3</v>
      </c>
      <c r="D16" s="2" t="str">
        <f t="shared" ref="D16:D19" si="11">B16&amp;"_"&amp;C16</f>
        <v>47014_3</v>
      </c>
      <c r="E16" s="4" t="str">
        <f ca="1">VLOOKUP($B16,OFFSET([2]quests!$A$1,0,0,COUNTA([2]quests!$A:$A),MATCH(E$1,[2]quests!$1:$1,0)-MATCH($B$1,[2]quests!$1:$1,0)+1),MATCH(E$1,[2]quests!$1:$1,0)-MATCH($B$1,[2]quests!$1:$1,0)+1,FALSE)</f>
        <v>ヘルレイザー襲来！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【ウィザード級】ヘルレイザー襲来</v>
      </c>
      <c r="G16" s="20">
        <v>2</v>
      </c>
      <c r="H16" s="14" t="str">
        <f t="shared" ref="H16:H19" si="12">B16&amp;"_"&amp;C16&amp;"-"&amp;G16</f>
        <v>47014_3-2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7">
        <v>5</v>
      </c>
      <c r="L16" s="19">
        <v>771</v>
      </c>
      <c r="M16" s="16" t="str">
        <f ca="1">VLOOKUP($L16,OFFSET([3]enemies!$A$1,0,0,COUNTA([3]enemies!$A:$A),MATCH(M$1,[3]enemies!$1:$1,0)-MATCH($L$1,[3]enemies!$1:$1,0)+1),MATCH(M$1,[3]enemies!$1:$1,0)-MATCH($L$1,[3]enemies!$1:$1,0)+1,FALSE)</f>
        <v>天織羽鶴 ハヅル</v>
      </c>
      <c r="N16" s="16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6" t="str">
        <f ca="1">VLOOKUP($L16,OFFSET([4]characters!$A$1,0,0,COUNTA([4]characters!$A:$A),MATCH(O$1,[4]characters!$1:$1,0)-MATCH($L$1,[4]characters!$1:$1,0)+1),MATCH(O$1,[4]characters!$1:$1,0)-MATCH($L$1,[4]characters!$1:$1,0)+1,FALSE)</f>
        <v>PremiumSS</v>
      </c>
      <c r="P16" s="16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6">
        <f ca="1">VLOOKUP($L16,OFFSET([3]enemies!$A$1,0,0,COUNTA([3]enemies!$A:$A),MATCH(Q$1,[3]enemies!$1:$1,0)-MATCH($L$1,[3]enemies!$1:$1,0)+1),MATCH(Q$1,[3]enemies!$1:$1,0)-MATCH($L$1,[3]enemies!$1:$1,0)+1,FALSE)</f>
        <v>60</v>
      </c>
      <c r="R16" s="5">
        <v>80</v>
      </c>
      <c r="S16" s="24">
        <v>2.7</v>
      </c>
      <c r="T16" s="105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374085</v>
      </c>
      <c r="U16" s="24">
        <v>0.7</v>
      </c>
      <c r="V16" s="105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6990.2</v>
      </c>
      <c r="W16" s="5">
        <v>0</v>
      </c>
      <c r="X16" s="4" t="e">
        <f ca="1">VLOOKUP($Y16,OFFSET([5]enemy_skill_sets!$B$1,0,0,COUNTA([5]enemy_skill_sets!$B:$B),MATCH(M$1,[5]enemy_skill_sets!$1:$1,0)-MATCH($Y$1,[5]enemy_skill_sets!$1:$1,0)+2),MATCH(M$1,[5]enemy_skill_sets!$1:$1,0)-MATCH($Y$1,[5]enemy_skill_sets!$1:$1,0)+2,FALSE)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6" s="46">
        <v>47014002</v>
      </c>
      <c r="Z16" s="6">
        <v>1</v>
      </c>
      <c r="AA16" s="6">
        <v>100</v>
      </c>
      <c r="AB16" s="6">
        <v>1</v>
      </c>
      <c r="AC16" s="16">
        <v>2</v>
      </c>
      <c r="AD16" s="23">
        <f t="shared" ref="AD16:AD19" si="13">L16</f>
        <v>771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天織羽鶴 ハヅル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5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6" s="7">
        <v>1</v>
      </c>
      <c r="AI16" s="23">
        <f t="shared" ref="AI16:AI19" ca="1" si="14">AF16</f>
        <v>5</v>
      </c>
      <c r="AJ16" s="7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8">
        <v>1</v>
      </c>
    </row>
    <row r="17" spans="1:42" ht="21" customHeight="1" x14ac:dyDescent="0.15">
      <c r="A17" s="15" t="str">
        <f t="shared" si="10"/>
        <v>47014_3-3/380&lt;lv80&gt;s1</v>
      </c>
      <c r="B17" s="7">
        <v>47014</v>
      </c>
      <c r="C17" s="108">
        <v>3</v>
      </c>
      <c r="D17" s="2" t="str">
        <f t="shared" si="11"/>
        <v>47014_3</v>
      </c>
      <c r="E17" s="4" t="str">
        <f ca="1">VLOOKUP($B17,OFFSET([2]quests!$A$1,0,0,COUNTA([2]quests!$A:$A),MATCH(E$1,[2]quests!$1:$1,0)-MATCH($B$1,[2]quests!$1:$1,0)+1),MATCH(E$1,[2]quests!$1:$1,0)-MATCH($B$1,[2]quests!$1:$1,0)+1,FALSE)</f>
        <v>ヘルレイザー襲来！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【ウィザード級】ヘルレイザー襲来</v>
      </c>
      <c r="G17" s="20">
        <v>3</v>
      </c>
      <c r="H17" s="14" t="str">
        <f t="shared" si="12"/>
        <v>47014_3-3</v>
      </c>
      <c r="I17" s="4">
        <f ca="1">VLOOKUP($H17,OFFSET(floors!$A$1,0,0,COUNTA(floors!$A:$A),MATCH(I$1,floors!$1:$1,0)-MATCH($H$1,floors!$1:$1,0)+1),MATCH(I$1,floors!$1:$1,0)-MATCH($H$1,floors!$1:$1,0)+1,FALSE)</f>
        <v>55</v>
      </c>
      <c r="J17" s="4">
        <f ca="1">VLOOKUP($H17,OFFSET(floors!$A$1,0,0,COUNTA(floors!$A:$A),MATCH(J$1,floors!$1:$1,0)-MATCH($H$1,floors!$1:$1,0)+1),MATCH(J$1,floors!$1:$1,0)-MATCH($H$1,floors!$1:$1,0)+1,FALSE)</f>
        <v>55</v>
      </c>
      <c r="K17" s="37" t="s">
        <v>53</v>
      </c>
      <c r="L17" s="19">
        <v>380</v>
      </c>
      <c r="M17" s="16" t="str">
        <f ca="1">VLOOKUP($L17,OFFSET([3]enemies!$A$1,0,0,COUNTA([3]enemies!$A:$A),MATCH(M$1,[3]enemies!$1:$1,0)-MATCH($L$1,[3]enemies!$1:$1,0)+1),MATCH(M$1,[3]enemies!$1:$1,0)-MATCH($L$1,[3]enemies!$1:$1,0)+1,FALSE)</f>
        <v>バハムート</v>
      </c>
      <c r="N17" s="16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6" t="str">
        <f ca="1">VLOOKUP($L17,OFFSET([4]characters!$A$1,0,0,COUNTA([4]characters!$A:$A),MATCH(O$1,[4]characters!$1:$1,0)-MATCH($L$1,[4]characters!$1:$1,0)+1),MATCH(O$1,[4]characters!$1:$1,0)-MATCH($L$1,[4]characters!$1:$1,0)+1,FALSE)</f>
        <v>PremiumS</v>
      </c>
      <c r="P17" s="16" t="str">
        <f ca="1">VLOOKUP($L17,OFFSET([3]enemies!$A$1,0,0,COUNTA([3]enemies!$A:$A),MATCH(P$1,[3]enemies!$1:$1,0)-MATCH($L$1,[3]enemies!$1:$1,0)+1),MATCH(P$1,[3]enemies!$1:$1,0)-MATCH($L$1,[3]enemies!$1:$1,0)+1,FALSE)</f>
        <v>dragon</v>
      </c>
      <c r="Q17" s="16">
        <f ca="1">VLOOKUP($L17,OFFSET([3]enemies!$A$1,0,0,COUNTA([3]enemies!$A:$A),MATCH(Q$1,[3]enemies!$1:$1,0)-MATCH($L$1,[3]enemies!$1:$1,0)+1),MATCH(Q$1,[3]enemies!$1:$1,0)-MATCH($L$1,[3]enemies!$1:$1,0)+1,FALSE)</f>
        <v>25</v>
      </c>
      <c r="R17" s="5">
        <v>80</v>
      </c>
      <c r="S17" s="24">
        <v>3.4</v>
      </c>
      <c r="T17" s="105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344158.2</v>
      </c>
      <c r="U17" s="24">
        <v>1</v>
      </c>
      <c r="V17" s="105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8024</v>
      </c>
      <c r="W17" s="5">
        <v>0</v>
      </c>
      <c r="X17" s="4" t="e">
        <f ca="1">VLOOKUP($Y17,OFFSET([5]enemy_skill_sets!$B$1,0,0,COUNTA([5]enemy_skill_sets!$B:$B),MATCH(M$1,[5]enemy_skill_sets!$1:$1,0)-MATCH($Y$1,[5]enemy_skill_sets!$1:$1,0)+2),MATCH(M$1,[5]enemy_skill_sets!$1:$1,0)-MATCH($Y$1,[5]enemy_skill_sets!$1:$1,0)+2,FALSE)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7" s="46">
        <v>47014005</v>
      </c>
      <c r="Z17" s="6">
        <v>1</v>
      </c>
      <c r="AA17" s="6">
        <v>100</v>
      </c>
      <c r="AB17" s="6">
        <v>1</v>
      </c>
      <c r="AC17" s="16">
        <v>1</v>
      </c>
      <c r="AD17" s="23">
        <f t="shared" si="13"/>
        <v>380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バハムート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3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7" s="7">
        <v>1</v>
      </c>
      <c r="AI17" s="23">
        <f t="shared" ca="1" si="14"/>
        <v>3</v>
      </c>
      <c r="AJ17" s="7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8">
        <v>1</v>
      </c>
    </row>
    <row r="18" spans="1:42" ht="21" customHeight="1" x14ac:dyDescent="0.15">
      <c r="A18" s="15" t="str">
        <f t="shared" si="10"/>
        <v>47014_3-3/41&lt;lv80&gt;s1</v>
      </c>
      <c r="B18" s="7">
        <v>47014</v>
      </c>
      <c r="C18" s="108">
        <v>3</v>
      </c>
      <c r="D18" s="2" t="str">
        <f t="shared" si="11"/>
        <v>47014_3</v>
      </c>
      <c r="E18" s="4" t="str">
        <f ca="1">VLOOKUP($B18,OFFSET([2]quests!$A$1,0,0,COUNTA([2]quests!$A:$A),MATCH(E$1,[2]quests!$1:$1,0)-MATCH($B$1,[2]quests!$1:$1,0)+1),MATCH(E$1,[2]quests!$1:$1,0)-MATCH($B$1,[2]quests!$1:$1,0)+1,FALSE)</f>
        <v>ヘルレイザー襲来！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【ウィザード級】ヘルレイザー襲来</v>
      </c>
      <c r="G18" s="20">
        <v>3</v>
      </c>
      <c r="H18" s="14" t="str">
        <f t="shared" si="12"/>
        <v>47014_3-3</v>
      </c>
      <c r="I18" s="4">
        <f ca="1">VLOOKUP($H18,OFFSET(floors!$A$1,0,0,COUNTA(floors!$A:$A),MATCH(I$1,floors!$1:$1,0)-MATCH($H$1,floors!$1:$1,0)+1),MATCH(I$1,floors!$1:$1,0)-MATCH($H$1,floors!$1:$1,0)+1,FALSE)</f>
        <v>55</v>
      </c>
      <c r="J18" s="4">
        <f ca="1">VLOOKUP($H18,OFFSET(floors!$A$1,0,0,COUNTA(floors!$A:$A),MATCH(J$1,floors!$1:$1,0)-MATCH($H$1,floors!$1:$1,0)+1),MATCH(J$1,floors!$1:$1,0)-MATCH($H$1,floors!$1:$1,0)+1,FALSE)</f>
        <v>55</v>
      </c>
      <c r="K18" s="37" t="s">
        <v>53</v>
      </c>
      <c r="L18" s="19">
        <v>41</v>
      </c>
      <c r="M18" s="16" t="str">
        <f ca="1">VLOOKUP($L18,OFFSET([3]enemies!$A$1,0,0,COUNTA([3]enemies!$A:$A),MATCH(M$1,[3]enemies!$1:$1,0)-MATCH($L$1,[3]enemies!$1:$1,0)+1),MATCH(M$1,[3]enemies!$1:$1,0)-MATCH($L$1,[3]enemies!$1:$1,0)+1,FALSE)</f>
        <v>ヒュウガ</v>
      </c>
      <c r="N18" s="16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16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6" t="str">
        <f ca="1">VLOOKUP($L18,OFFSET([3]enemies!$A$1,0,0,COUNTA([3]enemies!$A:$A),MATCH(P$1,[3]enemies!$1:$1,0)-MATCH($L$1,[3]enemies!$1:$1,0)+1),MATCH(P$1,[3]enemies!$1:$1,0)-MATCH($L$1,[3]enemies!$1:$1,0)+1,FALSE)</f>
        <v>dragon</v>
      </c>
      <c r="Q18" s="16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80</v>
      </c>
      <c r="S18" s="24">
        <v>4</v>
      </c>
      <c r="T18" s="105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74980</v>
      </c>
      <c r="U18" s="24">
        <v>1</v>
      </c>
      <c r="V18" s="105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7297</v>
      </c>
      <c r="W18" s="5">
        <v>0</v>
      </c>
      <c r="X18" s="4" t="e">
        <f ca="1">VLOOKUP($Y18,OFFSET([5]enemy_skill_sets!$B$1,0,0,COUNTA([5]enemy_skill_sets!$B:$B),MATCH(M$1,[5]enemy_skill_sets!$1:$1,0)-MATCH($Y$1,[5]enemy_skill_sets!$1:$1,0)+2),MATCH(M$1,[5]enemy_skill_sets!$1:$1,0)-MATCH($Y$1,[5]enemy_skill_sets!$1:$1,0)+2,FALSE)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8" s="46">
        <v>47014006</v>
      </c>
      <c r="Z18" s="6">
        <v>2</v>
      </c>
      <c r="AA18" s="6">
        <v>100</v>
      </c>
      <c r="AB18" s="6">
        <v>0</v>
      </c>
      <c r="AC18" s="16">
        <v>1</v>
      </c>
      <c r="AD18" s="109">
        <v>1696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ファルネーゼ・コア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4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8" s="7">
        <v>1</v>
      </c>
      <c r="AI18" s="23">
        <f t="shared" ca="1" si="14"/>
        <v>4</v>
      </c>
      <c r="AJ18" s="109">
        <v>80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8">
        <v>1</v>
      </c>
    </row>
    <row r="19" spans="1:42" ht="21" customHeight="1" x14ac:dyDescent="0.15">
      <c r="A19" s="15" t="str">
        <f t="shared" si="10"/>
        <v>47014_3-4/1342&lt;lv80&gt;s1</v>
      </c>
      <c r="B19" s="7">
        <v>47014</v>
      </c>
      <c r="C19" s="108">
        <v>3</v>
      </c>
      <c r="D19" s="2" t="str">
        <f t="shared" si="11"/>
        <v>47014_3</v>
      </c>
      <c r="E19" s="4" t="str">
        <f ca="1">VLOOKUP($B19,OFFSET([2]quests!$A$1,0,0,COUNTA([2]quests!$A:$A),MATCH(E$1,[2]quests!$1:$1,0)-MATCH($B$1,[2]quests!$1:$1,0)+1),MATCH(E$1,[2]quests!$1:$1,0)-MATCH($B$1,[2]quests!$1:$1,0)+1,FALSE)</f>
        <v>ヘルレイザー襲来！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【ウィザード級】ヘルレイザー襲来</v>
      </c>
      <c r="G19" s="20">
        <v>4</v>
      </c>
      <c r="H19" s="14" t="str">
        <f t="shared" si="12"/>
        <v>47014_3-4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7">
        <v>6</v>
      </c>
      <c r="L19" s="19">
        <v>1342</v>
      </c>
      <c r="M19" s="16" t="str">
        <f ca="1">VLOOKUP($L19,OFFSET([3]enemies!$A$1,0,0,COUNTA([3]enemies!$A:$A),MATCH(M$1,[3]enemies!$1:$1,0)-MATCH($L$1,[3]enemies!$1:$1,0)+1),MATCH(M$1,[3]enemies!$1:$1,0)-MATCH($L$1,[3]enemies!$1:$1,0)+1,FALSE)</f>
        <v>ヘルレイザー</v>
      </c>
      <c r="N19" s="16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6" t="str">
        <f ca="1">VLOOKUP($L19,OFFSET([4]characters!$A$1,0,0,COUNTA([4]characters!$A:$A),MATCH(O$1,[4]characters!$1:$1,0)-MATCH($L$1,[4]characters!$1:$1,0)+1),MATCH(O$1,[4]characters!$1:$1,0)-MATCH($L$1,[4]characters!$1:$1,0)+1,FALSE)</f>
        <v>DropWizS</v>
      </c>
      <c r="P19" s="16" t="str">
        <f ca="1">VLOOKUP($L19,OFFSET([3]enemies!$A$1,0,0,COUNTA([3]enemies!$A:$A),MATCH(P$1,[3]enemies!$1:$1,0)-MATCH($L$1,[3]enemies!$1:$1,0)+1),MATCH(P$1,[3]enemies!$1:$1,0)-MATCH($L$1,[3]enemies!$1:$1,0)+1,FALSE)</f>
        <v>machine</v>
      </c>
      <c r="Q19" s="16">
        <f ca="1">VLOOKUP($L19,OFFSET([3]enemies!$A$1,0,0,COUNTA([3]enemies!$A:$A),MATCH(Q$1,[3]enemies!$1:$1,0)-MATCH($L$1,[3]enemies!$1:$1,0)+1),MATCH(Q$1,[3]enemies!$1:$1,0)-MATCH($L$1,[3]enemies!$1:$1,0)+1,FALSE)</f>
        <v>60</v>
      </c>
      <c r="R19" s="5">
        <v>80</v>
      </c>
      <c r="S19" s="24">
        <v>3.5</v>
      </c>
      <c r="T19" s="105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484925</v>
      </c>
      <c r="U19" s="24">
        <v>1.2</v>
      </c>
      <c r="V19" s="105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13920</v>
      </c>
      <c r="W19" s="5">
        <v>0</v>
      </c>
      <c r="X19" s="4" t="e">
        <f ca="1">VLOOKUP($Y19,OFFSET([5]enemy_skill_sets!$B$1,0,0,COUNTA([5]enemy_skill_sets!$B:$B),MATCH(M$1,[5]enemy_skill_sets!$1:$1,0)-MATCH($Y$1,[5]enemy_skill_sets!$1:$1,0)+2),MATCH(M$1,[5]enemy_skill_sets!$1:$1,0)-MATCH($Y$1,[5]enemy_skill_sets!$1:$1,0)+2,FALSE)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9" s="46">
        <v>47014007</v>
      </c>
      <c r="Z19" s="6">
        <v>1</v>
      </c>
      <c r="AA19" s="6">
        <v>100</v>
      </c>
      <c r="AB19" s="6">
        <v>1</v>
      </c>
      <c r="AC19" s="16">
        <v>1</v>
      </c>
      <c r="AD19" s="23">
        <f t="shared" si="13"/>
        <v>1342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ヘルレイザー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5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9" s="7">
        <v>1</v>
      </c>
      <c r="AI19" s="23">
        <f t="shared" ca="1" si="14"/>
        <v>5</v>
      </c>
      <c r="AJ19" s="7">
        <v>30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3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O22" sqref="O22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104" t="s">
        <v>261</v>
      </c>
      <c r="V1" s="25" t="s">
        <v>50</v>
      </c>
      <c r="W1" s="104" t="s">
        <v>262</v>
      </c>
      <c r="X1" s="25" t="s">
        <v>52</v>
      </c>
      <c r="Y1" s="27" t="s">
        <v>130</v>
      </c>
      <c r="Z1" s="28" t="s">
        <v>129</v>
      </c>
      <c r="AA1" s="27" t="s">
        <v>8</v>
      </c>
    </row>
    <row r="2" spans="1:27" ht="21" customHeight="1" x14ac:dyDescent="0.15">
      <c r="A2" s="15" t="str">
        <f t="shared" ref="A2:A13" si="0">B2&amp;"_"&amp;C2&amp;"-"&amp;G2&amp;"/"&amp;M2&amp;"&lt;lv"&amp;S2&amp;"&gt;sq"&amp;K2&amp;"st"&amp;L2</f>
        <v>47014_1-2/896&lt;lv40&gt;sq1st2</v>
      </c>
      <c r="B2" s="21">
        <v>47014</v>
      </c>
      <c r="C2" s="20">
        <v>1</v>
      </c>
      <c r="D2" s="2" t="str">
        <f t="shared" ref="D2:D13" si="1">B2&amp;"_"&amp;C2</f>
        <v>47014_1</v>
      </c>
      <c r="E2" s="4" t="str">
        <f ca="1">VLOOKUP($B2,OFFSET([2]quests!$A$1,0,0,COUNTA([2]quests!$A:$A),MATCH(E$1,[2]quests!$1:$1,0)-MATCH($B$1,[2]quests!$1:$1,0)+1),MATCH(E$1,[2]quests!$1:$1,0)-MATCH($B$1,[2]quests!$1:$1,0)+1,FALSE)</f>
        <v>ヘルレイザー襲来！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【上級】ヘルレイザー襲来</v>
      </c>
      <c r="G2" s="20">
        <v>2</v>
      </c>
      <c r="H2" s="14" t="str">
        <f t="shared" ref="H2:H13" si="2">B2&amp;"_"&amp;C2&amp;"-"&amp;G2</f>
        <v>47014_1-2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9">
        <v>896</v>
      </c>
      <c r="N2" s="16" t="str">
        <f ca="1">VLOOKUP($M2,OFFSET([3]enemies!$A$1,0,0,COUNTA([3]enemies!$A:$A),MATCH(N$1,[3]enemies!$1:$1,0)-MATCH($M$1,[3]enemies!$1:$1,0)+1),MATCH(N$1,[3]enemies!$1:$1,0)-MATCH($M$1,[3]enemies!$1:$1,0)+1,FALSE)</f>
        <v>天衣紡ぐ麗鶴 ハヅル</v>
      </c>
      <c r="O2" s="16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40</v>
      </c>
      <c r="T2" s="24">
        <v>2.1</v>
      </c>
      <c r="U2" s="105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148155</v>
      </c>
      <c r="V2" s="24">
        <v>0.6</v>
      </c>
      <c r="W2" s="105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3051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24">
        <v>47014203</v>
      </c>
      <c r="AA2" s="69">
        <v>1</v>
      </c>
    </row>
    <row r="3" spans="1:27" ht="21" customHeight="1" x14ac:dyDescent="0.15">
      <c r="A3" s="15" t="str">
        <f t="shared" si="0"/>
        <v>47014_1-2/896&lt;lv40&gt;sq1st3</v>
      </c>
      <c r="B3" s="21">
        <v>47014</v>
      </c>
      <c r="C3" s="20">
        <v>1</v>
      </c>
      <c r="D3" s="2" t="str">
        <f t="shared" si="1"/>
        <v>47014_1</v>
      </c>
      <c r="E3" s="4" t="str">
        <f ca="1">VLOOKUP($B3,OFFSET([2]quests!$A$1,0,0,COUNTA([2]quests!$A:$A),MATCH(E$1,[2]quests!$1:$1,0)-MATCH($B$1,[2]quests!$1:$1,0)+1),MATCH(E$1,[2]quests!$1:$1,0)-MATCH($B$1,[2]quests!$1:$1,0)+1,FALSE)</f>
        <v>ヘルレイザー襲来！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【上級】ヘルレイザー襲来</v>
      </c>
      <c r="G3" s="20">
        <v>2</v>
      </c>
      <c r="H3" s="14" t="str">
        <f t="shared" si="2"/>
        <v>47014_1-2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37">
        <v>3</v>
      </c>
      <c r="M3" s="19">
        <v>896</v>
      </c>
      <c r="N3" s="16" t="str">
        <f ca="1">VLOOKUP($M3,OFFSET([3]enemies!$A$1,0,0,COUNTA([3]enemies!$A:$A),MATCH(N$1,[3]enemies!$1:$1,0)-MATCH($M$1,[3]enemies!$1:$1,0)+1),MATCH(N$1,[3]enemies!$1:$1,0)-MATCH($M$1,[3]enemies!$1:$1,0)+1,FALSE)</f>
        <v>天衣紡ぐ麗鶴 ハヅル</v>
      </c>
      <c r="O3" s="16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40</v>
      </c>
      <c r="T3" s="24">
        <v>2.7</v>
      </c>
      <c r="U3" s="105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190485</v>
      </c>
      <c r="V3" s="24">
        <v>0.7</v>
      </c>
      <c r="W3" s="105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3559.5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6">
        <v>47014004</v>
      </c>
      <c r="AA3" s="69">
        <v>1</v>
      </c>
    </row>
    <row r="4" spans="1:27" ht="21" customHeight="1" x14ac:dyDescent="0.15">
      <c r="A4" s="15" t="str">
        <f t="shared" si="0"/>
        <v>47014_1-4/1343&lt;lv35&gt;sq2st2</v>
      </c>
      <c r="B4" s="21">
        <v>47014</v>
      </c>
      <c r="C4" s="20">
        <v>1</v>
      </c>
      <c r="D4" s="2" t="str">
        <f t="shared" si="1"/>
        <v>47014_1</v>
      </c>
      <c r="E4" s="4" t="str">
        <f ca="1">VLOOKUP($B4,OFFSET([2]quests!$A$1,0,0,COUNTA([2]quests!$A:$A),MATCH(E$1,[2]quests!$1:$1,0)-MATCH($B$1,[2]quests!$1:$1,0)+1),MATCH(E$1,[2]quests!$1:$1,0)-MATCH($B$1,[2]quests!$1:$1,0)+1,FALSE)</f>
        <v>ヘルレイザー襲来！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【上級】ヘルレイザー襲来</v>
      </c>
      <c r="G4" s="20">
        <v>4</v>
      </c>
      <c r="H4" s="14" t="str">
        <f t="shared" si="2"/>
        <v>47014_1-4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37">
        <v>2</v>
      </c>
      <c r="M4" s="19">
        <v>1343</v>
      </c>
      <c r="N4" s="16" t="str">
        <f ca="1">VLOOKUP($M4,OFFSET([3]enemies!$A$1,0,0,COUNTA([3]enemies!$A:$A),MATCH(N$1,[3]enemies!$1:$1,0)-MATCH($M$1,[3]enemies!$1:$1,0)+1),MATCH(N$1,[3]enemies!$1:$1,0)-MATCH($M$1,[3]enemies!$1:$1,0)+1,FALSE)</f>
        <v>処命する凶掌 ヘルレイザー</v>
      </c>
      <c r="O4" s="16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machine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35</v>
      </c>
      <c r="T4" s="24">
        <v>3.6</v>
      </c>
      <c r="U4" s="105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256888.80000000002</v>
      </c>
      <c r="V4" s="24">
        <v>0.9</v>
      </c>
      <c r="W4" s="105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3867.3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6">
        <v>47014008</v>
      </c>
      <c r="AA4" s="69">
        <v>1</v>
      </c>
    </row>
    <row r="5" spans="1:27" ht="21" customHeight="1" x14ac:dyDescent="0.15">
      <c r="A5" s="15" t="str">
        <f t="shared" si="0"/>
        <v>47014_1-4/1343&lt;lv35&gt;sq2st3</v>
      </c>
      <c r="B5" s="21">
        <v>47014</v>
      </c>
      <c r="C5" s="20">
        <v>1</v>
      </c>
      <c r="D5" s="2" t="str">
        <f t="shared" si="1"/>
        <v>47014_1</v>
      </c>
      <c r="E5" s="4" t="str">
        <f ca="1">VLOOKUP($B5,OFFSET([2]quests!$A$1,0,0,COUNTA([2]quests!$A:$A),MATCH(E$1,[2]quests!$1:$1,0)-MATCH($B$1,[2]quests!$1:$1,0)+1),MATCH(E$1,[2]quests!$1:$1,0)-MATCH($B$1,[2]quests!$1:$1,0)+1,FALSE)</f>
        <v>ヘルレイザー襲来！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【上級】ヘルレイザー襲来</v>
      </c>
      <c r="G5" s="20">
        <v>4</v>
      </c>
      <c r="H5" s="14" t="str">
        <f t="shared" si="2"/>
        <v>47014_1-4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2</v>
      </c>
      <c r="L5" s="37">
        <v>3</v>
      </c>
      <c r="M5" s="19">
        <v>1343</v>
      </c>
      <c r="N5" s="16" t="str">
        <f ca="1">VLOOKUP($M5,OFFSET([3]enemies!$A$1,0,0,COUNTA([3]enemies!$A:$A),MATCH(N$1,[3]enemies!$1:$1,0)-MATCH($M$1,[3]enemies!$1:$1,0)+1),MATCH(N$1,[3]enemies!$1:$1,0)-MATCH($M$1,[3]enemies!$1:$1,0)+1,FALSE)</f>
        <v>処命する凶掌 ヘルレイザー</v>
      </c>
      <c r="O5" s="16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6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6" t="str">
        <f ca="1">VLOOKUP($M5,OFFSET([3]enemies!$A$1,0,0,COUNTA([3]enemies!$A:$A),MATCH(Q$1,[3]enemies!$1:$1,0)-MATCH($M$1,[3]enemies!$1:$1,0)+1),MATCH(Q$1,[3]enemies!$1:$1,0)-MATCH($M$1,[3]enemies!$1:$1,0)+1,FALSE)</f>
        <v>machine</v>
      </c>
      <c r="R5" s="16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35</v>
      </c>
      <c r="T5" s="24">
        <v>2.9</v>
      </c>
      <c r="U5" s="105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206938.19999999998</v>
      </c>
      <c r="V5" s="24">
        <v>1.1000000000000001</v>
      </c>
      <c r="W5" s="105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4726.7000000000007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24">
        <v>47014209</v>
      </c>
      <c r="AA5" s="69">
        <v>1</v>
      </c>
    </row>
    <row r="6" spans="1:27" ht="21" customHeight="1" x14ac:dyDescent="0.15">
      <c r="A6" s="15" t="str">
        <f t="shared" si="0"/>
        <v>47014_2-2/896&lt;lv55&gt;sq3st2</v>
      </c>
      <c r="B6" s="21">
        <v>47014</v>
      </c>
      <c r="C6" s="20">
        <v>2</v>
      </c>
      <c r="D6" s="2" t="str">
        <f t="shared" si="1"/>
        <v>47014_2</v>
      </c>
      <c r="E6" s="4" t="str">
        <f ca="1">VLOOKUP($B6,OFFSET([2]quests!$A$1,0,0,COUNTA([2]quests!$A:$A),MATCH(E$1,[2]quests!$1:$1,0)-MATCH($B$1,[2]quests!$1:$1,0)+1),MATCH(E$1,[2]quests!$1:$1,0)-MATCH($B$1,[2]quests!$1:$1,0)+1,FALSE)</f>
        <v>ヘルレイザー襲来！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【超絶級】ヘルレイザー襲来</v>
      </c>
      <c r="G6" s="20">
        <v>2</v>
      </c>
      <c r="H6" s="14" t="str">
        <f t="shared" si="2"/>
        <v>47014_2-2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3</v>
      </c>
      <c r="L6" s="37">
        <v>2</v>
      </c>
      <c r="M6" s="19">
        <v>896</v>
      </c>
      <c r="N6" s="16" t="str">
        <f ca="1">VLOOKUP($M6,OFFSET([3]enemies!$A$1,0,0,COUNTA([3]enemies!$A:$A),MATCH(N$1,[3]enemies!$1:$1,0)-MATCH($M$1,[3]enemies!$1:$1,0)+1),MATCH(N$1,[3]enemies!$1:$1,0)-MATCH($M$1,[3]enemies!$1:$1,0)+1,FALSE)</f>
        <v>天衣紡ぐ麗鶴 ハヅル</v>
      </c>
      <c r="O6" s="16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6" t="str">
        <f ca="1">VLOOKUP($M6,OFFSET([4]characters!$A$1,0,0,COUNTA([4]characters!$A:$A),MATCH(P$1,[4]characters!$1:$1,0)-MATCH($M$1,[4]characters!$1:$1,0)+1),MATCH(P$1,[4]characters!$1:$1,0)-MATCH($M$1,[4]characters!$1:$1,0)+1,FALSE)</f>
        <v>PremiumSS</v>
      </c>
      <c r="Q6" s="16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6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55</v>
      </c>
      <c r="T6" s="24">
        <v>2.7</v>
      </c>
      <c r="U6" s="105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259335.00000000003</v>
      </c>
      <c r="V6" s="24">
        <v>0.7</v>
      </c>
      <c r="W6" s="105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4846.0999999999995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46">
        <v>47014003</v>
      </c>
      <c r="AA6" s="69">
        <v>1</v>
      </c>
    </row>
    <row r="7" spans="1:27" ht="21" customHeight="1" x14ac:dyDescent="0.15">
      <c r="A7" s="15" t="str">
        <f t="shared" si="0"/>
        <v>47014_2-2/896&lt;lv55&gt;sq3st3</v>
      </c>
      <c r="B7" s="21">
        <v>47014</v>
      </c>
      <c r="C7" s="20">
        <v>2</v>
      </c>
      <c r="D7" s="2" t="str">
        <f t="shared" si="1"/>
        <v>47014_2</v>
      </c>
      <c r="E7" s="4" t="str">
        <f ca="1">VLOOKUP($B7,OFFSET([2]quests!$A$1,0,0,COUNTA([2]quests!$A:$A),MATCH(E$1,[2]quests!$1:$1,0)-MATCH($B$1,[2]quests!$1:$1,0)+1),MATCH(E$1,[2]quests!$1:$1,0)-MATCH($B$1,[2]quests!$1:$1,0)+1,FALSE)</f>
        <v>ヘルレイザー襲来！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【超絶級】ヘルレイザー襲来</v>
      </c>
      <c r="G7" s="20">
        <v>2</v>
      </c>
      <c r="H7" s="14" t="str">
        <f t="shared" si="2"/>
        <v>47014_2-2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3</v>
      </c>
      <c r="L7" s="37">
        <v>3</v>
      </c>
      <c r="M7" s="19">
        <v>896</v>
      </c>
      <c r="N7" s="16" t="str">
        <f ca="1">VLOOKUP($M7,OFFSET([3]enemies!$A$1,0,0,COUNTA([3]enemies!$A:$A),MATCH(N$1,[3]enemies!$1:$1,0)-MATCH($M$1,[3]enemies!$1:$1,0)+1),MATCH(N$1,[3]enemies!$1:$1,0)-MATCH($M$1,[3]enemies!$1:$1,0)+1,FALSE)</f>
        <v>天衣紡ぐ麗鶴 ハヅル</v>
      </c>
      <c r="O7" s="16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6" t="str">
        <f ca="1">VLOOKUP($M7,OFFSET([4]characters!$A$1,0,0,COUNTA([4]characters!$A:$A),MATCH(P$1,[4]characters!$1:$1,0)-MATCH($M$1,[4]characters!$1:$1,0)+1),MATCH(P$1,[4]characters!$1:$1,0)-MATCH($M$1,[4]characters!$1:$1,0)+1,FALSE)</f>
        <v>PremiumSS</v>
      </c>
      <c r="Q7" s="16" t="str">
        <f ca="1">VLOOKUP($M7,OFFSET([3]enemies!$A$1,0,0,COUNTA([3]enemies!$A:$A),MATCH(Q$1,[3]enemies!$1:$1,0)-MATCH($M$1,[3]enemies!$1:$1,0)+1),MATCH(Q$1,[3]enemies!$1:$1,0)-MATCH($M$1,[3]enemies!$1:$1,0)+1,FALSE)</f>
        <v>animal</v>
      </c>
      <c r="R7" s="16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55</v>
      </c>
      <c r="T7" s="24">
        <v>2.7</v>
      </c>
      <c r="U7" s="105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259335.00000000003</v>
      </c>
      <c r="V7" s="24">
        <v>0.7</v>
      </c>
      <c r="W7" s="105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4846.0999999999995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6">
        <v>47014004</v>
      </c>
      <c r="AA7" s="69">
        <v>1</v>
      </c>
    </row>
    <row r="8" spans="1:27" ht="21" customHeight="1" x14ac:dyDescent="0.15">
      <c r="A8" s="15" t="str">
        <f t="shared" si="0"/>
        <v>47014_2-4/1343&lt;lv50&gt;sq4st2</v>
      </c>
      <c r="B8" s="21">
        <v>47014</v>
      </c>
      <c r="C8" s="20">
        <v>2</v>
      </c>
      <c r="D8" s="2" t="str">
        <f t="shared" si="1"/>
        <v>47014_2</v>
      </c>
      <c r="E8" s="4" t="str">
        <f ca="1">VLOOKUP($B8,OFFSET([2]quests!$A$1,0,0,COUNTA([2]quests!$A:$A),MATCH(E$1,[2]quests!$1:$1,0)-MATCH($B$1,[2]quests!$1:$1,0)+1),MATCH(E$1,[2]quests!$1:$1,0)-MATCH($B$1,[2]quests!$1:$1,0)+1,FALSE)</f>
        <v>ヘルレイザー襲来！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【超絶級】ヘルレイザー襲来</v>
      </c>
      <c r="G8" s="20">
        <v>4</v>
      </c>
      <c r="H8" s="14" t="str">
        <f t="shared" si="2"/>
        <v>47014_2-4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>
        <v>4</v>
      </c>
      <c r="L8" s="37">
        <v>2</v>
      </c>
      <c r="M8" s="19">
        <v>1343</v>
      </c>
      <c r="N8" s="16" t="str">
        <f ca="1">VLOOKUP($M8,OFFSET([3]enemies!$A$1,0,0,COUNTA([3]enemies!$A:$A),MATCH(N$1,[3]enemies!$1:$1,0)-MATCH($M$1,[3]enemies!$1:$1,0)+1),MATCH(N$1,[3]enemies!$1:$1,0)-MATCH($M$1,[3]enemies!$1:$1,0)+1,FALSE)</f>
        <v>処命する凶掌 ヘルレイザー</v>
      </c>
      <c r="O8" s="16" t="str">
        <f ca="1">VLOOKUP($M8,OFFSET([3]enemies!$A$1,0,0,COUNTA([3]enemies!$A:$A),MATCH(O$1,[3]enemies!$1:$1,0)-MATCH($M$1,[3]enemies!$1:$1,0)+1),MATCH(O$1,[3]enemies!$1:$1,0)-MATCH($M$1,[3]enemies!$1:$1,0)+1,FALSE)</f>
        <v>red</v>
      </c>
      <c r="P8" s="16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6" t="str">
        <f ca="1">VLOOKUP($M8,OFFSET([3]enemies!$A$1,0,0,COUNTA([3]enemies!$A:$A),MATCH(Q$1,[3]enemies!$1:$1,0)-MATCH($M$1,[3]enemies!$1:$1,0)+1),MATCH(Q$1,[3]enemies!$1:$1,0)-MATCH($M$1,[3]enemies!$1:$1,0)+1,FALSE)</f>
        <v>machine</v>
      </c>
      <c r="R8" s="16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50</v>
      </c>
      <c r="T8" s="24">
        <v>3.6</v>
      </c>
      <c r="U8" s="105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362458.8</v>
      </c>
      <c r="V8" s="24">
        <v>1</v>
      </c>
      <c r="W8" s="105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6062</v>
      </c>
      <c r="X8" s="5">
        <v>0</v>
      </c>
      <c r="Y8" s="4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8" s="46">
        <v>47014008</v>
      </c>
      <c r="AA8" s="69">
        <v>1</v>
      </c>
    </row>
    <row r="9" spans="1:27" ht="21" customHeight="1" x14ac:dyDescent="0.15">
      <c r="A9" s="15" t="str">
        <f t="shared" si="0"/>
        <v>47014_2-4/1343&lt;lv50&gt;sq4st3</v>
      </c>
      <c r="B9" s="21">
        <v>47014</v>
      </c>
      <c r="C9" s="20">
        <v>2</v>
      </c>
      <c r="D9" s="2" t="str">
        <f t="shared" si="1"/>
        <v>47014_2</v>
      </c>
      <c r="E9" s="4" t="str">
        <f ca="1">VLOOKUP($B9,OFFSET([2]quests!$A$1,0,0,COUNTA([2]quests!$A:$A),MATCH(E$1,[2]quests!$1:$1,0)-MATCH($B$1,[2]quests!$1:$1,0)+1),MATCH(E$1,[2]quests!$1:$1,0)-MATCH($B$1,[2]quests!$1:$1,0)+1,FALSE)</f>
        <v>ヘルレイザー襲来！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【超絶級】ヘルレイザー襲来</v>
      </c>
      <c r="G9" s="20">
        <v>4</v>
      </c>
      <c r="H9" s="14" t="str">
        <f t="shared" si="2"/>
        <v>47014_2-4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>
        <v>4</v>
      </c>
      <c r="L9" s="37">
        <v>3</v>
      </c>
      <c r="M9" s="19">
        <v>1343</v>
      </c>
      <c r="N9" s="16" t="str">
        <f ca="1">VLOOKUP($M9,OFFSET([3]enemies!$A$1,0,0,COUNTA([3]enemies!$A:$A),MATCH(N$1,[3]enemies!$1:$1,0)-MATCH($M$1,[3]enemies!$1:$1,0)+1),MATCH(N$1,[3]enemies!$1:$1,0)-MATCH($M$1,[3]enemies!$1:$1,0)+1,FALSE)</f>
        <v>処命する凶掌 ヘルレイザー</v>
      </c>
      <c r="O9" s="16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16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6" t="str">
        <f ca="1">VLOOKUP($M9,OFFSET([3]enemies!$A$1,0,0,COUNTA([3]enemies!$A:$A),MATCH(Q$1,[3]enemies!$1:$1,0)-MATCH($M$1,[3]enemies!$1:$1,0)+1),MATCH(Q$1,[3]enemies!$1:$1,0)-MATCH($M$1,[3]enemies!$1:$1,0)+1,FALSE)</f>
        <v>machine</v>
      </c>
      <c r="R9" s="16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50</v>
      </c>
      <c r="T9" s="24">
        <v>3.2</v>
      </c>
      <c r="U9" s="105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322185.60000000003</v>
      </c>
      <c r="V9" s="24">
        <v>1.3</v>
      </c>
      <c r="W9" s="105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7880.6</v>
      </c>
      <c r="X9" s="5">
        <v>0</v>
      </c>
      <c r="Y9" s="4" t="e">
        <f ca="1">VLOOKUP($Z9,OFFSET([5]enemy_skill_sets!$B$1,0,0,COUNTA([5]enemy_skill_sets!$B:$B),MATCH(N$1,[5]enemy_skill_sets!$1:$1,0)-MATCH($Z$1,[5]enemy_skill_sets!$1:$1,0)+2),MATCH(N$1,[5]enemy_skill_sets!$1:$1,0)-MATCH($Z$1,[5]enemy_skill_sets!$1:$1,0)+2,FALSE)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9" s="124">
        <v>47014109</v>
      </c>
      <c r="AA9" s="69">
        <v>1</v>
      </c>
    </row>
    <row r="10" spans="1:27" ht="21" customHeight="1" x14ac:dyDescent="0.15">
      <c r="A10" s="15" t="str">
        <f t="shared" si="0"/>
        <v>47014_3-2/896&lt;lv80&gt;sq5st2</v>
      </c>
      <c r="B10" s="21">
        <v>47014</v>
      </c>
      <c r="C10" s="20">
        <v>3</v>
      </c>
      <c r="D10" s="2" t="str">
        <f t="shared" si="1"/>
        <v>47014_3</v>
      </c>
      <c r="E10" s="4" t="str">
        <f ca="1">VLOOKUP($B10,OFFSET([2]quests!$A$1,0,0,COUNTA([2]quests!$A:$A),MATCH(E$1,[2]quests!$1:$1,0)-MATCH($B$1,[2]quests!$1:$1,0)+1),MATCH(E$1,[2]quests!$1:$1,0)-MATCH($B$1,[2]quests!$1:$1,0)+1,FALSE)</f>
        <v>ヘルレイザー襲来！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【ウィザード級】ヘルレイザー襲来</v>
      </c>
      <c r="G10" s="20">
        <v>2</v>
      </c>
      <c r="H10" s="14" t="str">
        <f t="shared" si="2"/>
        <v>47014_3-2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>
        <v>5</v>
      </c>
      <c r="L10" s="37">
        <v>2</v>
      </c>
      <c r="M10" s="19">
        <v>896</v>
      </c>
      <c r="N10" s="16" t="str">
        <f ca="1">VLOOKUP($M10,OFFSET([3]enemies!$A$1,0,0,COUNTA([3]enemies!$A:$A),MATCH(N$1,[3]enemies!$1:$1,0)-MATCH($M$1,[3]enemies!$1:$1,0)+1),MATCH(N$1,[3]enemies!$1:$1,0)-MATCH($M$1,[3]enemies!$1:$1,0)+1,FALSE)</f>
        <v>天衣紡ぐ麗鶴 ハヅル</v>
      </c>
      <c r="O10" s="16" t="str">
        <f ca="1">VLOOKUP($M10,OFFSET([3]enemies!$A$1,0,0,COUNTA([3]enemies!$A:$A),MATCH(O$1,[3]enemies!$1:$1,0)-MATCH($M$1,[3]enemies!$1:$1,0)+1),MATCH(O$1,[3]enemies!$1:$1,0)-MATCH($M$1,[3]enemies!$1:$1,0)+1,FALSE)</f>
        <v>red</v>
      </c>
      <c r="P10" s="16" t="str">
        <f ca="1">VLOOKUP($M10,OFFSET([4]characters!$A$1,0,0,COUNTA([4]characters!$A:$A),MATCH(P$1,[4]characters!$1:$1,0)-MATCH($M$1,[4]characters!$1:$1,0)+1),MATCH(P$1,[4]characters!$1:$1,0)-MATCH($M$1,[4]characters!$1:$1,0)+1,FALSE)</f>
        <v>PremiumSS</v>
      </c>
      <c r="Q10" s="16" t="str">
        <f ca="1">VLOOKUP($M10,OFFSET([3]enemies!$A$1,0,0,COUNTA([3]enemies!$A:$A),MATCH(Q$1,[3]enemies!$1:$1,0)-MATCH($M$1,[3]enemies!$1:$1,0)+1),MATCH(Q$1,[3]enemies!$1:$1,0)-MATCH($M$1,[3]enemies!$1:$1,0)+1,FALSE)</f>
        <v>animal</v>
      </c>
      <c r="R10" s="16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80</v>
      </c>
      <c r="T10" s="24">
        <v>2.7</v>
      </c>
      <c r="U10" s="105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374085</v>
      </c>
      <c r="V10" s="24">
        <v>0.7</v>
      </c>
      <c r="W10" s="105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6990.2</v>
      </c>
      <c r="X10" s="5">
        <v>0</v>
      </c>
      <c r="Y10" s="4" t="e">
        <f ca="1">VLOOKUP($Z10,OFFSET([5]enemy_skill_sets!$B$1,0,0,COUNTA([5]enemy_skill_sets!$B:$B),MATCH(N$1,[5]enemy_skill_sets!$1:$1,0)-MATCH($Z$1,[5]enemy_skill_sets!$1:$1,0)+2),MATCH(N$1,[5]enemy_skill_sets!$1:$1,0)-MATCH($Z$1,[5]enemy_skill_sets!$1:$1,0)+2,FALSE)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0" s="46">
        <v>47014003</v>
      </c>
      <c r="AA10" s="69">
        <v>1</v>
      </c>
    </row>
    <row r="11" spans="1:27" ht="21" customHeight="1" x14ac:dyDescent="0.15">
      <c r="A11" s="15" t="str">
        <f t="shared" si="0"/>
        <v>47014_3-2/896&lt;lv80&gt;sq5st3</v>
      </c>
      <c r="B11" s="21">
        <v>47014</v>
      </c>
      <c r="C11" s="20">
        <v>3</v>
      </c>
      <c r="D11" s="2" t="str">
        <f t="shared" si="1"/>
        <v>47014_3</v>
      </c>
      <c r="E11" s="4" t="str">
        <f ca="1">VLOOKUP($B11,OFFSET([2]quests!$A$1,0,0,COUNTA([2]quests!$A:$A),MATCH(E$1,[2]quests!$1:$1,0)-MATCH($B$1,[2]quests!$1:$1,0)+1),MATCH(E$1,[2]quests!$1:$1,0)-MATCH($B$1,[2]quests!$1:$1,0)+1,FALSE)</f>
        <v>ヘルレイザー襲来！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【ウィザード級】ヘルレイザー襲来</v>
      </c>
      <c r="G11" s="20">
        <v>2</v>
      </c>
      <c r="H11" s="14" t="str">
        <f t="shared" si="2"/>
        <v>47014_3-2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7">
        <v>5</v>
      </c>
      <c r="L11" s="37">
        <v>3</v>
      </c>
      <c r="M11" s="19">
        <v>896</v>
      </c>
      <c r="N11" s="16" t="str">
        <f ca="1">VLOOKUP($M11,OFFSET([3]enemies!$A$1,0,0,COUNTA([3]enemies!$A:$A),MATCH(N$1,[3]enemies!$1:$1,0)-MATCH($M$1,[3]enemies!$1:$1,0)+1),MATCH(N$1,[3]enemies!$1:$1,0)-MATCH($M$1,[3]enemies!$1:$1,0)+1,FALSE)</f>
        <v>天衣紡ぐ麗鶴 ハヅル</v>
      </c>
      <c r="O11" s="16" t="str">
        <f ca="1">VLOOKUP($M11,OFFSET([3]enemies!$A$1,0,0,COUNTA([3]enemies!$A:$A),MATCH(O$1,[3]enemies!$1:$1,0)-MATCH($M$1,[3]enemies!$1:$1,0)+1),MATCH(O$1,[3]enemies!$1:$1,0)-MATCH($M$1,[3]enemies!$1:$1,0)+1,FALSE)</f>
        <v>red</v>
      </c>
      <c r="P11" s="16" t="str">
        <f ca="1">VLOOKUP($M11,OFFSET([4]characters!$A$1,0,0,COUNTA([4]characters!$A:$A),MATCH(P$1,[4]characters!$1:$1,0)-MATCH($M$1,[4]characters!$1:$1,0)+1),MATCH(P$1,[4]characters!$1:$1,0)-MATCH($M$1,[4]characters!$1:$1,0)+1,FALSE)</f>
        <v>PremiumSS</v>
      </c>
      <c r="Q11" s="16" t="str">
        <f ca="1">VLOOKUP($M11,OFFSET([3]enemies!$A$1,0,0,COUNTA([3]enemies!$A:$A),MATCH(Q$1,[3]enemies!$1:$1,0)-MATCH($M$1,[3]enemies!$1:$1,0)+1),MATCH(Q$1,[3]enemies!$1:$1,0)-MATCH($M$1,[3]enemies!$1:$1,0)+1,FALSE)</f>
        <v>animal</v>
      </c>
      <c r="R11" s="16">
        <f ca="1">VLOOKUP($M11,OFFSET([3]enemies!$A$1,0,0,COUNTA([3]enemies!$A:$A),MATCH(R$1,[3]enemies!$1:$1,0)-MATCH($M$1,[3]enemies!$1:$1,0)+1),MATCH(R$1,[3]enemies!$1:$1,0)-MATCH($M$1,[3]enemies!$1:$1,0)+1,FALSE)</f>
        <v>60</v>
      </c>
      <c r="S11" s="5">
        <v>80</v>
      </c>
      <c r="T11" s="24">
        <v>2.7</v>
      </c>
      <c r="U11" s="105">
        <f ca="1">ROUND(VLOOKUP(S11,[3]enemy_base_stats!$A:$F,2,FALSE) *INDIRECT("[EnemyMasterData.xlsm]enemies!Y"&amp;(M11+1))*  INDIRECT("[EnemyMasterData.xlsm]enemies!J"&amp;(M11+1))* INDIRECT("[EnemyMasterData.xlsm]enemies!O"&amp;(M11+1))* INDIRECT("[EnemyMasterData.xlsm]enemies!E"&amp;(M11+1))* INDIRECT("[EnemyMasterData.xlsm]enemies!S"&amp;(M11+1))* INDIRECT("[EnemyMasterData.xlsm]enemies!AD"&amp;(M11+1))*[4]ステータス!$B$2,0)*T11</f>
        <v>374085</v>
      </c>
      <c r="V11" s="24">
        <v>0.7</v>
      </c>
      <c r="W11" s="105">
        <f ca="1">ROUND(VLOOKUP(S11,[3]enemy_base_stats!$A:$F,3,FALSE) *INDIRECT("[EnemyMasterData.xlsm]enemies!Z"&amp;(M11+1))*  INDIRECT("[EnemyMasterData.xlsm]enemies!K"&amp;(M11+1))* INDIRECT("[EnemyMasterData.xlsm]enemies!P"&amp;(M11+1))* INDIRECT("[EnemyMasterData.xlsm]enemies!F"&amp;(M11+1))* INDIRECT("[EnemyMasterData.xlsm]enemies!T"&amp;(M11+1))* INDIRECT("[EnemyMasterData.xlsm]enemies!AE"&amp;(M11+1))*[4]ステータス!$C$2,0)*V11</f>
        <v>6990.2</v>
      </c>
      <c r="X11" s="5">
        <v>0</v>
      </c>
      <c r="Y11" s="4" t="e">
        <f ca="1">VLOOKUP($Z11,OFFSET([5]enemy_skill_sets!$B$1,0,0,COUNTA([5]enemy_skill_sets!$B:$B),MATCH(N$1,[5]enemy_skill_sets!$1:$1,0)-MATCH($Z$1,[5]enemy_skill_sets!$1:$1,0)+2),MATCH(N$1,[5]enemy_skill_sets!$1:$1,0)-MATCH($Z$1,[5]enemy_skill_sets!$1:$1,0)+2,FALSE)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1" s="46">
        <v>47014004</v>
      </c>
      <c r="AA11" s="69">
        <v>1</v>
      </c>
    </row>
    <row r="12" spans="1:27" ht="21" customHeight="1" x14ac:dyDescent="0.15">
      <c r="A12" s="15" t="str">
        <f t="shared" si="0"/>
        <v>47014_3-4/1343&lt;lv80&gt;sq6st2</v>
      </c>
      <c r="B12" s="21">
        <v>47014</v>
      </c>
      <c r="C12" s="20">
        <v>3</v>
      </c>
      <c r="D12" s="2" t="str">
        <f t="shared" si="1"/>
        <v>47014_3</v>
      </c>
      <c r="E12" s="4" t="str">
        <f ca="1">VLOOKUP($B12,OFFSET([2]quests!$A$1,0,0,COUNTA([2]quests!$A:$A),MATCH(E$1,[2]quests!$1:$1,0)-MATCH($B$1,[2]quests!$1:$1,0)+1),MATCH(E$1,[2]quests!$1:$1,0)-MATCH($B$1,[2]quests!$1:$1,0)+1,FALSE)</f>
        <v>ヘルレイザー襲来！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【ウィザード級】ヘルレイザー襲来</v>
      </c>
      <c r="G12" s="20">
        <v>4</v>
      </c>
      <c r="H12" s="14" t="str">
        <f t="shared" si="2"/>
        <v>47014_3-4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7">
        <v>6</v>
      </c>
      <c r="L12" s="37">
        <v>2</v>
      </c>
      <c r="M12" s="19">
        <v>1343</v>
      </c>
      <c r="N12" s="16" t="str">
        <f ca="1">VLOOKUP($M12,OFFSET([3]enemies!$A$1,0,0,COUNTA([3]enemies!$A:$A),MATCH(N$1,[3]enemies!$1:$1,0)-MATCH($M$1,[3]enemies!$1:$1,0)+1),MATCH(N$1,[3]enemies!$1:$1,0)-MATCH($M$1,[3]enemies!$1:$1,0)+1,FALSE)</f>
        <v>処命する凶掌 ヘルレイザー</v>
      </c>
      <c r="O12" s="16" t="str">
        <f ca="1">VLOOKUP($M12,OFFSET([3]enemies!$A$1,0,0,COUNTA([3]enemies!$A:$A),MATCH(O$1,[3]enemies!$1:$1,0)-MATCH($M$1,[3]enemies!$1:$1,0)+1),MATCH(O$1,[3]enemies!$1:$1,0)-MATCH($M$1,[3]enemies!$1:$1,0)+1,FALSE)</f>
        <v>red</v>
      </c>
      <c r="P12" s="16" t="str">
        <f ca="1">VLOOKUP($M12,OFFSET([4]characters!$A$1,0,0,COUNTA([4]characters!$A:$A),MATCH(P$1,[4]characters!$1:$1,0)-MATCH($M$1,[4]characters!$1:$1,0)+1),MATCH(P$1,[4]characters!$1:$1,0)-MATCH($M$1,[4]characters!$1:$1,0)+1,FALSE)</f>
        <v>DropWizS</v>
      </c>
      <c r="Q12" s="16" t="str">
        <f ca="1">VLOOKUP($M12,OFFSET([3]enemies!$A$1,0,0,COUNTA([3]enemies!$A:$A),MATCH(Q$1,[3]enemies!$1:$1,0)-MATCH($M$1,[3]enemies!$1:$1,0)+1),MATCH(Q$1,[3]enemies!$1:$1,0)-MATCH($M$1,[3]enemies!$1:$1,0)+1,FALSE)</f>
        <v>machine</v>
      </c>
      <c r="R12" s="16">
        <f ca="1">VLOOKUP($M12,OFFSET([3]enemies!$A$1,0,0,COUNTA([3]enemies!$A:$A),MATCH(R$1,[3]enemies!$1:$1,0)-MATCH($M$1,[3]enemies!$1:$1,0)+1),MATCH(R$1,[3]enemies!$1:$1,0)-MATCH($M$1,[3]enemies!$1:$1,0)+1,FALSE)</f>
        <v>60</v>
      </c>
      <c r="S12" s="5">
        <v>80</v>
      </c>
      <c r="T12" s="24">
        <v>4</v>
      </c>
      <c r="U12" s="105">
        <f ca="1">ROUND(VLOOKUP(S12,[3]enemy_base_stats!$A:$F,2,FALSE) *INDIRECT("[EnemyMasterData.xlsm]enemies!Y"&amp;(M12+1))*  INDIRECT("[EnemyMasterData.xlsm]enemies!J"&amp;(M12+1))* INDIRECT("[EnemyMasterData.xlsm]enemies!O"&amp;(M12+1))* INDIRECT("[EnemyMasterData.xlsm]enemies!E"&amp;(M12+1))* INDIRECT("[EnemyMasterData.xlsm]enemies!S"&amp;(M12+1))* INDIRECT("[EnemyMasterData.xlsm]enemies!AD"&amp;(M12+1))*[4]ステータス!$B$2,0)*T12</f>
        <v>637332</v>
      </c>
      <c r="V12" s="24">
        <v>1.1000000000000001</v>
      </c>
      <c r="W12" s="105">
        <f ca="1">ROUND(VLOOKUP(S12,[3]enemy_base_stats!$A:$F,3,FALSE) *INDIRECT("[EnemyMasterData.xlsm]enemies!Z"&amp;(M12+1))*  INDIRECT("[EnemyMasterData.xlsm]enemies!K"&amp;(M12+1))* INDIRECT("[EnemyMasterData.xlsm]enemies!P"&amp;(M12+1))* INDIRECT("[EnemyMasterData.xlsm]enemies!F"&amp;(M12+1))* INDIRECT("[EnemyMasterData.xlsm]enemies!T"&amp;(M12+1))* INDIRECT("[EnemyMasterData.xlsm]enemies!AE"&amp;(M12+1))*[4]ステータス!$C$2,0)*V12</f>
        <v>10553.400000000001</v>
      </c>
      <c r="X12" s="5">
        <v>0</v>
      </c>
      <c r="Y12" s="4" t="e">
        <f ca="1">VLOOKUP($Z12,OFFSET([5]enemy_skill_sets!$B$1,0,0,COUNTA([5]enemy_skill_sets!$B:$B),MATCH(N$1,[5]enemy_skill_sets!$1:$1,0)-MATCH($Z$1,[5]enemy_skill_sets!$1:$1,0)+2),MATCH(N$1,[5]enemy_skill_sets!$1:$1,0)-MATCH($Z$1,[5]enemy_skill_sets!$1:$1,0)+2,FALSE)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2" s="46">
        <v>47014008</v>
      </c>
      <c r="AA12" s="69">
        <v>1</v>
      </c>
    </row>
    <row r="13" spans="1:27" ht="21" customHeight="1" x14ac:dyDescent="0.15">
      <c r="A13" s="15" t="str">
        <f t="shared" si="0"/>
        <v>47014_3-4/1343&lt;lv80&gt;sq6st3</v>
      </c>
      <c r="B13" s="21">
        <v>47014</v>
      </c>
      <c r="C13" s="20">
        <v>3</v>
      </c>
      <c r="D13" s="2" t="str">
        <f t="shared" si="1"/>
        <v>47014_3</v>
      </c>
      <c r="E13" s="4" t="str">
        <f ca="1">VLOOKUP($B13,OFFSET([2]quests!$A$1,0,0,COUNTA([2]quests!$A:$A),MATCH(E$1,[2]quests!$1:$1,0)-MATCH($B$1,[2]quests!$1:$1,0)+1),MATCH(E$1,[2]quests!$1:$1,0)-MATCH($B$1,[2]quests!$1:$1,0)+1,FALSE)</f>
        <v>ヘルレイザー襲来！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【ウィザード級】ヘルレイザー襲来</v>
      </c>
      <c r="G13" s="20">
        <v>4</v>
      </c>
      <c r="H13" s="14" t="str">
        <f t="shared" si="2"/>
        <v>47014_3-4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7">
        <v>6</v>
      </c>
      <c r="L13" s="37">
        <v>3</v>
      </c>
      <c r="M13" s="19">
        <v>1343</v>
      </c>
      <c r="N13" s="16" t="str">
        <f ca="1">VLOOKUP($M13,OFFSET([3]enemies!$A$1,0,0,COUNTA([3]enemies!$A:$A),MATCH(N$1,[3]enemies!$1:$1,0)-MATCH($M$1,[3]enemies!$1:$1,0)+1),MATCH(N$1,[3]enemies!$1:$1,0)-MATCH($M$1,[3]enemies!$1:$1,0)+1,FALSE)</f>
        <v>処命する凶掌 ヘルレイザー</v>
      </c>
      <c r="O13" s="16" t="str">
        <f ca="1">VLOOKUP($M13,OFFSET([3]enemies!$A$1,0,0,COUNTA([3]enemies!$A:$A),MATCH(O$1,[3]enemies!$1:$1,0)-MATCH($M$1,[3]enemies!$1:$1,0)+1),MATCH(O$1,[3]enemies!$1:$1,0)-MATCH($M$1,[3]enemies!$1:$1,0)+1,FALSE)</f>
        <v>red</v>
      </c>
      <c r="P13" s="16" t="str">
        <f ca="1">VLOOKUP($M13,OFFSET([4]characters!$A$1,0,0,COUNTA([4]characters!$A:$A),MATCH(P$1,[4]characters!$1:$1,0)-MATCH($M$1,[4]characters!$1:$1,0)+1),MATCH(P$1,[4]characters!$1:$1,0)-MATCH($M$1,[4]characters!$1:$1,0)+1,FALSE)</f>
        <v>DropWizS</v>
      </c>
      <c r="Q13" s="16" t="str">
        <f ca="1">VLOOKUP($M13,OFFSET([3]enemies!$A$1,0,0,COUNTA([3]enemies!$A:$A),MATCH(Q$1,[3]enemies!$1:$1,0)-MATCH($M$1,[3]enemies!$1:$1,0)+1),MATCH(Q$1,[3]enemies!$1:$1,0)-MATCH($M$1,[3]enemies!$1:$1,0)+1,FALSE)</f>
        <v>machine</v>
      </c>
      <c r="R13" s="16">
        <f ca="1">VLOOKUP($M13,OFFSET([3]enemies!$A$1,0,0,COUNTA([3]enemies!$A:$A),MATCH(R$1,[3]enemies!$1:$1,0)-MATCH($M$1,[3]enemies!$1:$1,0)+1),MATCH(R$1,[3]enemies!$1:$1,0)-MATCH($M$1,[3]enemies!$1:$1,0)+1,FALSE)</f>
        <v>60</v>
      </c>
      <c r="S13" s="5">
        <v>80</v>
      </c>
      <c r="T13" s="24">
        <v>3.5</v>
      </c>
      <c r="U13" s="105">
        <f ca="1">ROUND(VLOOKUP(S13,[3]enemy_base_stats!$A:$F,2,FALSE) *INDIRECT("[EnemyMasterData.xlsm]enemies!Y"&amp;(M13+1))*  INDIRECT("[EnemyMasterData.xlsm]enemies!J"&amp;(M13+1))* INDIRECT("[EnemyMasterData.xlsm]enemies!O"&amp;(M13+1))* INDIRECT("[EnemyMasterData.xlsm]enemies!E"&amp;(M13+1))* INDIRECT("[EnemyMasterData.xlsm]enemies!S"&amp;(M13+1))* INDIRECT("[EnemyMasterData.xlsm]enemies!AD"&amp;(M13+1))*[4]ステータス!$B$2,0)*T13</f>
        <v>557665.5</v>
      </c>
      <c r="V13" s="24">
        <v>1.3</v>
      </c>
      <c r="W13" s="105">
        <f ca="1">ROUND(VLOOKUP(S13,[3]enemy_base_stats!$A:$F,3,FALSE) *INDIRECT("[EnemyMasterData.xlsm]enemies!Z"&amp;(M13+1))*  INDIRECT("[EnemyMasterData.xlsm]enemies!K"&amp;(M13+1))* INDIRECT("[EnemyMasterData.xlsm]enemies!P"&amp;(M13+1))* INDIRECT("[EnemyMasterData.xlsm]enemies!F"&amp;(M13+1))* INDIRECT("[EnemyMasterData.xlsm]enemies!T"&amp;(M13+1))* INDIRECT("[EnemyMasterData.xlsm]enemies!AE"&amp;(M13+1))*[4]ステータス!$C$2,0)*V13</f>
        <v>12472.2</v>
      </c>
      <c r="X13" s="5">
        <v>0</v>
      </c>
      <c r="Y13" s="4" t="e">
        <f ca="1">VLOOKUP($Z13,OFFSET([5]enemy_skill_sets!$B$1,0,0,COUNTA([5]enemy_skill_sets!$B:$B),MATCH(N$1,[5]enemy_skill_sets!$1:$1,0)-MATCH($Z$1,[5]enemy_skill_sets!$1:$1,0)+2),MATCH(N$1,[5]enemy_skill_sets!$1:$1,0)-MATCH($Z$1,[5]enemy_skill_sets!$1:$1,0)+2,FALSE)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3" s="46">
        <v>47014009</v>
      </c>
      <c r="AA13" s="6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43"/>
  <sheetViews>
    <sheetView showGridLines="0" workbookViewId="0">
      <pane xSplit="5" ySplit="1" topLeftCell="F22" activePane="bottomRight" state="frozen"/>
      <selection pane="topRight"/>
      <selection pane="bottomLeft"/>
      <selection pane="bottomRight" activeCell="F34" sqref="F34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47014000_47014000</v>
      </c>
      <c r="B2" s="46">
        <v>47014000</v>
      </c>
      <c r="C2" s="46">
        <v>47014000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狂乱打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" s="46">
        <v>47014000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6"/>
      <c r="Q2" s="46"/>
      <c r="R2" s="46"/>
    </row>
    <row r="3" spans="1:18" ht="21" customHeight="1" x14ac:dyDescent="0.15">
      <c r="A3" s="38" t="str">
        <f t="shared" ref="A3:A42" si="1">B3&amp;"_"&amp;C3</f>
        <v>47014000_47014001</v>
      </c>
      <c r="B3" s="46">
        <v>47014000</v>
      </c>
      <c r="C3" s="46">
        <v>47014001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炎剛の鼓吹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5ターン敵全体の攻撃力UP+_x000D_行動頻度UP</v>
      </c>
      <c r="F3" s="46">
        <v>47014001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ref="A4" si="2">B4&amp;"_"&amp;C4</f>
        <v>47014000_47014002</v>
      </c>
      <c r="B4" s="46">
        <v>47014000</v>
      </c>
      <c r="C4" s="46">
        <v>47014002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灼熱の歓迎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全ユニットの攻撃力を30%UP</v>
      </c>
      <c r="F4" s="46">
        <v>47014002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1346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47014001_47014005</v>
      </c>
      <c r="B5" s="46">
        <v>47014001</v>
      </c>
      <c r="C5" s="46">
        <v>47014005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火の粉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クリティカル！+_x000D_属性パネルをお邪魔パネルに2個変換</v>
      </c>
      <c r="F5" s="46">
        <v>47014005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47014001_47014006</v>
      </c>
      <c r="B6" s="46">
        <v>47014001</v>
      </c>
      <c r="C6" s="46">
        <v>47014006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種火の再燃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お邪魔パネルを吸収して攻撃(最大3個)</v>
      </c>
      <c r="F6" s="46">
        <v>47014006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1"/>
        <v>47014002_47014010</v>
      </c>
      <c r="B7" s="46">
        <v>47014002</v>
      </c>
      <c r="C7" s="46">
        <v>47014010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ここは通行禁止です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" s="46">
        <v>47014010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47014002_47014011</v>
      </c>
      <c r="B8" s="46">
        <v>47014002</v>
      </c>
      <c r="C8" s="46">
        <v>47014011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この先は危険です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4ターンハートパネル無効</v>
      </c>
      <c r="F8" s="46">
        <v>47014011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47014002_47014012</v>
      </c>
      <c r="B9" s="46">
        <v>47014002</v>
      </c>
      <c r="C9" s="46">
        <v>47014012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炎陣包囲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残りHPの80％ダメージ！</v>
      </c>
      <c r="F9" s="46">
        <v>47014012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6"/>
      <c r="Q9" s="46"/>
      <c r="R9" s="46"/>
    </row>
    <row r="10" spans="1:18" ht="21" customHeight="1" x14ac:dyDescent="0.15">
      <c r="A10" s="38" t="str">
        <f t="shared" si="1"/>
        <v>47014002_47014013</v>
      </c>
      <c r="B10" s="46">
        <v>47014002</v>
      </c>
      <c r="C10" s="46">
        <v>47014013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天羽織り・甲式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ハートパネルプロテクト</v>
      </c>
      <c r="F10" s="46">
        <v>47014013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47014002_47014014</v>
      </c>
      <c r="B11" s="46">
        <v>47014002</v>
      </c>
      <c r="C11" s="46">
        <v>47014014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千鶴飛羽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" s="46">
        <v>47014014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47014003_47014020</v>
      </c>
      <c r="B12" s="46">
        <v>47014003</v>
      </c>
      <c r="C12" s="46">
        <v>47014020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どうしても通るというならば…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" s="46">
        <v>47014020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47014003_47014021</v>
      </c>
      <c r="B13" s="46">
        <v>47014003</v>
      </c>
      <c r="C13" s="46">
        <v>47014021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この試練を越えて行きなさい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4ターンハートパネル無効+_x000D_超高確率で赤、緑パネルがハートパネルとしてドロップ</v>
      </c>
      <c r="F13" s="46">
        <v>47014021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47014003_47014022</v>
      </c>
      <c r="B14" s="46">
        <v>47014003</v>
      </c>
      <c r="C14" s="46">
        <v>47014022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炎陣包囲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残りHPの80％ダメージ！</v>
      </c>
      <c r="F14" s="46">
        <v>47014022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6"/>
      <c r="Q14" s="46"/>
      <c r="R14" s="46"/>
    </row>
    <row r="15" spans="1:18" ht="21" customHeight="1" x14ac:dyDescent="0.15">
      <c r="A15" s="38" t="str">
        <f t="shared" si="1"/>
        <v>47014003_47014023</v>
      </c>
      <c r="B15" s="46">
        <v>47014003</v>
      </c>
      <c r="C15" s="46">
        <v>47014023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天羽織り・甲式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ハートパネルプロテクト</v>
      </c>
      <c r="F15" s="46">
        <v>47014023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47014003_47014024</v>
      </c>
      <c r="B16" s="46">
        <v>47014003</v>
      </c>
      <c r="C16" s="46">
        <v>47014024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千鶴飛羽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6" s="46">
        <v>47014024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ref="A17" si="3">B17&amp;"_"&amp;C17</f>
        <v>47014003_47014027</v>
      </c>
      <c r="B17" s="46">
        <v>47014003</v>
      </c>
      <c r="C17" s="46">
        <v>47014027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天羽織り・無式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4ターンハートパネル無効</v>
      </c>
      <c r="F17" s="46">
        <v>47014027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ref="A18" si="4">B18&amp;"_"&amp;C18</f>
        <v>47014003_47014028</v>
      </c>
      <c r="B18" s="46">
        <v>47014003</v>
      </c>
      <c r="C18" s="46">
        <v>47014028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天羽織り・攻式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ハートパネルを吸収して全体攻撃(最大7個)</v>
      </c>
      <c r="F18" s="46">
        <v>47014028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47014004_47014030</v>
      </c>
      <c r="B19" s="46">
        <v>47014004</v>
      </c>
      <c r="C19" s="46">
        <v>47014030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いいでしょう…お行きなさい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全てのマイナス効果を解除+_x000D_特定エリアをハートパネルとお邪魔パネルに変換+_x000D_残りHPの100%消費</v>
      </c>
      <c r="F19" s="46">
        <v>47014030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7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1"/>
        <v>47014005_47014036</v>
      </c>
      <c r="B20" s="46">
        <v>47014005</v>
      </c>
      <c r="C20" s="46">
        <v>47014036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ラブ・スタンピード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6ターンハートパネルドロップ率UP+_x000D_2ターン全ユニットの回復力50%DOWN</v>
      </c>
      <c r="F20" s="46">
        <v>47014036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1"/>
        <v>47014005_47014037</v>
      </c>
      <c r="B21" s="46">
        <v>47014005</v>
      </c>
      <c r="C21" s="46">
        <v>47014037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プリバージョン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</v>
      </c>
      <c r="F21" s="46">
        <v>47014037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7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1"/>
        <v>47014005_47014038</v>
      </c>
      <c r="B22" s="46">
        <v>47014005</v>
      </c>
      <c r="C22" s="46">
        <v>47014038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ラブ・バイオレンス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お邪魔パネルを吸収して全体攻撃(最大10個)</v>
      </c>
      <c r="F22" s="46">
        <v>47014038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1"/>
        <v>47014005_47014039</v>
      </c>
      <c r="B23" s="46">
        <v>47014005</v>
      </c>
      <c r="C23" s="46">
        <v>47014039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クールダウン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</v>
      </c>
      <c r="F23" s="46">
        <v>47014039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1"/>
        <v>47014006_47014045</v>
      </c>
      <c r="B24" s="46">
        <v>47014006</v>
      </c>
      <c r="C24" s="46">
        <v>47014045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バーンナップ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お邪魔パネルを吸収して攻撃(最大3個)</v>
      </c>
      <c r="F24" s="46">
        <v>47014045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4" s="46"/>
      <c r="Q24" s="46"/>
      <c r="R24" s="46"/>
    </row>
    <row r="25" spans="1:18" ht="22" customHeight="1" x14ac:dyDescent="0.15">
      <c r="A25" s="38" t="str">
        <f t="shared" si="1"/>
        <v>47014007_47014050</v>
      </c>
      <c r="B25" s="46">
        <v>47014007</v>
      </c>
      <c r="C25" s="46">
        <v>47014050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来たね！相手になってやるわ！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5" s="46">
        <v>47014050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7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2" customHeight="1" x14ac:dyDescent="0.15">
      <c r="A26" s="38" t="str">
        <f t="shared" ref="A26" si="5">B26&amp;"_"&amp;C26</f>
        <v>47014007_47014080</v>
      </c>
      <c r="B26" s="46">
        <v>47014007</v>
      </c>
      <c r="C26" s="46">
        <v>47014080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セルシウス…アタシを止めるっていうの？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 xml:space="preserve">状態異常耐性+_x000D_Cパネル生成短縮(効果特大) </v>
      </c>
      <c r="F26" s="46">
        <v>47014080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145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1346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2" customHeight="1" x14ac:dyDescent="0.15">
      <c r="A27" s="38" t="str">
        <f t="shared" ref="A27" si="6">B27&amp;"_"&amp;C27</f>
        <v>47014007_47014080</v>
      </c>
      <c r="B27" s="46">
        <v>47014007</v>
      </c>
      <c r="C27" s="46">
        <v>47014080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セルシウス…アタシを止めるっていうの？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 xml:space="preserve">状態異常耐性+_x000D_Cパネル生成短縮(効果特大) </v>
      </c>
      <c r="F27" s="124">
        <v>47014103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146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1347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2" customHeight="1" x14ac:dyDescent="0.15">
      <c r="A28" s="38" t="str">
        <f t="shared" ref="A28:A31" si="7">B28&amp;"_"&amp;C28</f>
        <v>47014007_47014081</v>
      </c>
      <c r="B28" s="46">
        <v>47014007</v>
      </c>
      <c r="C28" s="46">
        <v>47014081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アラ？かわいいウィルスさんね_x000D_アタシを止めに来たのかしら？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8" s="46">
        <v>47014081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144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79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2" customHeight="1" x14ac:dyDescent="0.15">
      <c r="A29" s="38" t="str">
        <f t="shared" si="7"/>
        <v>47014007_47014082</v>
      </c>
      <c r="B29" s="46">
        <v>47014007</v>
      </c>
      <c r="C29" s="46">
        <v>47014082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アラ？かわいいウィルスさんね_x000D_アタシを止めに来たのかしら？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9" s="46">
        <v>47014082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143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83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2" customHeight="1" x14ac:dyDescent="0.15">
      <c r="A30" s="38" t="str">
        <f t="shared" si="7"/>
        <v>47014007_47014083</v>
      </c>
      <c r="B30" s="46">
        <v>47014007</v>
      </c>
      <c r="C30" s="46">
        <v>47014083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アラ？かわいいウィルスさんね_x000D_アタシを止めに来たのかしら？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0" s="46">
        <v>47014083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142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81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2" customHeight="1" x14ac:dyDescent="0.15">
      <c r="A31" s="38" t="str">
        <f t="shared" si="7"/>
        <v>47014007_47014084</v>
      </c>
      <c r="B31" s="46">
        <v>47014007</v>
      </c>
      <c r="C31" s="46">
        <v>47014084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アラ？かわいいウィルスさんね_x000D_アタシを止めに来たのかしら？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1" s="46">
        <v>47014084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141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77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si="1"/>
        <v>47014007_47014051</v>
      </c>
      <c r="B32" s="46">
        <v>47014007</v>
      </c>
      <c r="C32" s="46">
        <v>47014051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まずは小手調べよ！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単体攻撃+_x000D_6ターン全ユニットにウィルス</v>
      </c>
      <c r="F32" s="46">
        <v>47014051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1"/>
        <v>47014007_47014052</v>
      </c>
      <c r="B33" s="46">
        <v>47014007</v>
      </c>
      <c r="C33" s="46">
        <v>47014052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ダウングレード！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残りHPの50％ダメージ！+_x000D_7ターン全ユニットの回復力50%DOWN_x000D_【5ターン後に即死級の全体攻撃！】</v>
      </c>
      <c r="F33" s="46">
        <v>47014052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1"/>
        <v>47014007_47014053</v>
      </c>
      <c r="B34" s="46">
        <v>47014007</v>
      </c>
      <c r="C34" s="46">
        <v>47014053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まだまだ行くよ！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残りHPの50％ダメージ！</v>
      </c>
      <c r="F34" s="46">
        <v>47014053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1"/>
        <v>47014007_47014054</v>
      </c>
      <c r="B35" s="46">
        <v>47014007</v>
      </c>
      <c r="C35" s="46">
        <v>47014054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まだまだ行くよ！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残りHPの50％ダメージ！</v>
      </c>
      <c r="F35" s="46">
        <v>47014054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si="1"/>
        <v>47014007_47014055</v>
      </c>
      <c r="B36" s="46">
        <v>47014007</v>
      </c>
      <c r="C36" s="46">
        <v>47014055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これは耐えられる！？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残りHPの80％ダメージ！</v>
      </c>
      <c r="F36" s="46">
        <v>47014055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1"/>
        <v>47014007_47014056</v>
      </c>
      <c r="B37" s="46">
        <v>47014007</v>
      </c>
      <c r="C37" s="46">
        <v>47014056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これは耐えられる！？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残りHPの80％ダメージ！</v>
      </c>
      <c r="F37" s="46">
        <v>47014056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si="1"/>
        <v>47014007_47014057</v>
      </c>
      <c r="B38" s="46">
        <v>47014007</v>
      </c>
      <c r="C38" s="46">
        <v>47014057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もう終わり？つまんないの…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超強力な全体攻撃</v>
      </c>
      <c r="F38" s="46">
        <v>47014057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1"/>
        <v>47014008_47014060</v>
      </c>
      <c r="B39" s="46">
        <v>47014008</v>
      </c>
      <c r="C39" s="46">
        <v>47014060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さて、仕切り直しっと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状態異常耐性+_x000D_全てのマイナス効果を解除</v>
      </c>
      <c r="F39" s="46">
        <v>47014060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7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46"/>
    </row>
    <row r="40" spans="1:18" ht="21" customHeight="1" x14ac:dyDescent="0.15">
      <c r="A40" s="38" t="str">
        <f t="shared" si="1"/>
        <v>47014008_47014061</v>
      </c>
      <c r="B40" s="46">
        <v>47014008</v>
      </c>
      <c r="C40" s="46">
        <v>47014061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意地悪にいこっか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6ターンハートパネルドロップ率UP+_x000D_4ターンハートパネル無効</v>
      </c>
      <c r="F40" s="46">
        <v>47014061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si="1"/>
        <v>47014008_47014062</v>
      </c>
      <c r="B41" s="46">
        <v>47014008</v>
      </c>
      <c r="C41" s="46">
        <v>47014062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おっきいのいくよー！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ハートパネルを吸収して全体攻撃(最大5個)</v>
      </c>
      <c r="F41" s="46">
        <v>47014062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1" s="46"/>
      <c r="Q41" s="46"/>
      <c r="R41" s="46"/>
    </row>
    <row r="42" spans="1:18" ht="21" customHeight="1" x14ac:dyDescent="0.15">
      <c r="A42" s="38" t="str">
        <f t="shared" si="1"/>
        <v>47014008_47014063</v>
      </c>
      <c r="B42" s="46">
        <v>47014008</v>
      </c>
      <c r="C42" s="46">
        <v>47014063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ほらほら、いくよ！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ハートパネルを吸収して攻撃力UP(最大10個)</v>
      </c>
      <c r="F42" s="46">
        <v>47014063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ref="A43" si="8">B43&amp;"_"&amp;C43</f>
        <v>47014008_47014066</v>
      </c>
      <c r="B43" s="46">
        <v>47014008</v>
      </c>
      <c r="C43" s="46">
        <v>47014066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意地悪にいこっか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4ターンハートパネル無効</v>
      </c>
      <c r="F43" s="46">
        <v>47014066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7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38" t="str">
        <f t="shared" ref="A44:A51" si="9">B44&amp;"_"&amp;C44</f>
        <v>47014009_47014070</v>
      </c>
      <c r="B44" s="46">
        <v>47014009</v>
      </c>
      <c r="C44" s="46">
        <v>47014070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熱く熱く燃やしてやるよ！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状態異常耐性_x000D_【敵のHP40％以下で即死級の攻撃！】</v>
      </c>
      <c r="F44" s="46">
        <v>47014070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7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38" t="str">
        <f t="shared" si="9"/>
        <v>47014009_47014071</v>
      </c>
      <c r="B45" s="46">
        <v>47014009</v>
      </c>
      <c r="C45" s="46">
        <v>47014071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作り変えてやる！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特定エリアをハートパネルとお邪魔パネルに変換</v>
      </c>
      <c r="F45" s="46">
        <v>47014071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7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si="9"/>
        <v>47014009_47014072</v>
      </c>
      <c r="B46" s="46">
        <v>47014009</v>
      </c>
      <c r="C46" s="46">
        <v>47014072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へえ、これでもまだもつ？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超高確率でハートパネルをお邪魔パネルとしてドロップ</v>
      </c>
      <c r="F46" s="46">
        <v>47014072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7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9"/>
        <v>47014009_47014073</v>
      </c>
      <c r="B47" s="46">
        <v>47014009</v>
      </c>
      <c r="C47" s="46">
        <v>47014073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おっきいのいくよー！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お邪魔パネルを吸収して攻撃(最大5個)</v>
      </c>
      <c r="F47" s="46">
        <v>47014073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7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38" t="str">
        <f t="shared" si="9"/>
        <v>47014009_47014074</v>
      </c>
      <c r="B48" s="46">
        <v>47014009</v>
      </c>
      <c r="C48" s="46">
        <v>47014074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状況全部がアンタの敵よ！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属性パネルをお邪魔パネルに5個変換+_x000D_4回連続攻撃</v>
      </c>
      <c r="F48" s="46">
        <v>47014074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8" s="46"/>
      <c r="Q48" s="46"/>
      <c r="R48" s="46"/>
    </row>
    <row r="49" spans="1:18" ht="21" customHeight="1" x14ac:dyDescent="0.15">
      <c r="A49" s="38" t="str">
        <f t="shared" si="9"/>
        <v>47014009_47014075</v>
      </c>
      <c r="B49" s="46">
        <v>47014009</v>
      </c>
      <c r="C49" s="46">
        <v>47014075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アンタもアタシを止められないのね…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【次のターン即死級の全体攻撃！】</v>
      </c>
      <c r="F49" s="46">
        <v>47014075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ht="21" customHeight="1" x14ac:dyDescent="0.15">
      <c r="A50" s="38" t="str">
        <f t="shared" si="9"/>
        <v>47014009_47014076</v>
      </c>
      <c r="B50" s="46">
        <v>47014009</v>
      </c>
      <c r="C50" s="46">
        <v>47014076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HELLRAISER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超強力な全体攻撃</v>
      </c>
      <c r="F50" s="46">
        <v>47014076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ht="21" customHeight="1" x14ac:dyDescent="0.15">
      <c r="A51" s="38" t="str">
        <f t="shared" si="9"/>
        <v>47014009_47014077</v>
      </c>
      <c r="B51" s="46">
        <v>47014009</v>
      </c>
      <c r="C51" s="46">
        <v>47014077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アタシだって…本当は…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誰かに止めてほしかったのかもね…</v>
      </c>
      <c r="F51" s="46">
        <v>47014077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  <row r="52" spans="1:18" ht="21" customHeight="1" x14ac:dyDescent="0.15">
      <c r="A52" s="38" t="str">
        <f t="shared" ref="A52:A81" si="10">B52&amp;"_"&amp;C52</f>
        <v>47014009_47014085</v>
      </c>
      <c r="B52" s="46">
        <v>47014009</v>
      </c>
      <c r="C52" s="46">
        <v>47014085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セルシウス…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今はアンタの冷たさが気持ちいいわ…</v>
      </c>
      <c r="F52" s="46">
        <v>47014085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4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7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1346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ht="21" customHeight="1" x14ac:dyDescent="0.15">
      <c r="A53" s="38" t="str">
        <f t="shared" si="10"/>
        <v>47014009_47014086</v>
      </c>
      <c r="B53" s="46">
        <v>47014009</v>
      </c>
      <c r="C53" s="46">
        <v>47014086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セルシウス…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今はアンタの冷たさが気持ちいいわ…</v>
      </c>
      <c r="F53" s="46">
        <v>47014086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159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1347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ht="21" customHeight="1" x14ac:dyDescent="0.15">
      <c r="A54" s="38" t="str">
        <f t="shared" si="10"/>
        <v>47014009_47014087</v>
      </c>
      <c r="B54" s="46">
        <v>47014009</v>
      </c>
      <c r="C54" s="46">
        <v>47014087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54" s="46">
        <v>47014087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158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79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6"/>
      <c r="Q54" s="46"/>
      <c r="R54" s="46"/>
    </row>
    <row r="55" spans="1:18" ht="21" customHeight="1" x14ac:dyDescent="0.15">
      <c r="A55" s="38" t="str">
        <f t="shared" si="10"/>
        <v>47014009_47014088</v>
      </c>
      <c r="B55" s="46">
        <v>47014009</v>
      </c>
      <c r="C55" s="46">
        <v>47014088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55" s="46">
        <v>47014088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157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80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6"/>
      <c r="Q55" s="46"/>
      <c r="R55" s="46"/>
    </row>
    <row r="56" spans="1:18" ht="21" customHeight="1" x14ac:dyDescent="0.15">
      <c r="A56" s="38" t="str">
        <f t="shared" si="10"/>
        <v>47014009_47014089</v>
      </c>
      <c r="B56" s="46">
        <v>47014009</v>
      </c>
      <c r="C56" s="46">
        <v>47014089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56" s="46">
        <v>47014089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156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569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/>
      <c r="Q56" s="46"/>
      <c r="R56" s="46"/>
    </row>
    <row r="57" spans="1:18" ht="21" customHeight="1" x14ac:dyDescent="0.15">
      <c r="A57" s="38" t="str">
        <f t="shared" si="10"/>
        <v>47014009_47014090</v>
      </c>
      <c r="B57" s="46">
        <v>47014009</v>
      </c>
      <c r="C57" s="46">
        <v>47014090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57" s="46">
        <v>47014090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155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570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/>
      <c r="Q57" s="46"/>
      <c r="R57" s="46"/>
    </row>
    <row r="58" spans="1:18" ht="21" customHeight="1" x14ac:dyDescent="0.15">
      <c r="A58" s="38" t="str">
        <f t="shared" si="10"/>
        <v>47014009_47014091</v>
      </c>
      <c r="B58" s="46">
        <v>47014009</v>
      </c>
      <c r="C58" s="46">
        <v>47014091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58" s="46">
        <v>47014091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154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47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7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83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ht="21" customHeight="1" x14ac:dyDescent="0.15">
      <c r="A59" s="38" t="str">
        <f t="shared" si="10"/>
        <v>47014009_47014092</v>
      </c>
      <c r="B59" s="46">
        <v>47014009</v>
      </c>
      <c r="C59" s="46">
        <v>47014092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59" s="46">
        <v>47014092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153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7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84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  <row r="60" spans="1:18" ht="21" customHeight="1" x14ac:dyDescent="0.15">
      <c r="A60" s="38" t="str">
        <f t="shared" si="10"/>
        <v>47014009_47014093</v>
      </c>
      <c r="B60" s="46">
        <v>47014009</v>
      </c>
      <c r="C60" s="46">
        <v>47014093</v>
      </c>
      <c r="D60" s="4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60" s="4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60" s="46">
        <v>47014093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152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7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7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1422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6"/>
      <c r="Q60" s="46"/>
      <c r="R60" s="46"/>
    </row>
    <row r="61" spans="1:18" ht="21" customHeight="1" x14ac:dyDescent="0.15">
      <c r="A61" s="38" t="str">
        <f t="shared" si="10"/>
        <v>47014009_47014094</v>
      </c>
      <c r="B61" s="46">
        <v>47014009</v>
      </c>
      <c r="C61" s="46">
        <v>47014094</v>
      </c>
      <c r="D61" s="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61" s="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61" s="46">
        <v>47014094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7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7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7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1423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6"/>
      <c r="Q61" s="46"/>
      <c r="R61" s="46"/>
    </row>
    <row r="62" spans="1:18" ht="21" customHeight="1" x14ac:dyDescent="0.15">
      <c r="A62" s="38" t="str">
        <f t="shared" si="10"/>
        <v>47014009_47014095</v>
      </c>
      <c r="B62" s="46">
        <v>47014009</v>
      </c>
      <c r="C62" s="46">
        <v>47014095</v>
      </c>
      <c r="D62" s="4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62" s="4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62" s="46">
        <v>47014095</v>
      </c>
      <c r="G62" s="4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7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149</v>
      </c>
      <c r="I62" s="4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7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7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7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7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81</v>
      </c>
      <c r="O62" s="4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6"/>
      <c r="Q62" s="46"/>
      <c r="R62" s="46"/>
    </row>
    <row r="63" spans="1:18" ht="21" customHeight="1" x14ac:dyDescent="0.15">
      <c r="A63" s="38" t="str">
        <f t="shared" si="10"/>
        <v>47014009_47014096</v>
      </c>
      <c r="B63" s="46">
        <v>47014009</v>
      </c>
      <c r="C63" s="46">
        <v>47014096</v>
      </c>
      <c r="D63" s="4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63" s="4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63" s="46">
        <v>47014096</v>
      </c>
      <c r="G63" s="4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148</v>
      </c>
      <c r="I63" s="4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7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7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7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7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82</v>
      </c>
      <c r="O63" s="4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6"/>
      <c r="Q63" s="46"/>
      <c r="R63" s="46"/>
    </row>
    <row r="64" spans="1:18" ht="21" customHeight="1" x14ac:dyDescent="0.15">
      <c r="A64" s="38" t="str">
        <f t="shared" si="10"/>
        <v>47014009_47014097</v>
      </c>
      <c r="B64" s="46">
        <v>47014009</v>
      </c>
      <c r="C64" s="46">
        <v>47014097</v>
      </c>
      <c r="D64" s="4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64" s="4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64" s="46">
        <v>47014097</v>
      </c>
      <c r="G64" s="4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147</v>
      </c>
      <c r="I64" s="4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7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7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7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7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1420</v>
      </c>
      <c r="O64" s="4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6"/>
      <c r="Q64" s="46"/>
      <c r="R64" s="46"/>
    </row>
    <row r="65" spans="1:18" ht="21" customHeight="1" x14ac:dyDescent="0.15">
      <c r="A65" s="38" t="str">
        <f t="shared" si="10"/>
        <v>47014009_47014098</v>
      </c>
      <c r="B65" s="46">
        <v>47014009</v>
      </c>
      <c r="C65" s="46">
        <v>47014098</v>
      </c>
      <c r="D65" s="4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65" s="4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65" s="46">
        <v>47014098</v>
      </c>
      <c r="G65" s="47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7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146</v>
      </c>
      <c r="I65" s="4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7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7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7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7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1421</v>
      </c>
      <c r="O65" s="4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6"/>
      <c r="Q65" s="46"/>
      <c r="R65" s="46"/>
    </row>
    <row r="66" spans="1:18" ht="21" customHeight="1" x14ac:dyDescent="0.15">
      <c r="A66" s="38" t="str">
        <f t="shared" si="10"/>
        <v>47014009_47014099</v>
      </c>
      <c r="B66" s="46">
        <v>47014009</v>
      </c>
      <c r="C66" s="46">
        <v>47014099</v>
      </c>
      <c r="D66" s="4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66" s="4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66" s="46">
        <v>47014099</v>
      </c>
      <c r="G66" s="47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7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145</v>
      </c>
      <c r="I66" s="47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7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7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7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7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7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77</v>
      </c>
      <c r="O66" s="47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6"/>
      <c r="Q66" s="46"/>
      <c r="R66" s="46"/>
    </row>
    <row r="67" spans="1:18" ht="21" customHeight="1" x14ac:dyDescent="0.15">
      <c r="A67" s="38" t="str">
        <f t="shared" si="10"/>
        <v>47014009_47014100</v>
      </c>
      <c r="B67" s="46">
        <v>47014009</v>
      </c>
      <c r="C67" s="46">
        <v>47014100</v>
      </c>
      <c r="D67" s="45" t="str">
        <f ca="1">VLOOKUP($C67,OFFSET(enemy_skills!$A$1,0,0,COUNTA(enemy_skills!$A:$A),MATCH(D$1,enemy_skills!$1:$1,0)-MATCH("enemy_skill_id",enemy_skills!$1:$1,0)+1),MATCH(D$1,enemy_skills!$1:$1,0)-MATCH("enemy_skill_id",enemy_skills!$1:$1,0)+1,FALSE)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67" s="45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67" s="46">
        <v>47014100</v>
      </c>
      <c r="G67" s="4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144</v>
      </c>
      <c r="I67" s="4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7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7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7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7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78</v>
      </c>
      <c r="O67" s="4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6"/>
      <c r="Q67" s="46"/>
      <c r="R67" s="46"/>
    </row>
    <row r="68" spans="1:18" ht="21" customHeight="1" x14ac:dyDescent="0.15">
      <c r="A68" s="38" t="str">
        <f t="shared" si="10"/>
        <v>47014009_47014101</v>
      </c>
      <c r="B68" s="46">
        <v>47014009</v>
      </c>
      <c r="C68" s="46">
        <v>47014101</v>
      </c>
      <c r="D68" s="4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68" s="4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68" s="46">
        <v>47014101</v>
      </c>
      <c r="G68" s="4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143</v>
      </c>
      <c r="I68" s="4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7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7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7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7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1418</v>
      </c>
      <c r="O68" s="4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6"/>
      <c r="Q68" s="46"/>
      <c r="R68" s="46"/>
    </row>
    <row r="69" spans="1:18" ht="21" customHeight="1" x14ac:dyDescent="0.15">
      <c r="A69" s="38" t="str">
        <f t="shared" si="10"/>
        <v>47014009_47014102</v>
      </c>
      <c r="B69" s="46">
        <v>47014009</v>
      </c>
      <c r="C69" s="46">
        <v>47014102</v>
      </c>
      <c r="D69" s="45" t="str">
        <f ca="1">VLOOKUP($C69,OFFSET(enemy_skills!$A$1,0,0,COUNTA(enemy_skills!$A:$A),MATCH(D$1,enemy_skills!$1:$1,0)-MATCH("enemy_skill_id",enemy_skills!$1:$1,0)+1),MATCH(D$1,enemy_skills!$1:$1,0)-MATCH("enemy_skill_id",enemy_skills!$1:$1,0)+1,FALSE)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69" s="45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69" s="46">
        <v>47014102</v>
      </c>
      <c r="G69" s="47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7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142</v>
      </c>
      <c r="I69" s="4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7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7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7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7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1419</v>
      </c>
      <c r="O69" s="4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6"/>
      <c r="Q69" s="46"/>
      <c r="R69" s="46"/>
    </row>
    <row r="70" spans="1:18" ht="21" customHeight="1" x14ac:dyDescent="0.15">
      <c r="A70" s="38" t="str">
        <f t="shared" si="10"/>
        <v>47014105_47014036</v>
      </c>
      <c r="B70" s="122">
        <v>47014105</v>
      </c>
      <c r="C70" s="46">
        <v>47014036</v>
      </c>
      <c r="D70" s="45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ラブ・スタンピード</v>
      </c>
      <c r="E70" s="45" t="str">
        <f ca="1">VLOOKUP($C70,OFFSET(enemy_skills!$A$1,0,0,COUNTA(enemy_skills!$A:$A),MATCH(E$1,enemy_skills!$1:$1,0)-MATCH("enemy_skill_id",enemy_skills!$1:$1,0)+1),MATCH(E$1,enemy_skills!$1:$1,0)-MATCH("enemy_skill_id",enemy_skills!$1:$1,0)+1,FALSE)</f>
        <v>6ターンハートパネルドロップ率UP+_x000D_2ターン全ユニットの回復力50%DOWN</v>
      </c>
      <c r="F70" s="46">
        <v>47014036</v>
      </c>
      <c r="G70" s="47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7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70" s="4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7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7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7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7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7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6"/>
      <c r="Q70" s="46"/>
      <c r="R70" s="46"/>
    </row>
    <row r="71" spans="1:18" ht="21" customHeight="1" x14ac:dyDescent="0.15">
      <c r="A71" s="38" t="str">
        <f t="shared" si="10"/>
        <v>47014105_47014137</v>
      </c>
      <c r="B71" s="122">
        <v>47014105</v>
      </c>
      <c r="C71" s="124">
        <v>47014137</v>
      </c>
      <c r="D71" s="45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プリバージョン</v>
      </c>
      <c r="E71" s="45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ハートパネルをお邪魔パネルに10個変換</v>
      </c>
      <c r="F71" s="124">
        <v>47014137</v>
      </c>
      <c r="G71" s="47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7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71" s="47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7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7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7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7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1" s="47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7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6"/>
      <c r="Q71" s="46"/>
      <c r="R71" s="46"/>
    </row>
    <row r="72" spans="1:18" ht="21" customHeight="1" x14ac:dyDescent="0.15">
      <c r="A72" s="38" t="str">
        <f t="shared" si="10"/>
        <v>47014105_47014038</v>
      </c>
      <c r="B72" s="122">
        <v>47014105</v>
      </c>
      <c r="C72" s="46">
        <v>47014038</v>
      </c>
      <c r="D72" s="45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ラブ・バイオレンス</v>
      </c>
      <c r="E72" s="45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お邪魔パネルを吸収して全体攻撃(最大10個)</v>
      </c>
      <c r="F72" s="46">
        <v>47014038</v>
      </c>
      <c r="G72" s="47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7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72" s="47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7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2" s="47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7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7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7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7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6"/>
      <c r="Q72" s="46"/>
      <c r="R72" s="46"/>
    </row>
    <row r="73" spans="1:18" ht="21" customHeight="1" x14ac:dyDescent="0.15">
      <c r="A73" s="38" t="str">
        <f t="shared" si="10"/>
        <v>47014105_47014039</v>
      </c>
      <c r="B73" s="122">
        <v>47014105</v>
      </c>
      <c r="C73" s="46">
        <v>47014039</v>
      </c>
      <c r="D73" s="45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クールダウン</v>
      </c>
      <c r="E73" s="45" t="str">
        <f ca="1">VLOOKUP($C73,OFFSET(enemy_skills!$A$1,0,0,COUNTA(enemy_skills!$A:$A),MATCH(E$1,enemy_skills!$1:$1,0)-MATCH("enemy_skill_id",enemy_skills!$1:$1,0)+1),MATCH(E$1,enemy_skills!$1:$1,0)-MATCH("enemy_skill_id",enemy_skills!$1:$1,0)+1,FALSE)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</v>
      </c>
      <c r="F73" s="46">
        <v>47014039</v>
      </c>
      <c r="G73" s="4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7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73" s="4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7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3" s="4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7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7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7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6"/>
      <c r="Q73" s="46"/>
      <c r="R73" s="46"/>
    </row>
    <row r="74" spans="1:18" ht="21" customHeight="1" x14ac:dyDescent="0.15">
      <c r="A74" s="38" t="str">
        <f t="shared" si="10"/>
        <v>47014109_47014170</v>
      </c>
      <c r="B74" s="122">
        <v>47014109</v>
      </c>
      <c r="C74" s="124">
        <v>47014170</v>
      </c>
      <c r="D74" s="45" t="str">
        <f ca="1">VLOOKUP($C74,OFFSET(enemy_skills!$A$1,0,0,COUNTA(enemy_skills!$A:$A),MATCH(D$1,enemy_skills!$1:$1,0)-MATCH("enemy_skill_id",enemy_skills!$1:$1,0)+1),MATCH(D$1,enemy_skills!$1:$1,0)-MATCH("enemy_skill_id",enemy_skills!$1:$1,0)+1,FALSE)</f>
        <v>熱く熱く燃やしてやるよ！</v>
      </c>
      <c r="E74" s="45" t="str">
        <f ca="1">VLOOKUP($C74,OFFSET(enemy_skills!$A$1,0,0,COUNTA(enemy_skills!$A:$A),MATCH(E$1,enemy_skills!$1:$1,0)-MATCH("enemy_skill_id",enemy_skills!$1:$1,0)+1),MATCH(E$1,enemy_skills!$1:$1,0)-MATCH("enemy_skill_id",enemy_skills!$1:$1,0)+1,FALSE)</f>
        <v>状態異常耐性_x000D_【敵のHP35％以下で即死級の攻撃！】</v>
      </c>
      <c r="F74" s="46">
        <v>47014070</v>
      </c>
      <c r="G74" s="47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7" t="str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4" s="4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7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7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7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7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7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6"/>
      <c r="Q74" s="46"/>
      <c r="R74" s="46"/>
    </row>
    <row r="75" spans="1:18" ht="21" customHeight="1" x14ac:dyDescent="0.15">
      <c r="A75" s="38" t="str">
        <f t="shared" si="10"/>
        <v>47014109_47014071</v>
      </c>
      <c r="B75" s="122">
        <v>47014109</v>
      </c>
      <c r="C75" s="46">
        <v>47014071</v>
      </c>
      <c r="D75" s="45" t="str">
        <f ca="1">VLOOKUP($C75,OFFSET(enemy_skills!$A$1,0,0,COUNTA(enemy_skills!$A:$A),MATCH(D$1,enemy_skills!$1:$1,0)-MATCH("enemy_skill_id",enemy_skills!$1:$1,0)+1),MATCH(D$1,enemy_skills!$1:$1,0)-MATCH("enemy_skill_id",enemy_skills!$1:$1,0)+1,FALSE)</f>
        <v>作り変えてやる！</v>
      </c>
      <c r="E75" s="45" t="str">
        <f ca="1">VLOOKUP($C75,OFFSET(enemy_skills!$A$1,0,0,COUNTA(enemy_skills!$A:$A),MATCH(E$1,enemy_skills!$1:$1,0)-MATCH("enemy_skill_id",enemy_skills!$1:$1,0)+1),MATCH(E$1,enemy_skills!$1:$1,0)-MATCH("enemy_skill_id",enemy_skills!$1:$1,0)+1,FALSE)</f>
        <v>特定エリアをハートパネルとお邪魔パネルに変換</v>
      </c>
      <c r="F75" s="46">
        <v>47014071</v>
      </c>
      <c r="G75" s="47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7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75" s="4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7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7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7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7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7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6"/>
      <c r="Q75" s="46"/>
      <c r="R75" s="46"/>
    </row>
    <row r="76" spans="1:18" ht="21" customHeight="1" x14ac:dyDescent="0.15">
      <c r="A76" s="38" t="str">
        <f t="shared" si="10"/>
        <v>47014109_47014072</v>
      </c>
      <c r="B76" s="122">
        <v>47014109</v>
      </c>
      <c r="C76" s="46">
        <v>47014072</v>
      </c>
      <c r="D76" s="45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へえ、これでもまだもつ？</v>
      </c>
      <c r="E76" s="45" t="str">
        <f ca="1">VLOOKUP($C76,OFFSET(enemy_skills!$A$1,0,0,COUNTA(enemy_skills!$A:$A),MATCH(E$1,enemy_skills!$1:$1,0)-MATCH("enemy_skill_id",enemy_skills!$1:$1,0)+1),MATCH(E$1,enemy_skills!$1:$1,0)-MATCH("enemy_skill_id",enemy_skills!$1:$1,0)+1,FALSE)</f>
        <v>超高確率でハートパネルをお邪魔パネルとしてドロップ</v>
      </c>
      <c r="F76" s="46">
        <v>47014072</v>
      </c>
      <c r="G76" s="4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7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76" s="4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7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7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7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7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6" s="47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6"/>
      <c r="Q76" s="46"/>
      <c r="R76" s="46"/>
    </row>
    <row r="77" spans="1:18" ht="21" customHeight="1" x14ac:dyDescent="0.15">
      <c r="A77" s="38" t="str">
        <f t="shared" si="10"/>
        <v>47014109_47014073</v>
      </c>
      <c r="B77" s="122">
        <v>47014109</v>
      </c>
      <c r="C77" s="46">
        <v>47014073</v>
      </c>
      <c r="D77" s="45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おっきいのいくよー！</v>
      </c>
      <c r="E77" s="45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お邪魔パネルを吸収して攻撃(最大5個)</v>
      </c>
      <c r="F77" s="46">
        <v>47014073</v>
      </c>
      <c r="G77" s="4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7" s="4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7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7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7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7" s="47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6"/>
      <c r="Q77" s="46"/>
      <c r="R77" s="46"/>
    </row>
    <row r="78" spans="1:18" ht="21" customHeight="1" x14ac:dyDescent="0.15">
      <c r="A78" s="38" t="str">
        <f t="shared" si="10"/>
        <v>47014109_47014074</v>
      </c>
      <c r="B78" s="122">
        <v>47014109</v>
      </c>
      <c r="C78" s="46">
        <v>47014074</v>
      </c>
      <c r="D78" s="45" t="str">
        <f ca="1">VLOOKUP($C78,OFFSET(enemy_skills!$A$1,0,0,COUNTA(enemy_skills!$A:$A),MATCH(D$1,enemy_skills!$1:$1,0)-MATCH("enemy_skill_id",enemy_skills!$1:$1,0)+1),MATCH(D$1,enemy_skills!$1:$1,0)-MATCH("enemy_skill_id",enemy_skills!$1:$1,0)+1,FALSE)</f>
        <v>状況全部がアンタの敵よ！</v>
      </c>
      <c r="E78" s="45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属性パネルをお邪魔パネルに5個変換+_x000D_4回連続攻撃</v>
      </c>
      <c r="F78" s="46">
        <v>47014074</v>
      </c>
      <c r="G78" s="4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7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8" s="4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8" s="47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7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7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7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8" s="46"/>
      <c r="Q78" s="46"/>
      <c r="R78" s="46"/>
    </row>
    <row r="79" spans="1:18" ht="21" customHeight="1" x14ac:dyDescent="0.15">
      <c r="A79" s="38" t="str">
        <f t="shared" si="10"/>
        <v>47014109_47014175</v>
      </c>
      <c r="B79" s="122">
        <v>47014109</v>
      </c>
      <c r="C79" s="124">
        <v>47014175</v>
      </c>
      <c r="D79" s="45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アンタもアタシを止められないのね…</v>
      </c>
      <c r="E79" s="45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【次のターン即死級の全体攻撃！】</v>
      </c>
      <c r="F79" s="124">
        <v>47014175</v>
      </c>
      <c r="G79" s="47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7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9" s="47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7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79" s="47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7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7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9" s="47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7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6"/>
      <c r="Q79" s="46"/>
      <c r="R79" s="46"/>
    </row>
    <row r="80" spans="1:18" ht="21" customHeight="1" x14ac:dyDescent="0.15">
      <c r="A80" s="38" t="str">
        <f t="shared" si="10"/>
        <v>47014109_47014176</v>
      </c>
      <c r="B80" s="122">
        <v>47014109</v>
      </c>
      <c r="C80" s="124">
        <v>47014176</v>
      </c>
      <c r="D80" s="45" t="str">
        <f ca="1">VLOOKUP($C80,OFFSET(enemy_skills!$A$1,0,0,COUNTA(enemy_skills!$A:$A),MATCH(D$1,enemy_skills!$1:$1,0)-MATCH("enemy_skill_id",enemy_skills!$1:$1,0)+1),MATCH(D$1,enemy_skills!$1:$1,0)-MATCH("enemy_skill_id",enemy_skills!$1:$1,0)+1,FALSE)</f>
        <v>HELLRAISER</v>
      </c>
      <c r="E80" s="45" t="str">
        <f ca="1">VLOOKUP($C80,OFFSET(enemy_skills!$A$1,0,0,COUNTA(enemy_skills!$A:$A),MATCH(E$1,enemy_skills!$1:$1,0)-MATCH("enemy_skill_id",enemy_skills!$1:$1,0)+1),MATCH(E$1,enemy_skills!$1:$1,0)-MATCH("enemy_skill_id",enemy_skills!$1:$1,0)+1,FALSE)</f>
        <v>超強力な全体攻撃</v>
      </c>
      <c r="F80" s="124">
        <v>47014176</v>
      </c>
      <c r="G80" s="47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7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0" s="4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7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80" s="47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7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7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7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6"/>
      <c r="Q80" s="46"/>
      <c r="R80" s="46"/>
    </row>
    <row r="81" spans="1:18" ht="21" customHeight="1" x14ac:dyDescent="0.15">
      <c r="A81" s="38" t="str">
        <f t="shared" si="10"/>
        <v>47014109_47014077</v>
      </c>
      <c r="B81" s="122">
        <v>47014109</v>
      </c>
      <c r="C81" s="46">
        <v>47014077</v>
      </c>
      <c r="D81" s="45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アタシだって…本当は…</v>
      </c>
      <c r="E81" s="45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誰かに止めてほしかったのかもね…</v>
      </c>
      <c r="F81" s="46">
        <v>47014077</v>
      </c>
      <c r="G81" s="47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7" t="str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1" s="47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7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7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7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1" s="47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7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1" s="47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6"/>
      <c r="Q81" s="46"/>
      <c r="R81" s="46"/>
    </row>
    <row r="82" spans="1:18" ht="21" customHeight="1" x14ac:dyDescent="0.15">
      <c r="A82" s="38" t="str">
        <f t="shared" ref="A82:A143" si="11">B82&amp;"_"&amp;C82</f>
        <v>47014109_47014085</v>
      </c>
      <c r="B82" s="122">
        <v>47014109</v>
      </c>
      <c r="C82" s="46">
        <v>47014085</v>
      </c>
      <c r="D82" s="45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セルシウス…</v>
      </c>
      <c r="E82" s="45" t="str">
        <f ca="1">VLOOKUP($C82,OFFSET(enemy_skills!$A$1,0,0,COUNTA(enemy_skills!$A:$A),MATCH(E$1,enemy_skills!$1:$1,0)-MATCH("enemy_skill_id",enemy_skills!$1:$1,0)+1),MATCH(E$1,enemy_skills!$1:$1,0)-MATCH("enemy_skill_id",enemy_skills!$1:$1,0)+1,FALSE)</f>
        <v>今はアンタの冷たさが気持ちいいわ…</v>
      </c>
      <c r="F82" s="46">
        <v>47014085</v>
      </c>
      <c r="G82" s="47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7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82" s="47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7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7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7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7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7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1346</v>
      </c>
      <c r="O82" s="47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6"/>
      <c r="Q82" s="46"/>
      <c r="R82" s="46"/>
    </row>
    <row r="83" spans="1:18" ht="21" customHeight="1" x14ac:dyDescent="0.15">
      <c r="A83" s="38" t="str">
        <f t="shared" si="11"/>
        <v>47014109_47014086</v>
      </c>
      <c r="B83" s="122">
        <v>47014109</v>
      </c>
      <c r="C83" s="46">
        <v>47014086</v>
      </c>
      <c r="D83" s="45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セルシウス…</v>
      </c>
      <c r="E83" s="45" t="str">
        <f ca="1">VLOOKUP($C83,OFFSET(enemy_skills!$A$1,0,0,COUNTA(enemy_skills!$A:$A),MATCH(E$1,enemy_skills!$1:$1,0)-MATCH("enemy_skill_id",enemy_skills!$1:$1,0)+1),MATCH(E$1,enemy_skills!$1:$1,0)-MATCH("enemy_skill_id",enemy_skills!$1:$1,0)+1,FALSE)</f>
        <v>今はアンタの冷たさが気持ちいいわ…</v>
      </c>
      <c r="F83" s="46">
        <v>47014086</v>
      </c>
      <c r="G83" s="47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7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159</v>
      </c>
      <c r="I83" s="47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7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7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7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3" s="47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7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1347</v>
      </c>
      <c r="O83" s="47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6"/>
      <c r="Q83" s="46"/>
      <c r="R83" s="46"/>
    </row>
    <row r="84" spans="1:18" ht="21" customHeight="1" x14ac:dyDescent="0.15">
      <c r="A84" s="38" t="str">
        <f t="shared" si="11"/>
        <v>47014109_47014087</v>
      </c>
      <c r="B84" s="122">
        <v>47014109</v>
      </c>
      <c r="C84" s="46">
        <v>47014087</v>
      </c>
      <c r="D84" s="45" t="str">
        <f ca="1">VLOOKUP($C84,OFFSET(enemy_skills!$A$1,0,0,COUNTA(enemy_skills!$A:$A),MATCH(D$1,enemy_skills!$1:$1,0)-MATCH("enemy_skill_id",enemy_skills!$1:$1,0)+1),MATCH(D$1,enemy_skills!$1:$1,0)-MATCH("enemy_skill_id",enemy_skills!$1:$1,0)+1,FALSE)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84" s="45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84" s="46">
        <v>47014087</v>
      </c>
      <c r="G84" s="47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7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158</v>
      </c>
      <c r="I84" s="47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7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7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7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4" s="47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7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79</v>
      </c>
      <c r="O84" s="47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6"/>
      <c r="Q84" s="46"/>
      <c r="R84" s="46"/>
    </row>
    <row r="85" spans="1:18" ht="21" customHeight="1" x14ac:dyDescent="0.15">
      <c r="A85" s="38" t="str">
        <f t="shared" si="11"/>
        <v>47014109_47014088</v>
      </c>
      <c r="B85" s="122">
        <v>47014109</v>
      </c>
      <c r="C85" s="46">
        <v>47014088</v>
      </c>
      <c r="D85" s="45" t="str">
        <f ca="1">VLOOKUP($C85,OFFSET(enemy_skills!$A$1,0,0,COUNTA(enemy_skills!$A:$A),MATCH(D$1,enemy_skills!$1:$1,0)-MATCH("enemy_skill_id",enemy_skills!$1:$1,0)+1),MATCH(D$1,enemy_skills!$1:$1,0)-MATCH("enemy_skill_id",enemy_skills!$1:$1,0)+1,FALSE)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85" s="45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85" s="46">
        <v>47014088</v>
      </c>
      <c r="G85" s="47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7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157</v>
      </c>
      <c r="I85" s="47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7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7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7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47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7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80</v>
      </c>
      <c r="O85" s="47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6"/>
      <c r="Q85" s="46"/>
      <c r="R85" s="46"/>
    </row>
    <row r="86" spans="1:18" ht="21" customHeight="1" x14ac:dyDescent="0.15">
      <c r="A86" s="38" t="str">
        <f t="shared" si="11"/>
        <v>47014109_47014089</v>
      </c>
      <c r="B86" s="122">
        <v>47014109</v>
      </c>
      <c r="C86" s="46">
        <v>47014089</v>
      </c>
      <c r="D86" s="45" t="str">
        <f ca="1">VLOOKUP($C86,OFFSET(enemy_skills!$A$1,0,0,COUNTA(enemy_skills!$A:$A),MATCH(D$1,enemy_skills!$1:$1,0)-MATCH("enemy_skill_id",enemy_skills!$1:$1,0)+1),MATCH(D$1,enemy_skills!$1:$1,0)-MATCH("enemy_skill_id",enemy_skills!$1:$1,0)+1,FALSE)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86" s="45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86" s="46">
        <v>47014089</v>
      </c>
      <c r="G86" s="47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7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156</v>
      </c>
      <c r="I86" s="47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7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7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7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7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7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569</v>
      </c>
      <c r="O86" s="47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6"/>
      <c r="Q86" s="46"/>
      <c r="R86" s="46"/>
    </row>
    <row r="87" spans="1:18" ht="21" customHeight="1" x14ac:dyDescent="0.15">
      <c r="A87" s="38" t="str">
        <f t="shared" si="11"/>
        <v>47014109_47014090</v>
      </c>
      <c r="B87" s="122">
        <v>47014109</v>
      </c>
      <c r="C87" s="46">
        <v>47014090</v>
      </c>
      <c r="D87" s="45" t="str">
        <f ca="1">VLOOKUP($C87,OFFSET(enemy_skills!$A$1,0,0,COUNTA(enemy_skills!$A:$A),MATCH(D$1,enemy_skills!$1:$1,0)-MATCH("enemy_skill_id",enemy_skills!$1:$1,0)+1),MATCH(D$1,enemy_skills!$1:$1,0)-MATCH("enemy_skill_id",enemy_skills!$1:$1,0)+1,FALSE)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87" s="45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87" s="46">
        <v>47014090</v>
      </c>
      <c r="G87" s="47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7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155</v>
      </c>
      <c r="I87" s="47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7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7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7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7" s="47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7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570</v>
      </c>
      <c r="O87" s="47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6"/>
      <c r="Q87" s="46"/>
      <c r="R87" s="46"/>
    </row>
    <row r="88" spans="1:18" ht="21" customHeight="1" x14ac:dyDescent="0.15">
      <c r="A88" s="38" t="str">
        <f t="shared" si="11"/>
        <v>47014109_47014091</v>
      </c>
      <c r="B88" s="122">
        <v>47014109</v>
      </c>
      <c r="C88" s="46">
        <v>47014091</v>
      </c>
      <c r="D88" s="45" t="str">
        <f ca="1">VLOOKUP($C88,OFFSET(enemy_skills!$A$1,0,0,COUNTA(enemy_skills!$A:$A),MATCH(D$1,enemy_skills!$1:$1,0)-MATCH("enemy_skill_id",enemy_skills!$1:$1,0)+1),MATCH(D$1,enemy_skills!$1:$1,0)-MATCH("enemy_skill_id",enemy_skills!$1:$1,0)+1,FALSE)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88" s="45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88" s="46">
        <v>47014091</v>
      </c>
      <c r="G88" s="47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7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154</v>
      </c>
      <c r="I88" s="47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7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7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7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8" s="47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7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83</v>
      </c>
      <c r="O88" s="47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6"/>
      <c r="Q88" s="46"/>
      <c r="R88" s="46"/>
    </row>
    <row r="89" spans="1:18" ht="21" customHeight="1" x14ac:dyDescent="0.15">
      <c r="A89" s="38" t="str">
        <f t="shared" si="11"/>
        <v>47014109_47014092</v>
      </c>
      <c r="B89" s="122">
        <v>47014109</v>
      </c>
      <c r="C89" s="46">
        <v>47014092</v>
      </c>
      <c r="D89" s="45" t="str">
        <f ca="1">VLOOKUP($C89,OFFSET(enemy_skills!$A$1,0,0,COUNTA(enemy_skills!$A:$A),MATCH(D$1,enemy_skills!$1:$1,0)-MATCH("enemy_skill_id",enemy_skills!$1:$1,0)+1),MATCH(D$1,enemy_skills!$1:$1,0)-MATCH("enemy_skill_id",enemy_skills!$1:$1,0)+1,FALSE)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89" s="45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89" s="46">
        <v>47014092</v>
      </c>
      <c r="G89" s="47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7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153</v>
      </c>
      <c r="I89" s="47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7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7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7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9" s="47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7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84</v>
      </c>
      <c r="O89" s="47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6"/>
      <c r="Q89" s="46"/>
      <c r="R89" s="46"/>
    </row>
    <row r="90" spans="1:18" ht="21" customHeight="1" x14ac:dyDescent="0.15">
      <c r="A90" s="38" t="str">
        <f t="shared" si="11"/>
        <v>47014109_47014093</v>
      </c>
      <c r="B90" s="122">
        <v>47014109</v>
      </c>
      <c r="C90" s="46">
        <v>47014093</v>
      </c>
      <c r="D90" s="45" t="str">
        <f ca="1">VLOOKUP($C90,OFFSET(enemy_skills!$A$1,0,0,COUNTA(enemy_skills!$A:$A),MATCH(D$1,enemy_skills!$1:$1,0)-MATCH("enemy_skill_id",enemy_skills!$1:$1,0)+1),MATCH(D$1,enemy_skills!$1:$1,0)-MATCH("enemy_skill_id",enemy_skills!$1:$1,0)+1,FALSE)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90" s="45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90" s="46">
        <v>47014093</v>
      </c>
      <c r="G90" s="47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7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152</v>
      </c>
      <c r="I90" s="47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7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7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7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7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7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1422</v>
      </c>
      <c r="O90" s="47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6"/>
      <c r="Q90" s="46"/>
      <c r="R90" s="46"/>
    </row>
    <row r="91" spans="1:18" ht="21" customHeight="1" x14ac:dyDescent="0.15">
      <c r="A91" s="38" t="str">
        <f t="shared" si="11"/>
        <v>47014109_47014094</v>
      </c>
      <c r="B91" s="122">
        <v>47014109</v>
      </c>
      <c r="C91" s="46">
        <v>47014094</v>
      </c>
      <c r="D91" s="45" t="str">
        <f ca="1">VLOOKUP($C91,OFFSET(enemy_skills!$A$1,0,0,COUNTA(enemy_skills!$A:$A),MATCH(D$1,enemy_skills!$1:$1,0)-MATCH("enemy_skill_id",enemy_skills!$1:$1,0)+1),MATCH(D$1,enemy_skills!$1:$1,0)-MATCH("enemy_skill_id",enemy_skills!$1:$1,0)+1,FALSE)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91" s="45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91" s="46">
        <v>47014094</v>
      </c>
      <c r="G91" s="47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7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91" s="47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7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7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7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7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7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1423</v>
      </c>
      <c r="O91" s="47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6"/>
      <c r="Q91" s="46"/>
      <c r="R91" s="46"/>
    </row>
    <row r="92" spans="1:18" ht="21" customHeight="1" x14ac:dyDescent="0.15">
      <c r="A92" s="38" t="str">
        <f t="shared" si="11"/>
        <v>47014109_47014095</v>
      </c>
      <c r="B92" s="122">
        <v>47014109</v>
      </c>
      <c r="C92" s="46">
        <v>47014095</v>
      </c>
      <c r="D92" s="45" t="str">
        <f ca="1">VLOOKUP($C92,OFFSET(enemy_skills!$A$1,0,0,COUNTA(enemy_skills!$A:$A),MATCH(D$1,enemy_skills!$1:$1,0)-MATCH("enemy_skill_id",enemy_skills!$1:$1,0)+1),MATCH(D$1,enemy_skills!$1:$1,0)-MATCH("enemy_skill_id",enemy_skills!$1:$1,0)+1,FALSE)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92" s="45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92" s="46">
        <v>47014095</v>
      </c>
      <c r="G92" s="47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7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149</v>
      </c>
      <c r="I92" s="47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7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7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7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7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7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81</v>
      </c>
      <c r="O92" s="47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6"/>
      <c r="Q92" s="46"/>
      <c r="R92" s="46"/>
    </row>
    <row r="93" spans="1:18" ht="21" customHeight="1" x14ac:dyDescent="0.15">
      <c r="A93" s="38" t="str">
        <f t="shared" si="11"/>
        <v>47014109_47014096</v>
      </c>
      <c r="B93" s="122">
        <v>47014109</v>
      </c>
      <c r="C93" s="46">
        <v>47014096</v>
      </c>
      <c r="D93" s="45" t="str">
        <f ca="1">VLOOKUP($C93,OFFSET(enemy_skills!$A$1,0,0,COUNTA(enemy_skills!$A:$A),MATCH(D$1,enemy_skills!$1:$1,0)-MATCH("enemy_skill_id",enemy_skills!$1:$1,0)+1),MATCH(D$1,enemy_skills!$1:$1,0)-MATCH("enemy_skill_id",enemy_skills!$1:$1,0)+1,FALSE)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93" s="45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93" s="46">
        <v>47014096</v>
      </c>
      <c r="G93" s="47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7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148</v>
      </c>
      <c r="I93" s="47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7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7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7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7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7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82</v>
      </c>
      <c r="O93" s="47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6"/>
      <c r="Q93" s="46"/>
      <c r="R93" s="46"/>
    </row>
    <row r="94" spans="1:18" ht="21" customHeight="1" x14ac:dyDescent="0.15">
      <c r="A94" s="38" t="str">
        <f t="shared" si="11"/>
        <v>47014109_47014097</v>
      </c>
      <c r="B94" s="122">
        <v>47014109</v>
      </c>
      <c r="C94" s="46">
        <v>47014097</v>
      </c>
      <c r="D94" s="45" t="str">
        <f ca="1">VLOOKUP($C94,OFFSET(enemy_skills!$A$1,0,0,COUNTA(enemy_skills!$A:$A),MATCH(D$1,enemy_skills!$1:$1,0)-MATCH("enemy_skill_id",enemy_skills!$1:$1,0)+1),MATCH(D$1,enemy_skills!$1:$1,0)-MATCH("enemy_skill_id",enemy_skills!$1:$1,0)+1,FALSE)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94" s="45" t="str">
        <f ca="1">VLOOKUP($C94,OFFSET(enemy_skills!$A$1,0,0,COUNTA(enemy_skills!$A:$A),MATCH(E$1,enemy_skills!$1:$1,0)-MATCH("enemy_skill_id",enemy_skills!$1:$1,0)+1),MATCH(E$1,enemy_skills!$1:$1,0)-MATCH("enemy_skill_id",enemy_skills!$1:$1,0)+1,FALSE)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94" s="46">
        <v>47014097</v>
      </c>
      <c r="G94" s="47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7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147</v>
      </c>
      <c r="I94" s="47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7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7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7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7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7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1420</v>
      </c>
      <c r="O94" s="47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6"/>
      <c r="Q94" s="46"/>
      <c r="R94" s="46"/>
    </row>
    <row r="95" spans="1:18" ht="21" customHeight="1" x14ac:dyDescent="0.15">
      <c r="A95" s="38" t="str">
        <f t="shared" si="11"/>
        <v>47014109_47014098</v>
      </c>
      <c r="B95" s="122">
        <v>47014109</v>
      </c>
      <c r="C95" s="46">
        <v>47014098</v>
      </c>
      <c r="D95" s="45" t="str">
        <f ca="1">VLOOKUP($C95,OFFSET(enemy_skills!$A$1,0,0,COUNTA(enemy_skills!$A:$A),MATCH(D$1,enemy_skills!$1:$1,0)-MATCH("enemy_skill_id",enemy_skills!$1:$1,0)+1),MATCH(D$1,enemy_skills!$1:$1,0)-MATCH("enemy_skill_id",enemy_skills!$1:$1,0)+1,FALSE)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95" s="45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95" s="46">
        <v>47014098</v>
      </c>
      <c r="G95" s="47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7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146</v>
      </c>
      <c r="I95" s="47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7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7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7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47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7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1421</v>
      </c>
      <c r="O95" s="47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6"/>
      <c r="Q95" s="46"/>
      <c r="R95" s="46"/>
    </row>
    <row r="96" spans="1:18" ht="21" customHeight="1" x14ac:dyDescent="0.15">
      <c r="A96" s="38" t="str">
        <f t="shared" si="11"/>
        <v>47014109_47014099</v>
      </c>
      <c r="B96" s="122">
        <v>47014109</v>
      </c>
      <c r="C96" s="46">
        <v>47014099</v>
      </c>
      <c r="D96" s="45" t="str">
        <f ca="1">VLOOKUP($C96,OFFSET(enemy_skills!$A$1,0,0,COUNTA(enemy_skills!$A:$A),MATCH(D$1,enemy_skills!$1:$1,0)-MATCH("enemy_skill_id",enemy_skills!$1:$1,0)+1),MATCH(D$1,enemy_skills!$1:$1,0)-MATCH("enemy_skill_id",enemy_skills!$1:$1,0)+1,FALSE)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96" s="45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96" s="46">
        <v>47014099</v>
      </c>
      <c r="G96" s="47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7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145</v>
      </c>
      <c r="I96" s="47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7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7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7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7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7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77</v>
      </c>
      <c r="O96" s="47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6"/>
      <c r="Q96" s="46"/>
      <c r="R96" s="46"/>
    </row>
    <row r="97" spans="1:18" ht="21" customHeight="1" x14ac:dyDescent="0.15">
      <c r="A97" s="38" t="str">
        <f t="shared" si="11"/>
        <v>47014109_47014100</v>
      </c>
      <c r="B97" s="122">
        <v>47014109</v>
      </c>
      <c r="C97" s="46">
        <v>47014100</v>
      </c>
      <c r="D97" s="45" t="str">
        <f ca="1">VLOOKUP($C97,OFFSET(enemy_skills!$A$1,0,0,COUNTA(enemy_skills!$A:$A),MATCH(D$1,enemy_skills!$1:$1,0)-MATCH("enemy_skill_id",enemy_skills!$1:$1,0)+1),MATCH(D$1,enemy_skills!$1:$1,0)-MATCH("enemy_skill_id",enemy_skills!$1:$1,0)+1,FALSE)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97" s="45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97" s="46">
        <v>47014100</v>
      </c>
      <c r="G97" s="47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7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144</v>
      </c>
      <c r="I97" s="47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7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7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7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7" s="47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7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78</v>
      </c>
      <c r="O97" s="47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6"/>
      <c r="Q97" s="46"/>
      <c r="R97" s="46"/>
    </row>
    <row r="98" spans="1:18" ht="21" customHeight="1" x14ac:dyDescent="0.15">
      <c r="A98" s="38" t="str">
        <f t="shared" si="11"/>
        <v>47014109_47014101</v>
      </c>
      <c r="B98" s="122">
        <v>47014109</v>
      </c>
      <c r="C98" s="46">
        <v>47014101</v>
      </c>
      <c r="D98" s="45" t="str">
        <f ca="1">VLOOKUP($C98,OFFSET(enemy_skills!$A$1,0,0,COUNTA(enemy_skills!$A:$A),MATCH(D$1,enemy_skills!$1:$1,0)-MATCH("enemy_skill_id",enemy_skills!$1:$1,0)+1),MATCH(D$1,enemy_skills!$1:$1,0)-MATCH("enemy_skill_id",enemy_skills!$1:$1,0)+1,FALSE)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98" s="45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98" s="46">
        <v>47014101</v>
      </c>
      <c r="G98" s="47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7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143</v>
      </c>
      <c r="I98" s="47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7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7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7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8" s="47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7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1418</v>
      </c>
      <c r="O98" s="47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6"/>
      <c r="Q98" s="46"/>
      <c r="R98" s="46"/>
    </row>
    <row r="99" spans="1:18" ht="21" customHeight="1" x14ac:dyDescent="0.15">
      <c r="A99" s="38" t="str">
        <f t="shared" si="11"/>
        <v>47014109_47014102</v>
      </c>
      <c r="B99" s="122">
        <v>47014109</v>
      </c>
      <c r="C99" s="46">
        <v>47014102</v>
      </c>
      <c r="D99" s="45" t="str">
        <f ca="1">VLOOKUP($C99,OFFSET(enemy_skills!$A$1,0,0,COUNTA(enemy_skills!$A:$A),MATCH(D$1,enemy_skills!$1:$1,0)-MATCH("enemy_skill_id",enemy_skills!$1:$1,0)+1),MATCH(D$1,enemy_skills!$1:$1,0)-MATCH("enemy_skill_id",enemy_skills!$1:$1,0)+1,FALSE)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99" s="45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99" s="46">
        <v>47014102</v>
      </c>
      <c r="G99" s="47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7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142</v>
      </c>
      <c r="I99" s="47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7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7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7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9" s="47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7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1419</v>
      </c>
      <c r="O99" s="47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6"/>
      <c r="Q99" s="46"/>
      <c r="R99" s="46"/>
    </row>
    <row r="100" spans="1:18" ht="21" customHeight="1" x14ac:dyDescent="0.15">
      <c r="A100" s="38" t="str">
        <f t="shared" si="11"/>
        <v>47014201_47014205</v>
      </c>
      <c r="B100" s="116">
        <v>47014201</v>
      </c>
      <c r="C100" s="124">
        <v>47014205</v>
      </c>
      <c r="D100" s="45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火の粉</v>
      </c>
      <c r="E100" s="45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クリティカル！+_x000D_属性パネルをお邪魔パネルに1個変換</v>
      </c>
      <c r="F100" s="124">
        <v>47014205</v>
      </c>
      <c r="G100" s="47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7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0" s="47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7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7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7" t="str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0" s="47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0" s="47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7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6"/>
      <c r="Q100" s="46"/>
      <c r="R100" s="46"/>
    </row>
    <row r="101" spans="1:18" ht="21" customHeight="1" x14ac:dyDescent="0.15">
      <c r="A101" s="38" t="str">
        <f t="shared" si="11"/>
        <v>47014201_47014006</v>
      </c>
      <c r="B101" s="116">
        <v>47014201</v>
      </c>
      <c r="C101" s="46">
        <v>47014006</v>
      </c>
      <c r="D101" s="45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種火の再燃</v>
      </c>
      <c r="E101" s="45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お邪魔パネルを吸収して攻撃(最大3個)</v>
      </c>
      <c r="F101" s="46">
        <v>47014006</v>
      </c>
      <c r="G101" s="47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7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1" s="47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7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7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7" t="str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1" s="47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1" s="47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7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6"/>
      <c r="Q101" s="46"/>
      <c r="R101" s="46"/>
    </row>
    <row r="102" spans="1:18" ht="21" customHeight="1" x14ac:dyDescent="0.15">
      <c r="A102" s="38" t="str">
        <f t="shared" si="11"/>
        <v>47014202_47014010</v>
      </c>
      <c r="B102" s="116">
        <v>47014202</v>
      </c>
      <c r="C102" s="46">
        <v>47014010</v>
      </c>
      <c r="D102" s="45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ここは通行禁止です</v>
      </c>
      <c r="E102" s="45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2" s="46">
        <v>47014010</v>
      </c>
      <c r="G102" s="47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7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2" s="47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7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7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7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7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7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7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6"/>
      <c r="Q102" s="46"/>
      <c r="R102" s="46"/>
    </row>
    <row r="103" spans="1:18" ht="21" customHeight="1" x14ac:dyDescent="0.15">
      <c r="A103" s="38" t="str">
        <f t="shared" si="11"/>
        <v>47014202_47014011</v>
      </c>
      <c r="B103" s="116">
        <v>47014202</v>
      </c>
      <c r="C103" s="46">
        <v>47014011</v>
      </c>
      <c r="D103" s="45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この先は危険です</v>
      </c>
      <c r="E103" s="45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4ターンハートパネル無効</v>
      </c>
      <c r="F103" s="46">
        <v>47014011</v>
      </c>
      <c r="G103" s="47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7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03" s="47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7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7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7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7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3" s="47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7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6"/>
      <c r="Q103" s="46"/>
      <c r="R103" s="46"/>
    </row>
    <row r="104" spans="1:18" ht="21" customHeight="1" x14ac:dyDescent="0.15">
      <c r="A104" s="38" t="str">
        <f t="shared" si="11"/>
        <v>47014202_47014212</v>
      </c>
      <c r="B104" s="116">
        <v>47014202</v>
      </c>
      <c r="C104" s="124">
        <v>47014212</v>
      </c>
      <c r="D104" s="45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炎陣包囲</v>
      </c>
      <c r="E104" s="45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残りHPの50％ダメージ！</v>
      </c>
      <c r="F104" s="124">
        <v>47014212</v>
      </c>
      <c r="G104" s="47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7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104" s="47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4" s="47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7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7" t="str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4" s="47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7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7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4" s="46"/>
      <c r="Q104" s="46"/>
      <c r="R104" s="46"/>
    </row>
    <row r="105" spans="1:18" ht="21" customHeight="1" x14ac:dyDescent="0.15">
      <c r="A105" s="38" t="str">
        <f t="shared" si="11"/>
        <v>47014202_47014013</v>
      </c>
      <c r="B105" s="116">
        <v>47014202</v>
      </c>
      <c r="C105" s="46">
        <v>47014013</v>
      </c>
      <c r="D105" s="45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天羽織り・甲式</v>
      </c>
      <c r="E105" s="45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ハートパネルプロテクト</v>
      </c>
      <c r="F105" s="46">
        <v>47014013</v>
      </c>
      <c r="G105" s="47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7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05" s="47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7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5" s="47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7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7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7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7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6"/>
      <c r="Q105" s="46"/>
      <c r="R105" s="46"/>
    </row>
    <row r="106" spans="1:18" ht="21" customHeight="1" x14ac:dyDescent="0.15">
      <c r="A106" s="38" t="str">
        <f t="shared" si="11"/>
        <v>47014202_47014014</v>
      </c>
      <c r="B106" s="116">
        <v>47014202</v>
      </c>
      <c r="C106" s="46">
        <v>47014014</v>
      </c>
      <c r="D106" s="45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千鶴飛羽</v>
      </c>
      <c r="E106" s="45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6" s="46">
        <v>47014014</v>
      </c>
      <c r="G106" s="47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7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06" s="47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7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6" s="47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7" t="str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6" s="47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7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7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6"/>
      <c r="Q106" s="46"/>
      <c r="R106" s="46"/>
    </row>
    <row r="107" spans="1:18" ht="21" customHeight="1" x14ac:dyDescent="0.15">
      <c r="A107" s="38" t="str">
        <f t="shared" si="11"/>
        <v>47014203_47014020</v>
      </c>
      <c r="B107" s="116">
        <v>47014203</v>
      </c>
      <c r="C107" s="46">
        <v>47014020</v>
      </c>
      <c r="D107" s="45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どうしても通るというならば…</v>
      </c>
      <c r="E107" s="45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7" s="46">
        <v>47014020</v>
      </c>
      <c r="G107" s="47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7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7" s="47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7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7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7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7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7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7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6"/>
      <c r="Q107" s="46"/>
      <c r="R107" s="46"/>
    </row>
    <row r="108" spans="1:18" ht="21" customHeight="1" x14ac:dyDescent="0.15">
      <c r="A108" s="38" t="str">
        <f t="shared" si="11"/>
        <v>47014203_47014021</v>
      </c>
      <c r="B108" s="116">
        <v>47014203</v>
      </c>
      <c r="C108" s="46">
        <v>47014021</v>
      </c>
      <c r="D108" s="45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この試練を越えて行きなさい</v>
      </c>
      <c r="E108" s="45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4ターンハートパネル無効+_x000D_超高確率で赤、緑パネルがハートパネルとしてドロップ</v>
      </c>
      <c r="F108" s="46">
        <v>47014021</v>
      </c>
      <c r="G108" s="47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7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08" s="47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7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7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7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7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8" s="47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7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6"/>
      <c r="Q108" s="46"/>
      <c r="R108" s="46"/>
    </row>
    <row r="109" spans="1:18" ht="21" customHeight="1" x14ac:dyDescent="0.15">
      <c r="A109" s="38" t="str">
        <f t="shared" si="11"/>
        <v>47014203_47014222</v>
      </c>
      <c r="B109" s="116">
        <v>47014203</v>
      </c>
      <c r="C109" s="124">
        <v>47014222</v>
      </c>
      <c r="D109" s="45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炎陣包囲</v>
      </c>
      <c r="E109" s="45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残りHPの50％ダメージ！</v>
      </c>
      <c r="F109" s="124">
        <v>47014222</v>
      </c>
      <c r="G109" s="47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7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109" s="47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9" s="47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7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7" t="str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9" s="47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7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7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9" s="46"/>
      <c r="Q109" s="46"/>
      <c r="R109" s="46"/>
    </row>
    <row r="110" spans="1:18" ht="21" customHeight="1" x14ac:dyDescent="0.15">
      <c r="A110" s="38" t="str">
        <f t="shared" si="11"/>
        <v>47014203_47014023</v>
      </c>
      <c r="B110" s="116">
        <v>47014203</v>
      </c>
      <c r="C110" s="46">
        <v>47014023</v>
      </c>
      <c r="D110" s="45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天羽織り・甲式</v>
      </c>
      <c r="E110" s="45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ハートパネルプロテクト</v>
      </c>
      <c r="F110" s="46">
        <v>47014023</v>
      </c>
      <c r="G110" s="47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7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10" s="47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7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0" s="47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7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7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7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7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6"/>
      <c r="Q110" s="46"/>
      <c r="R110" s="46"/>
    </row>
    <row r="111" spans="1:18" ht="21" customHeight="1" x14ac:dyDescent="0.15">
      <c r="A111" s="38" t="str">
        <f t="shared" si="11"/>
        <v>47014203_47014024</v>
      </c>
      <c r="B111" s="116">
        <v>47014203</v>
      </c>
      <c r="C111" s="46">
        <v>47014024</v>
      </c>
      <c r="D111" s="45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千鶴飛羽</v>
      </c>
      <c r="E111" s="45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1" s="46">
        <v>47014024</v>
      </c>
      <c r="G111" s="47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7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11" s="47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7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1" s="47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7" t="str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1" s="47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7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7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6"/>
      <c r="Q111" s="46"/>
      <c r="R111" s="46"/>
    </row>
    <row r="112" spans="1:18" ht="21" customHeight="1" x14ac:dyDescent="0.15">
      <c r="A112" s="38" t="str">
        <f t="shared" si="11"/>
        <v>47014203_47014027</v>
      </c>
      <c r="B112" s="116">
        <v>47014203</v>
      </c>
      <c r="C112" s="46">
        <v>47014027</v>
      </c>
      <c r="D112" s="45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天羽織り・無式</v>
      </c>
      <c r="E112" s="45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4ターンハートパネル無効</v>
      </c>
      <c r="F112" s="46">
        <v>47014027</v>
      </c>
      <c r="G112" s="47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7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12" s="47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7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7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7" t="str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2" s="47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12" s="47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7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6"/>
      <c r="Q112" s="46"/>
      <c r="R112" s="46"/>
    </row>
    <row r="113" spans="1:18" ht="21" customHeight="1" x14ac:dyDescent="0.15">
      <c r="A113" s="38" t="str">
        <f t="shared" si="11"/>
        <v>47014203_47014028</v>
      </c>
      <c r="B113" s="116">
        <v>47014203</v>
      </c>
      <c r="C113" s="46">
        <v>47014028</v>
      </c>
      <c r="D113" s="45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天羽織り・攻式</v>
      </c>
      <c r="E113" s="45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ハートパネルを吸収して全体攻撃(最大7個)</v>
      </c>
      <c r="F113" s="46">
        <v>47014028</v>
      </c>
      <c r="G113" s="47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7" t="str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3" s="47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7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7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7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7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3" s="47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7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6"/>
      <c r="Q113" s="46"/>
      <c r="R113" s="46"/>
    </row>
    <row r="114" spans="1:18" ht="21" customHeight="1" x14ac:dyDescent="0.15">
      <c r="A114" s="38" t="str">
        <f t="shared" si="11"/>
        <v>47014205_47014036</v>
      </c>
      <c r="B114" s="116">
        <v>47014205</v>
      </c>
      <c r="C114" s="46">
        <v>47014036</v>
      </c>
      <c r="D114" s="45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ラブ・スタンピード</v>
      </c>
      <c r="E114" s="45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6ターンハートパネルドロップ率UP+_x000D_2ターン全ユニットの回復力50%DOWN</v>
      </c>
      <c r="F114" s="46">
        <v>47014036</v>
      </c>
      <c r="G114" s="47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7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114" s="47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7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7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7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7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4" s="47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7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6"/>
      <c r="Q114" s="46"/>
      <c r="R114" s="46"/>
    </row>
    <row r="115" spans="1:18" ht="21" customHeight="1" x14ac:dyDescent="0.15">
      <c r="A115" s="38" t="str">
        <f t="shared" si="11"/>
        <v>47014205_47014237</v>
      </c>
      <c r="B115" s="116">
        <v>47014205</v>
      </c>
      <c r="C115" s="124">
        <v>47014237</v>
      </c>
      <c r="D115" s="45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プリバージョン</v>
      </c>
      <c r="E115" s="45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ハートパネルをお邪魔パネルに5個変換</v>
      </c>
      <c r="F115" s="124">
        <v>47014237</v>
      </c>
      <c r="G115" s="47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7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15" s="47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7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7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7" t="str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5" s="47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5" s="47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7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6"/>
      <c r="Q115" s="46"/>
      <c r="R115" s="46"/>
    </row>
    <row r="116" spans="1:18" ht="21" customHeight="1" x14ac:dyDescent="0.15">
      <c r="A116" s="38" t="str">
        <f t="shared" si="11"/>
        <v>47014205_47014038</v>
      </c>
      <c r="B116" s="116">
        <v>47014205</v>
      </c>
      <c r="C116" s="46">
        <v>47014038</v>
      </c>
      <c r="D116" s="45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ラブ・バイオレンス</v>
      </c>
      <c r="E116" s="45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お邪魔パネルを吸収して全体攻撃(最大10個)</v>
      </c>
      <c r="F116" s="46">
        <v>47014038</v>
      </c>
      <c r="G116" s="47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7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16" s="47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7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6" s="47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7" t="str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6" s="47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7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7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6"/>
      <c r="Q116" s="46"/>
      <c r="R116" s="46"/>
    </row>
    <row r="117" spans="1:18" ht="21" customHeight="1" x14ac:dyDescent="0.15">
      <c r="A117" s="38" t="str">
        <f t="shared" si="11"/>
        <v>47014205_47014039</v>
      </c>
      <c r="B117" s="116">
        <v>47014205</v>
      </c>
      <c r="C117" s="46">
        <v>47014039</v>
      </c>
      <c r="D117" s="45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クールダウン</v>
      </c>
      <c r="E117" s="45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</v>
      </c>
      <c r="F117" s="46">
        <v>47014039</v>
      </c>
      <c r="G117" s="47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7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17" s="47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7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7" s="47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7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7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7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7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6"/>
      <c r="Q117" s="46"/>
      <c r="R117" s="46"/>
    </row>
    <row r="118" spans="1:18" ht="21" customHeight="1" x14ac:dyDescent="0.15">
      <c r="A118" s="38" t="str">
        <f t="shared" si="11"/>
        <v>47014209_47014270</v>
      </c>
      <c r="B118" s="116">
        <v>47014209</v>
      </c>
      <c r="C118" s="124">
        <v>47014270</v>
      </c>
      <c r="D118" s="45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熱く熱く燃やしてやるよ！</v>
      </c>
      <c r="E118" s="45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状態異常耐性_x000D_【敵のHP30％以下で即死級の攻撃！】</v>
      </c>
      <c r="F118" s="46">
        <v>47014070</v>
      </c>
      <c r="G118" s="47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47" t="str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8" s="47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7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7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7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7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7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47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6"/>
      <c r="Q118" s="46"/>
      <c r="R118" s="46"/>
    </row>
    <row r="119" spans="1:18" ht="21" customHeight="1" x14ac:dyDescent="0.15">
      <c r="A119" s="38" t="str">
        <f t="shared" si="11"/>
        <v>47014209_47014071</v>
      </c>
      <c r="B119" s="116">
        <v>47014209</v>
      </c>
      <c r="C119" s="46">
        <v>47014071</v>
      </c>
      <c r="D119" s="45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作り変えてやる！</v>
      </c>
      <c r="E119" s="45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特定エリアをハートパネルとお邪魔パネルに変換</v>
      </c>
      <c r="F119" s="46">
        <v>47014071</v>
      </c>
      <c r="G119" s="47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7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19" s="47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7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7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7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7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9" s="47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47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6"/>
      <c r="Q119" s="46"/>
      <c r="R119" s="46"/>
    </row>
    <row r="120" spans="1:18" ht="21" customHeight="1" x14ac:dyDescent="0.15">
      <c r="A120" s="38" t="str">
        <f t="shared" si="11"/>
        <v>47014209_47014072</v>
      </c>
      <c r="B120" s="116">
        <v>47014209</v>
      </c>
      <c r="C120" s="46">
        <v>47014072</v>
      </c>
      <c r="D120" s="45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へえ、これでもまだもつ？</v>
      </c>
      <c r="E120" s="45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超高確率でハートパネルをお邪魔パネルとしてドロップ</v>
      </c>
      <c r="F120" s="46">
        <v>47014072</v>
      </c>
      <c r="G120" s="47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7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20" s="47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7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7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7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7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0" s="47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47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6"/>
      <c r="Q120" s="46"/>
      <c r="R120" s="46"/>
    </row>
    <row r="121" spans="1:18" ht="21" customHeight="1" x14ac:dyDescent="0.15">
      <c r="A121" s="38" t="str">
        <f t="shared" si="11"/>
        <v>47014209_47014073</v>
      </c>
      <c r="B121" s="116">
        <v>47014209</v>
      </c>
      <c r="C121" s="46">
        <v>47014073</v>
      </c>
      <c r="D121" s="45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おっきいのいくよー！</v>
      </c>
      <c r="E121" s="45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お邪魔パネルを吸収して攻撃(最大5個)</v>
      </c>
      <c r="F121" s="46">
        <v>47014073</v>
      </c>
      <c r="G121" s="47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7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1" s="47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7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7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7" t="str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1" s="47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1" s="47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7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6"/>
      <c r="Q121" s="46"/>
      <c r="R121" s="46"/>
    </row>
    <row r="122" spans="1:18" ht="21" customHeight="1" x14ac:dyDescent="0.15">
      <c r="A122" s="38" t="str">
        <f t="shared" si="11"/>
        <v>47014209_47014074</v>
      </c>
      <c r="B122" s="116">
        <v>47014209</v>
      </c>
      <c r="C122" s="46">
        <v>47014074</v>
      </c>
      <c r="D122" s="45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状況全部がアンタの敵よ！</v>
      </c>
      <c r="E122" s="45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属性パネルをお邪魔パネルに5個変換+_x000D_4回連続攻撃</v>
      </c>
      <c r="F122" s="46">
        <v>47014074</v>
      </c>
      <c r="G122" s="47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7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2" s="47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2" s="47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7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7" t="str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2" s="47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47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7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2" s="46"/>
      <c r="Q122" s="46"/>
      <c r="R122" s="46"/>
    </row>
    <row r="123" spans="1:18" ht="21" customHeight="1" x14ac:dyDescent="0.15">
      <c r="A123" s="38" t="str">
        <f t="shared" si="11"/>
        <v>47014209_47014275</v>
      </c>
      <c r="B123" s="116">
        <v>47014209</v>
      </c>
      <c r="C123" s="124">
        <v>47014275</v>
      </c>
      <c r="D123" s="45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アンタもアタシを止められないのね…</v>
      </c>
      <c r="E123" s="45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【次のターン即死級の全体攻撃！】</v>
      </c>
      <c r="F123" s="124">
        <v>47014275</v>
      </c>
      <c r="G123" s="47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7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23" s="47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7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23" s="47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7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7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3" s="47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7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6"/>
      <c r="Q123" s="46"/>
      <c r="R123" s="46"/>
    </row>
    <row r="124" spans="1:18" ht="21" customHeight="1" x14ac:dyDescent="0.15">
      <c r="A124" s="38" t="str">
        <f t="shared" si="11"/>
        <v>47014209_47014276</v>
      </c>
      <c r="B124" s="116">
        <v>47014209</v>
      </c>
      <c r="C124" s="124">
        <v>47014276</v>
      </c>
      <c r="D124" s="45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HELLRAISER</v>
      </c>
      <c r="E124" s="45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超強力な全体攻撃</v>
      </c>
      <c r="F124" s="124">
        <v>47014276</v>
      </c>
      <c r="G124" s="47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7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24" s="47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7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24" s="47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7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7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4" s="47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7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6"/>
      <c r="Q124" s="46"/>
      <c r="R124" s="46"/>
    </row>
    <row r="125" spans="1:18" ht="21" customHeight="1" x14ac:dyDescent="0.15">
      <c r="A125" s="38" t="str">
        <f t="shared" si="11"/>
        <v>47014209_47014077</v>
      </c>
      <c r="B125" s="116">
        <v>47014209</v>
      </c>
      <c r="C125" s="46">
        <v>47014077</v>
      </c>
      <c r="D125" s="45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アタシだって…本当は…</v>
      </c>
      <c r="E125" s="45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誰かに止めてほしかったのかもね…</v>
      </c>
      <c r="F125" s="46">
        <v>47014077</v>
      </c>
      <c r="G125" s="47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7" t="str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5" s="47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7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7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7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5" s="47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47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5" s="47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6"/>
      <c r="Q125" s="46"/>
      <c r="R125" s="46"/>
    </row>
    <row r="126" spans="1:18" ht="21" customHeight="1" x14ac:dyDescent="0.15">
      <c r="A126" s="38" t="str">
        <f t="shared" si="11"/>
        <v>47014209_47014085</v>
      </c>
      <c r="B126" s="116">
        <v>47014209</v>
      </c>
      <c r="C126" s="46">
        <v>47014085</v>
      </c>
      <c r="D126" s="45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セルシウス…</v>
      </c>
      <c r="E126" s="45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今はアンタの冷たさが気持ちいいわ…</v>
      </c>
      <c r="F126" s="46">
        <v>47014085</v>
      </c>
      <c r="G126" s="47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7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26" s="47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7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7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7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6" s="47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7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1346</v>
      </c>
      <c r="O126" s="47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6"/>
      <c r="Q126" s="46"/>
      <c r="R126" s="46"/>
    </row>
    <row r="127" spans="1:18" ht="21" customHeight="1" x14ac:dyDescent="0.15">
      <c r="A127" s="38" t="str">
        <f t="shared" si="11"/>
        <v>47014209_47014086</v>
      </c>
      <c r="B127" s="116">
        <v>47014209</v>
      </c>
      <c r="C127" s="46">
        <v>47014086</v>
      </c>
      <c r="D127" s="45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セルシウス…</v>
      </c>
      <c r="E127" s="45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今はアンタの冷たさが気持ちいいわ…</v>
      </c>
      <c r="F127" s="46">
        <v>47014086</v>
      </c>
      <c r="G127" s="47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7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159</v>
      </c>
      <c r="I127" s="47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7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7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7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7" s="47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47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1347</v>
      </c>
      <c r="O127" s="47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6"/>
      <c r="Q127" s="46"/>
      <c r="R127" s="46"/>
    </row>
    <row r="128" spans="1:18" ht="21" customHeight="1" x14ac:dyDescent="0.15">
      <c r="A128" s="38" t="str">
        <f t="shared" si="11"/>
        <v>47014209_47014087</v>
      </c>
      <c r="B128" s="116">
        <v>47014209</v>
      </c>
      <c r="C128" s="46">
        <v>47014087</v>
      </c>
      <c r="D128" s="45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28" s="45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28" s="46">
        <v>47014087</v>
      </c>
      <c r="G128" s="47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7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158</v>
      </c>
      <c r="I128" s="47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7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7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7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8" s="47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47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79</v>
      </c>
      <c r="O128" s="47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6"/>
      <c r="Q128" s="46"/>
      <c r="R128" s="46"/>
    </row>
    <row r="129" spans="1:18" ht="21" customHeight="1" x14ac:dyDescent="0.15">
      <c r="A129" s="38" t="str">
        <f t="shared" si="11"/>
        <v>47014209_47014088</v>
      </c>
      <c r="B129" s="116">
        <v>47014209</v>
      </c>
      <c r="C129" s="46">
        <v>47014088</v>
      </c>
      <c r="D129" s="45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29" s="45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29" s="46">
        <v>47014088</v>
      </c>
      <c r="G129" s="47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7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157</v>
      </c>
      <c r="I129" s="47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7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7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7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47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47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80</v>
      </c>
      <c r="O129" s="47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6"/>
      <c r="Q129" s="46"/>
      <c r="R129" s="46"/>
    </row>
    <row r="130" spans="1:18" ht="21" customHeight="1" x14ac:dyDescent="0.15">
      <c r="A130" s="38" t="str">
        <f t="shared" si="11"/>
        <v>47014209_47014089</v>
      </c>
      <c r="B130" s="116">
        <v>47014209</v>
      </c>
      <c r="C130" s="46">
        <v>47014089</v>
      </c>
      <c r="D130" s="45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30" s="45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30" s="46">
        <v>47014089</v>
      </c>
      <c r="G130" s="47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7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156</v>
      </c>
      <c r="I130" s="47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7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7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7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47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7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569</v>
      </c>
      <c r="O130" s="47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6"/>
      <c r="Q130" s="46"/>
      <c r="R130" s="46"/>
    </row>
    <row r="131" spans="1:18" ht="21" customHeight="1" x14ac:dyDescent="0.15">
      <c r="A131" s="38" t="str">
        <f t="shared" si="11"/>
        <v>47014209_47014090</v>
      </c>
      <c r="B131" s="116">
        <v>47014209</v>
      </c>
      <c r="C131" s="46">
        <v>47014090</v>
      </c>
      <c r="D131" s="45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31" s="45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31" s="46">
        <v>47014090</v>
      </c>
      <c r="G131" s="47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7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155</v>
      </c>
      <c r="I131" s="47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7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7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7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47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7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570</v>
      </c>
      <c r="O131" s="47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6"/>
      <c r="Q131" s="46"/>
      <c r="R131" s="46"/>
    </row>
    <row r="132" spans="1:18" ht="21" customHeight="1" x14ac:dyDescent="0.15">
      <c r="A132" s="38" t="str">
        <f t="shared" si="11"/>
        <v>47014209_47014091</v>
      </c>
      <c r="B132" s="116">
        <v>47014209</v>
      </c>
      <c r="C132" s="46">
        <v>47014091</v>
      </c>
      <c r="D132" s="45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32" s="45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32" s="46">
        <v>47014091</v>
      </c>
      <c r="G132" s="47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7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154</v>
      </c>
      <c r="I132" s="47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7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7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7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2" s="47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47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83</v>
      </c>
      <c r="O132" s="47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6"/>
      <c r="Q132" s="46"/>
      <c r="R132" s="46"/>
    </row>
    <row r="133" spans="1:18" ht="21" customHeight="1" x14ac:dyDescent="0.15">
      <c r="A133" s="38" t="str">
        <f t="shared" si="11"/>
        <v>47014209_47014092</v>
      </c>
      <c r="B133" s="116">
        <v>47014209</v>
      </c>
      <c r="C133" s="46">
        <v>47014092</v>
      </c>
      <c r="D133" s="45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33" s="45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33" s="46">
        <v>47014092</v>
      </c>
      <c r="G133" s="47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47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153</v>
      </c>
      <c r="I133" s="47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7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7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7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3" s="47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47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84</v>
      </c>
      <c r="O133" s="47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6"/>
      <c r="Q133" s="46"/>
      <c r="R133" s="46"/>
    </row>
    <row r="134" spans="1:18" ht="21" customHeight="1" x14ac:dyDescent="0.15">
      <c r="A134" s="38" t="str">
        <f t="shared" si="11"/>
        <v>47014209_47014093</v>
      </c>
      <c r="B134" s="116">
        <v>47014209</v>
      </c>
      <c r="C134" s="46">
        <v>47014093</v>
      </c>
      <c r="D134" s="45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34" s="45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34" s="46">
        <v>47014093</v>
      </c>
      <c r="G134" s="47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4" s="47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152</v>
      </c>
      <c r="I134" s="47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7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7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7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4" s="47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7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1422</v>
      </c>
      <c r="O134" s="47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6"/>
      <c r="Q134" s="46"/>
      <c r="R134" s="46"/>
    </row>
    <row r="135" spans="1:18" ht="21" customHeight="1" x14ac:dyDescent="0.15">
      <c r="A135" s="38" t="str">
        <f t="shared" si="11"/>
        <v>47014209_47014094</v>
      </c>
      <c r="B135" s="116">
        <v>47014209</v>
      </c>
      <c r="C135" s="46">
        <v>47014094</v>
      </c>
      <c r="D135" s="45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35" s="45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35" s="46">
        <v>47014094</v>
      </c>
      <c r="G135" s="47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7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35" s="47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7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7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7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5" s="47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47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1423</v>
      </c>
      <c r="O135" s="47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6"/>
      <c r="Q135" s="46"/>
      <c r="R135" s="46"/>
    </row>
    <row r="136" spans="1:18" ht="21" customHeight="1" x14ac:dyDescent="0.15">
      <c r="A136" s="38" t="str">
        <f t="shared" si="11"/>
        <v>47014209_47014095</v>
      </c>
      <c r="B136" s="116">
        <v>47014209</v>
      </c>
      <c r="C136" s="46">
        <v>47014095</v>
      </c>
      <c r="D136" s="45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36" s="45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36" s="46">
        <v>47014095</v>
      </c>
      <c r="G136" s="47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47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149</v>
      </c>
      <c r="I136" s="47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7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7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7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6" s="47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7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81</v>
      </c>
      <c r="O136" s="47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6"/>
      <c r="Q136" s="46"/>
      <c r="R136" s="46"/>
    </row>
    <row r="137" spans="1:18" ht="21" customHeight="1" x14ac:dyDescent="0.15">
      <c r="A137" s="38" t="str">
        <f t="shared" si="11"/>
        <v>47014209_47014096</v>
      </c>
      <c r="B137" s="116">
        <v>47014209</v>
      </c>
      <c r="C137" s="46">
        <v>47014096</v>
      </c>
      <c r="D137" s="45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37" s="45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37" s="46">
        <v>47014096</v>
      </c>
      <c r="G137" s="47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7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148</v>
      </c>
      <c r="I137" s="47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7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7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7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7" s="47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47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82</v>
      </c>
      <c r="O137" s="47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6"/>
      <c r="Q137" s="46"/>
      <c r="R137" s="46"/>
    </row>
    <row r="138" spans="1:18" ht="21" customHeight="1" x14ac:dyDescent="0.15">
      <c r="A138" s="38" t="str">
        <f t="shared" si="11"/>
        <v>47014209_47014097</v>
      </c>
      <c r="B138" s="116">
        <v>47014209</v>
      </c>
      <c r="C138" s="46">
        <v>47014097</v>
      </c>
      <c r="D138" s="45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38" s="45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38" s="46">
        <v>47014097</v>
      </c>
      <c r="G138" s="47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7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147</v>
      </c>
      <c r="I138" s="47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7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7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7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8" s="47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47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1420</v>
      </c>
      <c r="O138" s="47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6"/>
      <c r="Q138" s="46"/>
      <c r="R138" s="46"/>
    </row>
    <row r="139" spans="1:18" ht="21" customHeight="1" x14ac:dyDescent="0.15">
      <c r="A139" s="38" t="str">
        <f t="shared" si="11"/>
        <v>47014209_47014098</v>
      </c>
      <c r="B139" s="116">
        <v>47014209</v>
      </c>
      <c r="C139" s="46">
        <v>47014098</v>
      </c>
      <c r="D139" s="45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39" s="45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39" s="46">
        <v>47014098</v>
      </c>
      <c r="G139" s="47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7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146</v>
      </c>
      <c r="I139" s="47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7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7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7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9" s="47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47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1421</v>
      </c>
      <c r="O139" s="47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6"/>
      <c r="Q139" s="46"/>
      <c r="R139" s="46"/>
    </row>
    <row r="140" spans="1:18" ht="21" customHeight="1" x14ac:dyDescent="0.15">
      <c r="A140" s="38" t="str">
        <f t="shared" si="11"/>
        <v>47014209_47014099</v>
      </c>
      <c r="B140" s="116">
        <v>47014209</v>
      </c>
      <c r="C140" s="46">
        <v>47014099</v>
      </c>
      <c r="D140" s="45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40" s="45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40" s="46">
        <v>47014099</v>
      </c>
      <c r="G140" s="47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7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145</v>
      </c>
      <c r="I140" s="47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7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7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7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0" s="47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47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77</v>
      </c>
      <c r="O140" s="47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6"/>
      <c r="Q140" s="46"/>
      <c r="R140" s="46"/>
    </row>
    <row r="141" spans="1:18" ht="21" customHeight="1" x14ac:dyDescent="0.15">
      <c r="A141" s="38" t="str">
        <f t="shared" si="11"/>
        <v>47014209_47014100</v>
      </c>
      <c r="B141" s="116">
        <v>47014209</v>
      </c>
      <c r="C141" s="46">
        <v>47014100</v>
      </c>
      <c r="D141" s="45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41" s="45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41" s="46">
        <v>47014100</v>
      </c>
      <c r="G141" s="47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1" s="47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144</v>
      </c>
      <c r="I141" s="47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7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7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7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1" s="47" t="str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1" s="47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78</v>
      </c>
      <c r="O141" s="47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6"/>
      <c r="Q141" s="46"/>
      <c r="R141" s="46"/>
    </row>
    <row r="142" spans="1:18" ht="21" customHeight="1" x14ac:dyDescent="0.15">
      <c r="A142" s="38" t="str">
        <f t="shared" si="11"/>
        <v>47014209_47014101</v>
      </c>
      <c r="B142" s="116">
        <v>47014209</v>
      </c>
      <c r="C142" s="46">
        <v>47014101</v>
      </c>
      <c r="D142" s="45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42" s="45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42" s="46">
        <v>47014101</v>
      </c>
      <c r="G142" s="47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2" s="47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143</v>
      </c>
      <c r="I142" s="47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7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7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7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2" s="47" t="str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2" s="47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1418</v>
      </c>
      <c r="O142" s="47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6"/>
      <c r="Q142" s="46"/>
      <c r="R142" s="46"/>
    </row>
    <row r="143" spans="1:18" ht="21" customHeight="1" x14ac:dyDescent="0.15">
      <c r="A143" s="38" t="str">
        <f t="shared" si="11"/>
        <v>47014209_47014102</v>
      </c>
      <c r="B143" s="116">
        <v>47014209</v>
      </c>
      <c r="C143" s="46">
        <v>47014102</v>
      </c>
      <c r="D143" s="45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哀れみなんかかけてほしくないわ…</v>
      </c>
      <c r="E143" s="45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でも…アタシも仲間ってヤツがほしかった…</v>
      </c>
      <c r="F143" s="46">
        <v>47014102</v>
      </c>
      <c r="G143" s="47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47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142</v>
      </c>
      <c r="I143" s="47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7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7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7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3" s="47" t="str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3" s="47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1419</v>
      </c>
      <c r="O143" s="47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6"/>
      <c r="Q143" s="46"/>
      <c r="R143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115"/>
  <sheetViews>
    <sheetView showGridLines="0" tabSelected="1" workbookViewId="0">
      <pane ySplit="1" topLeftCell="A98" state="frozenSplit"/>
      <selection activeCell="F112" sqref="F112"/>
      <selection pane="bottomLeft" activeCell="J49" sqref="J49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4.1640625" style="48" customWidth="1" collapsed="1"/>
    <col min="13" max="18" width="4.1640625" style="48" customWidth="1" outlineLevel="1"/>
    <col min="19" max="19" width="4.1640625" style="48" customWidth="1"/>
    <col min="20" max="24" width="4.1640625" style="48" customWidth="1" outlineLevel="1"/>
    <col min="25" max="28" width="4.1640625" style="48" customWidth="1"/>
    <col min="29" max="16384" width="12.83203125" style="48"/>
  </cols>
  <sheetData>
    <row r="1" spans="1:30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30" ht="21" customHeight="1" x14ac:dyDescent="0.15">
      <c r="A2" s="46">
        <v>47014000</v>
      </c>
      <c r="B2" s="46" t="s">
        <v>288</v>
      </c>
      <c r="C2" s="49">
        <v>3</v>
      </c>
      <c r="D2" s="49" t="s">
        <v>128</v>
      </c>
      <c r="E2" s="50" t="s">
        <v>309</v>
      </c>
      <c r="F2" s="50" t="s">
        <v>292</v>
      </c>
      <c r="G2" s="62" t="str">
        <f>IFERROR(LEFT(B2,FIND("],",B2)),B2)</f>
        <v>[effect:enemy_message, val1:1.2, val2:1.2]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IFERROR(VLOOKUP(MID(G2,J2,K2-J2),[6]skilldef!$C:$D,2,FALSE),"-") &amp; " / " &amp; IFERROR(VLOOKUP(MID(G2,H2,I2-H2),[6]skilldef!$A:$B,2,FALSE),"-")</f>
        <v>- / -</v>
      </c>
      <c r="M2" s="62" t="str">
        <f>IFERROR(RIGHT(B2,LEN(B2)-FIND("],",B2)-1),"none")</f>
        <v>[effect:rush, count:4, val:0.25]</v>
      </c>
      <c r="N2" s="47" t="str">
        <f>IFERROR(LEFT(M2,FIND("],",M2)+S12),M2)</f>
        <v>[effect:rush, count:4, val:0.25]</v>
      </c>
      <c r="O2" s="62">
        <f>FIND("effect:",N2)+7</f>
        <v>9</v>
      </c>
      <c r="P2" s="62">
        <f>IFERROR(FIND(",",N2),LEN(N2))</f>
        <v>13</v>
      </c>
      <c r="Q2" s="62" t="e">
        <f>FIND("target:",N2)+7</f>
        <v>#VALUE!</v>
      </c>
      <c r="R2" s="62">
        <f>FIND(",",N2,P2+1)</f>
        <v>22</v>
      </c>
      <c r="S2" s="62" t="str">
        <f>IFERROR(VLOOKUP(MID(N2,Q2,R2-Q2),[6]skilldef!$C:$D,2,FALSE),"-") &amp; " / " &amp; IFERROR(VLOOKUP(MID(N2,O2,P2-O2),[6]skilldef!$A:$B,2,FALSE),"-")</f>
        <v>- / 連続攻撃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  <c r="AC2" s="48">
        <f>LEN(E2)</f>
        <v>3</v>
      </c>
      <c r="AD2" s="48">
        <f>LEN(F2)</f>
        <v>6</v>
      </c>
    </row>
    <row r="3" spans="1:30" ht="21" customHeight="1" x14ac:dyDescent="0.15">
      <c r="A3" s="46">
        <v>47014001</v>
      </c>
      <c r="B3" s="46" t="s">
        <v>426</v>
      </c>
      <c r="C3" s="49">
        <v>3</v>
      </c>
      <c r="D3" s="49" t="s">
        <v>128</v>
      </c>
      <c r="E3" s="50" t="s">
        <v>307</v>
      </c>
      <c r="F3" s="113" t="s">
        <v>425</v>
      </c>
      <c r="G3" s="62" t="str">
        <f t="shared" ref="G3:G66" si="0">IFERROR(LEFT(B3,FIND("],",B3)),B3)</f>
        <v>[effect:enemy_message, val1:1.2, val2:2.1]</v>
      </c>
      <c r="H3" s="62">
        <f t="shared" ref="H3:H66" si="1">FIND("effect:",G3)+7</f>
        <v>9</v>
      </c>
      <c r="I3" s="62">
        <f t="shared" ref="I3:I66" si="2">IFERROR(FIND(",",G3),LEN(G3))</f>
        <v>22</v>
      </c>
      <c r="J3" s="62" t="e">
        <f t="shared" ref="J3:J66" si="3">FIND("target:",G3)+7</f>
        <v>#VALUE!</v>
      </c>
      <c r="K3" s="62">
        <f t="shared" ref="K3:K66" si="4">FIND(",",G3,I3+1)</f>
        <v>32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 t="shared" ref="M3:M66" si="5">IFERROR(RIGHT(B3,LEN(B3)-FIND("],",B3)-1),"none")</f>
        <v>[effect:enhance_enemy, target:enemy_all, turn:5, status:attack, val:0.3, calc:mul, animation:enemy_enhance_attack],[effect:fix_speed, target:myself, turn:1]</v>
      </c>
      <c r="N3" s="47" t="str">
        <f t="shared" ref="N3:N66" si="6">IFERROR(LEFT(M3,FIND("],",M3)+S13),M3)</f>
        <v>[effect:enhance_enemy, target:enemy_all, turn:5, status:attack, val:0.3, calc:mul, animation:enemy_enhance_attack],[effect:fix_speed, target:myself, turn:1]</v>
      </c>
      <c r="O3" s="62">
        <f t="shared" ref="O3:O66" si="7">FIND("effect:",N3)+7</f>
        <v>9</v>
      </c>
      <c r="P3" s="62">
        <f t="shared" ref="P3:P66" si="8">IFERROR(FIND(",",N3),LEN(N3))</f>
        <v>22</v>
      </c>
      <c r="Q3" s="62">
        <f t="shared" ref="Q3:Q66" si="9">FIND("target:",N3)+7</f>
        <v>31</v>
      </c>
      <c r="R3" s="62">
        <f t="shared" ref="R3:R66" si="10">FIND(",",N3,P3+1)</f>
        <v>40</v>
      </c>
      <c r="S3" s="62" t="str">
        <f>IFERROR(VLOOKUP(MID(N3,Q3,R3-Q3),[6]skilldef!$C:$D,2,FALSE),"-") &amp; " / " &amp; IFERROR(VLOOKUP(MID(N3,O3,P3-O3),[6]skilldef!$A:$B,2,FALSE),"-")</f>
        <v>敵全体に / ステータス強化</v>
      </c>
      <c r="T3" s="47" t="str">
        <f t="shared" ref="T3:T66" si="11">IFERROR(RIGHT(M3,LEN(M3)-FIND("],",M3)-1),"none")</f>
        <v>[effect:fix_speed, target:myself, turn:1]</v>
      </c>
      <c r="U3" s="62">
        <f t="shared" ref="U3:U66" si="12">FIND("effect:",T3)+7</f>
        <v>9</v>
      </c>
      <c r="V3" s="62">
        <f t="shared" ref="V3:V66" si="13">IFERROR(FIND(",",T3),LEN(T3))</f>
        <v>18</v>
      </c>
      <c r="W3" s="62">
        <f t="shared" ref="W3:W66" si="14">FIND("target:",T3)+7</f>
        <v>27</v>
      </c>
      <c r="X3" s="62">
        <f t="shared" ref="X3:X66" si="15">FIND(",",T3,V3+1)</f>
        <v>33</v>
      </c>
      <c r="Y3" s="62" t="str">
        <f>IFERROR(VLOOKUP(MID(T3,W3,X3-W3),[6]skilldef!$C:$D,2,FALSE),"-") &amp; " / " &amp; IFERROR(VLOOKUP(MID(T3,U3,V3-U3),[6]skilldef!$A:$B,2,FALSE),"-")</f>
        <v>自分自身に / 行動値設定</v>
      </c>
      <c r="Z3" s="49"/>
      <c r="AA3" s="51"/>
      <c r="AB3" s="49"/>
      <c r="AC3" s="48">
        <f t="shared" ref="AC3:AC66" si="16">LEN(E3)</f>
        <v>5</v>
      </c>
      <c r="AD3" s="48">
        <f t="shared" ref="AD3:AD66" si="17">LEN(F3)</f>
        <v>21</v>
      </c>
    </row>
    <row r="4" spans="1:30" ht="21" customHeight="1" x14ac:dyDescent="0.15">
      <c r="A4" s="46">
        <v>47014002</v>
      </c>
      <c r="B4" s="46" t="s">
        <v>433</v>
      </c>
      <c r="C4" s="49">
        <v>3</v>
      </c>
      <c r="D4" s="49" t="s">
        <v>128</v>
      </c>
      <c r="E4" s="50" t="s">
        <v>308</v>
      </c>
      <c r="F4" s="125" t="s">
        <v>432</v>
      </c>
      <c r="G4" s="62" t="str">
        <f t="shared" si="0"/>
        <v>[effect:enemy_message, val1:1.2, val2:1.5]</v>
      </c>
      <c r="H4" s="62">
        <f t="shared" si="1"/>
        <v>9</v>
      </c>
      <c r="I4" s="62">
        <f t="shared" si="2"/>
        <v>22</v>
      </c>
      <c r="J4" s="62" t="e">
        <f t="shared" si="3"/>
        <v>#VALUE!</v>
      </c>
      <c r="K4" s="62">
        <f t="shared" si="4"/>
        <v>32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si="5"/>
        <v>[effect:enhance_unit, target:unit_all, turn:-1, status:attack, val:0.3, calc:mul]</v>
      </c>
      <c r="N4" s="47" t="str">
        <f t="shared" si="6"/>
        <v>[effect:enhance_unit, target:unit_all, turn:-1, status:attack, val:0.3, calc:mul]</v>
      </c>
      <c r="O4" s="62">
        <f t="shared" si="7"/>
        <v>9</v>
      </c>
      <c r="P4" s="62">
        <f t="shared" si="8"/>
        <v>21</v>
      </c>
      <c r="Q4" s="62">
        <f t="shared" si="9"/>
        <v>30</v>
      </c>
      <c r="R4" s="62">
        <f t="shared" si="10"/>
        <v>38</v>
      </c>
      <c r="S4" s="62" t="str">
        <f>IFERROR(VLOOKUP(MID(N4,Q4,R4-Q4),[6]skilldef!$C:$D,2,FALSE),"-") &amp; " / " &amp; IFERROR(VLOOKUP(MID(N4,O4,P4-O4),[6]skilldef!$A:$B,2,FALSE),"-")</f>
        <v>味方全体に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/>
      <c r="AA4" s="51"/>
      <c r="AB4" s="49"/>
      <c r="AC4" s="48">
        <f t="shared" si="16"/>
        <v>5</v>
      </c>
      <c r="AD4" s="48">
        <f t="shared" si="17"/>
        <v>15</v>
      </c>
    </row>
    <row r="5" spans="1:30" ht="21" customHeight="1" x14ac:dyDescent="0.15">
      <c r="A5" s="46">
        <v>47014003</v>
      </c>
      <c r="B5" s="46" t="s">
        <v>265</v>
      </c>
      <c r="C5" s="49">
        <v>1</v>
      </c>
      <c r="D5" s="49" t="s">
        <v>128</v>
      </c>
      <c r="E5" s="50" t="s">
        <v>266</v>
      </c>
      <c r="F5" s="50" t="s">
        <v>267</v>
      </c>
      <c r="G5" s="62" t="str">
        <f t="shared" si="0"/>
        <v>[effect:enemy_message, val1:1.2, val2:1.2]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32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5"/>
        <v>none</v>
      </c>
      <c r="N5" s="47" t="str">
        <f t="shared" si="6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IFERROR(VLOOKUP(MID(N5,Q5,R5-Q5),[6]skilldef!$C:$D,2,FALSE),"-") &amp; " / " &amp; IFERROR(VLOOKUP(MID(N5,O5,P5-O5),[6]skilldef!$A:$B,2,FALSE),"-")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/>
      <c r="AA5" s="51"/>
      <c r="AB5" s="49"/>
      <c r="AC5" s="48">
        <f t="shared" si="16"/>
        <v>2</v>
      </c>
      <c r="AD5" s="48">
        <f t="shared" si="17"/>
        <v>3</v>
      </c>
    </row>
    <row r="6" spans="1:30" ht="21" customHeight="1" x14ac:dyDescent="0.15">
      <c r="A6" s="46">
        <v>47014004</v>
      </c>
      <c r="B6" s="46" t="s">
        <v>265</v>
      </c>
      <c r="C6" s="49">
        <v>1</v>
      </c>
      <c r="D6" s="49" t="s">
        <v>128</v>
      </c>
      <c r="E6" s="50" t="s">
        <v>266</v>
      </c>
      <c r="F6" s="50" t="s">
        <v>267</v>
      </c>
      <c r="G6" s="62" t="str">
        <f t="shared" si="0"/>
        <v>[effect:enemy_message, val1:1.2, val2:1.2]</v>
      </c>
      <c r="H6" s="62">
        <f t="shared" si="1"/>
        <v>9</v>
      </c>
      <c r="I6" s="62">
        <f t="shared" si="2"/>
        <v>22</v>
      </c>
      <c r="J6" s="62" t="e">
        <f t="shared" si="3"/>
        <v>#VALUE!</v>
      </c>
      <c r="K6" s="62">
        <f t="shared" si="4"/>
        <v>32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si="5"/>
        <v>none</v>
      </c>
      <c r="N6" s="47" t="str">
        <f t="shared" si="6"/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IFERROR(VLOOKUP(MID(N6,Q6,R6-Q6),[6]skilldef!$C:$D,2,FALSE),"-") &amp; " / " &amp; IFERROR(VLOOKUP(MID(N6,O6,P6-O6),[6]skilldef!$A:$B,2,FALSE),"-")</f>
        <v>- / -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9"/>
      <c r="AA6" s="51"/>
      <c r="AB6" s="49"/>
      <c r="AC6" s="48">
        <f t="shared" si="16"/>
        <v>2</v>
      </c>
      <c r="AD6" s="48">
        <f t="shared" si="17"/>
        <v>3</v>
      </c>
    </row>
    <row r="7" spans="1:30" ht="21" customHeight="1" x14ac:dyDescent="0.15">
      <c r="A7" s="46">
        <v>47014005</v>
      </c>
      <c r="B7" s="46" t="s">
        <v>344</v>
      </c>
      <c r="C7" s="49">
        <v>3</v>
      </c>
      <c r="D7" s="49" t="s">
        <v>128</v>
      </c>
      <c r="E7" s="50" t="s">
        <v>310</v>
      </c>
      <c r="F7" s="50" t="s">
        <v>293</v>
      </c>
      <c r="G7" s="62" t="str">
        <f t="shared" si="0"/>
        <v>[effect:enemy_message, val1:1.2, val2:2.6]</v>
      </c>
      <c r="H7" s="62">
        <f t="shared" si="1"/>
        <v>9</v>
      </c>
      <c r="I7" s="62">
        <f t="shared" si="2"/>
        <v>22</v>
      </c>
      <c r="J7" s="62" t="e">
        <f t="shared" si="3"/>
        <v>#VALUE!</v>
      </c>
      <c r="K7" s="62">
        <f t="shared" si="4"/>
        <v>32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[effect:critical, val:1.2, animation:enemy_critical],[effect:force_change_block, new_block:jammer, target:normal, count:2, val:0, animation:change_block]</v>
      </c>
      <c r="N7" s="47" t="str">
        <f t="shared" si="6"/>
        <v>[effect:critical, val:1.2, animation:enemy_critical],[effect:force_change_block, new_block:jammer, target:normal, count:2, val:0, animation:change_block]</v>
      </c>
      <c r="O7" s="62">
        <f t="shared" si="7"/>
        <v>9</v>
      </c>
      <c r="P7" s="62">
        <f t="shared" si="8"/>
        <v>17</v>
      </c>
      <c r="Q7" s="62">
        <f t="shared" si="9"/>
        <v>107</v>
      </c>
      <c r="R7" s="62">
        <f t="shared" si="10"/>
        <v>26</v>
      </c>
      <c r="S7" s="62" t="str">
        <f>IFERROR(VLOOKUP(MID(N7,Q7,R7-Q7),[6]skilldef!$C:$D,2,FALSE),"-") &amp; " / " &amp; IFERROR(VLOOKUP(MID(N7,O7,P7-O7),[6]skilldef!$A:$B,2,FALSE),"-")</f>
        <v>- / 大攻撃</v>
      </c>
      <c r="T7" s="47" t="str">
        <f t="shared" si="11"/>
        <v>[effect:force_change_block, new_block:jammer, target:normal, count:2, val:0, animation:change_block]</v>
      </c>
      <c r="U7" s="62">
        <f t="shared" si="12"/>
        <v>9</v>
      </c>
      <c r="V7" s="62">
        <f t="shared" si="13"/>
        <v>27</v>
      </c>
      <c r="W7" s="62">
        <f t="shared" si="14"/>
        <v>54</v>
      </c>
      <c r="X7" s="62">
        <f t="shared" si="15"/>
        <v>45</v>
      </c>
      <c r="Y7" s="62" t="str">
        <f>IFERROR(VLOOKUP(MID(T7,W7,X7-W7),[6]skilldef!$C:$D,2,FALSE),"-") &amp; " / " &amp; IFERROR(VLOOKUP(MID(T7,U7,V7-U7),[6]skilldef!$A:$B,2,FALSE),"-")</f>
        <v>- / -</v>
      </c>
      <c r="Z7" s="49"/>
      <c r="AA7" s="51"/>
      <c r="AB7" s="49"/>
      <c r="AC7" s="48">
        <f t="shared" si="16"/>
        <v>3</v>
      </c>
      <c r="AD7" s="48">
        <f t="shared" si="17"/>
        <v>26</v>
      </c>
    </row>
    <row r="8" spans="1:30" ht="21" customHeight="1" x14ac:dyDescent="0.15">
      <c r="A8" s="46">
        <v>47014006</v>
      </c>
      <c r="B8" s="46" t="s">
        <v>413</v>
      </c>
      <c r="C8" s="49">
        <v>3</v>
      </c>
      <c r="D8" s="49" t="s">
        <v>128</v>
      </c>
      <c r="E8" s="50" t="s">
        <v>311</v>
      </c>
      <c r="F8" s="113" t="s">
        <v>416</v>
      </c>
      <c r="G8" s="62" t="str">
        <f t="shared" si="0"/>
        <v>[effect:enemy_message, val1:1.2, val2:1.9]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IFERROR(VLOOKUP(MID(G8,J8,K8-J8),[6]skilldef!$C:$D,2,FALSE),"-") &amp; " / " &amp; IFERROR(VLOOKUP(MID(G8,H8,I8-H8),[6]skilldef!$A:$B,2,FALSE),"-")</f>
        <v>- / -</v>
      </c>
      <c r="M8" s="62" t="str">
        <f t="shared" si="5"/>
        <v>[effect:break_attack, target:unit_one, val:0.25, lowest_val:1500, count:3, color:red, block01:jammer]</v>
      </c>
      <c r="N8" s="47" t="str">
        <f t="shared" si="6"/>
        <v>[effect:break_attack, target:unit_one, val:0.25, lowest_val:1500, count:3, color:red, block01:jammer]</v>
      </c>
      <c r="O8" s="62">
        <f t="shared" si="7"/>
        <v>9</v>
      </c>
      <c r="P8" s="62">
        <f t="shared" si="8"/>
        <v>21</v>
      </c>
      <c r="Q8" s="62">
        <f t="shared" si="9"/>
        <v>30</v>
      </c>
      <c r="R8" s="62">
        <f t="shared" si="10"/>
        <v>38</v>
      </c>
      <c r="S8" s="62" t="str">
        <f>IFERROR(VLOOKUP(MID(N8,Q8,R8-Q8),[6]skilldef!$C:$D,2,FALSE),"-") &amp; " / " &amp; IFERROR(VLOOKUP(MID(N8,O8,P8-O8),[6]skilldef!$A:$B,2,FALSE),"-")</f>
        <v>味方単体に / -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49"/>
      <c r="AA8" s="51"/>
      <c r="AB8" s="49"/>
      <c r="AC8" s="48">
        <f t="shared" si="16"/>
        <v>5</v>
      </c>
      <c r="AD8" s="48">
        <f t="shared" si="17"/>
        <v>19</v>
      </c>
    </row>
    <row r="9" spans="1:30" ht="21" customHeight="1" x14ac:dyDescent="0.15">
      <c r="A9" s="46">
        <v>47014007</v>
      </c>
      <c r="B9" s="46" t="s">
        <v>265</v>
      </c>
      <c r="C9" s="49">
        <v>1</v>
      </c>
      <c r="D9" s="49" t="s">
        <v>128</v>
      </c>
      <c r="E9" s="50" t="s">
        <v>268</v>
      </c>
      <c r="F9" s="50" t="s">
        <v>267</v>
      </c>
      <c r="G9" s="62" t="str">
        <f t="shared" si="0"/>
        <v>[effect:enemy_message, val1:1.2, val2:1.2]</v>
      </c>
      <c r="H9" s="62">
        <f t="shared" si="1"/>
        <v>9</v>
      </c>
      <c r="I9" s="62">
        <f t="shared" si="2"/>
        <v>22</v>
      </c>
      <c r="J9" s="62" t="e">
        <f t="shared" si="3"/>
        <v>#VALUE!</v>
      </c>
      <c r="K9" s="62">
        <f t="shared" si="4"/>
        <v>32</v>
      </c>
      <c r="L9" s="62" t="str">
        <f>IFERROR(VLOOKUP(MID(G9,J9,K9-J9),[6]skilldef!$C:$D,2,FALSE),"-") &amp; " / " &amp; IFERROR(VLOOKUP(MID(G9,H9,I9-H9),[6]skilldef!$A:$B,2,FALSE),"-")</f>
        <v>- / -</v>
      </c>
      <c r="M9" s="62" t="str">
        <f t="shared" si="5"/>
        <v>none</v>
      </c>
      <c r="N9" s="47" t="str">
        <f t="shared" si="6"/>
        <v>none</v>
      </c>
      <c r="O9" s="62" t="e">
        <f t="shared" si="7"/>
        <v>#VALUE!</v>
      </c>
      <c r="P9" s="62">
        <f t="shared" si="8"/>
        <v>4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IFERROR(VLOOKUP(MID(N9,Q9,R9-Q9),[6]skilldef!$C:$D,2,FALSE),"-") &amp; " / " &amp; IFERROR(VLOOKUP(MID(N9,O9,P9-O9),[6]skilldef!$A:$B,2,FALSE),"-")</f>
        <v>- / -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9"/>
      <c r="AA9" s="51"/>
      <c r="AB9" s="49"/>
      <c r="AC9" s="48">
        <f t="shared" si="16"/>
        <v>3</v>
      </c>
      <c r="AD9" s="48">
        <f t="shared" si="17"/>
        <v>3</v>
      </c>
    </row>
    <row r="10" spans="1:30" ht="21" customHeight="1" x14ac:dyDescent="0.15">
      <c r="A10" s="46">
        <v>47014008</v>
      </c>
      <c r="B10" s="46" t="s">
        <v>265</v>
      </c>
      <c r="C10" s="49">
        <v>1</v>
      </c>
      <c r="D10" s="49" t="s">
        <v>128</v>
      </c>
      <c r="E10" s="50" t="s">
        <v>268</v>
      </c>
      <c r="F10" s="50" t="s">
        <v>267</v>
      </c>
      <c r="G10" s="62" t="str">
        <f t="shared" si="0"/>
        <v>[effect:enemy_message, val1:1.2, val2:1.2]</v>
      </c>
      <c r="H10" s="62">
        <f t="shared" si="1"/>
        <v>9</v>
      </c>
      <c r="I10" s="62">
        <f t="shared" si="2"/>
        <v>22</v>
      </c>
      <c r="J10" s="62" t="e">
        <f t="shared" si="3"/>
        <v>#VALUE!</v>
      </c>
      <c r="K10" s="62">
        <f t="shared" si="4"/>
        <v>32</v>
      </c>
      <c r="L10" s="62" t="str">
        <f>IFERROR(VLOOKUP(MID(G10,J10,K10-J10),[6]skilldef!$C:$D,2,FALSE),"-") &amp; " / " &amp; IFERROR(VLOOKUP(MID(G10,H10,I10-H10),[6]skilldef!$A:$B,2,FALSE),"-")</f>
        <v>- / -</v>
      </c>
      <c r="M10" s="62" t="str">
        <f t="shared" si="5"/>
        <v>none</v>
      </c>
      <c r="N10" s="47" t="str">
        <f t="shared" si="6"/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IFERROR(VLOOKUP(MID(N10,Q10,R10-Q10),[6]skilldef!$C:$D,2,FALSE),"-") &amp; " / " &amp; IFERROR(VLOOKUP(MID(N10,O10,P10-O10),[6]skilldef!$A:$B,2,FALSE),"-")</f>
        <v>- / -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9"/>
      <c r="AA10" s="51"/>
      <c r="AB10" s="49"/>
      <c r="AC10" s="48">
        <f t="shared" si="16"/>
        <v>3</v>
      </c>
      <c r="AD10" s="48">
        <f t="shared" si="17"/>
        <v>3</v>
      </c>
    </row>
    <row r="11" spans="1:30" ht="21" customHeight="1" x14ac:dyDescent="0.15">
      <c r="A11" s="46">
        <v>47014009</v>
      </c>
      <c r="B11" s="46" t="s">
        <v>265</v>
      </c>
      <c r="C11" s="49">
        <v>1</v>
      </c>
      <c r="D11" s="49" t="s">
        <v>128</v>
      </c>
      <c r="E11" s="50" t="s">
        <v>268</v>
      </c>
      <c r="F11" s="50" t="s">
        <v>267</v>
      </c>
      <c r="G11" s="62" t="str">
        <f t="shared" si="0"/>
        <v>[effect:enemy_message, val1:1.2, val2:1.2]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32</v>
      </c>
      <c r="L11" s="62" t="str">
        <f>IFERROR(VLOOKUP(MID(G11,J11,K11-J11),[6]skilldef!$C:$D,2,FALSE),"-") &amp; " / " &amp; IFERROR(VLOOKUP(MID(G11,H11,I11-H11),[6]skilldef!$A:$B,2,FALSE),"-")</f>
        <v>- / -</v>
      </c>
      <c r="M11" s="62" t="str">
        <f t="shared" si="5"/>
        <v>none</v>
      </c>
      <c r="N11" s="47" t="str">
        <f t="shared" si="6"/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IFERROR(VLOOKUP(MID(N11,Q11,R11-Q11),[6]skilldef!$C:$D,2,FALSE),"-") &amp; " / " &amp; IFERROR(VLOOKUP(MID(N11,O11,P11-O11),[6]skilldef!$A:$B,2,FALSE),"-")</f>
        <v>- / -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9"/>
      <c r="AA11" s="51"/>
      <c r="AB11" s="49"/>
      <c r="AC11" s="48">
        <f t="shared" si="16"/>
        <v>3</v>
      </c>
      <c r="AD11" s="48">
        <f t="shared" si="17"/>
        <v>3</v>
      </c>
    </row>
    <row r="12" spans="1:30" ht="21" customHeight="1" x14ac:dyDescent="0.15">
      <c r="A12" s="46">
        <v>47014010</v>
      </c>
      <c r="B12" s="46" t="s">
        <v>290</v>
      </c>
      <c r="C12" s="49">
        <v>3</v>
      </c>
      <c r="D12" s="49" t="s">
        <v>128</v>
      </c>
      <c r="E12" s="50" t="s">
        <v>312</v>
      </c>
      <c r="F12" s="50" t="s">
        <v>277</v>
      </c>
      <c r="G12" s="62" t="str">
        <f t="shared" si="0"/>
        <v>[effect:enemy_message, val1:1.2, val2:1.2]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32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si="5"/>
        <v>[effect:tolerance, target:myself, turn:-1, count:-1, tolerance_effect:all, animation:enemy_tolerance],[effect:fix_speed, target:myself, turn:2]</v>
      </c>
      <c r="N12" s="47" t="str">
        <f t="shared" si="6"/>
        <v>[effect:tolerance, target:myself, turn:-1, count:-1, tolerance_effect:all, animation:enemy_tolerance],[effect:fix_speed, target:myself, turn:2]</v>
      </c>
      <c r="O12" s="62">
        <f t="shared" si="7"/>
        <v>9</v>
      </c>
      <c r="P12" s="62">
        <f t="shared" si="8"/>
        <v>18</v>
      </c>
      <c r="Q12" s="62">
        <f t="shared" si="9"/>
        <v>27</v>
      </c>
      <c r="R12" s="62">
        <f t="shared" si="10"/>
        <v>33</v>
      </c>
      <c r="S12" s="62" t="str">
        <f>IFERROR(VLOOKUP(MID(N12,Q12,R12-Q12),[6]skilldef!$C:$D,2,FALSE),"-") &amp; " / " &amp; IFERROR(VLOOKUP(MID(N12,O12,P12-O12),[6]skilldef!$A:$B,2,FALSE),"-")</f>
        <v>自分自身に / 状態異常耐性</v>
      </c>
      <c r="T12" s="47" t="str">
        <f t="shared" si="11"/>
        <v>[effect:fix_speed, target:myself, turn:2]</v>
      </c>
      <c r="U12" s="62">
        <f t="shared" si="12"/>
        <v>9</v>
      </c>
      <c r="V12" s="62">
        <f t="shared" si="13"/>
        <v>18</v>
      </c>
      <c r="W12" s="62">
        <f t="shared" si="14"/>
        <v>27</v>
      </c>
      <c r="X12" s="62">
        <f t="shared" si="15"/>
        <v>33</v>
      </c>
      <c r="Y12" s="62" t="str">
        <f>IFERROR(VLOOKUP(MID(T12,W12,X12-W12),[6]skilldef!$C:$D,2,FALSE),"-") &amp; " / " &amp; IFERROR(VLOOKUP(MID(T12,U12,V12-U12),[6]skilldef!$A:$B,2,FALSE),"-")</f>
        <v>自分自身に / 行動値設定</v>
      </c>
      <c r="Z12" s="49"/>
      <c r="AA12" s="51"/>
      <c r="AB12" s="49"/>
      <c r="AC12" s="48">
        <f t="shared" si="16"/>
        <v>9</v>
      </c>
      <c r="AD12" s="48">
        <f t="shared" si="17"/>
        <v>6</v>
      </c>
    </row>
    <row r="13" spans="1:30" ht="21" customHeight="1" x14ac:dyDescent="0.15">
      <c r="A13" s="46">
        <v>47014011</v>
      </c>
      <c r="B13" s="46" t="s">
        <v>289</v>
      </c>
      <c r="C13" s="49">
        <v>3</v>
      </c>
      <c r="D13" s="49" t="s">
        <v>128</v>
      </c>
      <c r="E13" s="50" t="s">
        <v>316</v>
      </c>
      <c r="F13" s="50" t="s">
        <v>294</v>
      </c>
      <c r="G13" s="62" t="str">
        <f t="shared" si="0"/>
        <v>[effect:enemy_message, val1:1.2, val2:1.2]</v>
      </c>
      <c r="H13" s="62">
        <f t="shared" si="1"/>
        <v>9</v>
      </c>
      <c r="I13" s="62">
        <f t="shared" si="2"/>
        <v>22</v>
      </c>
      <c r="J13" s="62" t="e">
        <f t="shared" si="3"/>
        <v>#VALUE!</v>
      </c>
      <c r="K13" s="62">
        <f t="shared" si="4"/>
        <v>32</v>
      </c>
      <c r="L13" s="62" t="str">
        <f>IFERROR(VLOOKUP(MID(G13,J13,K13-J13),[6]skilldef!$C:$D,2,FALSE),"-") &amp; " / " &amp; IFERROR(VLOOKUP(MID(G13,H13,I13-H13),[6]skilldef!$A:$B,2,FALSE),"-")</f>
        <v>- / -</v>
      </c>
      <c r="M13" s="62" t="str">
        <f t="shared" si="5"/>
        <v>[effect:dis_heart, turn:4, animation:enemy_dis_heart]</v>
      </c>
      <c r="N13" s="47" t="str">
        <f t="shared" si="6"/>
        <v>[effect:dis_heart, turn:4, animation:enemy_dis_heart]</v>
      </c>
      <c r="O13" s="62">
        <f t="shared" si="7"/>
        <v>9</v>
      </c>
      <c r="P13" s="62">
        <f t="shared" si="8"/>
        <v>18</v>
      </c>
      <c r="Q13" s="62" t="e">
        <f t="shared" si="9"/>
        <v>#VALUE!</v>
      </c>
      <c r="R13" s="62">
        <f t="shared" si="10"/>
        <v>26</v>
      </c>
      <c r="S13" s="62" t="str">
        <f>IFERROR(VLOOKUP(MID(N13,Q13,R13-Q13),[6]skilldef!$C:$D,2,FALSE),"-") &amp; " / " &amp; IFERROR(VLOOKUP(MID(N13,O13,P13-O13),[6]skilldef!$A:$B,2,FALSE),"-")</f>
        <v>- / ディスハート</v>
      </c>
      <c r="T13" s="47" t="str">
        <f t="shared" si="11"/>
        <v>none</v>
      </c>
      <c r="U13" s="62" t="e">
        <f t="shared" si="12"/>
        <v>#VALUE!</v>
      </c>
      <c r="V13" s="62">
        <f t="shared" si="13"/>
        <v>4</v>
      </c>
      <c r="W13" s="62" t="e">
        <f t="shared" si="14"/>
        <v>#VALUE!</v>
      </c>
      <c r="X13" s="62" t="e">
        <f t="shared" si="15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9"/>
      <c r="AA13" s="51"/>
      <c r="AB13" s="49"/>
      <c r="AC13" s="48">
        <f t="shared" si="16"/>
        <v>8</v>
      </c>
      <c r="AD13" s="48">
        <f t="shared" si="17"/>
        <v>12</v>
      </c>
    </row>
    <row r="14" spans="1:30" ht="21" customHeight="1" x14ac:dyDescent="0.15">
      <c r="A14" s="46">
        <v>47014012</v>
      </c>
      <c r="B14" s="46" t="s">
        <v>434</v>
      </c>
      <c r="C14" s="49">
        <v>3</v>
      </c>
      <c r="D14" s="49" t="s">
        <v>128</v>
      </c>
      <c r="E14" s="50" t="s">
        <v>321</v>
      </c>
      <c r="F14" s="50" t="s">
        <v>379</v>
      </c>
      <c r="G14" s="62" t="str">
        <f t="shared" si="0"/>
        <v>[effect:enemy_message, val1:1.2, val2:1.3]</v>
      </c>
      <c r="H14" s="62">
        <f t="shared" si="1"/>
        <v>9</v>
      </c>
      <c r="I14" s="62">
        <f t="shared" si="2"/>
        <v>22</v>
      </c>
      <c r="J14" s="62" t="e">
        <f t="shared" si="3"/>
        <v>#VALUE!</v>
      </c>
      <c r="K14" s="62">
        <f t="shared" si="4"/>
        <v>32</v>
      </c>
      <c r="L14" s="62" t="str">
        <f>IFERROR(VLOOKUP(MID(G14,J14,K14-J14),[6]skilldef!$C:$D,2,FALSE),"-") &amp; " / " &amp; IFERROR(VLOOKUP(MID(G14,H14,I14-H14),[6]skilldef!$A:$B,2,FALSE),"-")</f>
        <v>- / -</v>
      </c>
      <c r="M14" s="62" t="str">
        <f t="shared" si="5"/>
        <v>[effect:damage_gravity, val:0.8, animation:fevergauge_down]</v>
      </c>
      <c r="N14" s="47" t="str">
        <f t="shared" si="6"/>
        <v>[effect:damage_gravity, val:0.8, animation:fevergauge_down]</v>
      </c>
      <c r="O14" s="62">
        <f t="shared" si="7"/>
        <v>9</v>
      </c>
      <c r="P14" s="62">
        <f t="shared" si="8"/>
        <v>23</v>
      </c>
      <c r="Q14" s="62" t="e">
        <f t="shared" si="9"/>
        <v>#VALUE!</v>
      </c>
      <c r="R14" s="62">
        <f t="shared" si="10"/>
        <v>32</v>
      </c>
      <c r="S14" s="62" t="str">
        <f>IFERROR(VLOOKUP(MID(N14,Q14,R14-Q14),[6]skilldef!$C:$D,2,FALSE),"-") &amp; " / " &amp; IFERROR(VLOOKUP(MID(N14,O14,P14-O14),[6]skilldef!$A:$B,2,FALSE),"-")</f>
        <v>- / 割合ダメージ</v>
      </c>
      <c r="T14" s="47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49"/>
      <c r="AA14" s="51"/>
      <c r="AB14" s="49"/>
      <c r="AC14" s="48">
        <f t="shared" si="16"/>
        <v>4</v>
      </c>
      <c r="AD14" s="48">
        <f t="shared" si="17"/>
        <v>13</v>
      </c>
    </row>
    <row r="15" spans="1:30" ht="21" customHeight="1" x14ac:dyDescent="0.15">
      <c r="A15" s="46">
        <v>47014013</v>
      </c>
      <c r="B15" s="126" t="s">
        <v>427</v>
      </c>
      <c r="C15" s="49">
        <v>3</v>
      </c>
      <c r="D15" s="49" t="s">
        <v>128</v>
      </c>
      <c r="E15" s="50" t="s">
        <v>318</v>
      </c>
      <c r="F15" s="50" t="s">
        <v>269</v>
      </c>
      <c r="G15" s="62" t="str">
        <f t="shared" si="0"/>
        <v>[effect:enemy_message, val1:1.2, val2:1.2]</v>
      </c>
      <c r="H15" s="62">
        <f t="shared" si="1"/>
        <v>9</v>
      </c>
      <c r="I15" s="62">
        <f t="shared" si="2"/>
        <v>22</v>
      </c>
      <c r="J15" s="62" t="e">
        <f t="shared" si="3"/>
        <v>#VALUE!</v>
      </c>
      <c r="K15" s="62">
        <f t="shared" si="4"/>
        <v>32</v>
      </c>
      <c r="L15" s="62" t="str">
        <f>IFERROR(VLOOKUP(MID(G15,J15,K15-J15),[6]skilldef!$C:$D,2,FALSE),"-") &amp; " / " &amp; IFERROR(VLOOKUP(MID(G15,H15,I15-H15),[6]skilldef!$A:$B,2,FALSE),"-")</f>
        <v>- / -</v>
      </c>
      <c r="M15" s="62" t="str">
        <f t="shared" si="5"/>
        <v>[effect:panel_freeze, target:normal, color:block_heart, count:-1]</v>
      </c>
      <c r="N15" s="47" t="str">
        <f t="shared" si="6"/>
        <v>[effect:panel_freeze, target:normal, color:block_heart, count:-1]</v>
      </c>
      <c r="O15" s="62">
        <f t="shared" si="7"/>
        <v>9</v>
      </c>
      <c r="P15" s="62">
        <f t="shared" si="8"/>
        <v>21</v>
      </c>
      <c r="Q15" s="62">
        <f t="shared" si="9"/>
        <v>30</v>
      </c>
      <c r="R15" s="62">
        <f t="shared" si="10"/>
        <v>36</v>
      </c>
      <c r="S15" s="62" t="str">
        <f>IFERROR(VLOOKUP(MID(N15,Q15,R15-Q15),[6]skilldef!$C:$D,2,FALSE),"-") &amp; " / " &amp; IFERROR(VLOOKUP(MID(N15,O15,P15-O15),[6]skilldef!$A:$B,2,FALSE),"-")</f>
        <v>-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  <c r="AC15" s="48">
        <f t="shared" si="16"/>
        <v>7</v>
      </c>
      <c r="AD15" s="48">
        <f t="shared" si="17"/>
        <v>11</v>
      </c>
    </row>
    <row r="16" spans="1:30" ht="21" customHeight="1" x14ac:dyDescent="0.15">
      <c r="A16" s="46">
        <v>47014014</v>
      </c>
      <c r="B16" s="46" t="s">
        <v>295</v>
      </c>
      <c r="C16" s="49">
        <v>3</v>
      </c>
      <c r="D16" s="49" t="s">
        <v>128</v>
      </c>
      <c r="E16" s="50" t="s">
        <v>317</v>
      </c>
      <c r="F16" s="50" t="s">
        <v>270</v>
      </c>
      <c r="G16" s="62" t="str">
        <f t="shared" si="0"/>
        <v>[effect:enemy_message, val1:1.2, val2:1.2]</v>
      </c>
      <c r="H16" s="62">
        <f t="shared" si="1"/>
        <v>9</v>
      </c>
      <c r="I16" s="62">
        <f t="shared" si="2"/>
        <v>22</v>
      </c>
      <c r="J16" s="62" t="e">
        <f t="shared" si="3"/>
        <v>#VALUE!</v>
      </c>
      <c r="K16" s="62">
        <f t="shared" si="4"/>
        <v>32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si="5"/>
        <v>[effect:spread, val:0.28]</v>
      </c>
      <c r="N16" s="47" t="str">
        <f t="shared" si="6"/>
        <v>[effect:spread, val:0.28]</v>
      </c>
      <c r="O16" s="62">
        <f t="shared" si="7"/>
        <v>9</v>
      </c>
      <c r="P16" s="62">
        <f t="shared" si="8"/>
        <v>15</v>
      </c>
      <c r="Q16" s="62" t="e">
        <f t="shared" si="9"/>
        <v>#VALUE!</v>
      </c>
      <c r="R16" s="62" t="e">
        <f t="shared" si="10"/>
        <v>#VALUE!</v>
      </c>
      <c r="S16" s="62" t="str">
        <f>IFERROR(VLOOKUP(MID(N16,Q16,R16-Q16),[6]skilldef!$C:$D,2,FALSE),"-") &amp; " / " &amp; IFERROR(VLOOKUP(MID(N16,O16,P16-O16),[6]skilldef!$A:$B,2,FALSE),"-")</f>
        <v>- / 全体攻撃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  <c r="AC16" s="48">
        <f t="shared" si="16"/>
        <v>4</v>
      </c>
      <c r="AD16" s="48">
        <f t="shared" si="17"/>
        <v>4</v>
      </c>
    </row>
    <row r="17" spans="1:30" ht="21" customHeight="1" x14ac:dyDescent="0.15">
      <c r="A17" s="46">
        <v>47014015</v>
      </c>
      <c r="B17" s="46" t="s">
        <v>265</v>
      </c>
      <c r="C17" s="49">
        <v>1</v>
      </c>
      <c r="D17" s="49" t="s">
        <v>128</v>
      </c>
      <c r="E17" s="50" t="s">
        <v>271</v>
      </c>
      <c r="F17" s="50" t="s">
        <v>267</v>
      </c>
      <c r="G17" s="62" t="str">
        <f t="shared" si="0"/>
        <v>[effect:enemy_message, val1:1.2, val2:1.2]</v>
      </c>
      <c r="H17" s="62">
        <f t="shared" si="1"/>
        <v>9</v>
      </c>
      <c r="I17" s="62">
        <f t="shared" si="2"/>
        <v>22</v>
      </c>
      <c r="J17" s="62" t="e">
        <f t="shared" si="3"/>
        <v>#VALUE!</v>
      </c>
      <c r="K17" s="62">
        <f t="shared" si="4"/>
        <v>32</v>
      </c>
      <c r="L17" s="62" t="str">
        <f>IFERROR(VLOOKUP(MID(G17,J17,K17-J17),[6]skilldef!$C:$D,2,FALSE),"-") &amp; " / " &amp; IFERROR(VLOOKUP(MID(G17,H17,I17-H17),[6]skilldef!$A:$B,2,FALSE),"-")</f>
        <v>- / -</v>
      </c>
      <c r="M17" s="62" t="str">
        <f t="shared" si="5"/>
        <v>none</v>
      </c>
      <c r="N17" s="47" t="str">
        <f t="shared" si="6"/>
        <v>none</v>
      </c>
      <c r="O17" s="62" t="e">
        <f t="shared" si="7"/>
        <v>#VALUE!</v>
      </c>
      <c r="P17" s="62">
        <f t="shared" si="8"/>
        <v>4</v>
      </c>
      <c r="Q17" s="62" t="e">
        <f t="shared" si="9"/>
        <v>#VALUE!</v>
      </c>
      <c r="R17" s="62" t="e">
        <f t="shared" si="10"/>
        <v>#VALUE!</v>
      </c>
      <c r="S17" s="62" t="str">
        <f>IFERROR(VLOOKUP(MID(N17,Q17,R17-Q17),[6]skilldef!$C:$D,2,FALSE),"-") &amp; " / " &amp; IFERROR(VLOOKUP(MID(N17,O17,P17-O17),[6]skilldef!$A:$B,2,FALSE),"-")</f>
        <v>- / -</v>
      </c>
      <c r="T17" s="47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1"/>
      <c r="AB17" s="49"/>
      <c r="AC17" s="48">
        <f t="shared" si="16"/>
        <v>4</v>
      </c>
      <c r="AD17" s="48">
        <f t="shared" si="17"/>
        <v>3</v>
      </c>
    </row>
    <row r="18" spans="1:30" ht="21" customHeight="1" x14ac:dyDescent="0.15">
      <c r="A18" s="46">
        <v>47014016</v>
      </c>
      <c r="B18" s="46" t="s">
        <v>265</v>
      </c>
      <c r="C18" s="49">
        <v>1</v>
      </c>
      <c r="D18" s="49" t="s">
        <v>128</v>
      </c>
      <c r="E18" s="50" t="s">
        <v>271</v>
      </c>
      <c r="F18" s="50" t="s">
        <v>267</v>
      </c>
      <c r="G18" s="62" t="str">
        <f t="shared" si="0"/>
        <v>[effect:enemy_message, val1:1.2, val2:1.2]</v>
      </c>
      <c r="H18" s="62">
        <f t="shared" si="1"/>
        <v>9</v>
      </c>
      <c r="I18" s="62">
        <f t="shared" si="2"/>
        <v>22</v>
      </c>
      <c r="J18" s="62" t="e">
        <f t="shared" si="3"/>
        <v>#VALUE!</v>
      </c>
      <c r="K18" s="62">
        <f t="shared" si="4"/>
        <v>32</v>
      </c>
      <c r="L18" s="62" t="str">
        <f>IFERROR(VLOOKUP(MID(G18,J18,K18-J18),[6]skilldef!$C:$D,2,FALSE),"-") &amp; " / " &amp; IFERROR(VLOOKUP(MID(G18,H18,I18-H18),[6]skilldef!$A:$B,2,FALSE),"-")</f>
        <v>- / -</v>
      </c>
      <c r="M18" s="62" t="str">
        <f t="shared" si="5"/>
        <v>none</v>
      </c>
      <c r="N18" s="47" t="str">
        <f t="shared" si="6"/>
        <v>none</v>
      </c>
      <c r="O18" s="62" t="e">
        <f t="shared" si="7"/>
        <v>#VALUE!</v>
      </c>
      <c r="P18" s="62">
        <f t="shared" si="8"/>
        <v>4</v>
      </c>
      <c r="Q18" s="62" t="e">
        <f t="shared" si="9"/>
        <v>#VALUE!</v>
      </c>
      <c r="R18" s="62" t="e">
        <f t="shared" si="10"/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si="11"/>
        <v>none</v>
      </c>
      <c r="U18" s="62" t="e">
        <f t="shared" si="12"/>
        <v>#VALUE!</v>
      </c>
      <c r="V18" s="62">
        <f t="shared" si="13"/>
        <v>4</v>
      </c>
      <c r="W18" s="62" t="e">
        <f t="shared" si="14"/>
        <v>#VALUE!</v>
      </c>
      <c r="X18" s="62" t="e">
        <f t="shared" si="15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  <c r="AC18" s="48">
        <f t="shared" si="16"/>
        <v>4</v>
      </c>
      <c r="AD18" s="48">
        <f t="shared" si="17"/>
        <v>3</v>
      </c>
    </row>
    <row r="19" spans="1:30" ht="21" customHeight="1" x14ac:dyDescent="0.15">
      <c r="A19" s="46">
        <v>47014017</v>
      </c>
      <c r="B19" s="46" t="s">
        <v>265</v>
      </c>
      <c r="C19" s="49">
        <v>1</v>
      </c>
      <c r="D19" s="49" t="s">
        <v>128</v>
      </c>
      <c r="E19" s="50" t="s">
        <v>271</v>
      </c>
      <c r="F19" s="50" t="s">
        <v>267</v>
      </c>
      <c r="G19" s="62" t="str">
        <f t="shared" si="0"/>
        <v>[effect:enemy_message, val1:1.2, val2:1.2]</v>
      </c>
      <c r="H19" s="62">
        <f t="shared" si="1"/>
        <v>9</v>
      </c>
      <c r="I19" s="62">
        <f t="shared" si="2"/>
        <v>22</v>
      </c>
      <c r="J19" s="62" t="e">
        <f t="shared" si="3"/>
        <v>#VALUE!</v>
      </c>
      <c r="K19" s="62">
        <f t="shared" si="4"/>
        <v>32</v>
      </c>
      <c r="L19" s="62" t="str">
        <f>IFERROR(VLOOKUP(MID(G19,J19,K19-J19),[6]skilldef!$C:$D,2,FALSE),"-") &amp; " / " &amp; IFERROR(VLOOKUP(MID(G19,H19,I19-H19),[6]skilldef!$A:$B,2,FALSE),"-")</f>
        <v>- / -</v>
      </c>
      <c r="M19" s="62" t="str">
        <f t="shared" si="5"/>
        <v>none</v>
      </c>
      <c r="N19" s="47" t="str">
        <f t="shared" si="6"/>
        <v>none</v>
      </c>
      <c r="O19" s="62" t="e">
        <f t="shared" si="7"/>
        <v>#VALUE!</v>
      </c>
      <c r="P19" s="62">
        <f t="shared" si="8"/>
        <v>4</v>
      </c>
      <c r="Q19" s="62" t="e">
        <f t="shared" si="9"/>
        <v>#VALUE!</v>
      </c>
      <c r="R19" s="62" t="e">
        <f t="shared" si="10"/>
        <v>#VALUE!</v>
      </c>
      <c r="S19" s="62" t="str">
        <f>IFERROR(VLOOKUP(MID(N19,Q19,R19-Q19),[6]skilldef!$C:$D,2,FALSE),"-") &amp; " / " &amp; IFERROR(VLOOKUP(MID(N19,O19,P19-O19),[6]skilldef!$A:$B,2,FALSE),"-")</f>
        <v>- / -</v>
      </c>
      <c r="T19" s="47" t="str">
        <f t="shared" si="11"/>
        <v>none</v>
      </c>
      <c r="U19" s="62" t="e">
        <f t="shared" si="12"/>
        <v>#VALUE!</v>
      </c>
      <c r="V19" s="62">
        <f t="shared" si="13"/>
        <v>4</v>
      </c>
      <c r="W19" s="62" t="e">
        <f t="shared" si="14"/>
        <v>#VALUE!</v>
      </c>
      <c r="X19" s="62" t="e">
        <f t="shared" si="15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  <c r="AC19" s="48">
        <f t="shared" si="16"/>
        <v>4</v>
      </c>
      <c r="AD19" s="48">
        <f t="shared" si="17"/>
        <v>3</v>
      </c>
    </row>
    <row r="20" spans="1:30" ht="21" customHeight="1" x14ac:dyDescent="0.15">
      <c r="A20" s="46">
        <v>47014018</v>
      </c>
      <c r="B20" s="46" t="s">
        <v>265</v>
      </c>
      <c r="C20" s="49">
        <v>1</v>
      </c>
      <c r="D20" s="49" t="s">
        <v>128</v>
      </c>
      <c r="E20" s="50" t="s">
        <v>271</v>
      </c>
      <c r="F20" s="50" t="s">
        <v>267</v>
      </c>
      <c r="G20" s="62" t="str">
        <f t="shared" si="0"/>
        <v>[effect:enemy_message, val1:1.2, val2:1.2]</v>
      </c>
      <c r="H20" s="62">
        <f t="shared" si="1"/>
        <v>9</v>
      </c>
      <c r="I20" s="62">
        <f t="shared" si="2"/>
        <v>22</v>
      </c>
      <c r="J20" s="62" t="e">
        <f t="shared" si="3"/>
        <v>#VALUE!</v>
      </c>
      <c r="K20" s="62">
        <f t="shared" si="4"/>
        <v>32</v>
      </c>
      <c r="L20" s="62" t="str">
        <f>IFERROR(VLOOKUP(MID(G20,J20,K20-J20),[6]skilldef!$C:$D,2,FALSE),"-") &amp; " / " &amp; IFERROR(VLOOKUP(MID(G20,H20,I20-H20),[6]skilldef!$A:$B,2,FALSE),"-")</f>
        <v>- / -</v>
      </c>
      <c r="M20" s="62" t="str">
        <f t="shared" si="5"/>
        <v>none</v>
      </c>
      <c r="N20" s="47" t="str">
        <f t="shared" si="6"/>
        <v>none</v>
      </c>
      <c r="O20" s="62" t="e">
        <f t="shared" si="7"/>
        <v>#VALUE!</v>
      </c>
      <c r="P20" s="62">
        <f t="shared" si="8"/>
        <v>4</v>
      </c>
      <c r="Q20" s="62" t="e">
        <f t="shared" si="9"/>
        <v>#VALUE!</v>
      </c>
      <c r="R20" s="62" t="e">
        <f t="shared" si="10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7" t="str">
        <f t="shared" si="11"/>
        <v>none</v>
      </c>
      <c r="U20" s="62" t="e">
        <f t="shared" si="12"/>
        <v>#VALUE!</v>
      </c>
      <c r="V20" s="62">
        <f t="shared" si="13"/>
        <v>4</v>
      </c>
      <c r="W20" s="62" t="e">
        <f t="shared" si="14"/>
        <v>#VALUE!</v>
      </c>
      <c r="X20" s="62" t="e">
        <f t="shared" si="15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/>
      <c r="AA20" s="51"/>
      <c r="AB20" s="49"/>
      <c r="AC20" s="48">
        <f t="shared" si="16"/>
        <v>4</v>
      </c>
      <c r="AD20" s="48">
        <f t="shared" si="17"/>
        <v>3</v>
      </c>
    </row>
    <row r="21" spans="1:30" ht="21" customHeight="1" x14ac:dyDescent="0.15">
      <c r="A21" s="46">
        <v>47014019</v>
      </c>
      <c r="B21" s="46" t="s">
        <v>265</v>
      </c>
      <c r="C21" s="49">
        <v>1</v>
      </c>
      <c r="D21" s="49" t="s">
        <v>128</v>
      </c>
      <c r="E21" s="50" t="s">
        <v>271</v>
      </c>
      <c r="F21" s="50" t="s">
        <v>267</v>
      </c>
      <c r="G21" s="62" t="str">
        <f t="shared" si="0"/>
        <v>[effect:enemy_message, val1:1.2, val2:1.2]</v>
      </c>
      <c r="H21" s="62">
        <f t="shared" si="1"/>
        <v>9</v>
      </c>
      <c r="I21" s="62">
        <f t="shared" si="2"/>
        <v>22</v>
      </c>
      <c r="J21" s="62" t="e">
        <f t="shared" si="3"/>
        <v>#VALUE!</v>
      </c>
      <c r="K21" s="62">
        <f t="shared" si="4"/>
        <v>32</v>
      </c>
      <c r="L21" s="62" t="str">
        <f>IFERROR(VLOOKUP(MID(G21,J21,K21-J21),[6]skilldef!$C:$D,2,FALSE),"-") &amp; " / " &amp; IFERROR(VLOOKUP(MID(G21,H21,I21-H21),[6]skilldef!$A:$B,2,FALSE),"-")</f>
        <v>- / -</v>
      </c>
      <c r="M21" s="62" t="str">
        <f t="shared" si="5"/>
        <v>none</v>
      </c>
      <c r="N21" s="47" t="str">
        <f t="shared" si="6"/>
        <v>none</v>
      </c>
      <c r="O21" s="62" t="e">
        <f t="shared" si="7"/>
        <v>#VALUE!</v>
      </c>
      <c r="P21" s="62">
        <f t="shared" si="8"/>
        <v>4</v>
      </c>
      <c r="Q21" s="62" t="e">
        <f t="shared" si="9"/>
        <v>#VALUE!</v>
      </c>
      <c r="R21" s="62" t="e">
        <f t="shared" si="10"/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7" t="str">
        <f t="shared" si="11"/>
        <v>none</v>
      </c>
      <c r="U21" s="62" t="e">
        <f t="shared" si="12"/>
        <v>#VALUE!</v>
      </c>
      <c r="V21" s="62">
        <f t="shared" si="13"/>
        <v>4</v>
      </c>
      <c r="W21" s="62" t="e">
        <f t="shared" si="14"/>
        <v>#VALUE!</v>
      </c>
      <c r="X21" s="62" t="e">
        <f t="shared" si="15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  <c r="AC21" s="48">
        <f t="shared" si="16"/>
        <v>4</v>
      </c>
      <c r="AD21" s="48">
        <f t="shared" si="17"/>
        <v>3</v>
      </c>
    </row>
    <row r="22" spans="1:30" ht="21" customHeight="1" x14ac:dyDescent="0.15">
      <c r="A22" s="46">
        <v>47014020</v>
      </c>
      <c r="B22" s="46" t="s">
        <v>345</v>
      </c>
      <c r="C22" s="49">
        <v>3</v>
      </c>
      <c r="D22" s="49" t="s">
        <v>128</v>
      </c>
      <c r="E22" s="50" t="s">
        <v>314</v>
      </c>
      <c r="F22" s="50" t="s">
        <v>277</v>
      </c>
      <c r="G22" s="62" t="str">
        <f t="shared" si="0"/>
        <v>[effect:enemy_message, val1:1.4, val2:1.2]</v>
      </c>
      <c r="H22" s="62">
        <f t="shared" si="1"/>
        <v>9</v>
      </c>
      <c r="I22" s="62">
        <f t="shared" si="2"/>
        <v>22</v>
      </c>
      <c r="J22" s="62" t="e">
        <f t="shared" si="3"/>
        <v>#VALUE!</v>
      </c>
      <c r="K22" s="62">
        <f t="shared" si="4"/>
        <v>32</v>
      </c>
      <c r="L22" s="62" t="str">
        <f>IFERROR(VLOOKUP(MID(G22,J22,K22-J22),[6]skilldef!$C:$D,2,FALSE),"-") &amp; " / " &amp; IFERROR(VLOOKUP(MID(G22,H22,I22-H22),[6]skilldef!$A:$B,2,FALSE),"-")</f>
        <v>- / -</v>
      </c>
      <c r="M22" s="62" t="str">
        <f t="shared" si="5"/>
        <v>[effect:tolerance, target:myself, turn:-1, count:-1, tolerance_effect:all, animation:enemy_tolerance],[effect:fix_speed, target:myself, turn:2]</v>
      </c>
      <c r="N22" s="47" t="str">
        <f t="shared" si="6"/>
        <v>[effect:tolerance, target:myself, turn:-1, count:-1, tolerance_effect:all, animation:enemy_tolerance],[effect:fix_speed, target:myself, turn:2]</v>
      </c>
      <c r="O22" s="62">
        <f t="shared" si="7"/>
        <v>9</v>
      </c>
      <c r="P22" s="62">
        <f t="shared" si="8"/>
        <v>18</v>
      </c>
      <c r="Q22" s="62">
        <f t="shared" si="9"/>
        <v>27</v>
      </c>
      <c r="R22" s="62">
        <f t="shared" si="10"/>
        <v>33</v>
      </c>
      <c r="S22" s="62" t="str">
        <f>IFERROR(VLOOKUP(MID(N22,Q22,R22-Q22),[6]skilldef!$C:$D,2,FALSE),"-") &amp; " / " &amp; IFERROR(VLOOKUP(MID(N22,O22,P22-O22),[6]skilldef!$A:$B,2,FALSE),"-")</f>
        <v>自分自身に / 状態異常耐性</v>
      </c>
      <c r="T22" s="47" t="str">
        <f t="shared" si="11"/>
        <v>[effect:fix_speed, target:myself, turn:2]</v>
      </c>
      <c r="U22" s="62">
        <f t="shared" si="12"/>
        <v>9</v>
      </c>
      <c r="V22" s="62">
        <f t="shared" si="13"/>
        <v>18</v>
      </c>
      <c r="W22" s="62">
        <f t="shared" si="14"/>
        <v>27</v>
      </c>
      <c r="X22" s="62">
        <f t="shared" si="15"/>
        <v>33</v>
      </c>
      <c r="Y22" s="62" t="str">
        <f>IFERROR(VLOOKUP(MID(T22,W22,X22-W22),[6]skilldef!$C:$D,2,FALSE),"-") &amp; " / " &amp; IFERROR(VLOOKUP(MID(T22,U22,V22-U22),[6]skilldef!$A:$B,2,FALSE),"-")</f>
        <v>自分自身に / 行動値設定</v>
      </c>
      <c r="Z22" s="49"/>
      <c r="AA22" s="51"/>
      <c r="AB22" s="49"/>
      <c r="AC22" s="48">
        <f t="shared" si="16"/>
        <v>14</v>
      </c>
      <c r="AD22" s="48">
        <f t="shared" si="17"/>
        <v>6</v>
      </c>
    </row>
    <row r="23" spans="1:30" ht="21" customHeight="1" x14ac:dyDescent="0.15">
      <c r="A23" s="46">
        <v>47014021</v>
      </c>
      <c r="B23" s="46" t="s">
        <v>412</v>
      </c>
      <c r="C23" s="49">
        <v>3</v>
      </c>
      <c r="D23" s="49" t="s">
        <v>128</v>
      </c>
      <c r="E23" s="50" t="s">
        <v>315</v>
      </c>
      <c r="F23" s="113" t="s">
        <v>407</v>
      </c>
      <c r="G23" s="62" t="str">
        <f t="shared" si="0"/>
        <v>[effect:enemy_message, val1:1.3, val2:3.9]</v>
      </c>
      <c r="H23" s="62">
        <f t="shared" si="1"/>
        <v>9</v>
      </c>
      <c r="I23" s="62">
        <f t="shared" si="2"/>
        <v>22</v>
      </c>
      <c r="J23" s="62" t="e">
        <f t="shared" si="3"/>
        <v>#VALUE!</v>
      </c>
      <c r="K23" s="62">
        <f t="shared" si="4"/>
        <v>32</v>
      </c>
      <c r="L23" s="62" t="str">
        <f>IFERROR(VLOOKUP(MID(G23,J23,K23-J23),[6]skilldef!$C:$D,2,FALSE),"-") &amp; " / " &amp; IFERROR(VLOOKUP(MID(G23,H23,I23-H23),[6]skilldef!$A:$B,2,FALSE),"-")</f>
        <v>- / -</v>
      </c>
      <c r="M23" s="62" t="str">
        <f t="shared" si="5"/>
        <v>[effect:drop_block, block_type:normal, block_color:block_heart, color:block_red, val:0, rate:0.35, turn:-1],[effect:drop_block, block_type:normal, block_color:block_heart, color:block_green, val:0, rate:0.35, turn:-1],[effect:dis_heart, turn:4, animation:enemy_dis_heart]</v>
      </c>
      <c r="N23" s="47" t="str">
        <f t="shared" si="6"/>
        <v>[effect:drop_block, block_type:normal, block_color:block_heart, color:block_red, val:0, rate:0.35, turn:-1],[effect:drop_block, block_type:normal, block_color:block_heart, color:block_green, val:0, rate:0.35, turn:-1],[effect:dis_heart, turn:4, animation:enemy_dis_heart]</v>
      </c>
      <c r="O23" s="62">
        <f t="shared" si="7"/>
        <v>9</v>
      </c>
      <c r="P23" s="62">
        <f t="shared" si="8"/>
        <v>19</v>
      </c>
      <c r="Q23" s="62" t="e">
        <f t="shared" si="9"/>
        <v>#VALUE!</v>
      </c>
      <c r="R23" s="62">
        <f t="shared" si="10"/>
        <v>38</v>
      </c>
      <c r="S23" s="62" t="str">
        <f>IFERROR(VLOOKUP(MID(N23,Q23,R23-Q23),[6]skilldef!$C:$D,2,FALSE),"-") &amp; " / " &amp; IFERROR(VLOOKUP(MID(N23,O23,P23-O23),[6]skilldef!$A:$B,2,FALSE),"-")</f>
        <v>- / 特定ブロックの割合ドロップ</v>
      </c>
      <c r="T23" s="47" t="str">
        <f t="shared" si="11"/>
        <v>[effect:drop_block, block_type:normal, block_color:block_heart, color:block_green, val:0, rate:0.35, turn:-1],[effect:dis_heart, turn:4, animation:enemy_dis_heart]</v>
      </c>
      <c r="U23" s="62">
        <f t="shared" si="12"/>
        <v>9</v>
      </c>
      <c r="V23" s="62">
        <f t="shared" si="13"/>
        <v>19</v>
      </c>
      <c r="W23" s="62" t="e">
        <f t="shared" si="14"/>
        <v>#VALUE!</v>
      </c>
      <c r="X23" s="62">
        <f t="shared" si="15"/>
        <v>38</v>
      </c>
      <c r="Y23" s="62" t="str">
        <f>IFERROR(VLOOKUP(MID(T23,W23,X23-W23),[6]skilldef!$C:$D,2,FALSE),"-") &amp; " / " &amp; IFERROR(VLOOKUP(MID(T23,U23,V23-U23),[6]skilldef!$A:$B,2,FALSE),"-")</f>
        <v>- / 特定ブロックの割合ドロップ</v>
      </c>
      <c r="Z23" s="49"/>
      <c r="AA23" s="51"/>
      <c r="AB23" s="49"/>
      <c r="AC23" s="48">
        <f t="shared" si="16"/>
        <v>13</v>
      </c>
      <c r="AD23" s="48">
        <f t="shared" si="17"/>
        <v>39</v>
      </c>
    </row>
    <row r="24" spans="1:30" ht="21" customHeight="1" x14ac:dyDescent="0.15">
      <c r="A24" s="46">
        <v>47014022</v>
      </c>
      <c r="B24" s="46" t="s">
        <v>435</v>
      </c>
      <c r="C24" s="49">
        <v>3</v>
      </c>
      <c r="D24" s="49" t="s">
        <v>128</v>
      </c>
      <c r="E24" s="50" t="s">
        <v>321</v>
      </c>
      <c r="F24" s="50" t="s">
        <v>379</v>
      </c>
      <c r="G24" s="62" t="str">
        <f t="shared" si="0"/>
        <v>[effect:enemy_message, val1:1.2, val2:1.3]</v>
      </c>
      <c r="H24" s="62">
        <f t="shared" si="1"/>
        <v>9</v>
      </c>
      <c r="I24" s="62">
        <f t="shared" si="2"/>
        <v>22</v>
      </c>
      <c r="J24" s="62" t="e">
        <f t="shared" si="3"/>
        <v>#VALUE!</v>
      </c>
      <c r="K24" s="62">
        <f t="shared" si="4"/>
        <v>32</v>
      </c>
      <c r="L24" s="62" t="str">
        <f>IFERROR(VLOOKUP(MID(G24,J24,K24-J24),[6]skilldef!$C:$D,2,FALSE),"-") &amp; " / " &amp; IFERROR(VLOOKUP(MID(G24,H24,I24-H24),[6]skilldef!$A:$B,2,FALSE),"-")</f>
        <v>- / -</v>
      </c>
      <c r="M24" s="62" t="str">
        <f t="shared" si="5"/>
        <v>[effect:damage_gravity, val:0.8, animation:fevergauge_down]</v>
      </c>
      <c r="N24" s="47" t="str">
        <f t="shared" si="6"/>
        <v>[effect:damage_gravity, val:0.8, animation:fevergauge_down]</v>
      </c>
      <c r="O24" s="62">
        <f t="shared" si="7"/>
        <v>9</v>
      </c>
      <c r="P24" s="62">
        <f t="shared" si="8"/>
        <v>23</v>
      </c>
      <c r="Q24" s="62" t="e">
        <f t="shared" si="9"/>
        <v>#VALUE!</v>
      </c>
      <c r="R24" s="62">
        <f t="shared" si="10"/>
        <v>32</v>
      </c>
      <c r="S24" s="62" t="str">
        <f>IFERROR(VLOOKUP(MID(N24,Q24,R24-Q24),[6]skilldef!$C:$D,2,FALSE),"-") &amp; " / " &amp; IFERROR(VLOOKUP(MID(N24,O24,P24-O24),[6]skilldef!$A:$B,2,FALSE),"-")</f>
        <v>- / 割合ダメージ</v>
      </c>
      <c r="T24" s="47" t="str">
        <f t="shared" si="11"/>
        <v>none</v>
      </c>
      <c r="U24" s="62" t="e">
        <f t="shared" si="12"/>
        <v>#VALUE!</v>
      </c>
      <c r="V24" s="62">
        <f t="shared" si="13"/>
        <v>4</v>
      </c>
      <c r="W24" s="62" t="e">
        <f t="shared" si="14"/>
        <v>#VALUE!</v>
      </c>
      <c r="X24" s="62" t="e">
        <f t="shared" si="15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49"/>
      <c r="AA24" s="51"/>
      <c r="AB24" s="49"/>
      <c r="AC24" s="48">
        <f t="shared" si="16"/>
        <v>4</v>
      </c>
      <c r="AD24" s="48">
        <f t="shared" si="17"/>
        <v>13</v>
      </c>
    </row>
    <row r="25" spans="1:30" ht="21" customHeight="1" x14ac:dyDescent="0.15">
      <c r="A25" s="46">
        <v>47014023</v>
      </c>
      <c r="B25" s="126" t="s">
        <v>428</v>
      </c>
      <c r="C25" s="49">
        <v>3</v>
      </c>
      <c r="D25" s="49" t="s">
        <v>128</v>
      </c>
      <c r="E25" s="50" t="s">
        <v>318</v>
      </c>
      <c r="F25" s="50" t="s">
        <v>269</v>
      </c>
      <c r="G25" s="62" t="str">
        <f t="shared" si="0"/>
        <v>[effect:enemy_message, val1:1.2, val2:1.2]</v>
      </c>
      <c r="H25" s="62">
        <f t="shared" si="1"/>
        <v>9</v>
      </c>
      <c r="I25" s="62">
        <f t="shared" si="2"/>
        <v>22</v>
      </c>
      <c r="J25" s="62" t="e">
        <f t="shared" si="3"/>
        <v>#VALUE!</v>
      </c>
      <c r="K25" s="62">
        <f t="shared" si="4"/>
        <v>32</v>
      </c>
      <c r="L25" s="62" t="str">
        <f>IFERROR(VLOOKUP(MID(G25,J25,K25-J25),[6]skilldef!$C:$D,2,FALSE),"-") &amp; " / " &amp; IFERROR(VLOOKUP(MID(G25,H25,I25-H25),[6]skilldef!$A:$B,2,FALSE),"-")</f>
        <v>- / -</v>
      </c>
      <c r="M25" s="62" t="str">
        <f t="shared" si="5"/>
        <v>[effect:panel_freeze, target:normal, color:block_heart, count:-1]</v>
      </c>
      <c r="N25" s="47" t="str">
        <f t="shared" si="6"/>
        <v>[effect:panel_freeze, target:normal, color:block_heart, count:-1]</v>
      </c>
      <c r="O25" s="62">
        <f t="shared" si="7"/>
        <v>9</v>
      </c>
      <c r="P25" s="62">
        <f t="shared" si="8"/>
        <v>21</v>
      </c>
      <c r="Q25" s="62">
        <f t="shared" si="9"/>
        <v>30</v>
      </c>
      <c r="R25" s="62">
        <f t="shared" si="10"/>
        <v>36</v>
      </c>
      <c r="S25" s="62" t="str">
        <f>IFERROR(VLOOKUP(MID(N25,Q25,R25-Q25),[6]skilldef!$C:$D,2,FALSE),"-") &amp; " / " &amp; IFERROR(VLOOKUP(MID(N25,O25,P25-O25),[6]skilldef!$A:$B,2,FALSE),"-")</f>
        <v>- / -</v>
      </c>
      <c r="T25" s="47" t="str">
        <f t="shared" si="11"/>
        <v>none</v>
      </c>
      <c r="U25" s="62" t="e">
        <f t="shared" si="12"/>
        <v>#VALUE!</v>
      </c>
      <c r="V25" s="62">
        <f t="shared" si="13"/>
        <v>4</v>
      </c>
      <c r="W25" s="62" t="e">
        <f t="shared" si="14"/>
        <v>#VALUE!</v>
      </c>
      <c r="X25" s="62" t="e">
        <f t="shared" si="15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  <c r="AC25" s="48">
        <f t="shared" si="16"/>
        <v>7</v>
      </c>
      <c r="AD25" s="48">
        <f t="shared" si="17"/>
        <v>11</v>
      </c>
    </row>
    <row r="26" spans="1:30" ht="21" customHeight="1" x14ac:dyDescent="0.15">
      <c r="A26" s="46">
        <v>47014024</v>
      </c>
      <c r="B26" s="46" t="s">
        <v>296</v>
      </c>
      <c r="C26" s="49">
        <v>3</v>
      </c>
      <c r="D26" s="49" t="s">
        <v>128</v>
      </c>
      <c r="E26" s="50" t="s">
        <v>317</v>
      </c>
      <c r="F26" s="50" t="s">
        <v>270</v>
      </c>
      <c r="G26" s="62" t="str">
        <f t="shared" si="0"/>
        <v>[effect:enemy_message, val1:1.2, val2:1.2]</v>
      </c>
      <c r="H26" s="62">
        <f t="shared" si="1"/>
        <v>9</v>
      </c>
      <c r="I26" s="62">
        <f t="shared" si="2"/>
        <v>22</v>
      </c>
      <c r="J26" s="62" t="e">
        <f t="shared" si="3"/>
        <v>#VALUE!</v>
      </c>
      <c r="K26" s="62">
        <f t="shared" si="4"/>
        <v>32</v>
      </c>
      <c r="L26" s="62" t="str">
        <f>IFERROR(VLOOKUP(MID(G26,J26,K26-J26),[6]skilldef!$C:$D,2,FALSE),"-") &amp; " / " &amp; IFERROR(VLOOKUP(MID(G26,H26,I26-H26),[6]skilldef!$A:$B,2,FALSE),"-")</f>
        <v>- / -</v>
      </c>
      <c r="M26" s="62" t="str">
        <f t="shared" si="5"/>
        <v>[effect:spread, val:0.28]</v>
      </c>
      <c r="N26" s="47" t="str">
        <f t="shared" si="6"/>
        <v>[effect:spread, val:0.28]</v>
      </c>
      <c r="O26" s="62">
        <f t="shared" si="7"/>
        <v>9</v>
      </c>
      <c r="P26" s="62">
        <f t="shared" si="8"/>
        <v>15</v>
      </c>
      <c r="Q26" s="62" t="e">
        <f t="shared" si="9"/>
        <v>#VALUE!</v>
      </c>
      <c r="R26" s="62" t="e">
        <f t="shared" si="10"/>
        <v>#VALUE!</v>
      </c>
      <c r="S26" s="62" t="str">
        <f>IFERROR(VLOOKUP(MID(N26,Q26,R26-Q26),[6]skilldef!$C:$D,2,FALSE),"-") &amp; " / " &amp; IFERROR(VLOOKUP(MID(N26,O26,P26-O26),[6]skilldef!$A:$B,2,FALSE),"-")</f>
        <v>- / 全体攻撃</v>
      </c>
      <c r="T26" s="47" t="str">
        <f t="shared" si="11"/>
        <v>none</v>
      </c>
      <c r="U26" s="62" t="e">
        <f t="shared" si="12"/>
        <v>#VALUE!</v>
      </c>
      <c r="V26" s="62">
        <f t="shared" si="13"/>
        <v>4</v>
      </c>
      <c r="W26" s="62" t="e">
        <f t="shared" si="14"/>
        <v>#VALUE!</v>
      </c>
      <c r="X26" s="62" t="e">
        <f t="shared" si="15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/>
      <c r="AA26" s="51"/>
      <c r="AB26" s="49"/>
      <c r="AC26" s="48">
        <f t="shared" si="16"/>
        <v>4</v>
      </c>
      <c r="AD26" s="48">
        <f t="shared" si="17"/>
        <v>4</v>
      </c>
    </row>
    <row r="27" spans="1:30" ht="21" customHeight="1" x14ac:dyDescent="0.15">
      <c r="A27" s="46">
        <v>47014025</v>
      </c>
      <c r="B27" s="46" t="s">
        <v>265</v>
      </c>
      <c r="C27" s="49">
        <v>1</v>
      </c>
      <c r="D27" s="49" t="s">
        <v>128</v>
      </c>
      <c r="E27" s="50" t="s">
        <v>272</v>
      </c>
      <c r="F27" s="50" t="s">
        <v>273</v>
      </c>
      <c r="G27" s="62" t="str">
        <f t="shared" si="0"/>
        <v>[effect:enemy_message, val1:1.2, val2:1.2]</v>
      </c>
      <c r="H27" s="62">
        <f t="shared" si="1"/>
        <v>9</v>
      </c>
      <c r="I27" s="62">
        <f t="shared" si="2"/>
        <v>22</v>
      </c>
      <c r="J27" s="62" t="e">
        <f t="shared" si="3"/>
        <v>#VALUE!</v>
      </c>
      <c r="K27" s="62">
        <f t="shared" si="4"/>
        <v>32</v>
      </c>
      <c r="L27" s="62" t="str">
        <f>IFERROR(VLOOKUP(MID(G27,J27,K27-J27),[6]skilldef!$C:$D,2,FALSE),"-") &amp; " / " &amp; IFERROR(VLOOKUP(MID(G27,H27,I27-H27),[6]skilldef!$A:$B,2,FALSE),"-")</f>
        <v>- / -</v>
      </c>
      <c r="M27" s="62" t="str">
        <f t="shared" si="5"/>
        <v>none</v>
      </c>
      <c r="N27" s="47" t="str">
        <f t="shared" si="6"/>
        <v>none</v>
      </c>
      <c r="O27" s="62" t="e">
        <f t="shared" si="7"/>
        <v>#VALUE!</v>
      </c>
      <c r="P27" s="62">
        <f t="shared" si="8"/>
        <v>4</v>
      </c>
      <c r="Q27" s="62" t="e">
        <f t="shared" si="9"/>
        <v>#VALUE!</v>
      </c>
      <c r="R27" s="62" t="e">
        <f t="shared" si="10"/>
        <v>#VALUE!</v>
      </c>
      <c r="S27" s="62" t="str">
        <f>IFERROR(VLOOKUP(MID(N27,Q27,R27-Q27),[6]skilldef!$C:$D,2,FALSE),"-") &amp; " / " &amp; IFERROR(VLOOKUP(MID(N27,O27,P27-O27),[6]skilldef!$A:$B,2,FALSE),"-")</f>
        <v>- / -</v>
      </c>
      <c r="T27" s="47" t="str">
        <f t="shared" si="11"/>
        <v>none</v>
      </c>
      <c r="U27" s="62" t="e">
        <f t="shared" si="12"/>
        <v>#VALUE!</v>
      </c>
      <c r="V27" s="62">
        <f t="shared" si="13"/>
        <v>4</v>
      </c>
      <c r="W27" s="62" t="e">
        <f t="shared" si="14"/>
        <v>#VALUE!</v>
      </c>
      <c r="X27" s="62" t="e">
        <f t="shared" si="15"/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9"/>
      <c r="AA27" s="51"/>
      <c r="AB27" s="49"/>
      <c r="AC27" s="48">
        <f t="shared" si="16"/>
        <v>4</v>
      </c>
      <c r="AD27" s="48">
        <f t="shared" si="17"/>
        <v>4</v>
      </c>
    </row>
    <row r="28" spans="1:30" ht="21" customHeight="1" x14ac:dyDescent="0.15">
      <c r="A28" s="46">
        <v>47014026</v>
      </c>
      <c r="B28" s="46" t="s">
        <v>286</v>
      </c>
      <c r="C28" s="49">
        <v>1</v>
      </c>
      <c r="D28" s="49" t="s">
        <v>128</v>
      </c>
      <c r="E28" s="50" t="s">
        <v>272</v>
      </c>
      <c r="F28" s="50" t="s">
        <v>274</v>
      </c>
      <c r="G28" s="62" t="str">
        <f t="shared" si="0"/>
        <v>[effect:enemy_message, val1:1.2, val2:1.2]</v>
      </c>
      <c r="H28" s="62">
        <f t="shared" si="1"/>
        <v>9</v>
      </c>
      <c r="I28" s="62">
        <f t="shared" si="2"/>
        <v>22</v>
      </c>
      <c r="J28" s="62" t="e">
        <f t="shared" si="3"/>
        <v>#VALUE!</v>
      </c>
      <c r="K28" s="62">
        <f t="shared" si="4"/>
        <v>32</v>
      </c>
      <c r="L28" s="62" t="str">
        <f>IFERROR(VLOOKUP(MID(G28,J28,K28-J28),[6]skilldef!$C:$D,2,FALSE),"-") &amp; " / " &amp; IFERROR(VLOOKUP(MID(G28,H28,I28-H28),[6]skilldef!$A:$B,2,FALSE),"-")</f>
        <v>- / -</v>
      </c>
      <c r="M28" s="62" t="str">
        <f t="shared" si="5"/>
        <v>[effect:spread, val:2.0],[effect:spread, val:2.0],[effect:spread, val:2.0],[effect:spread, val:2.0],[effect:spread, val:2.0]</v>
      </c>
      <c r="N28" s="47" t="str">
        <f t="shared" si="6"/>
        <v>[effect:spread, val:2.0],[effect:spread, val:2.0],[effect:spread, val:2.0],[effect:spread, val:2.0],[effect:spread, val:2.0]</v>
      </c>
      <c r="O28" s="62">
        <f t="shared" si="7"/>
        <v>9</v>
      </c>
      <c r="P28" s="62">
        <f t="shared" si="8"/>
        <v>15</v>
      </c>
      <c r="Q28" s="62" t="e">
        <f t="shared" si="9"/>
        <v>#VALUE!</v>
      </c>
      <c r="R28" s="62">
        <f t="shared" si="10"/>
        <v>25</v>
      </c>
      <c r="S28" s="62" t="str">
        <f>IFERROR(VLOOKUP(MID(N28,Q28,R28-Q28),[6]skilldef!$C:$D,2,FALSE),"-") &amp; " / " &amp; IFERROR(VLOOKUP(MID(N28,O28,P28-O28),[6]skilldef!$A:$B,2,FALSE),"-")</f>
        <v>- / 全体攻撃</v>
      </c>
      <c r="T28" s="47" t="str">
        <f t="shared" si="11"/>
        <v>[effect:spread, val:2.0],[effect:spread, val:2.0],[effect:spread, val:2.0],[effect:spread, val:2.0]</v>
      </c>
      <c r="U28" s="62">
        <f t="shared" si="12"/>
        <v>9</v>
      </c>
      <c r="V28" s="62">
        <f t="shared" si="13"/>
        <v>15</v>
      </c>
      <c r="W28" s="62" t="e">
        <f t="shared" si="14"/>
        <v>#VALUE!</v>
      </c>
      <c r="X28" s="62">
        <f t="shared" si="15"/>
        <v>25</v>
      </c>
      <c r="Y28" s="62" t="str">
        <f>IFERROR(VLOOKUP(MID(T28,W28,X28-W28),[6]skilldef!$C:$D,2,FALSE),"-") &amp; " / " &amp; IFERROR(VLOOKUP(MID(T28,U28,V28-U28),[6]skilldef!$A:$B,2,FALSE),"-")</f>
        <v>- / 全体攻撃</v>
      </c>
      <c r="Z28" s="49"/>
      <c r="AA28" s="51"/>
      <c r="AB28" s="49"/>
      <c r="AC28" s="48">
        <f t="shared" si="16"/>
        <v>4</v>
      </c>
      <c r="AD28" s="48">
        <f t="shared" si="17"/>
        <v>4</v>
      </c>
    </row>
    <row r="29" spans="1:30" ht="21" customHeight="1" x14ac:dyDescent="0.15">
      <c r="A29" s="46">
        <v>47014027</v>
      </c>
      <c r="B29" s="46" t="s">
        <v>289</v>
      </c>
      <c r="C29" s="49">
        <v>3</v>
      </c>
      <c r="D29" s="49" t="s">
        <v>128</v>
      </c>
      <c r="E29" s="50" t="s">
        <v>319</v>
      </c>
      <c r="F29" s="50" t="s">
        <v>294</v>
      </c>
      <c r="G29" s="62" t="str">
        <f t="shared" si="0"/>
        <v>[effect:enemy_message, val1:1.2, val2:1.2]</v>
      </c>
      <c r="H29" s="62">
        <f t="shared" si="1"/>
        <v>9</v>
      </c>
      <c r="I29" s="62">
        <f t="shared" si="2"/>
        <v>22</v>
      </c>
      <c r="J29" s="62" t="e">
        <f t="shared" si="3"/>
        <v>#VALUE!</v>
      </c>
      <c r="K29" s="62">
        <f t="shared" si="4"/>
        <v>32</v>
      </c>
      <c r="L29" s="62" t="str">
        <f>IFERROR(VLOOKUP(MID(G29,J29,K29-J29),[6]skilldef!$C:$D,2,FALSE),"-") &amp; " / " &amp; IFERROR(VLOOKUP(MID(G29,H29,I29-H29),[6]skilldef!$A:$B,2,FALSE),"-")</f>
        <v>- / -</v>
      </c>
      <c r="M29" s="62" t="str">
        <f t="shared" si="5"/>
        <v>[effect:dis_heart, turn:4, animation:enemy_dis_heart]</v>
      </c>
      <c r="N29" s="47" t="str">
        <f t="shared" si="6"/>
        <v>[effect:dis_heart, turn:4, animation:enemy_dis_heart]</v>
      </c>
      <c r="O29" s="62">
        <f t="shared" si="7"/>
        <v>9</v>
      </c>
      <c r="P29" s="62">
        <f t="shared" si="8"/>
        <v>18</v>
      </c>
      <c r="Q29" s="62" t="e">
        <f t="shared" si="9"/>
        <v>#VALUE!</v>
      </c>
      <c r="R29" s="62">
        <f t="shared" si="10"/>
        <v>26</v>
      </c>
      <c r="S29" s="62" t="str">
        <f>IFERROR(VLOOKUP(MID(N29,Q29,R29-Q29),[6]skilldef!$C:$D,2,FALSE),"-") &amp; " / " &amp; IFERROR(VLOOKUP(MID(N29,O29,P29-O29),[6]skilldef!$A:$B,2,FALSE),"-")</f>
        <v>- / ディスハート</v>
      </c>
      <c r="T29" s="47" t="str">
        <f t="shared" si="11"/>
        <v>none</v>
      </c>
      <c r="U29" s="62" t="e">
        <f t="shared" si="12"/>
        <v>#VALUE!</v>
      </c>
      <c r="V29" s="62">
        <f t="shared" si="13"/>
        <v>4</v>
      </c>
      <c r="W29" s="62" t="e">
        <f t="shared" si="14"/>
        <v>#VALUE!</v>
      </c>
      <c r="X29" s="62" t="e">
        <f t="shared" si="15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  <c r="AC29" s="48">
        <f t="shared" si="16"/>
        <v>7</v>
      </c>
      <c r="AD29" s="48">
        <f t="shared" si="17"/>
        <v>12</v>
      </c>
    </row>
    <row r="30" spans="1:30" ht="21" customHeight="1" x14ac:dyDescent="0.15">
      <c r="A30" s="46">
        <v>47014028</v>
      </c>
      <c r="B30" s="46" t="s">
        <v>391</v>
      </c>
      <c r="C30" s="49">
        <v>3</v>
      </c>
      <c r="D30" s="49" t="s">
        <v>128</v>
      </c>
      <c r="E30" s="50" t="s">
        <v>320</v>
      </c>
      <c r="F30" s="50" t="s">
        <v>390</v>
      </c>
      <c r="G30" s="62" t="str">
        <f t="shared" si="0"/>
        <v>[effect:enemy_message, val1:1.2, val2:2.1]</v>
      </c>
      <c r="H30" s="62">
        <f t="shared" si="1"/>
        <v>9</v>
      </c>
      <c r="I30" s="62">
        <f t="shared" si="2"/>
        <v>22</v>
      </c>
      <c r="J30" s="62" t="e">
        <f t="shared" si="3"/>
        <v>#VALUE!</v>
      </c>
      <c r="K30" s="62">
        <f t="shared" si="4"/>
        <v>32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5"/>
        <v>[effect:break_attack, target:unit_all, val:0.04, lowest_val:1000, count:7, color:red, block01:block_heart]</v>
      </c>
      <c r="N30" s="47" t="str">
        <f t="shared" si="6"/>
        <v>[effect:break_attack, target:unit_all, val:0.04, lowest_val:1000, count:7, color:red, block01:block_heart]</v>
      </c>
      <c r="O30" s="62">
        <f t="shared" si="7"/>
        <v>9</v>
      </c>
      <c r="P30" s="62">
        <f t="shared" si="8"/>
        <v>21</v>
      </c>
      <c r="Q30" s="62">
        <f t="shared" si="9"/>
        <v>30</v>
      </c>
      <c r="R30" s="62">
        <f t="shared" si="10"/>
        <v>38</v>
      </c>
      <c r="S30" s="62" t="str">
        <f>IFERROR(VLOOKUP(MID(N30,Q30,R30-Q30),[6]skilldef!$C:$D,2,FALSE),"-") &amp; " / " &amp; IFERROR(VLOOKUP(MID(N30,O30,P30-O30),[6]skilldef!$A:$B,2,FALSE),"-")</f>
        <v>味方全体に / -</v>
      </c>
      <c r="T30" s="47" t="str">
        <f t="shared" si="11"/>
        <v>none</v>
      </c>
      <c r="U30" s="62" t="e">
        <f t="shared" si="12"/>
        <v>#VALUE!</v>
      </c>
      <c r="V30" s="62">
        <f t="shared" si="13"/>
        <v>4</v>
      </c>
      <c r="W30" s="62" t="e">
        <f t="shared" si="14"/>
        <v>#VALUE!</v>
      </c>
      <c r="X30" s="62" t="e">
        <f t="shared" si="15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49"/>
      <c r="AA30" s="51"/>
      <c r="AB30" s="49"/>
      <c r="AC30" s="48">
        <f t="shared" si="16"/>
        <v>7</v>
      </c>
      <c r="AD30" s="48">
        <f t="shared" si="17"/>
        <v>21</v>
      </c>
    </row>
    <row r="31" spans="1:30" ht="21" customHeight="1" x14ac:dyDescent="0.15">
      <c r="A31" s="46">
        <v>47014029</v>
      </c>
      <c r="B31" s="46" t="s">
        <v>265</v>
      </c>
      <c r="C31" s="49">
        <v>1</v>
      </c>
      <c r="D31" s="49" t="s">
        <v>128</v>
      </c>
      <c r="E31" s="50" t="s">
        <v>272</v>
      </c>
      <c r="F31" s="50" t="s">
        <v>267</v>
      </c>
      <c r="G31" s="62" t="str">
        <f t="shared" si="0"/>
        <v>[effect:enemy_message, val1:1.2, val2:1.2]</v>
      </c>
      <c r="H31" s="62">
        <f t="shared" si="1"/>
        <v>9</v>
      </c>
      <c r="I31" s="62">
        <f t="shared" si="2"/>
        <v>22</v>
      </c>
      <c r="J31" s="62" t="e">
        <f t="shared" si="3"/>
        <v>#VALUE!</v>
      </c>
      <c r="K31" s="62">
        <f t="shared" si="4"/>
        <v>32</v>
      </c>
      <c r="L31" s="62" t="str">
        <f>IFERROR(VLOOKUP(MID(G31,J31,K31-J31),[6]skilldef!$C:$D,2,FALSE),"-") &amp; " / " &amp; IFERROR(VLOOKUP(MID(G31,H31,I31-H31),[6]skilldef!$A:$B,2,FALSE),"-")</f>
        <v>- / -</v>
      </c>
      <c r="M31" s="62" t="str">
        <f t="shared" si="5"/>
        <v>none</v>
      </c>
      <c r="N31" s="47" t="str">
        <f t="shared" si="6"/>
        <v>none</v>
      </c>
      <c r="O31" s="62" t="e">
        <f t="shared" si="7"/>
        <v>#VALUE!</v>
      </c>
      <c r="P31" s="62">
        <f t="shared" si="8"/>
        <v>4</v>
      </c>
      <c r="Q31" s="62" t="e">
        <f t="shared" si="9"/>
        <v>#VALUE!</v>
      </c>
      <c r="R31" s="62" t="e">
        <f t="shared" si="10"/>
        <v>#VALUE!</v>
      </c>
      <c r="S31" s="62" t="str">
        <f>IFERROR(VLOOKUP(MID(N31,Q31,R31-Q31),[6]skilldef!$C:$D,2,FALSE),"-") &amp; " / " &amp; IFERROR(VLOOKUP(MID(N31,O31,P31-O31),[6]skilldef!$A:$B,2,FALSE),"-")</f>
        <v>- / -</v>
      </c>
      <c r="T31" s="47" t="str">
        <f t="shared" si="11"/>
        <v>none</v>
      </c>
      <c r="U31" s="62" t="e">
        <f t="shared" si="12"/>
        <v>#VALUE!</v>
      </c>
      <c r="V31" s="62">
        <f t="shared" si="13"/>
        <v>4</v>
      </c>
      <c r="W31" s="62" t="e">
        <f t="shared" si="14"/>
        <v>#VALUE!</v>
      </c>
      <c r="X31" s="62" t="e">
        <f t="shared" si="15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/>
      <c r="AA31" s="51"/>
      <c r="AB31" s="49"/>
      <c r="AC31" s="48">
        <f t="shared" si="16"/>
        <v>4</v>
      </c>
      <c r="AD31" s="48">
        <f t="shared" si="17"/>
        <v>3</v>
      </c>
    </row>
    <row r="32" spans="1:30" ht="21" customHeight="1" x14ac:dyDescent="0.15">
      <c r="A32" s="46">
        <v>47014030</v>
      </c>
      <c r="B32" s="46" t="s">
        <v>346</v>
      </c>
      <c r="C32" s="49">
        <v>3</v>
      </c>
      <c r="D32" s="49" t="s">
        <v>128</v>
      </c>
      <c r="E32" s="50" t="s">
        <v>313</v>
      </c>
      <c r="F32" s="50" t="s">
        <v>297</v>
      </c>
      <c r="G32" s="62" t="str">
        <f t="shared" si="0"/>
        <v>[effect:enemy_message, val1:1.3, val2:4.9]</v>
      </c>
      <c r="H32" s="62">
        <f t="shared" si="1"/>
        <v>9</v>
      </c>
      <c r="I32" s="62">
        <f t="shared" si="2"/>
        <v>22</v>
      </c>
      <c r="J32" s="62" t="e">
        <f t="shared" si="3"/>
        <v>#VALUE!</v>
      </c>
      <c r="K32" s="62">
        <f t="shared" si="4"/>
        <v>32</v>
      </c>
      <c r="L32" s="62" t="str">
        <f>IFERROR(VLOOKUP(MID(G32,J32,K32-J32),[6]skilldef!$C:$D,2,FALSE),"-") &amp; " / " &amp; IFERROR(VLOOKUP(MID(G32,H32,I32-H32),[6]skilldef!$A:$B,2,FALSE),"-")</f>
        <v>- / -</v>
      </c>
      <c r="M32" s="62" t="str">
        <f t="shared" si="5"/>
        <v>[effect:remove_enhancement, target:unit_all, target_effect:all, target_type:debuff, animation:frozen_wave],[effect:force_change_block, new_block:jammer, target:block_all, count:0, val:0],[effect:change_range_block, block_change:1, base_type:1, square_count:7, position01:24, value_rad01:7.0, new_block:block_heart, target:jammer, count:0, val:0, animation:change_range_block],[effect:suicide, target:myself, val:1, dead_type:suicide, animation:enemy_suicide]</v>
      </c>
      <c r="N32" s="47" t="str">
        <f t="shared" si="6"/>
        <v>[effect:remove_enhancement, target:unit_all, target_effect:all, target_type:debuff, animation:frozen_wave],[effect:force_change_block, new_block:jammer, target:block_all, count:0, val:0],[effect:change_range_block, block_change:1, base_type:1, square_count:7, position01:24, value_rad01:7.0, new_block:block_heart, target:jammer, count:0, val:0, animation:change_range_block],[effect:suicide, target:myself, val:1, dead_type:suicide, animation:enemy_suicide]</v>
      </c>
      <c r="O32" s="62">
        <f t="shared" si="7"/>
        <v>9</v>
      </c>
      <c r="P32" s="62">
        <f t="shared" si="8"/>
        <v>27</v>
      </c>
      <c r="Q32" s="62">
        <f t="shared" si="9"/>
        <v>36</v>
      </c>
      <c r="R32" s="62">
        <f t="shared" si="10"/>
        <v>44</v>
      </c>
      <c r="S32" s="62" t="str">
        <f>IFERROR(VLOOKUP(MID(N32,Q32,R32-Q32),[6]skilldef!$C:$D,2,FALSE),"-") &amp; " / " &amp; IFERROR(VLOOKUP(MID(N32,O32,P32-O32),[6]skilldef!$A:$B,2,FALSE),"-")</f>
        <v>味方全体に / -</v>
      </c>
      <c r="T32" s="47" t="str">
        <f t="shared" si="11"/>
        <v>[effect:force_change_block, new_block:jammer, target:block_all, count:0, val:0],[effect:change_range_block, block_change:1, base_type:1, square_count:7, position01:24, value_rad01:7.0, new_block:block_heart, target:jammer, count:0, val:0, animation:change_range_block],[effect:suicide, target:myself, val:1, dead_type:suicide, animation:enemy_suicide]</v>
      </c>
      <c r="U32" s="62">
        <f t="shared" si="12"/>
        <v>9</v>
      </c>
      <c r="V32" s="62">
        <f t="shared" si="13"/>
        <v>27</v>
      </c>
      <c r="W32" s="62">
        <f t="shared" si="14"/>
        <v>54</v>
      </c>
      <c r="X32" s="62">
        <f t="shared" si="15"/>
        <v>45</v>
      </c>
      <c r="Y32" s="62" t="str">
        <f>IFERROR(VLOOKUP(MID(T32,W32,X32-W32),[6]skilldef!$C:$D,2,FALSE),"-") &amp; " / " &amp; IFERROR(VLOOKUP(MID(T32,U32,V32-U32),[6]skilldef!$A:$B,2,FALSE),"-")</f>
        <v>- / -</v>
      </c>
      <c r="Z32" s="49"/>
      <c r="AA32" s="51"/>
      <c r="AB32" s="49"/>
      <c r="AC32" s="48">
        <f t="shared" si="16"/>
        <v>13</v>
      </c>
      <c r="AD32" s="48">
        <f t="shared" si="17"/>
        <v>49</v>
      </c>
    </row>
    <row r="33" spans="1:30" ht="21" customHeight="1" x14ac:dyDescent="0.15">
      <c r="A33" s="46">
        <v>47014031</v>
      </c>
      <c r="B33" s="46" t="s">
        <v>265</v>
      </c>
      <c r="C33" s="49">
        <v>1</v>
      </c>
      <c r="D33" s="49" t="s">
        <v>128</v>
      </c>
      <c r="E33" s="50" t="s">
        <v>275</v>
      </c>
      <c r="F33" s="50" t="s">
        <v>267</v>
      </c>
      <c r="G33" s="62" t="str">
        <f t="shared" si="0"/>
        <v>[effect:enemy_message, val1:1.2, val2:1.2]</v>
      </c>
      <c r="H33" s="62">
        <f t="shared" si="1"/>
        <v>9</v>
      </c>
      <c r="I33" s="62">
        <f t="shared" si="2"/>
        <v>22</v>
      </c>
      <c r="J33" s="62" t="e">
        <f t="shared" si="3"/>
        <v>#VALUE!</v>
      </c>
      <c r="K33" s="62">
        <f t="shared" si="4"/>
        <v>32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si="5"/>
        <v>none</v>
      </c>
      <c r="N33" s="47" t="str">
        <f t="shared" si="6"/>
        <v>none</v>
      </c>
      <c r="O33" s="62" t="e">
        <f t="shared" si="7"/>
        <v>#VALUE!</v>
      </c>
      <c r="P33" s="62">
        <f t="shared" si="8"/>
        <v>4</v>
      </c>
      <c r="Q33" s="62" t="e">
        <f t="shared" si="9"/>
        <v>#VALUE!</v>
      </c>
      <c r="R33" s="62" t="e">
        <f t="shared" si="10"/>
        <v>#VALUE!</v>
      </c>
      <c r="S33" s="62" t="str">
        <f>IFERROR(VLOOKUP(MID(N33,Q33,R33-Q33),[6]skilldef!$C:$D,2,FALSE),"-") &amp; " / " &amp; IFERROR(VLOOKUP(MID(N33,O33,P33-O33),[6]skilldef!$A:$B,2,FALSE),"-")</f>
        <v>- / -</v>
      </c>
      <c r="T33" s="47" t="str">
        <f t="shared" si="11"/>
        <v>none</v>
      </c>
      <c r="U33" s="62" t="e">
        <f t="shared" si="12"/>
        <v>#VALUE!</v>
      </c>
      <c r="V33" s="62">
        <f t="shared" si="13"/>
        <v>4</v>
      </c>
      <c r="W33" s="62" t="e">
        <f t="shared" si="14"/>
        <v>#VALUE!</v>
      </c>
      <c r="X33" s="62" t="e">
        <f t="shared" si="15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49"/>
      <c r="AA33" s="51"/>
      <c r="AB33" s="49"/>
      <c r="AC33" s="48">
        <f t="shared" si="16"/>
        <v>4</v>
      </c>
      <c r="AD33" s="48">
        <f t="shared" si="17"/>
        <v>3</v>
      </c>
    </row>
    <row r="34" spans="1:30" ht="21" customHeight="1" x14ac:dyDescent="0.15">
      <c r="A34" s="46">
        <v>47014032</v>
      </c>
      <c r="B34" s="46" t="s">
        <v>265</v>
      </c>
      <c r="C34" s="49">
        <v>1</v>
      </c>
      <c r="D34" s="49" t="s">
        <v>128</v>
      </c>
      <c r="E34" s="50" t="s">
        <v>275</v>
      </c>
      <c r="F34" s="50" t="s">
        <v>267</v>
      </c>
      <c r="G34" s="62" t="str">
        <f t="shared" si="0"/>
        <v>[effect:enemy_message, val1:1.2, val2:1.2]</v>
      </c>
      <c r="H34" s="62">
        <f t="shared" si="1"/>
        <v>9</v>
      </c>
      <c r="I34" s="62">
        <f t="shared" si="2"/>
        <v>22</v>
      </c>
      <c r="J34" s="62" t="e">
        <f t="shared" si="3"/>
        <v>#VALUE!</v>
      </c>
      <c r="K34" s="62">
        <f t="shared" si="4"/>
        <v>32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si="5"/>
        <v>none</v>
      </c>
      <c r="N34" s="47" t="str">
        <f t="shared" si="6"/>
        <v>none</v>
      </c>
      <c r="O34" s="62" t="e">
        <f t="shared" si="7"/>
        <v>#VALUE!</v>
      </c>
      <c r="P34" s="62">
        <f t="shared" si="8"/>
        <v>4</v>
      </c>
      <c r="Q34" s="62" t="e">
        <f t="shared" si="9"/>
        <v>#VALUE!</v>
      </c>
      <c r="R34" s="62" t="e">
        <f t="shared" si="10"/>
        <v>#VALUE!</v>
      </c>
      <c r="S34" s="62" t="str">
        <f>IFERROR(VLOOKUP(MID(N34,Q34,R34-Q34),[6]skilldef!$C:$D,2,FALSE),"-") &amp; " / " &amp; IFERROR(VLOOKUP(MID(N34,O34,P34-O34),[6]skilldef!$A:$B,2,FALSE),"-")</f>
        <v>- / -</v>
      </c>
      <c r="T34" s="47" t="str">
        <f t="shared" si="11"/>
        <v>none</v>
      </c>
      <c r="U34" s="62" t="e">
        <f t="shared" si="12"/>
        <v>#VALUE!</v>
      </c>
      <c r="V34" s="62">
        <f t="shared" si="13"/>
        <v>4</v>
      </c>
      <c r="W34" s="62" t="e">
        <f t="shared" si="14"/>
        <v>#VALUE!</v>
      </c>
      <c r="X34" s="62" t="e">
        <f t="shared" si="15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49"/>
      <c r="AA34" s="51"/>
      <c r="AB34" s="49"/>
      <c r="AC34" s="48">
        <f t="shared" si="16"/>
        <v>4</v>
      </c>
      <c r="AD34" s="48">
        <f t="shared" si="17"/>
        <v>3</v>
      </c>
    </row>
    <row r="35" spans="1:30" ht="21" customHeight="1" x14ac:dyDescent="0.15">
      <c r="A35" s="46">
        <v>47014033</v>
      </c>
      <c r="B35" s="46" t="s">
        <v>265</v>
      </c>
      <c r="C35" s="49">
        <v>1</v>
      </c>
      <c r="D35" s="49" t="s">
        <v>128</v>
      </c>
      <c r="E35" s="50" t="s">
        <v>275</v>
      </c>
      <c r="F35" s="50" t="s">
        <v>267</v>
      </c>
      <c r="G35" s="62" t="str">
        <f t="shared" si="0"/>
        <v>[effect:enemy_message, val1:1.2, val2:1.2]</v>
      </c>
      <c r="H35" s="62">
        <f t="shared" si="1"/>
        <v>9</v>
      </c>
      <c r="I35" s="62">
        <f t="shared" si="2"/>
        <v>22</v>
      </c>
      <c r="J35" s="62" t="e">
        <f t="shared" si="3"/>
        <v>#VALUE!</v>
      </c>
      <c r="K35" s="62">
        <f t="shared" si="4"/>
        <v>32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si="5"/>
        <v>none</v>
      </c>
      <c r="N35" s="47" t="str">
        <f t="shared" si="6"/>
        <v>none</v>
      </c>
      <c r="O35" s="62" t="e">
        <f t="shared" si="7"/>
        <v>#VALUE!</v>
      </c>
      <c r="P35" s="62">
        <f t="shared" si="8"/>
        <v>4</v>
      </c>
      <c r="Q35" s="62" t="e">
        <f t="shared" si="9"/>
        <v>#VALUE!</v>
      </c>
      <c r="R35" s="62" t="e">
        <f t="shared" si="10"/>
        <v>#VALUE!</v>
      </c>
      <c r="S35" s="62" t="str">
        <f>IFERROR(VLOOKUP(MID(N35,Q35,R35-Q35),[6]skilldef!$C:$D,2,FALSE),"-") &amp; " / " &amp; IFERROR(VLOOKUP(MID(N35,O35,P35-O35),[6]skilldef!$A:$B,2,FALSE),"-")</f>
        <v>- / -</v>
      </c>
      <c r="T35" s="47" t="str">
        <f t="shared" si="11"/>
        <v>none</v>
      </c>
      <c r="U35" s="62" t="e">
        <f t="shared" si="12"/>
        <v>#VALUE!</v>
      </c>
      <c r="V35" s="62">
        <f t="shared" si="13"/>
        <v>4</v>
      </c>
      <c r="W35" s="62" t="e">
        <f t="shared" si="14"/>
        <v>#VALUE!</v>
      </c>
      <c r="X35" s="62" t="e">
        <f t="shared" si="15"/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49"/>
      <c r="AA35" s="51"/>
      <c r="AB35" s="49"/>
      <c r="AC35" s="48">
        <f t="shared" si="16"/>
        <v>4</v>
      </c>
      <c r="AD35" s="48">
        <f t="shared" si="17"/>
        <v>3</v>
      </c>
    </row>
    <row r="36" spans="1:30" ht="21" customHeight="1" x14ac:dyDescent="0.15">
      <c r="A36" s="46">
        <v>47014034</v>
      </c>
      <c r="B36" s="46" t="s">
        <v>265</v>
      </c>
      <c r="C36" s="49">
        <v>1</v>
      </c>
      <c r="D36" s="49" t="s">
        <v>128</v>
      </c>
      <c r="E36" s="50" t="s">
        <v>275</v>
      </c>
      <c r="F36" s="50" t="s">
        <v>267</v>
      </c>
      <c r="G36" s="62" t="str">
        <f t="shared" si="0"/>
        <v>[effect:enemy_message, val1:1.2, val2:1.2]</v>
      </c>
      <c r="H36" s="62">
        <f t="shared" si="1"/>
        <v>9</v>
      </c>
      <c r="I36" s="62">
        <f t="shared" si="2"/>
        <v>22</v>
      </c>
      <c r="J36" s="62" t="e">
        <f t="shared" si="3"/>
        <v>#VALUE!</v>
      </c>
      <c r="K36" s="62">
        <f t="shared" si="4"/>
        <v>32</v>
      </c>
      <c r="L36" s="62" t="str">
        <f>IFERROR(VLOOKUP(MID(G36,J36,K36-J36),[6]skilldef!$C:$D,2,FALSE),"-") &amp; " / " &amp; IFERROR(VLOOKUP(MID(G36,H36,I36-H36),[6]skilldef!$A:$B,2,FALSE),"-")</f>
        <v>- / -</v>
      </c>
      <c r="M36" s="62" t="str">
        <f t="shared" si="5"/>
        <v>none</v>
      </c>
      <c r="N36" s="47" t="str">
        <f t="shared" si="6"/>
        <v>none</v>
      </c>
      <c r="O36" s="62" t="e">
        <f t="shared" si="7"/>
        <v>#VALUE!</v>
      </c>
      <c r="P36" s="62">
        <f t="shared" si="8"/>
        <v>4</v>
      </c>
      <c r="Q36" s="62" t="e">
        <f t="shared" si="9"/>
        <v>#VALUE!</v>
      </c>
      <c r="R36" s="62" t="e">
        <f t="shared" si="10"/>
        <v>#VALUE!</v>
      </c>
      <c r="S36" s="62" t="str">
        <f>IFERROR(VLOOKUP(MID(N36,Q36,R36-Q36),[6]skilldef!$C:$D,2,FALSE),"-") &amp; " / " &amp; IFERROR(VLOOKUP(MID(N36,O36,P36-O36),[6]skilldef!$A:$B,2,FALSE),"-")</f>
        <v>- / -</v>
      </c>
      <c r="T36" s="47" t="str">
        <f t="shared" si="11"/>
        <v>none</v>
      </c>
      <c r="U36" s="62" t="e">
        <f t="shared" si="12"/>
        <v>#VALUE!</v>
      </c>
      <c r="V36" s="62">
        <f t="shared" si="13"/>
        <v>4</v>
      </c>
      <c r="W36" s="62" t="e">
        <f t="shared" si="14"/>
        <v>#VALUE!</v>
      </c>
      <c r="X36" s="62" t="e">
        <f t="shared" si="15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49"/>
      <c r="AA36" s="51"/>
      <c r="AB36" s="49"/>
      <c r="AC36" s="48">
        <f t="shared" si="16"/>
        <v>4</v>
      </c>
      <c r="AD36" s="48">
        <f t="shared" si="17"/>
        <v>3</v>
      </c>
    </row>
    <row r="37" spans="1:30" ht="21" customHeight="1" x14ac:dyDescent="0.15">
      <c r="A37" s="46">
        <v>47014035</v>
      </c>
      <c r="B37" s="46" t="s">
        <v>298</v>
      </c>
      <c r="C37" s="49">
        <v>1</v>
      </c>
      <c r="D37" s="49" t="s">
        <v>128</v>
      </c>
      <c r="E37" s="50" t="s">
        <v>276</v>
      </c>
      <c r="F37" s="50" t="s">
        <v>277</v>
      </c>
      <c r="G37" s="62" t="str">
        <f t="shared" si="0"/>
        <v>[effect:enemy_message, val1:1.2, val2:1.2]</v>
      </c>
      <c r="H37" s="62">
        <f t="shared" si="1"/>
        <v>9</v>
      </c>
      <c r="I37" s="62">
        <f t="shared" si="2"/>
        <v>22</v>
      </c>
      <c r="J37" s="62" t="e">
        <f t="shared" si="3"/>
        <v>#VALUE!</v>
      </c>
      <c r="K37" s="62">
        <f t="shared" si="4"/>
        <v>32</v>
      </c>
      <c r="L37" s="62" t="str">
        <f>IFERROR(VLOOKUP(MID(G37,J37,K37-J37),[6]skilldef!$C:$D,2,FALSE),"-") &amp; " / " &amp; IFERROR(VLOOKUP(MID(G37,H37,I37-H37),[6]skilldef!$A:$B,2,FALSE),"-")</f>
        <v>- / -</v>
      </c>
      <c r="M37" s="62" t="str">
        <f t="shared" si="5"/>
        <v>[effect:tolerance, target:myself, turn:-1, count:-1, tolerance_effect:all, animation:enemy_tolerance],[effect:fix_speed, target:myself, turn:1]</v>
      </c>
      <c r="N37" s="47" t="str">
        <f t="shared" si="6"/>
        <v>[effect:tolerance, target:myself, turn:-1, count:-1, tolerance_effect:all, animation:enemy_tolerance],[effect:fix_speed, target:myself, turn:1]</v>
      </c>
      <c r="O37" s="62">
        <f t="shared" si="7"/>
        <v>9</v>
      </c>
      <c r="P37" s="62">
        <f t="shared" si="8"/>
        <v>18</v>
      </c>
      <c r="Q37" s="62">
        <f t="shared" si="9"/>
        <v>27</v>
      </c>
      <c r="R37" s="62">
        <f t="shared" si="10"/>
        <v>33</v>
      </c>
      <c r="S37" s="62" t="str">
        <f>IFERROR(VLOOKUP(MID(N37,Q37,R37-Q37),[6]skilldef!$C:$D,2,FALSE),"-") &amp; " / " &amp; IFERROR(VLOOKUP(MID(N37,O37,P37-O37),[6]skilldef!$A:$B,2,FALSE),"-")</f>
        <v>自分自身に / 状態異常耐性</v>
      </c>
      <c r="T37" s="47" t="str">
        <f t="shared" si="11"/>
        <v>[effect:fix_speed, target:myself, turn:1]</v>
      </c>
      <c r="U37" s="62">
        <f t="shared" si="12"/>
        <v>9</v>
      </c>
      <c r="V37" s="62">
        <f t="shared" si="13"/>
        <v>18</v>
      </c>
      <c r="W37" s="62">
        <f t="shared" si="14"/>
        <v>27</v>
      </c>
      <c r="X37" s="62">
        <f t="shared" si="15"/>
        <v>33</v>
      </c>
      <c r="Y37" s="62" t="str">
        <f>IFERROR(VLOOKUP(MID(T37,W37,X37-W37),[6]skilldef!$C:$D,2,FALSE),"-") &amp; " / " &amp; IFERROR(VLOOKUP(MID(T37,U37,V37-U37),[6]skilldef!$A:$B,2,FALSE),"-")</f>
        <v>自分自身に / 行動値設定</v>
      </c>
      <c r="Z37" s="49"/>
      <c r="AA37" s="51"/>
      <c r="AB37" s="49"/>
      <c r="AC37" s="48">
        <f t="shared" si="16"/>
        <v>5</v>
      </c>
      <c r="AD37" s="48">
        <f t="shared" si="17"/>
        <v>6</v>
      </c>
    </row>
    <row r="38" spans="1:30" ht="21" customHeight="1" x14ac:dyDescent="0.15">
      <c r="A38" s="46">
        <v>47014036</v>
      </c>
      <c r="B38" s="46" t="s">
        <v>381</v>
      </c>
      <c r="C38" s="49">
        <v>3</v>
      </c>
      <c r="D38" s="49" t="s">
        <v>128</v>
      </c>
      <c r="E38" s="50" t="s">
        <v>324</v>
      </c>
      <c r="F38" s="50" t="s">
        <v>380</v>
      </c>
      <c r="G38" s="62" t="str">
        <f t="shared" si="0"/>
        <v>[effect:enemy_message, val1:1.2, val2:3.9]</v>
      </c>
      <c r="H38" s="62">
        <f t="shared" si="1"/>
        <v>9</v>
      </c>
      <c r="I38" s="62">
        <f t="shared" si="2"/>
        <v>22</v>
      </c>
      <c r="J38" s="62" t="e">
        <f t="shared" si="3"/>
        <v>#VALUE!</v>
      </c>
      <c r="K38" s="62">
        <f t="shared" si="4"/>
        <v>32</v>
      </c>
      <c r="L38" s="62" t="str">
        <f>IFERROR(VLOOKUP(MID(G38,J38,K38-J38),[6]skilldef!$C:$D,2,FALSE),"-") &amp; " / " &amp; IFERROR(VLOOKUP(MID(G38,H38,I38-H38),[6]skilldef!$A:$B,2,FALSE),"-")</f>
        <v>- / -</v>
      </c>
      <c r="M38" s="62" t="str">
        <f t="shared" si="5"/>
        <v>[effect:change_panel_ratio, turn:6, block_type:heal, val:0.4, animation:block_incidence04],[effect:degrade_unit, target:unit_all, turn:2, status:heal, val:0.5, calc:mul, animation:degrade_unit_all_heal]</v>
      </c>
      <c r="N38" s="47" t="str">
        <f t="shared" si="6"/>
        <v>[effect:change_panel_ratio, turn:6, block_type:heal, val:0.4, animation:block_incidence04],[effect:degrade_unit, target:unit_all, turn:2, status:heal, val:0.5, calc:mul, animation:degrade_unit_all_heal]</v>
      </c>
      <c r="O38" s="62">
        <f t="shared" si="7"/>
        <v>9</v>
      </c>
      <c r="P38" s="62">
        <f t="shared" si="8"/>
        <v>27</v>
      </c>
      <c r="Q38" s="62">
        <f t="shared" si="9"/>
        <v>121</v>
      </c>
      <c r="R38" s="62">
        <f t="shared" si="10"/>
        <v>35</v>
      </c>
      <c r="S38" s="62" t="str">
        <f>IFERROR(VLOOKUP(MID(N38,Q38,R38-Q38),[6]skilldef!$C:$D,2,FALSE),"-") &amp; " / " &amp; IFERROR(VLOOKUP(MID(N38,O38,P38-O38),[6]skilldef!$A:$B,2,FALSE),"-")</f>
        <v>- / -</v>
      </c>
      <c r="T38" s="47" t="str">
        <f t="shared" si="11"/>
        <v>[effect:degrade_unit, target:unit_all, turn:2, status:heal, val:0.5, calc:mul, animation:degrade_unit_all_heal]</v>
      </c>
      <c r="U38" s="62">
        <f t="shared" si="12"/>
        <v>9</v>
      </c>
      <c r="V38" s="62">
        <f t="shared" si="13"/>
        <v>21</v>
      </c>
      <c r="W38" s="62">
        <f t="shared" si="14"/>
        <v>30</v>
      </c>
      <c r="X38" s="62">
        <f t="shared" si="15"/>
        <v>38</v>
      </c>
      <c r="Y38" s="62" t="str">
        <f>IFERROR(VLOOKUP(MID(T38,W38,X38-W38),[6]skilldef!$C:$D,2,FALSE),"-") &amp; " / " &amp; IFERROR(VLOOKUP(MID(T38,U38,V38-U38),[6]skilldef!$A:$B,2,FALSE),"-")</f>
        <v>味方全体に / ステータスDOWN</v>
      </c>
      <c r="Z38" s="49"/>
      <c r="AA38" s="51"/>
      <c r="AB38" s="49"/>
      <c r="AC38" s="48">
        <f t="shared" si="16"/>
        <v>9</v>
      </c>
      <c r="AD38" s="48">
        <f t="shared" si="17"/>
        <v>39</v>
      </c>
    </row>
    <row r="39" spans="1:30" ht="21" customHeight="1" x14ac:dyDescent="0.15">
      <c r="A39" s="46">
        <v>47014037</v>
      </c>
      <c r="B39" s="46" t="s">
        <v>429</v>
      </c>
      <c r="C39" s="49">
        <v>3</v>
      </c>
      <c r="D39" s="49" t="s">
        <v>128</v>
      </c>
      <c r="E39" s="50" t="s">
        <v>325</v>
      </c>
      <c r="F39" s="50" t="s">
        <v>278</v>
      </c>
      <c r="G39" s="62" t="str">
        <f t="shared" si="0"/>
        <v>[effect:enemy_message, val1:1.2, val2:1.6]</v>
      </c>
      <c r="H39" s="62">
        <f t="shared" si="1"/>
        <v>9</v>
      </c>
      <c r="I39" s="62">
        <f t="shared" si="2"/>
        <v>22</v>
      </c>
      <c r="J39" s="62" t="e">
        <f t="shared" si="3"/>
        <v>#VALUE!</v>
      </c>
      <c r="K39" s="62">
        <f t="shared" si="4"/>
        <v>32</v>
      </c>
      <c r="L39" s="62" t="str">
        <f>IFERROR(VLOOKUP(MID(G39,J39,K39-J39),[6]skilldef!$C:$D,2,FALSE),"-") &amp; " / " &amp; IFERROR(VLOOKUP(MID(G39,H39,I39-H39),[6]skilldef!$A:$B,2,FALSE),"-")</f>
        <v>- / -</v>
      </c>
      <c r="M39" s="62" t="str">
        <f t="shared" si="5"/>
        <v>[effect:force_change_block, new_block:jammer, target:block_heart, count:0, val:0, animation:change_block]</v>
      </c>
      <c r="N39" s="47" t="str">
        <f t="shared" si="6"/>
        <v>[effect:force_change_block, new_block:jammer, target:block_heart, count:0, val:0, animation:change_block]</v>
      </c>
      <c r="O39" s="62">
        <f t="shared" si="7"/>
        <v>9</v>
      </c>
      <c r="P39" s="62">
        <f t="shared" si="8"/>
        <v>27</v>
      </c>
      <c r="Q39" s="62">
        <f t="shared" si="9"/>
        <v>54</v>
      </c>
      <c r="R39" s="62">
        <f t="shared" si="10"/>
        <v>45</v>
      </c>
      <c r="S39" s="62" t="str">
        <f>IFERROR(VLOOKUP(MID(N39,Q39,R39-Q39),[6]skilldef!$C:$D,2,FALSE),"-") &amp; " / " &amp; IFERROR(VLOOKUP(MID(N39,O39,P39-O39),[6]skilldef!$A:$B,2,FALSE),"-")</f>
        <v>- / -</v>
      </c>
      <c r="T39" s="47" t="str">
        <f t="shared" si="11"/>
        <v>none</v>
      </c>
      <c r="U39" s="62" t="e">
        <f t="shared" si="12"/>
        <v>#VALUE!</v>
      </c>
      <c r="V39" s="62">
        <f t="shared" si="13"/>
        <v>4</v>
      </c>
      <c r="W39" s="62" t="e">
        <f t="shared" si="14"/>
        <v>#VALUE!</v>
      </c>
      <c r="X39" s="62" t="e">
        <f t="shared" si="15"/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49"/>
      <c r="AA39" s="51"/>
      <c r="AB39" s="49"/>
      <c r="AC39" s="48">
        <f t="shared" si="16"/>
        <v>7</v>
      </c>
      <c r="AD39" s="48">
        <f t="shared" si="17"/>
        <v>16</v>
      </c>
    </row>
    <row r="40" spans="1:30" ht="21" customHeight="1" x14ac:dyDescent="0.15">
      <c r="A40" s="46">
        <v>47014038</v>
      </c>
      <c r="B40" s="46" t="s">
        <v>347</v>
      </c>
      <c r="C40" s="49">
        <v>3</v>
      </c>
      <c r="D40" s="49" t="s">
        <v>128</v>
      </c>
      <c r="E40" s="50" t="s">
        <v>323</v>
      </c>
      <c r="F40" s="50" t="s">
        <v>299</v>
      </c>
      <c r="G40" s="62" t="str">
        <f t="shared" si="0"/>
        <v>[effect:enemy_message, val1:1.2, val2:2.2]</v>
      </c>
      <c r="H40" s="62">
        <f t="shared" si="1"/>
        <v>9</v>
      </c>
      <c r="I40" s="62">
        <f t="shared" si="2"/>
        <v>22</v>
      </c>
      <c r="J40" s="62" t="e">
        <f t="shared" si="3"/>
        <v>#VALUE!</v>
      </c>
      <c r="K40" s="62">
        <f t="shared" si="4"/>
        <v>32</v>
      </c>
      <c r="L40" s="62" t="str">
        <f>IFERROR(VLOOKUP(MID(G40,J40,K40-J40),[6]skilldef!$C:$D,2,FALSE),"-") &amp; " / " &amp; IFERROR(VLOOKUP(MID(G40,H40,I40-H40),[6]skilldef!$A:$B,2,FALSE),"-")</f>
        <v>- / -</v>
      </c>
      <c r="M40" s="62" t="str">
        <f t="shared" si="5"/>
        <v>[effect:break_attack, target:unit_all, val:0.03, lowest_val:1000, count:10, color:red, block01:jammer]</v>
      </c>
      <c r="N40" s="47" t="str">
        <f t="shared" si="6"/>
        <v>[effect:break_attack, target:unit_all, val:0.03, lowest_val:1000, count:10, color:red, block01:jammer]</v>
      </c>
      <c r="O40" s="62">
        <f t="shared" si="7"/>
        <v>9</v>
      </c>
      <c r="P40" s="62">
        <f t="shared" si="8"/>
        <v>21</v>
      </c>
      <c r="Q40" s="62">
        <f t="shared" si="9"/>
        <v>30</v>
      </c>
      <c r="R40" s="62">
        <f t="shared" si="10"/>
        <v>38</v>
      </c>
      <c r="S40" s="62" t="str">
        <f>IFERROR(VLOOKUP(MID(N40,Q40,R40-Q40),[6]skilldef!$C:$D,2,FALSE),"-") &amp; " / " &amp; IFERROR(VLOOKUP(MID(N40,O40,P40-O40),[6]skilldef!$A:$B,2,FALSE),"-")</f>
        <v>味方全体に / -</v>
      </c>
      <c r="T40" s="47" t="str">
        <f t="shared" si="11"/>
        <v>none</v>
      </c>
      <c r="U40" s="62" t="e">
        <f t="shared" si="12"/>
        <v>#VALUE!</v>
      </c>
      <c r="V40" s="62">
        <f t="shared" si="13"/>
        <v>4</v>
      </c>
      <c r="W40" s="62" t="e">
        <f t="shared" si="14"/>
        <v>#VALUE!</v>
      </c>
      <c r="X40" s="62" t="e">
        <f t="shared" si="15"/>
        <v>#VALUE!</v>
      </c>
      <c r="Y40" s="62" t="str">
        <f>IFERROR(VLOOKUP(MID(T40,W40,X40-W40),[6]skilldef!$C:$D,2,FALSE),"-") &amp; " / " &amp; IFERROR(VLOOKUP(MID(T40,U40,V40-U40),[6]skilldef!$A:$B,2,FALSE),"-")</f>
        <v>- / -</v>
      </c>
      <c r="Z40" s="49"/>
      <c r="AA40" s="51"/>
      <c r="AB40" s="49"/>
      <c r="AC40" s="48">
        <f t="shared" si="16"/>
        <v>9</v>
      </c>
      <c r="AD40" s="48">
        <f t="shared" si="17"/>
        <v>22</v>
      </c>
    </row>
    <row r="41" spans="1:30" ht="21" customHeight="1" x14ac:dyDescent="0.15">
      <c r="A41" s="46">
        <v>47014039</v>
      </c>
      <c r="B41" s="46" t="s">
        <v>418</v>
      </c>
      <c r="C41" s="49">
        <v>3</v>
      </c>
      <c r="D41" s="49" t="s">
        <v>128</v>
      </c>
      <c r="E41" s="50" t="s">
        <v>326</v>
      </c>
      <c r="F41" s="125" t="s">
        <v>417</v>
      </c>
      <c r="G41" s="62" t="str">
        <f t="shared" si="0"/>
        <v>[effect:enemy_message, val1:1.2, val2:2.0]</v>
      </c>
      <c r="H41" s="62">
        <f t="shared" si="1"/>
        <v>9</v>
      </c>
      <c r="I41" s="62">
        <f t="shared" si="2"/>
        <v>22</v>
      </c>
      <c r="J41" s="62" t="e">
        <f t="shared" si="3"/>
        <v>#VALUE!</v>
      </c>
      <c r="K41" s="62">
        <f t="shared" si="4"/>
        <v>32</v>
      </c>
      <c r="L41" s="62" t="str">
        <f>IFERROR(VLOOKUP(MID(G41,J41,K41-J41),[6]skilldef!$C:$D,2,FALSE),"-") &amp; " / " &amp; IFERROR(VLOOKUP(MID(G41,H41,I41-H41),[6]skilldef!$A:$B,2,FALSE),"-")</f>
        <v>- / -</v>
      </c>
      <c r="M41" s="62" t="str">
        <f t="shared" si="5"/>
        <v>[effect:degrade_unit, target:unit_all, turn:3, status:heal, val:0.5, calc:mul, animation:degrade_unit_all_heal]</v>
      </c>
      <c r="N41" s="47" t="str">
        <f t="shared" si="6"/>
        <v>[effect:degrade_unit, target:unit_all, turn:3, status:heal, val:0.5, calc:mul, animation:degrade_unit_all_heal]</v>
      </c>
      <c r="O41" s="62">
        <f t="shared" si="7"/>
        <v>9</v>
      </c>
      <c r="P41" s="62">
        <f t="shared" si="8"/>
        <v>21</v>
      </c>
      <c r="Q41" s="62">
        <f t="shared" si="9"/>
        <v>30</v>
      </c>
      <c r="R41" s="62">
        <f t="shared" si="10"/>
        <v>38</v>
      </c>
      <c r="S41" s="62" t="str">
        <f>IFERROR(VLOOKUP(MID(N41,Q41,R41-Q41),[6]skilldef!$C:$D,2,FALSE),"-") &amp; " / " &amp; IFERROR(VLOOKUP(MID(N41,O41,P41-O41),[6]skilldef!$A:$B,2,FALSE),"-")</f>
        <v>味方全体に / ステータスDOWN</v>
      </c>
      <c r="T41" s="47" t="str">
        <f t="shared" si="11"/>
        <v>none</v>
      </c>
      <c r="U41" s="62" t="e">
        <f t="shared" si="12"/>
        <v>#VALUE!</v>
      </c>
      <c r="V41" s="62">
        <f t="shared" si="13"/>
        <v>4</v>
      </c>
      <c r="W41" s="62" t="e">
        <f t="shared" si="14"/>
        <v>#VALUE!</v>
      </c>
      <c r="X41" s="62" t="e">
        <f t="shared" si="15"/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49"/>
      <c r="AA41" s="51"/>
      <c r="AB41" s="49"/>
      <c r="AC41" s="48">
        <f t="shared" si="16"/>
        <v>6</v>
      </c>
      <c r="AD41" s="48">
        <f t="shared" si="17"/>
        <v>20</v>
      </c>
    </row>
    <row r="42" spans="1:30" ht="21" customHeight="1" x14ac:dyDescent="0.15">
      <c r="A42" s="46">
        <v>47014040</v>
      </c>
      <c r="B42" s="46" t="s">
        <v>265</v>
      </c>
      <c r="C42" s="49">
        <v>1</v>
      </c>
      <c r="D42" s="49" t="s">
        <v>128</v>
      </c>
      <c r="E42" s="50" t="s">
        <v>276</v>
      </c>
      <c r="F42" s="50" t="s">
        <v>267</v>
      </c>
      <c r="G42" s="62" t="str">
        <f t="shared" si="0"/>
        <v>[effect:enemy_message, val1:1.2, val2:1.2]</v>
      </c>
      <c r="H42" s="62">
        <f t="shared" si="1"/>
        <v>9</v>
      </c>
      <c r="I42" s="62">
        <f t="shared" si="2"/>
        <v>22</v>
      </c>
      <c r="J42" s="62" t="e">
        <f t="shared" si="3"/>
        <v>#VALUE!</v>
      </c>
      <c r="K42" s="62">
        <f t="shared" si="4"/>
        <v>32</v>
      </c>
      <c r="L42" s="62" t="str">
        <f>IFERROR(VLOOKUP(MID(G42,J42,K42-J42),[6]skilldef!$C:$D,2,FALSE),"-") &amp; " / " &amp; IFERROR(VLOOKUP(MID(G42,H42,I42-H42),[6]skilldef!$A:$B,2,FALSE),"-")</f>
        <v>- / -</v>
      </c>
      <c r="M42" s="62" t="str">
        <f t="shared" si="5"/>
        <v>none</v>
      </c>
      <c r="N42" s="47" t="str">
        <f t="shared" si="6"/>
        <v>none</v>
      </c>
      <c r="O42" s="62" t="e">
        <f t="shared" si="7"/>
        <v>#VALUE!</v>
      </c>
      <c r="P42" s="62">
        <f t="shared" si="8"/>
        <v>4</v>
      </c>
      <c r="Q42" s="62" t="e">
        <f t="shared" si="9"/>
        <v>#VALUE!</v>
      </c>
      <c r="R42" s="62" t="e">
        <f t="shared" si="10"/>
        <v>#VALUE!</v>
      </c>
      <c r="S42" s="62" t="str">
        <f>IFERROR(VLOOKUP(MID(N42,Q42,R42-Q42),[6]skilldef!$C:$D,2,FALSE),"-") &amp; " / " &amp; IFERROR(VLOOKUP(MID(N42,O42,P42-O42),[6]skilldef!$A:$B,2,FALSE),"-")</f>
        <v>- / -</v>
      </c>
      <c r="T42" s="47" t="str">
        <f t="shared" si="11"/>
        <v>none</v>
      </c>
      <c r="U42" s="62" t="e">
        <f t="shared" si="12"/>
        <v>#VALUE!</v>
      </c>
      <c r="V42" s="62">
        <f t="shared" si="13"/>
        <v>4</v>
      </c>
      <c r="W42" s="62" t="e">
        <f t="shared" si="14"/>
        <v>#VALUE!</v>
      </c>
      <c r="X42" s="62" t="e">
        <f t="shared" si="15"/>
        <v>#VALUE!</v>
      </c>
      <c r="Y42" s="62" t="str">
        <f>IFERROR(VLOOKUP(MID(T42,W42,X42-W42),[6]skilldef!$C:$D,2,FALSE),"-") &amp; " / " &amp; IFERROR(VLOOKUP(MID(T42,U42,V42-U42),[6]skilldef!$A:$B,2,FALSE),"-")</f>
        <v>- / -</v>
      </c>
      <c r="Z42" s="49"/>
      <c r="AA42" s="51"/>
      <c r="AB42" s="49"/>
      <c r="AC42" s="48">
        <f t="shared" si="16"/>
        <v>5</v>
      </c>
      <c r="AD42" s="48">
        <f t="shared" si="17"/>
        <v>3</v>
      </c>
    </row>
    <row r="43" spans="1:30" ht="21" customHeight="1" x14ac:dyDescent="0.15">
      <c r="A43" s="46">
        <v>47014041</v>
      </c>
      <c r="B43" s="46" t="s">
        <v>265</v>
      </c>
      <c r="C43" s="49">
        <v>1</v>
      </c>
      <c r="D43" s="49" t="s">
        <v>128</v>
      </c>
      <c r="E43" s="50" t="s">
        <v>276</v>
      </c>
      <c r="F43" s="50" t="s">
        <v>267</v>
      </c>
      <c r="G43" s="62" t="str">
        <f t="shared" si="0"/>
        <v>[effect:enemy_message, val1:1.2, val2:1.2]</v>
      </c>
      <c r="H43" s="62">
        <f t="shared" si="1"/>
        <v>9</v>
      </c>
      <c r="I43" s="62">
        <f t="shared" si="2"/>
        <v>22</v>
      </c>
      <c r="J43" s="62" t="e">
        <f t="shared" si="3"/>
        <v>#VALUE!</v>
      </c>
      <c r="K43" s="62">
        <f t="shared" si="4"/>
        <v>32</v>
      </c>
      <c r="L43" s="62" t="str">
        <f>IFERROR(VLOOKUP(MID(G43,J43,K43-J43),[6]skilldef!$C:$D,2,FALSE),"-") &amp; " / " &amp; IFERROR(VLOOKUP(MID(G43,H43,I43-H43),[6]skilldef!$A:$B,2,FALSE),"-")</f>
        <v>- / -</v>
      </c>
      <c r="M43" s="62" t="str">
        <f t="shared" si="5"/>
        <v>none</v>
      </c>
      <c r="N43" s="47" t="str">
        <f t="shared" si="6"/>
        <v>none</v>
      </c>
      <c r="O43" s="62" t="e">
        <f t="shared" si="7"/>
        <v>#VALUE!</v>
      </c>
      <c r="P43" s="62">
        <f t="shared" si="8"/>
        <v>4</v>
      </c>
      <c r="Q43" s="62" t="e">
        <f t="shared" si="9"/>
        <v>#VALUE!</v>
      </c>
      <c r="R43" s="62" t="e">
        <f t="shared" si="10"/>
        <v>#VALUE!</v>
      </c>
      <c r="S43" s="62" t="str">
        <f>IFERROR(VLOOKUP(MID(N43,Q43,R43-Q43),[6]skilldef!$C:$D,2,FALSE),"-") &amp; " / " &amp; IFERROR(VLOOKUP(MID(N43,O43,P43-O43),[6]skilldef!$A:$B,2,FALSE),"-")</f>
        <v>- / -</v>
      </c>
      <c r="T43" s="47" t="str">
        <f t="shared" si="11"/>
        <v>none</v>
      </c>
      <c r="U43" s="62" t="e">
        <f t="shared" si="12"/>
        <v>#VALUE!</v>
      </c>
      <c r="V43" s="62">
        <f t="shared" si="13"/>
        <v>4</v>
      </c>
      <c r="W43" s="62" t="e">
        <f t="shared" si="14"/>
        <v>#VALUE!</v>
      </c>
      <c r="X43" s="62" t="e">
        <f t="shared" si="15"/>
        <v>#VALUE!</v>
      </c>
      <c r="Y43" s="62" t="str">
        <f>IFERROR(VLOOKUP(MID(T43,W43,X43-W43),[6]skilldef!$C:$D,2,FALSE),"-") &amp; " / " &amp; IFERROR(VLOOKUP(MID(T43,U43,V43-U43),[6]skilldef!$A:$B,2,FALSE),"-")</f>
        <v>- / -</v>
      </c>
      <c r="Z43" s="49"/>
      <c r="AA43" s="51"/>
      <c r="AB43" s="49"/>
      <c r="AC43" s="48">
        <f t="shared" si="16"/>
        <v>5</v>
      </c>
      <c r="AD43" s="48">
        <f t="shared" si="17"/>
        <v>3</v>
      </c>
    </row>
    <row r="44" spans="1:30" ht="21" customHeight="1" x14ac:dyDescent="0.15">
      <c r="A44" s="46">
        <v>47014042</v>
      </c>
      <c r="B44" s="46" t="s">
        <v>265</v>
      </c>
      <c r="C44" s="49">
        <v>1</v>
      </c>
      <c r="D44" s="49" t="s">
        <v>128</v>
      </c>
      <c r="E44" s="50" t="s">
        <v>276</v>
      </c>
      <c r="F44" s="50" t="s">
        <v>267</v>
      </c>
      <c r="G44" s="62" t="str">
        <f t="shared" si="0"/>
        <v>[effect:enemy_message, val1:1.2, val2:1.2]</v>
      </c>
      <c r="H44" s="62">
        <f t="shared" si="1"/>
        <v>9</v>
      </c>
      <c r="I44" s="62">
        <f t="shared" si="2"/>
        <v>22</v>
      </c>
      <c r="J44" s="62" t="e">
        <f t="shared" si="3"/>
        <v>#VALUE!</v>
      </c>
      <c r="K44" s="62">
        <f t="shared" si="4"/>
        <v>32</v>
      </c>
      <c r="L44" s="62" t="str">
        <f>IFERROR(VLOOKUP(MID(G44,J44,K44-J44),[6]skilldef!$C:$D,2,FALSE),"-") &amp; " / " &amp; IFERROR(VLOOKUP(MID(G44,H44,I44-H44),[6]skilldef!$A:$B,2,FALSE),"-")</f>
        <v>- / -</v>
      </c>
      <c r="M44" s="62" t="str">
        <f t="shared" si="5"/>
        <v>none</v>
      </c>
      <c r="N44" s="47" t="str">
        <f t="shared" si="6"/>
        <v>none</v>
      </c>
      <c r="O44" s="62" t="e">
        <f t="shared" si="7"/>
        <v>#VALUE!</v>
      </c>
      <c r="P44" s="62">
        <f t="shared" si="8"/>
        <v>4</v>
      </c>
      <c r="Q44" s="62" t="e">
        <f t="shared" si="9"/>
        <v>#VALUE!</v>
      </c>
      <c r="R44" s="62" t="e">
        <f t="shared" si="10"/>
        <v>#VALUE!</v>
      </c>
      <c r="S44" s="62" t="str">
        <f>IFERROR(VLOOKUP(MID(N44,Q44,R44-Q44),[6]skilldef!$C:$D,2,FALSE),"-") &amp; " / " &amp; IFERROR(VLOOKUP(MID(N44,O44,P44-O44),[6]skilldef!$A:$B,2,FALSE),"-")</f>
        <v>- / -</v>
      </c>
      <c r="T44" s="47" t="str">
        <f t="shared" si="11"/>
        <v>none</v>
      </c>
      <c r="U44" s="62" t="e">
        <f t="shared" si="12"/>
        <v>#VALUE!</v>
      </c>
      <c r="V44" s="62">
        <f t="shared" si="13"/>
        <v>4</v>
      </c>
      <c r="W44" s="62" t="e">
        <f t="shared" si="14"/>
        <v>#VALUE!</v>
      </c>
      <c r="X44" s="62" t="e">
        <f t="shared" si="15"/>
        <v>#VALUE!</v>
      </c>
      <c r="Y44" s="62" t="str">
        <f>IFERROR(VLOOKUP(MID(T44,W44,X44-W44),[6]skilldef!$C:$D,2,FALSE),"-") &amp; " / " &amp; IFERROR(VLOOKUP(MID(T44,U44,V44-U44),[6]skilldef!$A:$B,2,FALSE),"-")</f>
        <v>- / -</v>
      </c>
      <c r="Z44" s="49"/>
      <c r="AA44" s="51"/>
      <c r="AB44" s="49"/>
      <c r="AC44" s="48">
        <f t="shared" si="16"/>
        <v>5</v>
      </c>
      <c r="AD44" s="48">
        <f t="shared" si="17"/>
        <v>3</v>
      </c>
    </row>
    <row r="45" spans="1:30" ht="21" customHeight="1" x14ac:dyDescent="0.15">
      <c r="A45" s="46">
        <v>47014043</v>
      </c>
      <c r="B45" s="46" t="s">
        <v>265</v>
      </c>
      <c r="C45" s="49">
        <v>1</v>
      </c>
      <c r="D45" s="49" t="s">
        <v>128</v>
      </c>
      <c r="E45" s="50" t="s">
        <v>276</v>
      </c>
      <c r="F45" s="50" t="s">
        <v>267</v>
      </c>
      <c r="G45" s="62" t="str">
        <f t="shared" si="0"/>
        <v>[effect:enemy_message, val1:1.2, val2:1.2]</v>
      </c>
      <c r="H45" s="62">
        <f t="shared" si="1"/>
        <v>9</v>
      </c>
      <c r="I45" s="62">
        <f t="shared" si="2"/>
        <v>22</v>
      </c>
      <c r="J45" s="62" t="e">
        <f t="shared" si="3"/>
        <v>#VALUE!</v>
      </c>
      <c r="K45" s="62">
        <f t="shared" si="4"/>
        <v>32</v>
      </c>
      <c r="L45" s="62" t="str">
        <f>IFERROR(VLOOKUP(MID(G45,J45,K45-J45),[6]skilldef!$C:$D,2,FALSE),"-") &amp; " / " &amp; IFERROR(VLOOKUP(MID(G45,H45,I45-H45),[6]skilldef!$A:$B,2,FALSE),"-")</f>
        <v>- / -</v>
      </c>
      <c r="M45" s="62" t="str">
        <f t="shared" si="5"/>
        <v>none</v>
      </c>
      <c r="N45" s="47" t="str">
        <f t="shared" si="6"/>
        <v>none</v>
      </c>
      <c r="O45" s="62" t="e">
        <f t="shared" si="7"/>
        <v>#VALUE!</v>
      </c>
      <c r="P45" s="62">
        <f t="shared" si="8"/>
        <v>4</v>
      </c>
      <c r="Q45" s="62" t="e">
        <f t="shared" si="9"/>
        <v>#VALUE!</v>
      </c>
      <c r="R45" s="62" t="e">
        <f t="shared" si="10"/>
        <v>#VALUE!</v>
      </c>
      <c r="S45" s="62" t="str">
        <f>IFERROR(VLOOKUP(MID(N45,Q45,R45-Q45),[6]skilldef!$C:$D,2,FALSE),"-") &amp; " / " &amp; IFERROR(VLOOKUP(MID(N45,O45,P45-O45),[6]skilldef!$A:$B,2,FALSE),"-")</f>
        <v>- / -</v>
      </c>
      <c r="T45" s="47" t="str">
        <f t="shared" si="11"/>
        <v>none</v>
      </c>
      <c r="U45" s="62" t="e">
        <f t="shared" si="12"/>
        <v>#VALUE!</v>
      </c>
      <c r="V45" s="62">
        <f t="shared" si="13"/>
        <v>4</v>
      </c>
      <c r="W45" s="62" t="e">
        <f t="shared" si="14"/>
        <v>#VALUE!</v>
      </c>
      <c r="X45" s="62" t="e">
        <f t="shared" si="15"/>
        <v>#VALUE!</v>
      </c>
      <c r="Y45" s="62" t="str">
        <f>IFERROR(VLOOKUP(MID(T45,W45,X45-W45),[6]skilldef!$C:$D,2,FALSE),"-") &amp; " / " &amp; IFERROR(VLOOKUP(MID(T45,U45,V45-U45),[6]skilldef!$A:$B,2,FALSE),"-")</f>
        <v>- / -</v>
      </c>
      <c r="Z45" s="49"/>
      <c r="AA45" s="51"/>
      <c r="AB45" s="49"/>
      <c r="AC45" s="48">
        <f t="shared" si="16"/>
        <v>5</v>
      </c>
      <c r="AD45" s="48">
        <f t="shared" si="17"/>
        <v>3</v>
      </c>
    </row>
    <row r="46" spans="1:30" ht="21" customHeight="1" x14ac:dyDescent="0.15">
      <c r="A46" s="46">
        <v>47014044</v>
      </c>
      <c r="B46" s="46" t="s">
        <v>265</v>
      </c>
      <c r="C46" s="49">
        <v>1</v>
      </c>
      <c r="D46" s="49" t="s">
        <v>128</v>
      </c>
      <c r="E46" s="50" t="s">
        <v>276</v>
      </c>
      <c r="F46" s="50" t="s">
        <v>267</v>
      </c>
      <c r="G46" s="62" t="str">
        <f t="shared" si="0"/>
        <v>[effect:enemy_message, val1:1.2, val2:1.2]</v>
      </c>
      <c r="H46" s="62">
        <f t="shared" si="1"/>
        <v>9</v>
      </c>
      <c r="I46" s="62">
        <f t="shared" si="2"/>
        <v>22</v>
      </c>
      <c r="J46" s="62" t="e">
        <f t="shared" si="3"/>
        <v>#VALUE!</v>
      </c>
      <c r="K46" s="62">
        <f t="shared" si="4"/>
        <v>32</v>
      </c>
      <c r="L46" s="62" t="str">
        <f>IFERROR(VLOOKUP(MID(G46,J46,K46-J46),[6]skilldef!$C:$D,2,FALSE),"-") &amp; " / " &amp; IFERROR(VLOOKUP(MID(G46,H46,I46-H46),[6]skilldef!$A:$B,2,FALSE),"-")</f>
        <v>- / -</v>
      </c>
      <c r="M46" s="62" t="str">
        <f t="shared" si="5"/>
        <v>none</v>
      </c>
      <c r="N46" s="47" t="str">
        <f t="shared" si="6"/>
        <v>none</v>
      </c>
      <c r="O46" s="62" t="e">
        <f t="shared" si="7"/>
        <v>#VALUE!</v>
      </c>
      <c r="P46" s="62">
        <f t="shared" si="8"/>
        <v>4</v>
      </c>
      <c r="Q46" s="62" t="e">
        <f t="shared" si="9"/>
        <v>#VALUE!</v>
      </c>
      <c r="R46" s="62" t="e">
        <f t="shared" si="10"/>
        <v>#VALUE!</v>
      </c>
      <c r="S46" s="62" t="str">
        <f>IFERROR(VLOOKUP(MID(N46,Q46,R46-Q46),[6]skilldef!$C:$D,2,FALSE),"-") &amp; " / " &amp; IFERROR(VLOOKUP(MID(N46,O46,P46-O46),[6]skilldef!$A:$B,2,FALSE),"-")</f>
        <v>- / -</v>
      </c>
      <c r="T46" s="47" t="str">
        <f t="shared" si="11"/>
        <v>none</v>
      </c>
      <c r="U46" s="62" t="e">
        <f t="shared" si="12"/>
        <v>#VALUE!</v>
      </c>
      <c r="V46" s="62">
        <f t="shared" si="13"/>
        <v>4</v>
      </c>
      <c r="W46" s="62" t="e">
        <f t="shared" si="14"/>
        <v>#VALUE!</v>
      </c>
      <c r="X46" s="62" t="e">
        <f t="shared" si="15"/>
        <v>#VALUE!</v>
      </c>
      <c r="Y46" s="62" t="str">
        <f>IFERROR(VLOOKUP(MID(T46,W46,X46-W46),[6]skilldef!$C:$D,2,FALSE),"-") &amp; " / " &amp; IFERROR(VLOOKUP(MID(T46,U46,V46-U46),[6]skilldef!$A:$B,2,FALSE),"-")</f>
        <v>- / -</v>
      </c>
      <c r="Z46" s="49"/>
      <c r="AA46" s="51"/>
      <c r="AB46" s="49"/>
      <c r="AC46" s="48">
        <f t="shared" si="16"/>
        <v>5</v>
      </c>
      <c r="AD46" s="48">
        <f t="shared" si="17"/>
        <v>3</v>
      </c>
    </row>
    <row r="47" spans="1:30" ht="21" customHeight="1" x14ac:dyDescent="0.15">
      <c r="A47" s="46">
        <v>47014045</v>
      </c>
      <c r="B47" s="46" t="s">
        <v>348</v>
      </c>
      <c r="C47" s="49">
        <v>3</v>
      </c>
      <c r="D47" s="49" t="s">
        <v>128</v>
      </c>
      <c r="E47" s="50" t="s">
        <v>322</v>
      </c>
      <c r="F47" s="50" t="s">
        <v>300</v>
      </c>
      <c r="G47" s="62" t="str">
        <f t="shared" si="0"/>
        <v>[effect:enemy_message, val1:1.2, val2:1.9]</v>
      </c>
      <c r="H47" s="62">
        <f t="shared" si="1"/>
        <v>9</v>
      </c>
      <c r="I47" s="62">
        <f t="shared" si="2"/>
        <v>22</v>
      </c>
      <c r="J47" s="62" t="e">
        <f t="shared" si="3"/>
        <v>#VALUE!</v>
      </c>
      <c r="K47" s="62">
        <f t="shared" si="4"/>
        <v>32</v>
      </c>
      <c r="L47" s="62" t="str">
        <f>IFERROR(VLOOKUP(MID(G47,J47,K47-J47),[6]skilldef!$C:$D,2,FALSE),"-") &amp; " / " &amp; IFERROR(VLOOKUP(MID(G47,H47,I47-H47),[6]skilldef!$A:$B,2,FALSE),"-")</f>
        <v>- / -</v>
      </c>
      <c r="M47" s="62" t="str">
        <f t="shared" si="5"/>
        <v>[effect:break_attack, target:unit_one, val:0.25, lowest_val:1500, count:3, color:red, block01:jammer]</v>
      </c>
      <c r="N47" s="47" t="str">
        <f t="shared" si="6"/>
        <v>[effect:break_attack, target:unit_one, val:0.25, lowest_val:1500, count:3, color:red, block01:jammer]</v>
      </c>
      <c r="O47" s="62">
        <f t="shared" si="7"/>
        <v>9</v>
      </c>
      <c r="P47" s="62">
        <f t="shared" si="8"/>
        <v>21</v>
      </c>
      <c r="Q47" s="62">
        <f t="shared" si="9"/>
        <v>30</v>
      </c>
      <c r="R47" s="62">
        <f t="shared" si="10"/>
        <v>38</v>
      </c>
      <c r="S47" s="62" t="str">
        <f>IFERROR(VLOOKUP(MID(N47,Q47,R47-Q47),[6]skilldef!$C:$D,2,FALSE),"-") &amp; " / " &amp; IFERROR(VLOOKUP(MID(N47,O47,P47-O47),[6]skilldef!$A:$B,2,FALSE),"-")</f>
        <v>味方単体に / -</v>
      </c>
      <c r="T47" s="47" t="str">
        <f t="shared" si="11"/>
        <v>none</v>
      </c>
      <c r="U47" s="62" t="e">
        <f t="shared" si="12"/>
        <v>#VALUE!</v>
      </c>
      <c r="V47" s="62">
        <f t="shared" si="13"/>
        <v>4</v>
      </c>
      <c r="W47" s="62" t="e">
        <f t="shared" si="14"/>
        <v>#VALUE!</v>
      </c>
      <c r="X47" s="62" t="e">
        <f t="shared" si="15"/>
        <v>#VALUE!</v>
      </c>
      <c r="Y47" s="62" t="str">
        <f>IFERROR(VLOOKUP(MID(T47,W47,X47-W47),[6]skilldef!$C:$D,2,FALSE),"-") &amp; " / " &amp; IFERROR(VLOOKUP(MID(T47,U47,V47-U47),[6]skilldef!$A:$B,2,FALSE),"-")</f>
        <v>- / -</v>
      </c>
      <c r="Z47" s="49"/>
      <c r="AA47" s="51"/>
      <c r="AB47" s="49"/>
      <c r="AC47" s="48">
        <f t="shared" si="16"/>
        <v>6</v>
      </c>
      <c r="AD47" s="48">
        <f t="shared" si="17"/>
        <v>19</v>
      </c>
    </row>
    <row r="48" spans="1:30" ht="21" customHeight="1" x14ac:dyDescent="0.15">
      <c r="A48" s="46">
        <v>47014046</v>
      </c>
      <c r="B48" s="46" t="s">
        <v>265</v>
      </c>
      <c r="C48" s="49">
        <v>1</v>
      </c>
      <c r="D48" s="49" t="s">
        <v>128</v>
      </c>
      <c r="E48" s="50" t="s">
        <v>279</v>
      </c>
      <c r="F48" s="50" t="s">
        <v>267</v>
      </c>
      <c r="G48" s="62" t="str">
        <f t="shared" si="0"/>
        <v>[effect:enemy_message, val1:1.2, val2:1.2]</v>
      </c>
      <c r="H48" s="62">
        <f t="shared" si="1"/>
        <v>9</v>
      </c>
      <c r="I48" s="62">
        <f t="shared" si="2"/>
        <v>22</v>
      </c>
      <c r="J48" s="62" t="e">
        <f t="shared" si="3"/>
        <v>#VALUE!</v>
      </c>
      <c r="K48" s="62">
        <f t="shared" si="4"/>
        <v>32</v>
      </c>
      <c r="L48" s="62" t="str">
        <f>IFERROR(VLOOKUP(MID(G48,J48,K48-J48),[6]skilldef!$C:$D,2,FALSE),"-") &amp; " / " &amp; IFERROR(VLOOKUP(MID(G48,H48,I48-H48),[6]skilldef!$A:$B,2,FALSE),"-")</f>
        <v>- / -</v>
      </c>
      <c r="M48" s="62" t="str">
        <f t="shared" si="5"/>
        <v>none</v>
      </c>
      <c r="N48" s="47" t="str">
        <f t="shared" si="6"/>
        <v>none</v>
      </c>
      <c r="O48" s="62" t="e">
        <f t="shared" si="7"/>
        <v>#VALUE!</v>
      </c>
      <c r="P48" s="62">
        <f t="shared" si="8"/>
        <v>4</v>
      </c>
      <c r="Q48" s="62" t="e">
        <f t="shared" si="9"/>
        <v>#VALUE!</v>
      </c>
      <c r="R48" s="62" t="e">
        <f t="shared" si="10"/>
        <v>#VALUE!</v>
      </c>
      <c r="S48" s="62" t="str">
        <f>IFERROR(VLOOKUP(MID(N48,Q48,R48-Q48),[6]skilldef!$C:$D,2,FALSE),"-") &amp; " / " &amp; IFERROR(VLOOKUP(MID(N48,O48,P48-O48),[6]skilldef!$A:$B,2,FALSE),"-")</f>
        <v>- / -</v>
      </c>
      <c r="T48" s="47" t="str">
        <f t="shared" si="11"/>
        <v>none</v>
      </c>
      <c r="U48" s="62" t="e">
        <f t="shared" si="12"/>
        <v>#VALUE!</v>
      </c>
      <c r="V48" s="62">
        <f t="shared" si="13"/>
        <v>4</v>
      </c>
      <c r="W48" s="62" t="e">
        <f t="shared" si="14"/>
        <v>#VALUE!</v>
      </c>
      <c r="X48" s="62" t="e">
        <f t="shared" si="15"/>
        <v>#VALUE!</v>
      </c>
      <c r="Y48" s="62" t="str">
        <f>IFERROR(VLOOKUP(MID(T48,W48,X48-W48),[6]skilldef!$C:$D,2,FALSE),"-") &amp; " / " &amp; IFERROR(VLOOKUP(MID(T48,U48,V48-U48),[6]skilldef!$A:$B,2,FALSE),"-")</f>
        <v>- / -</v>
      </c>
      <c r="Z48" s="49"/>
      <c r="AA48" s="51"/>
      <c r="AB48" s="49"/>
      <c r="AC48" s="48">
        <f t="shared" si="16"/>
        <v>4</v>
      </c>
      <c r="AD48" s="48">
        <f t="shared" si="17"/>
        <v>3</v>
      </c>
    </row>
    <row r="49" spans="1:30" ht="21" customHeight="1" x14ac:dyDescent="0.15">
      <c r="A49" s="46">
        <v>47014047</v>
      </c>
      <c r="B49" s="46" t="s">
        <v>265</v>
      </c>
      <c r="C49" s="49">
        <v>1</v>
      </c>
      <c r="D49" s="49" t="s">
        <v>128</v>
      </c>
      <c r="E49" s="50" t="s">
        <v>279</v>
      </c>
      <c r="F49" s="50" t="s">
        <v>267</v>
      </c>
      <c r="G49" s="62" t="str">
        <f t="shared" si="0"/>
        <v>[effect:enemy_message, val1:1.2, val2:1.2]</v>
      </c>
      <c r="H49" s="62">
        <f t="shared" si="1"/>
        <v>9</v>
      </c>
      <c r="I49" s="62">
        <f t="shared" si="2"/>
        <v>22</v>
      </c>
      <c r="J49" s="62" t="e">
        <f t="shared" si="3"/>
        <v>#VALUE!</v>
      </c>
      <c r="K49" s="62">
        <f t="shared" si="4"/>
        <v>32</v>
      </c>
      <c r="L49" s="62" t="str">
        <f>IFERROR(VLOOKUP(MID(G49,J49,K49-J49),[6]skilldef!$C:$D,2,FALSE),"-") &amp; " / " &amp; IFERROR(VLOOKUP(MID(G49,H49,I49-H49),[6]skilldef!$A:$B,2,FALSE),"-")</f>
        <v>- / -</v>
      </c>
      <c r="M49" s="62" t="str">
        <f t="shared" si="5"/>
        <v>none</v>
      </c>
      <c r="N49" s="47" t="str">
        <f t="shared" si="6"/>
        <v>none</v>
      </c>
      <c r="O49" s="62" t="e">
        <f t="shared" si="7"/>
        <v>#VALUE!</v>
      </c>
      <c r="P49" s="62">
        <f t="shared" si="8"/>
        <v>4</v>
      </c>
      <c r="Q49" s="62" t="e">
        <f t="shared" si="9"/>
        <v>#VALUE!</v>
      </c>
      <c r="R49" s="62" t="e">
        <f t="shared" si="10"/>
        <v>#VALUE!</v>
      </c>
      <c r="S49" s="62" t="str">
        <f>IFERROR(VLOOKUP(MID(N49,Q49,R49-Q49),[6]skilldef!$C:$D,2,FALSE),"-") &amp; " / " &amp; IFERROR(VLOOKUP(MID(N49,O49,P49-O49),[6]skilldef!$A:$B,2,FALSE),"-")</f>
        <v>- / -</v>
      </c>
      <c r="T49" s="47" t="str">
        <f t="shared" si="11"/>
        <v>none</v>
      </c>
      <c r="U49" s="62" t="e">
        <f t="shared" si="12"/>
        <v>#VALUE!</v>
      </c>
      <c r="V49" s="62">
        <f t="shared" si="13"/>
        <v>4</v>
      </c>
      <c r="W49" s="62" t="e">
        <f t="shared" si="14"/>
        <v>#VALUE!</v>
      </c>
      <c r="X49" s="62" t="e">
        <f t="shared" si="15"/>
        <v>#VALUE!</v>
      </c>
      <c r="Y49" s="62" t="str">
        <f>IFERROR(VLOOKUP(MID(T49,W49,X49-W49),[6]skilldef!$C:$D,2,FALSE),"-") &amp; " / " &amp; IFERROR(VLOOKUP(MID(T49,U49,V49-U49),[6]skilldef!$A:$B,2,FALSE),"-")</f>
        <v>- / -</v>
      </c>
      <c r="Z49" s="49"/>
      <c r="AA49" s="51"/>
      <c r="AB49" s="49"/>
      <c r="AC49" s="48">
        <f t="shared" si="16"/>
        <v>4</v>
      </c>
      <c r="AD49" s="48">
        <f t="shared" si="17"/>
        <v>3</v>
      </c>
    </row>
    <row r="50" spans="1:30" ht="21" customHeight="1" x14ac:dyDescent="0.15">
      <c r="A50" s="46">
        <v>47014048</v>
      </c>
      <c r="B50" s="46" t="s">
        <v>265</v>
      </c>
      <c r="C50" s="49">
        <v>1</v>
      </c>
      <c r="D50" s="49" t="s">
        <v>128</v>
      </c>
      <c r="E50" s="50" t="s">
        <v>279</v>
      </c>
      <c r="F50" s="50" t="s">
        <v>267</v>
      </c>
      <c r="G50" s="62" t="str">
        <f t="shared" si="0"/>
        <v>[effect:enemy_message, val1:1.2, val2:1.2]</v>
      </c>
      <c r="H50" s="62">
        <f t="shared" si="1"/>
        <v>9</v>
      </c>
      <c r="I50" s="62">
        <f t="shared" si="2"/>
        <v>22</v>
      </c>
      <c r="J50" s="107" t="s">
        <v>285</v>
      </c>
      <c r="K50" s="62">
        <f t="shared" si="4"/>
        <v>32</v>
      </c>
      <c r="L50" s="62" t="str">
        <f>IFERROR(VLOOKUP(MID(G50,J50,K50-J50),[6]skilldef!$C:$D,2,FALSE),"-") &amp; " / " &amp; IFERROR(VLOOKUP(MID(G50,H50,I50-H50),[6]skilldef!$A:$B,2,FALSE),"-")</f>
        <v>- / -</v>
      </c>
      <c r="M50" s="62" t="str">
        <f t="shared" si="5"/>
        <v>none</v>
      </c>
      <c r="N50" s="47" t="str">
        <f t="shared" si="6"/>
        <v>none</v>
      </c>
      <c r="O50" s="62" t="e">
        <f t="shared" si="7"/>
        <v>#VALUE!</v>
      </c>
      <c r="P50" s="62">
        <f t="shared" si="8"/>
        <v>4</v>
      </c>
      <c r="Q50" s="62" t="e">
        <f t="shared" si="9"/>
        <v>#VALUE!</v>
      </c>
      <c r="R50" s="62" t="e">
        <f t="shared" si="10"/>
        <v>#VALUE!</v>
      </c>
      <c r="S50" s="62" t="str">
        <f>IFERROR(VLOOKUP(MID(N50,Q50,R50-Q50),[6]skilldef!$C:$D,2,FALSE),"-") &amp; " / " &amp; IFERROR(VLOOKUP(MID(N50,O50,P50-O50),[6]skilldef!$A:$B,2,FALSE),"-")</f>
        <v>- / -</v>
      </c>
      <c r="T50" s="47" t="str">
        <f t="shared" si="11"/>
        <v>none</v>
      </c>
      <c r="U50" s="62" t="e">
        <f t="shared" si="12"/>
        <v>#VALUE!</v>
      </c>
      <c r="V50" s="62">
        <f t="shared" si="13"/>
        <v>4</v>
      </c>
      <c r="W50" s="62" t="e">
        <f t="shared" si="14"/>
        <v>#VALUE!</v>
      </c>
      <c r="X50" s="62" t="e">
        <f t="shared" si="15"/>
        <v>#VALUE!</v>
      </c>
      <c r="Y50" s="62" t="str">
        <f>IFERROR(VLOOKUP(MID(T50,W50,X50-W50),[6]skilldef!$C:$D,2,FALSE),"-") &amp; " / " &amp; IFERROR(VLOOKUP(MID(T50,U50,V50-U50),[6]skilldef!$A:$B,2,FALSE),"-")</f>
        <v>- / -</v>
      </c>
      <c r="Z50" s="49"/>
      <c r="AA50" s="51"/>
      <c r="AB50" s="49"/>
      <c r="AC50" s="48">
        <f t="shared" si="16"/>
        <v>4</v>
      </c>
      <c r="AD50" s="48">
        <f t="shared" si="17"/>
        <v>3</v>
      </c>
    </row>
    <row r="51" spans="1:30" ht="21" customHeight="1" x14ac:dyDescent="0.15">
      <c r="A51" s="46">
        <v>47014049</v>
      </c>
      <c r="B51" s="46" t="s">
        <v>265</v>
      </c>
      <c r="C51" s="49">
        <v>1</v>
      </c>
      <c r="D51" s="49" t="s">
        <v>128</v>
      </c>
      <c r="E51" s="50" t="s">
        <v>279</v>
      </c>
      <c r="F51" s="50" t="s">
        <v>267</v>
      </c>
      <c r="G51" s="62" t="str">
        <f t="shared" si="0"/>
        <v>[effect:enemy_message, val1:1.2, val2:1.2]</v>
      </c>
      <c r="H51" s="62">
        <f t="shared" si="1"/>
        <v>9</v>
      </c>
      <c r="I51" s="62">
        <f t="shared" si="2"/>
        <v>22</v>
      </c>
      <c r="J51" s="62" t="e">
        <f t="shared" si="3"/>
        <v>#VALUE!</v>
      </c>
      <c r="K51" s="62">
        <f t="shared" si="4"/>
        <v>32</v>
      </c>
      <c r="L51" s="62" t="str">
        <f>IFERROR(VLOOKUP(MID(G51,J51,K51-J51),[6]skilldef!$C:$D,2,FALSE),"-") &amp; " / " &amp; IFERROR(VLOOKUP(MID(G51,H51,I51-H51),[6]skilldef!$A:$B,2,FALSE),"-")</f>
        <v>- / -</v>
      </c>
      <c r="M51" s="62" t="str">
        <f t="shared" si="5"/>
        <v>none</v>
      </c>
      <c r="N51" s="47" t="str">
        <f t="shared" si="6"/>
        <v>none</v>
      </c>
      <c r="O51" s="62" t="e">
        <f t="shared" si="7"/>
        <v>#VALUE!</v>
      </c>
      <c r="P51" s="62">
        <f t="shared" si="8"/>
        <v>4</v>
      </c>
      <c r="Q51" s="62" t="e">
        <f t="shared" si="9"/>
        <v>#VALUE!</v>
      </c>
      <c r="R51" s="62" t="e">
        <f t="shared" si="10"/>
        <v>#VALUE!</v>
      </c>
      <c r="S51" s="62" t="str">
        <f>IFERROR(VLOOKUP(MID(N51,Q51,R51-Q51),[6]skilldef!$C:$D,2,FALSE),"-") &amp; " / " &amp; IFERROR(VLOOKUP(MID(N51,O51,P51-O51),[6]skilldef!$A:$B,2,FALSE),"-")</f>
        <v>- / -</v>
      </c>
      <c r="T51" s="47" t="str">
        <f t="shared" si="11"/>
        <v>none</v>
      </c>
      <c r="U51" s="62" t="e">
        <f t="shared" si="12"/>
        <v>#VALUE!</v>
      </c>
      <c r="V51" s="62">
        <f t="shared" si="13"/>
        <v>4</v>
      </c>
      <c r="W51" s="62" t="e">
        <f t="shared" si="14"/>
        <v>#VALUE!</v>
      </c>
      <c r="X51" s="62" t="e">
        <f t="shared" si="15"/>
        <v>#VALUE!</v>
      </c>
      <c r="Y51" s="62" t="str">
        <f>IFERROR(VLOOKUP(MID(T51,W51,X51-W51),[6]skilldef!$C:$D,2,FALSE),"-") &amp; " / " &amp; IFERROR(VLOOKUP(MID(T51,U51,V51-U51),[6]skilldef!$A:$B,2,FALSE),"-")</f>
        <v>- / -</v>
      </c>
      <c r="Z51" s="49"/>
      <c r="AA51" s="51"/>
      <c r="AB51" s="49"/>
      <c r="AC51" s="48">
        <f t="shared" si="16"/>
        <v>4</v>
      </c>
      <c r="AD51" s="48">
        <f t="shared" si="17"/>
        <v>3</v>
      </c>
    </row>
    <row r="52" spans="1:30" ht="21" customHeight="1" x14ac:dyDescent="0.15">
      <c r="A52" s="46">
        <v>47014050</v>
      </c>
      <c r="B52" s="46" t="s">
        <v>349</v>
      </c>
      <c r="C52" s="49">
        <v>3</v>
      </c>
      <c r="D52" s="49" t="s">
        <v>128</v>
      </c>
      <c r="E52" s="50" t="s">
        <v>327</v>
      </c>
      <c r="F52" s="50" t="s">
        <v>277</v>
      </c>
      <c r="G52" s="62" t="str">
        <f t="shared" si="0"/>
        <v>[effect:enemy_message, val1:1.4, val2:1.2]</v>
      </c>
      <c r="H52" s="62">
        <f t="shared" si="1"/>
        <v>9</v>
      </c>
      <c r="I52" s="62">
        <f t="shared" si="2"/>
        <v>22</v>
      </c>
      <c r="J52" s="62" t="e">
        <f t="shared" si="3"/>
        <v>#VALUE!</v>
      </c>
      <c r="K52" s="62">
        <f t="shared" si="4"/>
        <v>32</v>
      </c>
      <c r="L52" s="62" t="str">
        <f>IFERROR(VLOOKUP(MID(G52,J52,K52-J52),[6]skilldef!$C:$D,2,FALSE),"-") &amp; " / " &amp; IFERROR(VLOOKUP(MID(G52,H52,I52-H52),[6]skilldef!$A:$B,2,FALSE),"-")</f>
        <v>- / -</v>
      </c>
      <c r="M52" s="62" t="str">
        <f t="shared" si="5"/>
        <v>[effect:tolerance, target:myself, turn:-1, count:-1, tolerance_effect:all, animation:enemy_tolerance],[effect:fix_speed, target:myself, turn:1]</v>
      </c>
      <c r="N52" s="47" t="str">
        <f t="shared" si="6"/>
        <v>[effect:tolerance, target:myself, turn:-1, count:-1, tolerance_effect:all, animation:enemy_tolerance],[effect:fix_speed, target:myself, turn:1]</v>
      </c>
      <c r="O52" s="62">
        <f t="shared" si="7"/>
        <v>9</v>
      </c>
      <c r="P52" s="62">
        <f t="shared" si="8"/>
        <v>18</v>
      </c>
      <c r="Q52" s="62">
        <f t="shared" si="9"/>
        <v>27</v>
      </c>
      <c r="R52" s="62">
        <f t="shared" si="10"/>
        <v>33</v>
      </c>
      <c r="S52" s="62" t="str">
        <f>IFERROR(VLOOKUP(MID(N52,Q52,R52-Q52),[6]skilldef!$C:$D,2,FALSE),"-") &amp; " / " &amp; IFERROR(VLOOKUP(MID(N52,O52,P52-O52),[6]skilldef!$A:$B,2,FALSE),"-")</f>
        <v>自分自身に / 状態異常耐性</v>
      </c>
      <c r="T52" s="47" t="str">
        <f t="shared" si="11"/>
        <v>[effect:fix_speed, target:myself, turn:1]</v>
      </c>
      <c r="U52" s="62">
        <f t="shared" si="12"/>
        <v>9</v>
      </c>
      <c r="V52" s="62">
        <f t="shared" si="13"/>
        <v>18</v>
      </c>
      <c r="W52" s="62">
        <f t="shared" si="14"/>
        <v>27</v>
      </c>
      <c r="X52" s="62">
        <f t="shared" si="15"/>
        <v>33</v>
      </c>
      <c r="Y52" s="62" t="str">
        <f>IFERROR(VLOOKUP(MID(T52,W52,X52-W52),[6]skilldef!$C:$D,2,FALSE),"-") &amp; " / " &amp; IFERROR(VLOOKUP(MID(T52,U52,V52-U52),[6]skilldef!$A:$B,2,FALSE),"-")</f>
        <v>自分自身に / 行動値設定</v>
      </c>
      <c r="Z52" s="49"/>
      <c r="AA52" s="51"/>
      <c r="AB52" s="49"/>
      <c r="AC52" s="48">
        <f t="shared" si="16"/>
        <v>14</v>
      </c>
      <c r="AD52" s="48">
        <f t="shared" si="17"/>
        <v>6</v>
      </c>
    </row>
    <row r="53" spans="1:30" ht="21" customHeight="1" x14ac:dyDescent="0.15">
      <c r="A53" s="46">
        <v>47014051</v>
      </c>
      <c r="B53" s="46" t="s">
        <v>383</v>
      </c>
      <c r="C53" s="49">
        <v>3</v>
      </c>
      <c r="D53" s="49" t="s">
        <v>128</v>
      </c>
      <c r="E53" s="50" t="s">
        <v>328</v>
      </c>
      <c r="F53" s="50" t="s">
        <v>382</v>
      </c>
      <c r="G53" s="62" t="str">
        <f t="shared" si="0"/>
        <v>[effect:enemy_message, val1:1.2, val2:2.0]</v>
      </c>
      <c r="H53" s="62">
        <f t="shared" si="1"/>
        <v>9</v>
      </c>
      <c r="I53" s="62">
        <f t="shared" si="2"/>
        <v>22</v>
      </c>
      <c r="J53" s="62" t="e">
        <f t="shared" si="3"/>
        <v>#VALUE!</v>
      </c>
      <c r="K53" s="62">
        <f t="shared" si="4"/>
        <v>32</v>
      </c>
      <c r="L53" s="62" t="str">
        <f>IFERROR(VLOOKUP(MID(G53,J53,K53-J53),[6]skilldef!$C:$D,2,FALSE),"-") &amp; " / " &amp; IFERROR(VLOOKUP(MID(G53,H53,I53-H53),[6]skilldef!$A:$B,2,FALSE),"-")</f>
        <v>- / -</v>
      </c>
      <c r="M53" s="62" t="str">
        <f t="shared" si="5"/>
        <v>[effect:virus, target:unit_all, turn:6, rate:1, val:0.05, animation:enemy_virus],[effect:rush, count:1, val:1]</v>
      </c>
      <c r="N53" s="47" t="str">
        <f t="shared" si="6"/>
        <v>[effect:virus, target:unit_all, turn:6, rate:1, val:0.05, animation:enemy_virus],[effect:rush, count:1, val:1]</v>
      </c>
      <c r="O53" s="62">
        <f t="shared" si="7"/>
        <v>9</v>
      </c>
      <c r="P53" s="62">
        <f t="shared" si="8"/>
        <v>14</v>
      </c>
      <c r="Q53" s="62">
        <f t="shared" si="9"/>
        <v>23</v>
      </c>
      <c r="R53" s="62">
        <f t="shared" si="10"/>
        <v>31</v>
      </c>
      <c r="S53" s="62" t="str">
        <f>IFERROR(VLOOKUP(MID(N53,Q53,R53-Q53),[6]skilldef!$C:$D,2,FALSE),"-") &amp; " / " &amp; IFERROR(VLOOKUP(MID(N53,O53,P53-O53),[6]skilldef!$A:$B,2,FALSE),"-")</f>
        <v>味方全体に / ウィルス</v>
      </c>
      <c r="T53" s="47" t="str">
        <f t="shared" si="11"/>
        <v>[effect:rush, count:1, val:1]</v>
      </c>
      <c r="U53" s="62">
        <f t="shared" si="12"/>
        <v>9</v>
      </c>
      <c r="V53" s="62">
        <f t="shared" si="13"/>
        <v>13</v>
      </c>
      <c r="W53" s="62" t="e">
        <f t="shared" si="14"/>
        <v>#VALUE!</v>
      </c>
      <c r="X53" s="62">
        <f t="shared" si="15"/>
        <v>22</v>
      </c>
      <c r="Y53" s="62" t="str">
        <f>IFERROR(VLOOKUP(MID(T53,W53,X53-W53),[6]skilldef!$C:$D,2,FALSE),"-") &amp; " / " &amp; IFERROR(VLOOKUP(MID(T53,U53,V53-U53),[6]skilldef!$A:$B,2,FALSE),"-")</f>
        <v>- / 連続攻撃</v>
      </c>
      <c r="Z53" s="49"/>
      <c r="AA53" s="51"/>
      <c r="AB53" s="49"/>
      <c r="AC53" s="48">
        <f t="shared" si="16"/>
        <v>9</v>
      </c>
      <c r="AD53" s="48">
        <f t="shared" si="17"/>
        <v>20</v>
      </c>
    </row>
    <row r="54" spans="1:30" ht="21" customHeight="1" x14ac:dyDescent="0.15">
      <c r="A54" s="46">
        <v>47014052</v>
      </c>
      <c r="B54" s="46" t="s">
        <v>411</v>
      </c>
      <c r="C54" s="49">
        <v>3</v>
      </c>
      <c r="D54" s="49" t="s">
        <v>128</v>
      </c>
      <c r="E54" s="50" t="s">
        <v>329</v>
      </c>
      <c r="F54" s="113" t="s">
        <v>406</v>
      </c>
      <c r="G54" s="62" t="str">
        <f t="shared" si="0"/>
        <v>[effect:enemy_message, val1:1.2, val2:5.3]</v>
      </c>
      <c r="H54" s="62">
        <f t="shared" si="1"/>
        <v>9</v>
      </c>
      <c r="I54" s="62">
        <f t="shared" si="2"/>
        <v>22</v>
      </c>
      <c r="J54" s="62" t="e">
        <f t="shared" si="3"/>
        <v>#VALUE!</v>
      </c>
      <c r="K54" s="62">
        <f t="shared" si="4"/>
        <v>32</v>
      </c>
      <c r="L54" s="62" t="str">
        <f>IFERROR(VLOOKUP(MID(G54,J54,K54-J54),[6]skilldef!$C:$D,2,FALSE),"-") &amp; " / " &amp; IFERROR(VLOOKUP(MID(G54,H54,I54-H54),[6]skilldef!$A:$B,2,FALSE),"-")</f>
        <v>- / -</v>
      </c>
      <c r="M54" s="62" t="str">
        <f t="shared" si="5"/>
        <v>[effect:damage_gravity, val:0.5, animation:fevergauge_down],[effect:degrade_unit, target:unit_all, turn:7, status:heal, val:0.5, calc:mul, animation:degrade_unit_all_heal]</v>
      </c>
      <c r="N54" s="47" t="str">
        <f t="shared" si="6"/>
        <v>[effect:damage_gravity, val:0.5, animation:fevergauge_down],[effect:degrade_unit, target:unit_all, turn:7, status:heal, val:0.5, calc:mul, animation:degrade_unit_all_heal]</v>
      </c>
      <c r="O54" s="62">
        <f t="shared" si="7"/>
        <v>9</v>
      </c>
      <c r="P54" s="62">
        <f t="shared" si="8"/>
        <v>23</v>
      </c>
      <c r="Q54" s="62">
        <f t="shared" si="9"/>
        <v>90</v>
      </c>
      <c r="R54" s="62">
        <f t="shared" si="10"/>
        <v>32</v>
      </c>
      <c r="S54" s="62" t="str">
        <f>IFERROR(VLOOKUP(MID(N54,Q54,R54-Q54),[6]skilldef!$C:$D,2,FALSE),"-") &amp; " / " &amp; IFERROR(VLOOKUP(MID(N54,O54,P54-O54),[6]skilldef!$A:$B,2,FALSE),"-")</f>
        <v>- / 割合ダメージ</v>
      </c>
      <c r="T54" s="47" t="str">
        <f t="shared" si="11"/>
        <v>[effect:degrade_unit, target:unit_all, turn:7, status:heal, val:0.5, calc:mul, animation:degrade_unit_all_heal]</v>
      </c>
      <c r="U54" s="62">
        <f t="shared" si="12"/>
        <v>9</v>
      </c>
      <c r="V54" s="62">
        <f t="shared" si="13"/>
        <v>21</v>
      </c>
      <c r="W54" s="62">
        <f t="shared" si="14"/>
        <v>30</v>
      </c>
      <c r="X54" s="62">
        <f t="shared" si="15"/>
        <v>38</v>
      </c>
      <c r="Y54" s="62" t="str">
        <f>IFERROR(VLOOKUP(MID(T54,W54,X54-W54),[6]skilldef!$C:$D,2,FALSE),"-") &amp; " / " &amp; IFERROR(VLOOKUP(MID(T54,U54,V54-U54),[6]skilldef!$A:$B,2,FALSE),"-")</f>
        <v>味方全体に / ステータスDOWN</v>
      </c>
      <c r="Z54" s="49"/>
      <c r="AA54" s="51"/>
      <c r="AB54" s="49"/>
      <c r="AC54" s="48">
        <f t="shared" si="16"/>
        <v>8</v>
      </c>
      <c r="AD54" s="48">
        <f t="shared" si="17"/>
        <v>53</v>
      </c>
    </row>
    <row r="55" spans="1:30" ht="21" customHeight="1" x14ac:dyDescent="0.15">
      <c r="A55" s="46">
        <v>47014053</v>
      </c>
      <c r="B55" s="46" t="s">
        <v>385</v>
      </c>
      <c r="C55" s="49">
        <v>3</v>
      </c>
      <c r="D55" s="49" t="s">
        <v>128</v>
      </c>
      <c r="E55" s="50" t="s">
        <v>330</v>
      </c>
      <c r="F55" s="50" t="s">
        <v>384</v>
      </c>
      <c r="G55" s="62" t="str">
        <f t="shared" si="0"/>
        <v>[effect:enemy_message, val1:1.2, val2:1.3]</v>
      </c>
      <c r="H55" s="62">
        <f t="shared" si="1"/>
        <v>9</v>
      </c>
      <c r="I55" s="62">
        <f t="shared" si="2"/>
        <v>22</v>
      </c>
      <c r="J55" s="62" t="e">
        <f t="shared" si="3"/>
        <v>#VALUE!</v>
      </c>
      <c r="K55" s="62">
        <f t="shared" si="4"/>
        <v>32</v>
      </c>
      <c r="L55" s="62" t="str">
        <f>IFERROR(VLOOKUP(MID(G55,J55,K55-J55),[6]skilldef!$C:$D,2,FALSE),"-") &amp; " / " &amp; IFERROR(VLOOKUP(MID(G55,H55,I55-H55),[6]skilldef!$A:$B,2,FALSE),"-")</f>
        <v>- / -</v>
      </c>
      <c r="M55" s="62" t="str">
        <f t="shared" si="5"/>
        <v>[effect:damage_gravity, val:0.5, animation:fevergauge_down]</v>
      </c>
      <c r="N55" s="47" t="str">
        <f t="shared" si="6"/>
        <v>[effect:damage_gravity, val:0.5, animation:fevergauge_down]</v>
      </c>
      <c r="O55" s="62">
        <f t="shared" si="7"/>
        <v>9</v>
      </c>
      <c r="P55" s="62">
        <f t="shared" si="8"/>
        <v>23</v>
      </c>
      <c r="Q55" s="62" t="e">
        <f t="shared" si="9"/>
        <v>#VALUE!</v>
      </c>
      <c r="R55" s="62">
        <f t="shared" si="10"/>
        <v>32</v>
      </c>
      <c r="S55" s="62" t="str">
        <f>IFERROR(VLOOKUP(MID(N55,Q55,R55-Q55),[6]skilldef!$C:$D,2,FALSE),"-") &amp; " / " &amp; IFERROR(VLOOKUP(MID(N55,O55,P55-O55),[6]skilldef!$A:$B,2,FALSE),"-")</f>
        <v>- / 割合ダメージ</v>
      </c>
      <c r="T55" s="47" t="str">
        <f t="shared" si="11"/>
        <v>none</v>
      </c>
      <c r="U55" s="62" t="e">
        <f t="shared" si="12"/>
        <v>#VALUE!</v>
      </c>
      <c r="V55" s="62">
        <f t="shared" si="13"/>
        <v>4</v>
      </c>
      <c r="W55" s="62" t="e">
        <f t="shared" si="14"/>
        <v>#VALUE!</v>
      </c>
      <c r="X55" s="62" t="e">
        <f t="shared" si="15"/>
        <v>#VALUE!</v>
      </c>
      <c r="Y55" s="62" t="str">
        <f>IFERROR(VLOOKUP(MID(T55,W55,X55-W55),[6]skilldef!$C:$D,2,FALSE),"-") &amp; " / " &amp; IFERROR(VLOOKUP(MID(T55,U55,V55-U55),[6]skilldef!$A:$B,2,FALSE),"-")</f>
        <v>- / -</v>
      </c>
      <c r="Z55" s="49"/>
      <c r="AA55" s="51"/>
      <c r="AB55" s="49"/>
      <c r="AC55" s="48">
        <f t="shared" si="16"/>
        <v>8</v>
      </c>
      <c r="AD55" s="48">
        <f t="shared" si="17"/>
        <v>13</v>
      </c>
    </row>
    <row r="56" spans="1:30" ht="21" customHeight="1" x14ac:dyDescent="0.15">
      <c r="A56" s="46">
        <v>47014054</v>
      </c>
      <c r="B56" s="46" t="s">
        <v>386</v>
      </c>
      <c r="C56" s="49">
        <v>3</v>
      </c>
      <c r="D56" s="49" t="s">
        <v>128</v>
      </c>
      <c r="E56" s="50" t="s">
        <v>330</v>
      </c>
      <c r="F56" s="50" t="s">
        <v>384</v>
      </c>
      <c r="G56" s="62" t="str">
        <f t="shared" si="0"/>
        <v>[effect:enemy_message, val1:1.2, val2:1.3]</v>
      </c>
      <c r="H56" s="62">
        <f t="shared" si="1"/>
        <v>9</v>
      </c>
      <c r="I56" s="62">
        <f t="shared" si="2"/>
        <v>22</v>
      </c>
      <c r="J56" s="62" t="e">
        <f t="shared" si="3"/>
        <v>#VALUE!</v>
      </c>
      <c r="K56" s="62">
        <f t="shared" si="4"/>
        <v>32</v>
      </c>
      <c r="L56" s="62" t="str">
        <f>IFERROR(VLOOKUP(MID(G56,J56,K56-J56),[6]skilldef!$C:$D,2,FALSE),"-") &amp; " / " &amp; IFERROR(VLOOKUP(MID(G56,H56,I56-H56),[6]skilldef!$A:$B,2,FALSE),"-")</f>
        <v>- / -</v>
      </c>
      <c r="M56" s="62" t="str">
        <f t="shared" si="5"/>
        <v>[effect:damage_gravity, val:0.5, animation:fevergauge_down]</v>
      </c>
      <c r="N56" s="47" t="str">
        <f t="shared" si="6"/>
        <v>[effect:damage_gravity, val:0.5, animation:fevergauge_down]</v>
      </c>
      <c r="O56" s="62">
        <f t="shared" si="7"/>
        <v>9</v>
      </c>
      <c r="P56" s="62">
        <f t="shared" si="8"/>
        <v>23</v>
      </c>
      <c r="Q56" s="62" t="e">
        <f t="shared" si="9"/>
        <v>#VALUE!</v>
      </c>
      <c r="R56" s="62">
        <f t="shared" si="10"/>
        <v>32</v>
      </c>
      <c r="S56" s="62" t="str">
        <f>IFERROR(VLOOKUP(MID(N56,Q56,R56-Q56),[6]skilldef!$C:$D,2,FALSE),"-") &amp; " / " &amp; IFERROR(VLOOKUP(MID(N56,O56,P56-O56),[6]skilldef!$A:$B,2,FALSE),"-")</f>
        <v>- / 割合ダメージ</v>
      </c>
      <c r="T56" s="47" t="str">
        <f t="shared" si="11"/>
        <v>none</v>
      </c>
      <c r="U56" s="62" t="e">
        <f t="shared" si="12"/>
        <v>#VALUE!</v>
      </c>
      <c r="V56" s="62">
        <f t="shared" si="13"/>
        <v>4</v>
      </c>
      <c r="W56" s="62" t="e">
        <f t="shared" si="14"/>
        <v>#VALUE!</v>
      </c>
      <c r="X56" s="62" t="e">
        <f t="shared" si="15"/>
        <v>#VALUE!</v>
      </c>
      <c r="Y56" s="62" t="str">
        <f>IFERROR(VLOOKUP(MID(T56,W56,X56-W56),[6]skilldef!$C:$D,2,FALSE),"-") &amp; " / " &amp; IFERROR(VLOOKUP(MID(T56,U56,V56-U56),[6]skilldef!$A:$B,2,FALSE),"-")</f>
        <v>- / -</v>
      </c>
      <c r="Z56" s="49"/>
      <c r="AA56" s="51"/>
      <c r="AB56" s="49"/>
      <c r="AC56" s="48">
        <f t="shared" si="16"/>
        <v>8</v>
      </c>
      <c r="AD56" s="48">
        <f t="shared" si="17"/>
        <v>13</v>
      </c>
    </row>
    <row r="57" spans="1:30" ht="21" customHeight="1" x14ac:dyDescent="0.15">
      <c r="A57" s="46">
        <v>47014055</v>
      </c>
      <c r="B57" s="46" t="s">
        <v>387</v>
      </c>
      <c r="C57" s="49">
        <v>3</v>
      </c>
      <c r="D57" s="49" t="s">
        <v>128</v>
      </c>
      <c r="E57" s="50" t="s">
        <v>331</v>
      </c>
      <c r="F57" s="50" t="s">
        <v>379</v>
      </c>
      <c r="G57" s="62" t="str">
        <f t="shared" si="0"/>
        <v>[effect:enemy_message, val1:1.2, val2:1.3]</v>
      </c>
      <c r="H57" s="62">
        <f t="shared" si="1"/>
        <v>9</v>
      </c>
      <c r="I57" s="62">
        <f t="shared" si="2"/>
        <v>22</v>
      </c>
      <c r="J57" s="62" t="e">
        <f t="shared" si="3"/>
        <v>#VALUE!</v>
      </c>
      <c r="K57" s="62">
        <f t="shared" si="4"/>
        <v>32</v>
      </c>
      <c r="L57" s="62" t="str">
        <f>IFERROR(VLOOKUP(MID(G57,J57,K57-J57),[6]skilldef!$C:$D,2,FALSE),"-") &amp; " / " &amp; IFERROR(VLOOKUP(MID(G57,H57,I57-H57),[6]skilldef!$A:$B,2,FALSE),"-")</f>
        <v>- / -</v>
      </c>
      <c r="M57" s="62" t="str">
        <f t="shared" si="5"/>
        <v>[effect:damage_gravity, val:0.8, animation:fevergauge_down]</v>
      </c>
      <c r="N57" s="47" t="str">
        <f t="shared" si="6"/>
        <v>[effect:damage_gravity, val:0.8, animation:fevergauge_down]</v>
      </c>
      <c r="O57" s="62">
        <f t="shared" si="7"/>
        <v>9</v>
      </c>
      <c r="P57" s="62">
        <f t="shared" si="8"/>
        <v>23</v>
      </c>
      <c r="Q57" s="62" t="e">
        <f t="shared" si="9"/>
        <v>#VALUE!</v>
      </c>
      <c r="R57" s="62">
        <f t="shared" si="10"/>
        <v>32</v>
      </c>
      <c r="S57" s="62" t="str">
        <f>IFERROR(VLOOKUP(MID(N57,Q57,R57-Q57),[6]skilldef!$C:$D,2,FALSE),"-") &amp; " / " &amp; IFERROR(VLOOKUP(MID(N57,O57,P57-O57),[6]skilldef!$A:$B,2,FALSE),"-")</f>
        <v>- / 割合ダメージ</v>
      </c>
      <c r="T57" s="47" t="str">
        <f t="shared" si="11"/>
        <v>none</v>
      </c>
      <c r="U57" s="62" t="e">
        <f t="shared" si="12"/>
        <v>#VALUE!</v>
      </c>
      <c r="V57" s="62">
        <f t="shared" si="13"/>
        <v>4</v>
      </c>
      <c r="W57" s="62" t="e">
        <f t="shared" si="14"/>
        <v>#VALUE!</v>
      </c>
      <c r="X57" s="62" t="e">
        <f t="shared" si="15"/>
        <v>#VALUE!</v>
      </c>
      <c r="Y57" s="62" t="str">
        <f>IFERROR(VLOOKUP(MID(T57,W57,X57-W57),[6]skilldef!$C:$D,2,FALSE),"-") &amp; " / " &amp; IFERROR(VLOOKUP(MID(T57,U57,V57-U57),[6]skilldef!$A:$B,2,FALSE),"-")</f>
        <v>- / -</v>
      </c>
      <c r="Z57" s="49"/>
      <c r="AA57" s="51"/>
      <c r="AB57" s="49"/>
      <c r="AC57" s="48">
        <f t="shared" si="16"/>
        <v>10</v>
      </c>
      <c r="AD57" s="48">
        <f t="shared" si="17"/>
        <v>13</v>
      </c>
    </row>
    <row r="58" spans="1:30" ht="21" customHeight="1" x14ac:dyDescent="0.15">
      <c r="A58" s="46">
        <v>47014056</v>
      </c>
      <c r="B58" s="46" t="s">
        <v>388</v>
      </c>
      <c r="C58" s="49">
        <v>3</v>
      </c>
      <c r="D58" s="49" t="s">
        <v>128</v>
      </c>
      <c r="E58" s="50" t="s">
        <v>331</v>
      </c>
      <c r="F58" s="50" t="s">
        <v>379</v>
      </c>
      <c r="G58" s="62" t="str">
        <f t="shared" si="0"/>
        <v>[effect:enemy_message, val1:1.2, val2:1.3]</v>
      </c>
      <c r="H58" s="62">
        <f t="shared" si="1"/>
        <v>9</v>
      </c>
      <c r="I58" s="62">
        <f t="shared" si="2"/>
        <v>22</v>
      </c>
      <c r="J58" s="62" t="e">
        <f t="shared" si="3"/>
        <v>#VALUE!</v>
      </c>
      <c r="K58" s="62">
        <f t="shared" si="4"/>
        <v>32</v>
      </c>
      <c r="L58" s="62" t="str">
        <f>IFERROR(VLOOKUP(MID(G58,J58,K58-J58),[6]skilldef!$C:$D,2,FALSE),"-") &amp; " / " &amp; IFERROR(VLOOKUP(MID(G58,H58,I58-H58),[6]skilldef!$A:$B,2,FALSE),"-")</f>
        <v>- / -</v>
      </c>
      <c r="M58" s="62" t="str">
        <f t="shared" si="5"/>
        <v>[effect:damage_gravity, val:0.8, animation:fevergauge_down]</v>
      </c>
      <c r="N58" s="47" t="str">
        <f t="shared" si="6"/>
        <v>[effect:damage_gravity, val:0.8, animation:fevergauge_down]</v>
      </c>
      <c r="O58" s="62">
        <f t="shared" si="7"/>
        <v>9</v>
      </c>
      <c r="P58" s="62">
        <f t="shared" si="8"/>
        <v>23</v>
      </c>
      <c r="Q58" s="62" t="e">
        <f t="shared" si="9"/>
        <v>#VALUE!</v>
      </c>
      <c r="R58" s="62">
        <f t="shared" si="10"/>
        <v>32</v>
      </c>
      <c r="S58" s="62" t="str">
        <f>IFERROR(VLOOKUP(MID(N58,Q58,R58-Q58),[6]skilldef!$C:$D,2,FALSE),"-") &amp; " / " &amp; IFERROR(VLOOKUP(MID(N58,O58,P58-O58),[6]skilldef!$A:$B,2,FALSE),"-")</f>
        <v>- / 割合ダメージ</v>
      </c>
      <c r="T58" s="47" t="str">
        <f t="shared" si="11"/>
        <v>none</v>
      </c>
      <c r="U58" s="62" t="e">
        <f t="shared" si="12"/>
        <v>#VALUE!</v>
      </c>
      <c r="V58" s="62">
        <f t="shared" si="13"/>
        <v>4</v>
      </c>
      <c r="W58" s="62" t="e">
        <f t="shared" si="14"/>
        <v>#VALUE!</v>
      </c>
      <c r="X58" s="62" t="e">
        <f t="shared" si="15"/>
        <v>#VALUE!</v>
      </c>
      <c r="Y58" s="62" t="str">
        <f>IFERROR(VLOOKUP(MID(T58,W58,X58-W58),[6]skilldef!$C:$D,2,FALSE),"-") &amp; " / " &amp; IFERROR(VLOOKUP(MID(T58,U58,V58-U58),[6]skilldef!$A:$B,2,FALSE),"-")</f>
        <v>- / -</v>
      </c>
      <c r="Z58" s="49"/>
      <c r="AA58" s="51"/>
      <c r="AB58" s="49"/>
      <c r="AC58" s="48">
        <f t="shared" si="16"/>
        <v>10</v>
      </c>
      <c r="AD58" s="48">
        <f t="shared" si="17"/>
        <v>13</v>
      </c>
    </row>
    <row r="59" spans="1:30" ht="21" customHeight="1" x14ac:dyDescent="0.15">
      <c r="A59" s="46">
        <v>47014057</v>
      </c>
      <c r="B59" s="46" t="s">
        <v>350</v>
      </c>
      <c r="C59" s="49">
        <v>3</v>
      </c>
      <c r="D59" s="49" t="s">
        <v>128</v>
      </c>
      <c r="E59" s="50" t="s">
        <v>332</v>
      </c>
      <c r="F59" s="50" t="s">
        <v>389</v>
      </c>
      <c r="G59" s="62" t="str">
        <f t="shared" si="0"/>
        <v>[effect:enemy_message, val1:1.3, val2:1.2]</v>
      </c>
      <c r="H59" s="62">
        <f t="shared" si="1"/>
        <v>9</v>
      </c>
      <c r="I59" s="62">
        <f t="shared" si="2"/>
        <v>22</v>
      </c>
      <c r="J59" s="62" t="e">
        <f t="shared" si="3"/>
        <v>#VALUE!</v>
      </c>
      <c r="K59" s="62">
        <f t="shared" si="4"/>
        <v>32</v>
      </c>
      <c r="L59" s="62" t="str">
        <f>IFERROR(VLOOKUP(MID(G59,J59,K59-J59),[6]skilldef!$C:$D,2,FALSE),"-") &amp; " / " &amp; IFERROR(VLOOKUP(MID(G59,H59,I59-H59),[6]skilldef!$A:$B,2,FALSE),"-")</f>
        <v>- / -</v>
      </c>
      <c r="M59" s="62" t="str">
        <f t="shared" si="5"/>
        <v>[effect:spread, val:2.0],[effect:spread, val:2.0],[effect:spread, val:2.0],[effect:spread, val:2.0],[effect:spread, val:2.0]</v>
      </c>
      <c r="N59" s="47" t="str">
        <f t="shared" si="6"/>
        <v>[effect:spread, val:2.0],[effect:spread, val:2.0],[effect:spread, val:2.0],[effect:spread, val:2.0],[effect:spread, val:2.0]</v>
      </c>
      <c r="O59" s="62">
        <f t="shared" si="7"/>
        <v>9</v>
      </c>
      <c r="P59" s="62">
        <f t="shared" si="8"/>
        <v>15</v>
      </c>
      <c r="Q59" s="62" t="e">
        <f t="shared" si="9"/>
        <v>#VALUE!</v>
      </c>
      <c r="R59" s="62">
        <f t="shared" si="10"/>
        <v>25</v>
      </c>
      <c r="S59" s="62" t="str">
        <f>IFERROR(VLOOKUP(MID(N59,Q59,R59-Q59),[6]skilldef!$C:$D,2,FALSE),"-") &amp; " / " &amp; IFERROR(VLOOKUP(MID(N59,O59,P59-O59),[6]skilldef!$A:$B,2,FALSE),"-")</f>
        <v>- / 全体攻撃</v>
      </c>
      <c r="T59" s="47" t="str">
        <f t="shared" si="11"/>
        <v>[effect:spread, val:2.0],[effect:spread, val:2.0],[effect:spread, val:2.0],[effect:spread, val:2.0]</v>
      </c>
      <c r="U59" s="62">
        <f t="shared" si="12"/>
        <v>9</v>
      </c>
      <c r="V59" s="62">
        <f t="shared" si="13"/>
        <v>15</v>
      </c>
      <c r="W59" s="62" t="e">
        <f t="shared" si="14"/>
        <v>#VALUE!</v>
      </c>
      <c r="X59" s="62">
        <f t="shared" si="15"/>
        <v>25</v>
      </c>
      <c r="Y59" s="62" t="str">
        <f>IFERROR(VLOOKUP(MID(T59,W59,X59-W59),[6]skilldef!$C:$D,2,FALSE),"-") &amp; " / " &amp; IFERROR(VLOOKUP(MID(T59,U59,V59-U59),[6]skilldef!$A:$B,2,FALSE),"-")</f>
        <v>- / 全体攻撃</v>
      </c>
      <c r="Z59" s="49"/>
      <c r="AA59" s="51"/>
      <c r="AB59" s="49"/>
      <c r="AC59" s="48">
        <f t="shared" si="16"/>
        <v>13</v>
      </c>
      <c r="AD59" s="48">
        <f t="shared" si="17"/>
        <v>8</v>
      </c>
    </row>
    <row r="60" spans="1:30" ht="21" customHeight="1" x14ac:dyDescent="0.15">
      <c r="A60" s="46">
        <v>47014058</v>
      </c>
      <c r="B60" s="46" t="s">
        <v>265</v>
      </c>
      <c r="C60" s="49">
        <v>1</v>
      </c>
      <c r="D60" s="49" t="s">
        <v>128</v>
      </c>
      <c r="E60" s="50" t="s">
        <v>280</v>
      </c>
      <c r="F60" s="50" t="s">
        <v>267</v>
      </c>
      <c r="G60" s="62" t="str">
        <f t="shared" si="0"/>
        <v>[effect:enemy_message, val1:1.2, val2:1.2]</v>
      </c>
      <c r="H60" s="62">
        <f t="shared" si="1"/>
        <v>9</v>
      </c>
      <c r="I60" s="62">
        <f t="shared" si="2"/>
        <v>22</v>
      </c>
      <c r="J60" s="62" t="e">
        <f t="shared" si="3"/>
        <v>#VALUE!</v>
      </c>
      <c r="K60" s="62">
        <f t="shared" si="4"/>
        <v>32</v>
      </c>
      <c r="L60" s="62" t="str">
        <f>IFERROR(VLOOKUP(MID(G60,J60,K60-J60),[6]skilldef!$C:$D,2,FALSE),"-") &amp; " / " &amp; IFERROR(VLOOKUP(MID(G60,H60,I60-H60),[6]skilldef!$A:$B,2,FALSE),"-")</f>
        <v>- / -</v>
      </c>
      <c r="M60" s="62" t="str">
        <f t="shared" si="5"/>
        <v>none</v>
      </c>
      <c r="N60" s="47" t="str">
        <f t="shared" si="6"/>
        <v>none</v>
      </c>
      <c r="O60" s="62" t="e">
        <f t="shared" si="7"/>
        <v>#VALUE!</v>
      </c>
      <c r="P60" s="62">
        <f t="shared" si="8"/>
        <v>4</v>
      </c>
      <c r="Q60" s="62" t="e">
        <f t="shared" si="9"/>
        <v>#VALUE!</v>
      </c>
      <c r="R60" s="62" t="e">
        <f t="shared" si="10"/>
        <v>#VALUE!</v>
      </c>
      <c r="S60" s="62" t="str">
        <f>IFERROR(VLOOKUP(MID(N60,Q60,R60-Q60),[6]skilldef!$C:$D,2,FALSE),"-") &amp; " / " &amp; IFERROR(VLOOKUP(MID(N60,O60,P60-O60),[6]skilldef!$A:$B,2,FALSE),"-")</f>
        <v>- / -</v>
      </c>
      <c r="T60" s="47" t="str">
        <f t="shared" si="11"/>
        <v>none</v>
      </c>
      <c r="U60" s="62" t="e">
        <f t="shared" si="12"/>
        <v>#VALUE!</v>
      </c>
      <c r="V60" s="62">
        <f t="shared" si="13"/>
        <v>4</v>
      </c>
      <c r="W60" s="62" t="e">
        <f t="shared" si="14"/>
        <v>#VALUE!</v>
      </c>
      <c r="X60" s="62" t="e">
        <f t="shared" si="15"/>
        <v>#VALUE!</v>
      </c>
      <c r="Y60" s="62" t="str">
        <f>IFERROR(VLOOKUP(MID(T60,W60,X60-W60),[6]skilldef!$C:$D,2,FALSE),"-") &amp; " / " &amp; IFERROR(VLOOKUP(MID(T60,U60,V60-U60),[6]skilldef!$A:$B,2,FALSE),"-")</f>
        <v>- / -</v>
      </c>
      <c r="Z60" s="49"/>
      <c r="AA60" s="51"/>
      <c r="AB60" s="49"/>
      <c r="AC60" s="48">
        <f t="shared" si="16"/>
        <v>7</v>
      </c>
      <c r="AD60" s="48">
        <f t="shared" si="17"/>
        <v>3</v>
      </c>
    </row>
    <row r="61" spans="1:30" ht="21" customHeight="1" x14ac:dyDescent="0.15">
      <c r="A61" s="46">
        <v>47014059</v>
      </c>
      <c r="B61" s="46" t="s">
        <v>265</v>
      </c>
      <c r="C61" s="49">
        <v>1</v>
      </c>
      <c r="D61" s="49" t="s">
        <v>128</v>
      </c>
      <c r="E61" s="50" t="s">
        <v>280</v>
      </c>
      <c r="F61" s="50" t="s">
        <v>267</v>
      </c>
      <c r="G61" s="62" t="str">
        <f t="shared" si="0"/>
        <v>[effect:enemy_message, val1:1.2, val2:1.2]</v>
      </c>
      <c r="H61" s="62">
        <f t="shared" si="1"/>
        <v>9</v>
      </c>
      <c r="I61" s="62">
        <f t="shared" si="2"/>
        <v>22</v>
      </c>
      <c r="J61" s="62" t="e">
        <f t="shared" si="3"/>
        <v>#VALUE!</v>
      </c>
      <c r="K61" s="62">
        <f t="shared" si="4"/>
        <v>32</v>
      </c>
      <c r="L61" s="62" t="str">
        <f>IFERROR(VLOOKUP(MID(G61,J61,K61-J61),[6]skilldef!$C:$D,2,FALSE),"-") &amp; " / " &amp; IFERROR(VLOOKUP(MID(G61,H61,I61-H61),[6]skilldef!$A:$B,2,FALSE),"-")</f>
        <v>- / -</v>
      </c>
      <c r="M61" s="62" t="str">
        <f t="shared" si="5"/>
        <v>none</v>
      </c>
      <c r="N61" s="47" t="str">
        <f t="shared" si="6"/>
        <v>none</v>
      </c>
      <c r="O61" s="62" t="e">
        <f t="shared" si="7"/>
        <v>#VALUE!</v>
      </c>
      <c r="P61" s="62">
        <f t="shared" si="8"/>
        <v>4</v>
      </c>
      <c r="Q61" s="62" t="e">
        <f t="shared" si="9"/>
        <v>#VALUE!</v>
      </c>
      <c r="R61" s="62" t="e">
        <f t="shared" si="10"/>
        <v>#VALUE!</v>
      </c>
      <c r="S61" s="62" t="str">
        <f>IFERROR(VLOOKUP(MID(N61,Q61,R61-Q61),[6]skilldef!$C:$D,2,FALSE),"-") &amp; " / " &amp; IFERROR(VLOOKUP(MID(N61,O61,P61-O61),[6]skilldef!$A:$B,2,FALSE),"-")</f>
        <v>- / -</v>
      </c>
      <c r="T61" s="47" t="str">
        <f t="shared" si="11"/>
        <v>none</v>
      </c>
      <c r="U61" s="62" t="e">
        <f t="shared" si="12"/>
        <v>#VALUE!</v>
      </c>
      <c r="V61" s="62">
        <f t="shared" si="13"/>
        <v>4</v>
      </c>
      <c r="W61" s="62" t="e">
        <f t="shared" si="14"/>
        <v>#VALUE!</v>
      </c>
      <c r="X61" s="62" t="e">
        <f t="shared" si="15"/>
        <v>#VALUE!</v>
      </c>
      <c r="Y61" s="62" t="str">
        <f>IFERROR(VLOOKUP(MID(T61,W61,X61-W61),[6]skilldef!$C:$D,2,FALSE),"-") &amp; " / " &amp; IFERROR(VLOOKUP(MID(T61,U61,V61-U61),[6]skilldef!$A:$B,2,FALSE),"-")</f>
        <v>- / -</v>
      </c>
      <c r="Z61" s="49"/>
      <c r="AA61" s="51"/>
      <c r="AB61" s="49"/>
      <c r="AC61" s="48">
        <f t="shared" si="16"/>
        <v>7</v>
      </c>
      <c r="AD61" s="48">
        <f t="shared" si="17"/>
        <v>3</v>
      </c>
    </row>
    <row r="62" spans="1:30" ht="21" customHeight="1" x14ac:dyDescent="0.15">
      <c r="A62" s="46">
        <v>47014060</v>
      </c>
      <c r="B62" s="46" t="s">
        <v>351</v>
      </c>
      <c r="C62" s="49">
        <v>3</v>
      </c>
      <c r="D62" s="49" t="s">
        <v>128</v>
      </c>
      <c r="E62" s="50" t="s">
        <v>333</v>
      </c>
      <c r="F62" s="50" t="s">
        <v>301</v>
      </c>
      <c r="G62" s="62" t="str">
        <f t="shared" si="0"/>
        <v>[effect:enemy_message, val1:1.2, val2:2.0]</v>
      </c>
      <c r="H62" s="62">
        <f t="shared" si="1"/>
        <v>9</v>
      </c>
      <c r="I62" s="62">
        <f t="shared" si="2"/>
        <v>22</v>
      </c>
      <c r="J62" s="62" t="e">
        <f t="shared" si="3"/>
        <v>#VALUE!</v>
      </c>
      <c r="K62" s="62">
        <f t="shared" si="4"/>
        <v>32</v>
      </c>
      <c r="L62" s="62" t="str">
        <f>IFERROR(VLOOKUP(MID(G62,J62,K62-J62),[6]skilldef!$C:$D,2,FALSE),"-") &amp; " / " &amp; IFERROR(VLOOKUP(MID(G62,H62,I62-H62),[6]skilldef!$A:$B,2,FALSE),"-")</f>
        <v>- / -</v>
      </c>
      <c r="M62" s="62" t="str">
        <f t="shared" si="5"/>
        <v>[effect:tolerance, target:myself, turn:-1, count:-1, tolerance_effect:all, animation:enemy_tolerance],[effect:remove_enhancement, target:unit_all, target_effect:all, target_type:debuff, animation:frozen_wave],[effect:fix_speed, target:myself, turn:1]</v>
      </c>
      <c r="N62" s="47" t="str">
        <f t="shared" si="6"/>
        <v>[effect:tolerance, target:myself, turn:-1, count:-1, tolerance_effect:all, animation:enemy_tolerance],[effect:remove_enhancement, target:unit_all, target_effect:all, target_type:debuff, animation:frozen_wave],[effect:fix_speed, target:myself, turn:1]</v>
      </c>
      <c r="O62" s="62">
        <f t="shared" si="7"/>
        <v>9</v>
      </c>
      <c r="P62" s="62">
        <f t="shared" si="8"/>
        <v>18</v>
      </c>
      <c r="Q62" s="62">
        <f t="shared" si="9"/>
        <v>27</v>
      </c>
      <c r="R62" s="62">
        <f t="shared" si="10"/>
        <v>33</v>
      </c>
      <c r="S62" s="62" t="str">
        <f>IFERROR(VLOOKUP(MID(N62,Q62,R62-Q62),[6]skilldef!$C:$D,2,FALSE),"-") &amp; " / " &amp; IFERROR(VLOOKUP(MID(N62,O62,P62-O62),[6]skilldef!$A:$B,2,FALSE),"-")</f>
        <v>自分自身に / 状態異常耐性</v>
      </c>
      <c r="T62" s="47" t="str">
        <f t="shared" si="11"/>
        <v>[effect:remove_enhancement, target:unit_all, target_effect:all, target_type:debuff, animation:frozen_wave],[effect:fix_speed, target:myself, turn:1]</v>
      </c>
      <c r="U62" s="62">
        <f t="shared" si="12"/>
        <v>9</v>
      </c>
      <c r="V62" s="62">
        <f t="shared" si="13"/>
        <v>27</v>
      </c>
      <c r="W62" s="62">
        <f t="shared" si="14"/>
        <v>36</v>
      </c>
      <c r="X62" s="62">
        <f t="shared" si="15"/>
        <v>44</v>
      </c>
      <c r="Y62" s="62" t="str">
        <f>IFERROR(VLOOKUP(MID(T62,W62,X62-W62),[6]skilldef!$C:$D,2,FALSE),"-") &amp; " / " &amp; IFERROR(VLOOKUP(MID(T62,U62,V62-U62),[6]skilldef!$A:$B,2,FALSE),"-")</f>
        <v>味方全体に / -</v>
      </c>
      <c r="Z62" s="49"/>
      <c r="AA62" s="51"/>
      <c r="AB62" s="49"/>
      <c r="AC62" s="48">
        <f t="shared" si="16"/>
        <v>10</v>
      </c>
      <c r="AD62" s="48">
        <f t="shared" si="17"/>
        <v>20</v>
      </c>
    </row>
    <row r="63" spans="1:30" ht="21" customHeight="1" x14ac:dyDescent="0.15">
      <c r="A63" s="46">
        <v>47014061</v>
      </c>
      <c r="B63" s="46" t="s">
        <v>352</v>
      </c>
      <c r="C63" s="49">
        <v>3</v>
      </c>
      <c r="D63" s="49" t="s">
        <v>128</v>
      </c>
      <c r="E63" s="50" t="s">
        <v>397</v>
      </c>
      <c r="F63" s="50" t="s">
        <v>302</v>
      </c>
      <c r="G63" s="62" t="str">
        <f t="shared" si="0"/>
        <v>[effect:enemy_message, val1:1.2, val2:3.1]</v>
      </c>
      <c r="H63" s="62">
        <f t="shared" si="1"/>
        <v>9</v>
      </c>
      <c r="I63" s="62">
        <f t="shared" si="2"/>
        <v>22</v>
      </c>
      <c r="J63" s="62" t="e">
        <f t="shared" si="3"/>
        <v>#VALUE!</v>
      </c>
      <c r="K63" s="62">
        <f t="shared" si="4"/>
        <v>32</v>
      </c>
      <c r="L63" s="62" t="str">
        <f>IFERROR(VLOOKUP(MID(G63,J63,K63-J63),[6]skilldef!$C:$D,2,FALSE),"-") &amp; " / " &amp; IFERROR(VLOOKUP(MID(G63,H63,I63-H63),[6]skilldef!$A:$B,2,FALSE),"-")</f>
        <v>- / -</v>
      </c>
      <c r="M63" s="62" t="str">
        <f t="shared" si="5"/>
        <v>[effect:change_panel_ratio, turn:6, block_type:heal, val:0.4, animation:block_incidence04],[effect:dis_heart, turn:4, animation:enemy_dis_heart]</v>
      </c>
      <c r="N63" s="47" t="str">
        <f t="shared" si="6"/>
        <v>[effect:change_panel_ratio, turn:6, block_type:heal, val:0.4, animation:block_incidence04],[effect:dis_heart, turn:4, animation:enemy_dis_heart]</v>
      </c>
      <c r="O63" s="62">
        <f t="shared" si="7"/>
        <v>9</v>
      </c>
      <c r="P63" s="62">
        <f t="shared" si="8"/>
        <v>27</v>
      </c>
      <c r="Q63" s="62" t="e">
        <f t="shared" si="9"/>
        <v>#VALUE!</v>
      </c>
      <c r="R63" s="62">
        <f t="shared" si="10"/>
        <v>35</v>
      </c>
      <c r="S63" s="62" t="str">
        <f>IFERROR(VLOOKUP(MID(N63,Q63,R63-Q63),[6]skilldef!$C:$D,2,FALSE),"-") &amp; " / " &amp; IFERROR(VLOOKUP(MID(N63,O63,P63-O63),[6]skilldef!$A:$B,2,FALSE),"-")</f>
        <v>- / -</v>
      </c>
      <c r="T63" s="47" t="str">
        <f t="shared" si="11"/>
        <v>[effect:dis_heart, turn:4, animation:enemy_dis_heart]</v>
      </c>
      <c r="U63" s="62">
        <f t="shared" si="12"/>
        <v>9</v>
      </c>
      <c r="V63" s="62">
        <f t="shared" si="13"/>
        <v>18</v>
      </c>
      <c r="W63" s="62" t="e">
        <f t="shared" si="14"/>
        <v>#VALUE!</v>
      </c>
      <c r="X63" s="62">
        <f t="shared" si="15"/>
        <v>26</v>
      </c>
      <c r="Y63" s="62" t="str">
        <f>IFERROR(VLOOKUP(MID(T63,W63,X63-W63),[6]skilldef!$C:$D,2,FALSE),"-") &amp; " / " &amp; IFERROR(VLOOKUP(MID(T63,U63,V63-U63),[6]skilldef!$A:$B,2,FALSE),"-")</f>
        <v>- / ディスハート</v>
      </c>
      <c r="Z63" s="49"/>
      <c r="AA63" s="51"/>
      <c r="AB63" s="49"/>
      <c r="AC63" s="48">
        <f t="shared" si="16"/>
        <v>8</v>
      </c>
      <c r="AD63" s="48">
        <f t="shared" si="17"/>
        <v>31</v>
      </c>
    </row>
    <row r="64" spans="1:30" ht="21" customHeight="1" x14ac:dyDescent="0.15">
      <c r="A64" s="46">
        <v>47014062</v>
      </c>
      <c r="B64" s="46" t="s">
        <v>393</v>
      </c>
      <c r="C64" s="49">
        <v>3</v>
      </c>
      <c r="D64" s="49" t="s">
        <v>128</v>
      </c>
      <c r="E64" s="50" t="s">
        <v>335</v>
      </c>
      <c r="F64" s="50" t="s">
        <v>392</v>
      </c>
      <c r="G64" s="62" t="str">
        <f t="shared" si="0"/>
        <v>[effect:enemy_message, val1:1.2, val2:2.1]</v>
      </c>
      <c r="H64" s="62">
        <f t="shared" si="1"/>
        <v>9</v>
      </c>
      <c r="I64" s="62">
        <f t="shared" si="2"/>
        <v>22</v>
      </c>
      <c r="J64" s="62" t="e">
        <f t="shared" si="3"/>
        <v>#VALUE!</v>
      </c>
      <c r="K64" s="62">
        <f t="shared" si="4"/>
        <v>32</v>
      </c>
      <c r="L64" s="62" t="str">
        <f>IFERROR(VLOOKUP(MID(G64,J64,K64-J64),[6]skilldef!$C:$D,2,FALSE),"-") &amp; " / " &amp; IFERROR(VLOOKUP(MID(G64,H64,I64-H64),[6]skilldef!$A:$B,2,FALSE),"-")</f>
        <v>- / -</v>
      </c>
      <c r="M64" s="62" t="str">
        <f t="shared" si="5"/>
        <v>[effect:break_attack, target:unit_all, val:0.05, lowest_val:500, count:5, color:red, block01:block_heart]</v>
      </c>
      <c r="N64" s="47" t="str">
        <f t="shared" si="6"/>
        <v>[effect:break_attack, target:unit_all, val:0.05, lowest_val:500, count:5, color:red, block01:block_heart]</v>
      </c>
      <c r="O64" s="62">
        <f t="shared" si="7"/>
        <v>9</v>
      </c>
      <c r="P64" s="62">
        <f t="shared" si="8"/>
        <v>21</v>
      </c>
      <c r="Q64" s="62">
        <f t="shared" si="9"/>
        <v>30</v>
      </c>
      <c r="R64" s="62">
        <f t="shared" si="10"/>
        <v>38</v>
      </c>
      <c r="S64" s="62" t="str">
        <f>IFERROR(VLOOKUP(MID(N64,Q64,R64-Q64),[6]skilldef!$C:$D,2,FALSE),"-") &amp; " / " &amp; IFERROR(VLOOKUP(MID(N64,O64,P64-O64),[6]skilldef!$A:$B,2,FALSE),"-")</f>
        <v>味方全体に / -</v>
      </c>
      <c r="T64" s="47" t="str">
        <f t="shared" si="11"/>
        <v>none</v>
      </c>
      <c r="U64" s="62" t="e">
        <f t="shared" si="12"/>
        <v>#VALUE!</v>
      </c>
      <c r="V64" s="62">
        <f t="shared" si="13"/>
        <v>4</v>
      </c>
      <c r="W64" s="62" t="e">
        <f t="shared" si="14"/>
        <v>#VALUE!</v>
      </c>
      <c r="X64" s="62" t="e">
        <f t="shared" si="15"/>
        <v>#VALUE!</v>
      </c>
      <c r="Y64" s="62" t="str">
        <f>IFERROR(VLOOKUP(MID(T64,W64,X64-W64),[6]skilldef!$C:$D,2,FALSE),"-") &amp; " / " &amp; IFERROR(VLOOKUP(MID(T64,U64,V64-U64),[6]skilldef!$A:$B,2,FALSE),"-")</f>
        <v>- / -</v>
      </c>
      <c r="Z64" s="49"/>
      <c r="AA64" s="51"/>
      <c r="AB64" s="49"/>
      <c r="AC64" s="48">
        <f t="shared" si="16"/>
        <v>10</v>
      </c>
      <c r="AD64" s="48">
        <f t="shared" si="17"/>
        <v>21</v>
      </c>
    </row>
    <row r="65" spans="1:30" ht="21" customHeight="1" x14ac:dyDescent="0.15">
      <c r="A65" s="46">
        <v>47014063</v>
      </c>
      <c r="B65" s="46" t="s">
        <v>353</v>
      </c>
      <c r="C65" s="49">
        <v>3</v>
      </c>
      <c r="D65" s="49" t="s">
        <v>128</v>
      </c>
      <c r="E65" s="50" t="s">
        <v>334</v>
      </c>
      <c r="F65" s="50" t="s">
        <v>303</v>
      </c>
      <c r="G65" s="62" t="str">
        <f t="shared" si="0"/>
        <v>[effect:enemy_message, val1:1.2, val2:2.3]</v>
      </c>
      <c r="H65" s="62">
        <f t="shared" si="1"/>
        <v>9</v>
      </c>
      <c r="I65" s="62">
        <f t="shared" si="2"/>
        <v>22</v>
      </c>
      <c r="J65" s="62" t="e">
        <f t="shared" si="3"/>
        <v>#VALUE!</v>
      </c>
      <c r="K65" s="62">
        <f t="shared" si="4"/>
        <v>32</v>
      </c>
      <c r="L65" s="62" t="str">
        <f>IFERROR(VLOOKUP(MID(G65,J65,K65-J65),[6]skilldef!$C:$D,2,FALSE),"-") &amp; " / " &amp; IFERROR(VLOOKUP(MID(G65,H65,I65-H65),[6]skilldef!$A:$B,2,FALSE),"-")</f>
        <v>- / -</v>
      </c>
      <c r="M65" s="62" t="str">
        <f t="shared" si="5"/>
        <v>[effect:break_enchance_enemy, target:myself, val:0.02, lowest_val:0.1, count:10, status:attack, turn:-1, block01:block_heart, calc:mul, animation:enemy_enhance_attack]</v>
      </c>
      <c r="N65" s="47" t="str">
        <f t="shared" si="6"/>
        <v>[effect:break_enchance_enemy, target:myself, val:0.02, lowest_val:0.1, count:10, status:attack, turn:-1, block01:block_heart, calc:mul, animation:enemy_enhance_attack]</v>
      </c>
      <c r="O65" s="62">
        <f t="shared" si="7"/>
        <v>9</v>
      </c>
      <c r="P65" s="62">
        <f t="shared" si="8"/>
        <v>29</v>
      </c>
      <c r="Q65" s="62">
        <f t="shared" si="9"/>
        <v>38</v>
      </c>
      <c r="R65" s="62">
        <f t="shared" si="10"/>
        <v>44</v>
      </c>
      <c r="S65" s="62" t="str">
        <f>IFERROR(VLOOKUP(MID(N65,Q65,R65-Q65),[6]skilldef!$C:$D,2,FALSE),"-") &amp; " / " &amp; IFERROR(VLOOKUP(MID(N65,O65,P65-O65),[6]skilldef!$A:$B,2,FALSE),"-")</f>
        <v>自分自身に / -</v>
      </c>
      <c r="T65" s="47" t="str">
        <f t="shared" si="11"/>
        <v>none</v>
      </c>
      <c r="U65" s="62" t="e">
        <f t="shared" si="12"/>
        <v>#VALUE!</v>
      </c>
      <c r="V65" s="62">
        <f t="shared" si="13"/>
        <v>4</v>
      </c>
      <c r="W65" s="62" t="e">
        <f t="shared" si="14"/>
        <v>#VALUE!</v>
      </c>
      <c r="X65" s="62" t="e">
        <f t="shared" si="15"/>
        <v>#VALUE!</v>
      </c>
      <c r="Y65" s="62" t="str">
        <f>IFERROR(VLOOKUP(MID(T65,W65,X65-W65),[6]skilldef!$C:$D,2,FALSE),"-") &amp; " / " &amp; IFERROR(VLOOKUP(MID(T65,U65,V65-U65),[6]skilldef!$A:$B,2,FALSE),"-")</f>
        <v>- / -</v>
      </c>
      <c r="Z65" s="49"/>
      <c r="AA65" s="51"/>
      <c r="AB65" s="49"/>
      <c r="AC65" s="48">
        <f t="shared" si="16"/>
        <v>9</v>
      </c>
      <c r="AD65" s="48">
        <f t="shared" si="17"/>
        <v>23</v>
      </c>
    </row>
    <row r="66" spans="1:30" ht="21" customHeight="1" x14ac:dyDescent="0.15">
      <c r="A66" s="46">
        <v>47014064</v>
      </c>
      <c r="B66" s="46" t="s">
        <v>265</v>
      </c>
      <c r="C66" s="49">
        <v>1</v>
      </c>
      <c r="D66" s="49" t="s">
        <v>128</v>
      </c>
      <c r="E66" s="50" t="s">
        <v>281</v>
      </c>
      <c r="F66" s="50" t="s">
        <v>282</v>
      </c>
      <c r="G66" s="62" t="str">
        <f t="shared" si="0"/>
        <v>[effect:enemy_message, val1:1.2, val2:1.2]</v>
      </c>
      <c r="H66" s="62">
        <f t="shared" si="1"/>
        <v>9</v>
      </c>
      <c r="I66" s="62">
        <f t="shared" si="2"/>
        <v>22</v>
      </c>
      <c r="J66" s="62" t="e">
        <f t="shared" si="3"/>
        <v>#VALUE!</v>
      </c>
      <c r="K66" s="62">
        <f t="shared" si="4"/>
        <v>32</v>
      </c>
      <c r="L66" s="62" t="str">
        <f>IFERROR(VLOOKUP(MID(G66,J66,K66-J66),[6]skilldef!$C:$D,2,FALSE),"-") &amp; " / " &amp; IFERROR(VLOOKUP(MID(G66,H66,I66-H66),[6]skilldef!$A:$B,2,FALSE),"-")</f>
        <v>- / -</v>
      </c>
      <c r="M66" s="62" t="str">
        <f t="shared" si="5"/>
        <v>none</v>
      </c>
      <c r="N66" s="47" t="str">
        <f t="shared" si="6"/>
        <v>none</v>
      </c>
      <c r="O66" s="62" t="e">
        <f t="shared" si="7"/>
        <v>#VALUE!</v>
      </c>
      <c r="P66" s="62">
        <f t="shared" si="8"/>
        <v>4</v>
      </c>
      <c r="Q66" s="62" t="e">
        <f t="shared" si="9"/>
        <v>#VALUE!</v>
      </c>
      <c r="R66" s="62" t="e">
        <f t="shared" si="10"/>
        <v>#VALUE!</v>
      </c>
      <c r="S66" s="62" t="str">
        <f>IFERROR(VLOOKUP(MID(N66,Q66,R66-Q66),[6]skilldef!$C:$D,2,FALSE),"-") &amp; " / " &amp; IFERROR(VLOOKUP(MID(N66,O66,P66-O66),[6]skilldef!$A:$B,2,FALSE),"-")</f>
        <v>- / -</v>
      </c>
      <c r="T66" s="47" t="str">
        <f t="shared" si="11"/>
        <v>none</v>
      </c>
      <c r="U66" s="62" t="e">
        <f t="shared" si="12"/>
        <v>#VALUE!</v>
      </c>
      <c r="V66" s="62">
        <f t="shared" si="13"/>
        <v>4</v>
      </c>
      <c r="W66" s="62" t="e">
        <f t="shared" si="14"/>
        <v>#VALUE!</v>
      </c>
      <c r="X66" s="62" t="e">
        <f t="shared" si="15"/>
        <v>#VALUE!</v>
      </c>
      <c r="Y66" s="62" t="str">
        <f>IFERROR(VLOOKUP(MID(T66,W66,X66-W66),[6]skilldef!$C:$D,2,FALSE),"-") &amp; " / " &amp; IFERROR(VLOOKUP(MID(T66,U66,V66-U66),[6]skilldef!$A:$B,2,FALSE),"-")</f>
        <v>- / -</v>
      </c>
      <c r="Z66" s="49"/>
      <c r="AA66" s="51"/>
      <c r="AB66" s="49"/>
      <c r="AC66" s="48">
        <f t="shared" si="16"/>
        <v>7</v>
      </c>
      <c r="AD66" s="48">
        <f t="shared" si="17"/>
        <v>6</v>
      </c>
    </row>
    <row r="67" spans="1:30" ht="21" customHeight="1" x14ac:dyDescent="0.15">
      <c r="A67" s="46">
        <v>47014065</v>
      </c>
      <c r="B67" s="46" t="s">
        <v>286</v>
      </c>
      <c r="C67" s="49">
        <v>1</v>
      </c>
      <c r="D67" s="49" t="s">
        <v>128</v>
      </c>
      <c r="E67" s="50" t="s">
        <v>281</v>
      </c>
      <c r="F67" s="50" t="s">
        <v>274</v>
      </c>
      <c r="G67" s="62" t="str">
        <f t="shared" ref="G67:G93" si="18">IFERROR(LEFT(B67,FIND("],",B67)),B67)</f>
        <v>[effect:enemy_message, val1:1.2, val2:1.2]</v>
      </c>
      <c r="H67" s="62">
        <f t="shared" ref="H67:H105" si="19">FIND("effect:",G67)+7</f>
        <v>9</v>
      </c>
      <c r="I67" s="62">
        <f t="shared" ref="I67:I93" si="20">IFERROR(FIND(",",G67),LEN(G67))</f>
        <v>22</v>
      </c>
      <c r="J67" s="62" t="e">
        <f t="shared" ref="J67:J93" si="21">FIND("target:",G67)+7</f>
        <v>#VALUE!</v>
      </c>
      <c r="K67" s="62">
        <f t="shared" ref="K67:K93" si="22">FIND(",",G67,I67+1)</f>
        <v>32</v>
      </c>
      <c r="L67" s="62" t="str">
        <f>IFERROR(VLOOKUP(MID(G67,J67,K67-J67),[6]skilldef!$C:$D,2,FALSE),"-") &amp; " / " &amp; IFERROR(VLOOKUP(MID(G67,H67,I67-H67),[6]skilldef!$A:$B,2,FALSE),"-")</f>
        <v>- / -</v>
      </c>
      <c r="M67" s="62" t="str">
        <f t="shared" ref="M67:M93" si="23">IFERROR(RIGHT(B67,LEN(B67)-FIND("],",B67)-1),"none")</f>
        <v>[effect:spread, val:2.0],[effect:spread, val:2.0],[effect:spread, val:2.0],[effect:spread, val:2.0],[effect:spread, val:2.0]</v>
      </c>
      <c r="N67" s="47" t="str">
        <f t="shared" ref="N67:N93" si="24">IFERROR(LEFT(M67,FIND("],",M67)+S77),M67)</f>
        <v>[effect:spread, val:2.0],[effect:spread, val:2.0],[effect:spread, val:2.0],[effect:spread, val:2.0],[effect:spread, val:2.0]</v>
      </c>
      <c r="O67" s="62">
        <f t="shared" ref="O67:O105" si="25">FIND("effect:",N67)+7</f>
        <v>9</v>
      </c>
      <c r="P67" s="62">
        <f t="shared" ref="P67:P93" si="26">IFERROR(FIND(",",N67),LEN(N67))</f>
        <v>15</v>
      </c>
      <c r="Q67" s="62" t="e">
        <f t="shared" ref="Q67:Q93" si="27">FIND("target:",N67)+7</f>
        <v>#VALUE!</v>
      </c>
      <c r="R67" s="62">
        <f t="shared" ref="R67:R93" si="28">FIND(",",N67,P67+1)</f>
        <v>25</v>
      </c>
      <c r="S67" s="62" t="str">
        <f>IFERROR(VLOOKUP(MID(N67,Q67,R67-Q67),[6]skilldef!$C:$D,2,FALSE),"-") &amp; " / " &amp; IFERROR(VLOOKUP(MID(N67,O67,P67-O67),[6]skilldef!$A:$B,2,FALSE),"-")</f>
        <v>- / 全体攻撃</v>
      </c>
      <c r="T67" s="47" t="str">
        <f t="shared" ref="T67:T93" si="29">IFERROR(RIGHT(M67,LEN(M67)-FIND("],",M67)-1),"none")</f>
        <v>[effect:spread, val:2.0],[effect:spread, val:2.0],[effect:spread, val:2.0],[effect:spread, val:2.0]</v>
      </c>
      <c r="U67" s="62">
        <f t="shared" ref="U67:U105" si="30">FIND("effect:",T67)+7</f>
        <v>9</v>
      </c>
      <c r="V67" s="62">
        <f t="shared" ref="V67:V93" si="31">IFERROR(FIND(",",T67),LEN(T67))</f>
        <v>15</v>
      </c>
      <c r="W67" s="62" t="e">
        <f t="shared" ref="W67:W93" si="32">FIND("target:",T67)+7</f>
        <v>#VALUE!</v>
      </c>
      <c r="X67" s="62">
        <f t="shared" ref="X67:X93" si="33">FIND(",",T67,V67+1)</f>
        <v>25</v>
      </c>
      <c r="Y67" s="62" t="str">
        <f>IFERROR(VLOOKUP(MID(T67,W67,X67-W67),[6]skilldef!$C:$D,2,FALSE),"-") &amp; " / " &amp; IFERROR(VLOOKUP(MID(T67,U67,V67-U67),[6]skilldef!$A:$B,2,FALSE),"-")</f>
        <v>- / 全体攻撃</v>
      </c>
      <c r="Z67" s="49"/>
      <c r="AA67" s="51"/>
      <c r="AB67" s="49"/>
      <c r="AC67" s="48">
        <f t="shared" ref="AC67:AC105" si="34">LEN(E67)</f>
        <v>7</v>
      </c>
      <c r="AD67" s="48">
        <f t="shared" ref="AD67:AD105" si="35">LEN(F67)</f>
        <v>4</v>
      </c>
    </row>
    <row r="68" spans="1:30" ht="21" customHeight="1" x14ac:dyDescent="0.15">
      <c r="A68" s="46">
        <v>47014066</v>
      </c>
      <c r="B68" s="46" t="s">
        <v>291</v>
      </c>
      <c r="C68" s="49">
        <v>3</v>
      </c>
      <c r="D68" s="49" t="s">
        <v>128</v>
      </c>
      <c r="E68" s="50" t="s">
        <v>397</v>
      </c>
      <c r="F68" s="50" t="s">
        <v>294</v>
      </c>
      <c r="G68" s="62" t="str">
        <f t="shared" si="18"/>
        <v>[effect:enemy_message, val1:1.2, val2:1.2]</v>
      </c>
      <c r="H68" s="62">
        <f t="shared" si="19"/>
        <v>9</v>
      </c>
      <c r="I68" s="62">
        <f t="shared" si="20"/>
        <v>22</v>
      </c>
      <c r="J68" s="62" t="e">
        <f t="shared" si="21"/>
        <v>#VALUE!</v>
      </c>
      <c r="K68" s="62">
        <f t="shared" si="22"/>
        <v>32</v>
      </c>
      <c r="L68" s="62" t="str">
        <f>IFERROR(VLOOKUP(MID(G68,J68,K68-J68),[6]skilldef!$C:$D,2,FALSE),"-") &amp; " / " &amp; IFERROR(VLOOKUP(MID(G68,H68,I68-H68),[6]skilldef!$A:$B,2,FALSE),"-")</f>
        <v>- / -</v>
      </c>
      <c r="M68" s="62" t="str">
        <f t="shared" si="23"/>
        <v>[effect:dis_heart, turn:4, animation:enemy_dis_heart]</v>
      </c>
      <c r="N68" s="47" t="str">
        <f t="shared" si="24"/>
        <v>[effect:dis_heart, turn:4, animation:enemy_dis_heart]</v>
      </c>
      <c r="O68" s="62">
        <f t="shared" si="25"/>
        <v>9</v>
      </c>
      <c r="P68" s="62">
        <f t="shared" si="26"/>
        <v>18</v>
      </c>
      <c r="Q68" s="62" t="e">
        <f t="shared" si="27"/>
        <v>#VALUE!</v>
      </c>
      <c r="R68" s="62">
        <f t="shared" si="28"/>
        <v>26</v>
      </c>
      <c r="S68" s="62" t="str">
        <f>IFERROR(VLOOKUP(MID(N68,Q68,R68-Q68),[6]skilldef!$C:$D,2,FALSE),"-") &amp; " / " &amp; IFERROR(VLOOKUP(MID(N68,O68,P68-O68),[6]skilldef!$A:$B,2,FALSE),"-")</f>
        <v>- / ディスハート</v>
      </c>
      <c r="T68" s="47" t="str">
        <f t="shared" si="29"/>
        <v>none</v>
      </c>
      <c r="U68" s="62" t="e">
        <f t="shared" si="30"/>
        <v>#VALUE!</v>
      </c>
      <c r="V68" s="62">
        <f t="shared" si="31"/>
        <v>4</v>
      </c>
      <c r="W68" s="62" t="e">
        <f t="shared" si="32"/>
        <v>#VALUE!</v>
      </c>
      <c r="X68" s="62" t="e">
        <f t="shared" si="33"/>
        <v>#VALUE!</v>
      </c>
      <c r="Y68" s="62" t="str">
        <f>IFERROR(VLOOKUP(MID(T68,W68,X68-W68),[6]skilldef!$C:$D,2,FALSE),"-") &amp; " / " &amp; IFERROR(VLOOKUP(MID(T68,U68,V68-U68),[6]skilldef!$A:$B,2,FALSE),"-")</f>
        <v>- / -</v>
      </c>
      <c r="Z68" s="49"/>
      <c r="AA68" s="51"/>
      <c r="AB68" s="49"/>
      <c r="AC68" s="48">
        <f t="shared" si="34"/>
        <v>8</v>
      </c>
      <c r="AD68" s="48">
        <f t="shared" si="35"/>
        <v>12</v>
      </c>
    </row>
    <row r="69" spans="1:30" ht="21" customHeight="1" x14ac:dyDescent="0.15">
      <c r="A69" s="46">
        <v>47014067</v>
      </c>
      <c r="B69" s="46" t="s">
        <v>265</v>
      </c>
      <c r="C69" s="49">
        <v>1</v>
      </c>
      <c r="D69" s="49" t="s">
        <v>128</v>
      </c>
      <c r="E69" s="50" t="s">
        <v>281</v>
      </c>
      <c r="F69" s="50" t="s">
        <v>267</v>
      </c>
      <c r="G69" s="62" t="str">
        <f t="shared" si="18"/>
        <v>[effect:enemy_message, val1:1.2, val2:1.2]</v>
      </c>
      <c r="H69" s="62">
        <f t="shared" si="19"/>
        <v>9</v>
      </c>
      <c r="I69" s="62">
        <f t="shared" si="20"/>
        <v>22</v>
      </c>
      <c r="J69" s="62" t="e">
        <f t="shared" si="21"/>
        <v>#VALUE!</v>
      </c>
      <c r="K69" s="62">
        <f t="shared" si="22"/>
        <v>32</v>
      </c>
      <c r="L69" s="62" t="str">
        <f>IFERROR(VLOOKUP(MID(G69,J69,K69-J69),[6]skilldef!$C:$D,2,FALSE),"-") &amp; " / " &amp; IFERROR(VLOOKUP(MID(G69,H69,I69-H69),[6]skilldef!$A:$B,2,FALSE),"-")</f>
        <v>- / -</v>
      </c>
      <c r="M69" s="62" t="str">
        <f t="shared" si="23"/>
        <v>none</v>
      </c>
      <c r="N69" s="47" t="str">
        <f t="shared" si="24"/>
        <v>none</v>
      </c>
      <c r="O69" s="62" t="e">
        <f t="shared" si="25"/>
        <v>#VALUE!</v>
      </c>
      <c r="P69" s="62">
        <f t="shared" si="26"/>
        <v>4</v>
      </c>
      <c r="Q69" s="62" t="e">
        <f t="shared" si="27"/>
        <v>#VALUE!</v>
      </c>
      <c r="R69" s="62" t="e">
        <f t="shared" si="28"/>
        <v>#VALUE!</v>
      </c>
      <c r="S69" s="62" t="str">
        <f>IFERROR(VLOOKUP(MID(N69,Q69,R69-Q69),[6]skilldef!$C:$D,2,FALSE),"-") &amp; " / " &amp; IFERROR(VLOOKUP(MID(N69,O69,P69-O69),[6]skilldef!$A:$B,2,FALSE),"-")</f>
        <v>- / -</v>
      </c>
      <c r="T69" s="47" t="str">
        <f t="shared" si="29"/>
        <v>none</v>
      </c>
      <c r="U69" s="62" t="e">
        <f t="shared" si="30"/>
        <v>#VALUE!</v>
      </c>
      <c r="V69" s="62">
        <f t="shared" si="31"/>
        <v>4</v>
      </c>
      <c r="W69" s="62" t="e">
        <f t="shared" si="32"/>
        <v>#VALUE!</v>
      </c>
      <c r="X69" s="62" t="e">
        <f t="shared" si="33"/>
        <v>#VALUE!</v>
      </c>
      <c r="Y69" s="62" t="str">
        <f>IFERROR(VLOOKUP(MID(T69,W69,X69-W69),[6]skilldef!$C:$D,2,FALSE),"-") &amp; " / " &amp; IFERROR(VLOOKUP(MID(T69,U69,V69-U69),[6]skilldef!$A:$B,2,FALSE),"-")</f>
        <v>- / -</v>
      </c>
      <c r="Z69" s="49"/>
      <c r="AA69" s="51"/>
      <c r="AB69" s="49"/>
      <c r="AC69" s="48">
        <f t="shared" si="34"/>
        <v>7</v>
      </c>
      <c r="AD69" s="48">
        <f t="shared" si="35"/>
        <v>3</v>
      </c>
    </row>
    <row r="70" spans="1:30" ht="21" customHeight="1" x14ac:dyDescent="0.15">
      <c r="A70" s="46">
        <v>47014068</v>
      </c>
      <c r="B70" s="46" t="s">
        <v>265</v>
      </c>
      <c r="C70" s="49">
        <v>1</v>
      </c>
      <c r="D70" s="49" t="s">
        <v>128</v>
      </c>
      <c r="E70" s="50" t="s">
        <v>281</v>
      </c>
      <c r="F70" s="50" t="s">
        <v>267</v>
      </c>
      <c r="G70" s="62" t="str">
        <f t="shared" si="18"/>
        <v>[effect:enemy_message, val1:1.2, val2:1.2]</v>
      </c>
      <c r="H70" s="62">
        <f t="shared" si="19"/>
        <v>9</v>
      </c>
      <c r="I70" s="62">
        <f t="shared" si="20"/>
        <v>22</v>
      </c>
      <c r="J70" s="62" t="e">
        <f t="shared" si="21"/>
        <v>#VALUE!</v>
      </c>
      <c r="K70" s="62">
        <f t="shared" si="22"/>
        <v>32</v>
      </c>
      <c r="L70" s="62" t="str">
        <f>IFERROR(VLOOKUP(MID(G70,J70,K70-J70),[6]skilldef!$C:$D,2,FALSE),"-") &amp; " / " &amp; IFERROR(VLOOKUP(MID(G70,H70,I70-H70),[6]skilldef!$A:$B,2,FALSE),"-")</f>
        <v>- / -</v>
      </c>
      <c r="M70" s="62" t="str">
        <f t="shared" si="23"/>
        <v>none</v>
      </c>
      <c r="N70" s="47" t="str">
        <f t="shared" si="24"/>
        <v>none</v>
      </c>
      <c r="O70" s="62" t="e">
        <f t="shared" si="25"/>
        <v>#VALUE!</v>
      </c>
      <c r="P70" s="62">
        <f t="shared" si="26"/>
        <v>4</v>
      </c>
      <c r="Q70" s="62" t="e">
        <f t="shared" si="27"/>
        <v>#VALUE!</v>
      </c>
      <c r="R70" s="62" t="e">
        <f t="shared" si="28"/>
        <v>#VALUE!</v>
      </c>
      <c r="S70" s="62" t="str">
        <f>IFERROR(VLOOKUP(MID(N70,Q70,R70-Q70),[6]skilldef!$C:$D,2,FALSE),"-") &amp; " / " &amp; IFERROR(VLOOKUP(MID(N70,O70,P70-O70),[6]skilldef!$A:$B,2,FALSE),"-")</f>
        <v>- / -</v>
      </c>
      <c r="T70" s="47" t="str">
        <f t="shared" si="29"/>
        <v>none</v>
      </c>
      <c r="U70" s="62" t="e">
        <f t="shared" si="30"/>
        <v>#VALUE!</v>
      </c>
      <c r="V70" s="62">
        <f t="shared" si="31"/>
        <v>4</v>
      </c>
      <c r="W70" s="62" t="e">
        <f t="shared" si="32"/>
        <v>#VALUE!</v>
      </c>
      <c r="X70" s="62" t="e">
        <f t="shared" si="33"/>
        <v>#VALUE!</v>
      </c>
      <c r="Y70" s="62" t="str">
        <f>IFERROR(VLOOKUP(MID(T70,W70,X70-W70),[6]skilldef!$C:$D,2,FALSE),"-") &amp; " / " &amp; IFERROR(VLOOKUP(MID(T70,U70,V70-U70),[6]skilldef!$A:$B,2,FALSE),"-")</f>
        <v>- / -</v>
      </c>
      <c r="Z70" s="49"/>
      <c r="AA70" s="51"/>
      <c r="AB70" s="49"/>
      <c r="AC70" s="48">
        <f t="shared" si="34"/>
        <v>7</v>
      </c>
      <c r="AD70" s="48">
        <f t="shared" si="35"/>
        <v>3</v>
      </c>
    </row>
    <row r="71" spans="1:30" ht="21" customHeight="1" x14ac:dyDescent="0.15">
      <c r="A71" s="46">
        <v>47014069</v>
      </c>
      <c r="B71" s="46" t="s">
        <v>265</v>
      </c>
      <c r="C71" s="49">
        <v>1</v>
      </c>
      <c r="D71" s="49" t="s">
        <v>128</v>
      </c>
      <c r="E71" s="50" t="s">
        <v>281</v>
      </c>
      <c r="F71" s="50" t="s">
        <v>267</v>
      </c>
      <c r="G71" s="62" t="str">
        <f t="shared" si="18"/>
        <v>[effect:enemy_message, val1:1.2, val2:1.2]</v>
      </c>
      <c r="H71" s="62">
        <f t="shared" si="19"/>
        <v>9</v>
      </c>
      <c r="I71" s="62">
        <f t="shared" si="20"/>
        <v>22</v>
      </c>
      <c r="J71" s="62" t="e">
        <f t="shared" si="21"/>
        <v>#VALUE!</v>
      </c>
      <c r="K71" s="62">
        <f t="shared" si="22"/>
        <v>32</v>
      </c>
      <c r="L71" s="62" t="str">
        <f>IFERROR(VLOOKUP(MID(G71,J71,K71-J71),[6]skilldef!$C:$D,2,FALSE),"-") &amp; " / " &amp; IFERROR(VLOOKUP(MID(G71,H71,I71-H71),[6]skilldef!$A:$B,2,FALSE),"-")</f>
        <v>- / -</v>
      </c>
      <c r="M71" s="62" t="str">
        <f t="shared" si="23"/>
        <v>none</v>
      </c>
      <c r="N71" s="47" t="str">
        <f t="shared" si="24"/>
        <v>none</v>
      </c>
      <c r="O71" s="62" t="e">
        <f t="shared" si="25"/>
        <v>#VALUE!</v>
      </c>
      <c r="P71" s="62">
        <f t="shared" si="26"/>
        <v>4</v>
      </c>
      <c r="Q71" s="62" t="e">
        <f t="shared" si="27"/>
        <v>#VALUE!</v>
      </c>
      <c r="R71" s="62" t="e">
        <f t="shared" si="28"/>
        <v>#VALUE!</v>
      </c>
      <c r="S71" s="62" t="str">
        <f>IFERROR(VLOOKUP(MID(N71,Q71,R71-Q71),[6]skilldef!$C:$D,2,FALSE),"-") &amp; " / " &amp; IFERROR(VLOOKUP(MID(N71,O71,P71-O71),[6]skilldef!$A:$B,2,FALSE),"-")</f>
        <v>- / -</v>
      </c>
      <c r="T71" s="47" t="str">
        <f t="shared" si="29"/>
        <v>none</v>
      </c>
      <c r="U71" s="62" t="e">
        <f t="shared" si="30"/>
        <v>#VALUE!</v>
      </c>
      <c r="V71" s="62">
        <f t="shared" si="31"/>
        <v>4</v>
      </c>
      <c r="W71" s="62" t="e">
        <f t="shared" si="32"/>
        <v>#VALUE!</v>
      </c>
      <c r="X71" s="62" t="e">
        <f t="shared" si="33"/>
        <v>#VALUE!</v>
      </c>
      <c r="Y71" s="62" t="str">
        <f>IFERROR(VLOOKUP(MID(T71,W71,X71-W71),[6]skilldef!$C:$D,2,FALSE),"-") &amp; " / " &amp; IFERROR(VLOOKUP(MID(T71,U71,V71-U71),[6]skilldef!$A:$B,2,FALSE),"-")</f>
        <v>- / -</v>
      </c>
      <c r="Z71" s="49"/>
      <c r="AA71" s="51"/>
      <c r="AB71" s="49"/>
      <c r="AC71" s="48">
        <f t="shared" si="34"/>
        <v>7</v>
      </c>
      <c r="AD71" s="48">
        <f t="shared" si="35"/>
        <v>3</v>
      </c>
    </row>
    <row r="72" spans="1:30" ht="21" customHeight="1" x14ac:dyDescent="0.15">
      <c r="A72" s="46">
        <v>47014070</v>
      </c>
      <c r="B72" s="46" t="s">
        <v>396</v>
      </c>
      <c r="C72" s="49">
        <v>3</v>
      </c>
      <c r="D72" s="49" t="s">
        <v>128</v>
      </c>
      <c r="E72" s="50" t="s">
        <v>340</v>
      </c>
      <c r="F72" s="113" t="s">
        <v>408</v>
      </c>
      <c r="G72" s="62" t="str">
        <f t="shared" si="18"/>
        <v>[effect:enemy_message, val1:1.2, val2:2.6]</v>
      </c>
      <c r="H72" s="62">
        <f t="shared" si="19"/>
        <v>9</v>
      </c>
      <c r="I72" s="62">
        <f t="shared" si="20"/>
        <v>22</v>
      </c>
      <c r="J72" s="62" t="e">
        <f t="shared" si="21"/>
        <v>#VALUE!</v>
      </c>
      <c r="K72" s="62">
        <f t="shared" si="22"/>
        <v>32</v>
      </c>
      <c r="L72" s="62" t="str">
        <f>IFERROR(VLOOKUP(MID(G72,J72,K72-J72),[6]skilldef!$C:$D,2,FALSE),"-") &amp; " / " &amp; IFERROR(VLOOKUP(MID(G72,H72,I72-H72),[6]skilldef!$A:$B,2,FALSE),"-")</f>
        <v>- / -</v>
      </c>
      <c r="M72" s="62" t="str">
        <f t="shared" si="23"/>
        <v>[effect:tolerance, target:myself, turn:-1, count:-1, tolerance_effect:all, animation:enemy_tolerance],[effect:fix_speed, target:myself, turn:1]</v>
      </c>
      <c r="N72" s="47" t="str">
        <f>IFERROR(LEFT(M72,FIND("],",M72)+S83),M72)</f>
        <v>[effect:tolerance, target:myself, turn:-1, count:-1, tolerance_effect:all, animation:enemy_tolerance],[effect:fix_speed, target:myself, turn:1]</v>
      </c>
      <c r="O72" s="62">
        <f t="shared" si="25"/>
        <v>9</v>
      </c>
      <c r="P72" s="62">
        <f t="shared" si="26"/>
        <v>18</v>
      </c>
      <c r="Q72" s="62">
        <f t="shared" si="27"/>
        <v>27</v>
      </c>
      <c r="R72" s="62">
        <f t="shared" si="28"/>
        <v>33</v>
      </c>
      <c r="S72" s="62" t="str">
        <f>IFERROR(VLOOKUP(MID(N72,Q72,R72-Q72),[6]skilldef!$C:$D,2,FALSE),"-") &amp; " / " &amp; IFERROR(VLOOKUP(MID(N72,O72,P72-O72),[6]skilldef!$A:$B,2,FALSE),"-")</f>
        <v>自分自身に / 状態異常耐性</v>
      </c>
      <c r="T72" s="47" t="str">
        <f t="shared" si="29"/>
        <v>[effect:fix_speed, target:myself, turn:1]</v>
      </c>
      <c r="U72" s="62">
        <f t="shared" si="30"/>
        <v>9</v>
      </c>
      <c r="V72" s="62">
        <f t="shared" si="31"/>
        <v>18</v>
      </c>
      <c r="W72" s="62">
        <f t="shared" si="32"/>
        <v>27</v>
      </c>
      <c r="X72" s="62">
        <f t="shared" si="33"/>
        <v>33</v>
      </c>
      <c r="Y72" s="62" t="str">
        <f>IFERROR(VLOOKUP(MID(T72,W72,X72-W72),[6]skilldef!$C:$D,2,FALSE),"-") &amp; " / " &amp; IFERROR(VLOOKUP(MID(T72,U72,V72-U72),[6]skilldef!$A:$B,2,FALSE),"-")</f>
        <v>自分自身に / 行動値設定</v>
      </c>
      <c r="Z72" s="49"/>
      <c r="AA72" s="51"/>
      <c r="AB72" s="49"/>
      <c r="AC72" s="48">
        <f t="shared" si="34"/>
        <v>12</v>
      </c>
      <c r="AD72" s="48">
        <f t="shared" si="35"/>
        <v>26</v>
      </c>
    </row>
    <row r="73" spans="1:30" ht="21" customHeight="1" x14ac:dyDescent="0.15">
      <c r="A73" s="46">
        <v>47014071</v>
      </c>
      <c r="B73" s="46" t="s">
        <v>354</v>
      </c>
      <c r="C73" s="49">
        <v>3</v>
      </c>
      <c r="D73" s="49" t="s">
        <v>128</v>
      </c>
      <c r="E73" s="50" t="s">
        <v>337</v>
      </c>
      <c r="F73" s="50" t="s">
        <v>304</v>
      </c>
      <c r="G73" s="62" t="str">
        <f t="shared" si="18"/>
        <v>[effect:enemy_message, val1:1.2, val2:2.2]</v>
      </c>
      <c r="H73" s="62">
        <f t="shared" si="19"/>
        <v>9</v>
      </c>
      <c r="I73" s="62">
        <f t="shared" si="20"/>
        <v>22</v>
      </c>
      <c r="J73" s="62" t="e">
        <f t="shared" si="21"/>
        <v>#VALUE!</v>
      </c>
      <c r="K73" s="62">
        <f t="shared" si="22"/>
        <v>32</v>
      </c>
      <c r="L73" s="62" t="str">
        <f>IFERROR(VLOOKUP(MID(G73,J73,K73-J73),[6]skilldef!$C:$D,2,FALSE),"-") &amp; " / " &amp; IFERROR(VLOOKUP(MID(G73,H73,I73-H73),[6]skilldef!$A:$B,2,FALSE),"-")</f>
        <v>- / -</v>
      </c>
      <c r="M73" s="62" t="str">
        <f t="shared" si="23"/>
        <v>[effect:force_change_block, new_block:block_heart, target:block_all, count:0, val:0],[effect:change_range_block, block_change:1, base_type:0, square_count:7, position01:7, position02:21, position03:35, value_h01:1, value_h02:1, value_h03:1, value_w01:7, value_w02:7, value_w03:7, new_block:jammer, target:block_heart, count:0, val:0, animation:change_range_block]</v>
      </c>
      <c r="N73" s="47" t="str">
        <f>IFERROR(LEFT(M73,FIND("],",M73)+S84),M73)</f>
        <v>[effect:force_change_block, new_block:block_heart, target:block_all, count:0, val:0],[effect:change_range_block, block_change:1, base_type:0, square_count:7, position01:7, position02:21, position03:35, value_h01:1, value_h02:1, value_h03:1, value_w01:7, value_w02:7, value_w03:7, new_block:jammer, target:block_heart, count:0, val:0, animation:change_range_block]</v>
      </c>
      <c r="O73" s="62">
        <f t="shared" si="25"/>
        <v>9</v>
      </c>
      <c r="P73" s="62">
        <f t="shared" si="26"/>
        <v>27</v>
      </c>
      <c r="Q73" s="62">
        <f t="shared" si="27"/>
        <v>59</v>
      </c>
      <c r="R73" s="62">
        <f t="shared" si="28"/>
        <v>50</v>
      </c>
      <c r="S73" s="62" t="str">
        <f>IFERROR(VLOOKUP(MID(N73,Q73,R73-Q73),[6]skilldef!$C:$D,2,FALSE),"-") &amp; " / " &amp; IFERROR(VLOOKUP(MID(N73,O73,P73-O73),[6]skilldef!$A:$B,2,FALSE),"-")</f>
        <v>- / -</v>
      </c>
      <c r="T73" s="47" t="str">
        <f t="shared" si="29"/>
        <v>[effect:change_range_block, block_change:1, base_type:0, square_count:7, position01:7, position02:21, position03:35, value_h01:1, value_h02:1, value_h03:1, value_w01:7, value_w02:7, value_w03:7, new_block:jammer, target:block_heart, count:0, val:0, animation:change_range_block]</v>
      </c>
      <c r="U73" s="62">
        <f t="shared" si="30"/>
        <v>9</v>
      </c>
      <c r="V73" s="62">
        <f t="shared" si="31"/>
        <v>27</v>
      </c>
      <c r="W73" s="62">
        <f t="shared" si="32"/>
        <v>221</v>
      </c>
      <c r="X73" s="62">
        <f t="shared" si="33"/>
        <v>43</v>
      </c>
      <c r="Y73" s="62" t="str">
        <f>IFERROR(VLOOKUP(MID(T73,W73,X73-W73),[6]skilldef!$C:$D,2,FALSE),"-") &amp; " / " &amp; IFERROR(VLOOKUP(MID(T73,U73,V73-U73),[6]skilldef!$A:$B,2,FALSE),"-")</f>
        <v>- / -</v>
      </c>
      <c r="Z73" s="49"/>
      <c r="AA73" s="51"/>
      <c r="AB73" s="49"/>
      <c r="AC73" s="48">
        <f t="shared" si="34"/>
        <v>8</v>
      </c>
      <c r="AD73" s="48">
        <f t="shared" si="35"/>
        <v>22</v>
      </c>
    </row>
    <row r="74" spans="1:30" ht="21" customHeight="1" x14ac:dyDescent="0.15">
      <c r="A74" s="46">
        <v>47014072</v>
      </c>
      <c r="B74" s="46" t="s">
        <v>410</v>
      </c>
      <c r="C74" s="49">
        <v>3</v>
      </c>
      <c r="D74" s="49" t="s">
        <v>128</v>
      </c>
      <c r="E74" s="50" t="s">
        <v>338</v>
      </c>
      <c r="F74" s="113" t="s">
        <v>409</v>
      </c>
      <c r="G74" s="62" t="str">
        <f t="shared" si="18"/>
        <v>[effect:enemy_message, val1:1.2, val2:2.5]</v>
      </c>
      <c r="H74" s="62">
        <f t="shared" si="19"/>
        <v>9</v>
      </c>
      <c r="I74" s="62">
        <f t="shared" si="20"/>
        <v>22</v>
      </c>
      <c r="J74" s="62" t="e">
        <f t="shared" si="21"/>
        <v>#VALUE!</v>
      </c>
      <c r="K74" s="62">
        <f t="shared" si="22"/>
        <v>32</v>
      </c>
      <c r="L74" s="62" t="str">
        <f>IFERROR(VLOOKUP(MID(G74,J74,K74-J74),[6]skilldef!$C:$D,2,FALSE),"-") &amp; " / " &amp; IFERROR(VLOOKUP(MID(G74,H74,I74-H74),[6]skilldef!$A:$B,2,FALSE),"-")</f>
        <v>- / -</v>
      </c>
      <c r="M74" s="62" t="str">
        <f t="shared" si="23"/>
        <v>[effect:drop_block, block_type:jammer, color:block_heart, val:0, rate:0.4, turn:-1, animation:jammer_influence04]</v>
      </c>
      <c r="N74" s="47" t="str">
        <f>IFERROR(LEFT(M74,FIND("],",M74)+S85),M74)</f>
        <v>[effect:drop_block, block_type:jammer, color:block_heart, val:0, rate:0.4, turn:-1, animation:jammer_influence04]</v>
      </c>
      <c r="O74" s="62">
        <f t="shared" si="25"/>
        <v>9</v>
      </c>
      <c r="P74" s="62">
        <f t="shared" si="26"/>
        <v>19</v>
      </c>
      <c r="Q74" s="62" t="e">
        <f t="shared" si="27"/>
        <v>#VALUE!</v>
      </c>
      <c r="R74" s="62">
        <f t="shared" si="28"/>
        <v>38</v>
      </c>
      <c r="S74" s="62" t="str">
        <f>IFERROR(VLOOKUP(MID(N74,Q74,R74-Q74),[6]skilldef!$C:$D,2,FALSE),"-") &amp; " / " &amp; IFERROR(VLOOKUP(MID(N74,O74,P74-O74),[6]skilldef!$A:$B,2,FALSE),"-")</f>
        <v>- / 特定ブロックの割合ドロップ</v>
      </c>
      <c r="T74" s="47" t="str">
        <f t="shared" si="29"/>
        <v>none</v>
      </c>
      <c r="U74" s="62" t="e">
        <f t="shared" si="30"/>
        <v>#VALUE!</v>
      </c>
      <c r="V74" s="62">
        <f t="shared" si="31"/>
        <v>4</v>
      </c>
      <c r="W74" s="62" t="e">
        <f t="shared" si="32"/>
        <v>#VALUE!</v>
      </c>
      <c r="X74" s="62" t="e">
        <f t="shared" si="33"/>
        <v>#VALUE!</v>
      </c>
      <c r="Y74" s="62" t="str">
        <f>IFERROR(VLOOKUP(MID(T74,W74,X74-W74),[6]skilldef!$C:$D,2,FALSE),"-") &amp; " / " &amp; IFERROR(VLOOKUP(MID(T74,U74,V74-U74),[6]skilldef!$A:$B,2,FALSE),"-")</f>
        <v>- / -</v>
      </c>
      <c r="Z74" s="49"/>
      <c r="AA74" s="51"/>
      <c r="AB74" s="49"/>
      <c r="AC74" s="48">
        <f t="shared" si="34"/>
        <v>12</v>
      </c>
      <c r="AD74" s="48">
        <f t="shared" si="35"/>
        <v>25</v>
      </c>
    </row>
    <row r="75" spans="1:30" ht="21" customHeight="1" x14ac:dyDescent="0.15">
      <c r="A75" s="46">
        <v>47014073</v>
      </c>
      <c r="B75" s="46" t="s">
        <v>362</v>
      </c>
      <c r="C75" s="49">
        <v>3</v>
      </c>
      <c r="D75" s="49" t="s">
        <v>128</v>
      </c>
      <c r="E75" s="50" t="s">
        <v>339</v>
      </c>
      <c r="F75" s="50" t="s">
        <v>305</v>
      </c>
      <c r="G75" s="62" t="str">
        <f t="shared" si="18"/>
        <v>[effect:enemy_message, val1:1.2, val2:1.9]</v>
      </c>
      <c r="H75" s="62">
        <f t="shared" si="19"/>
        <v>9</v>
      </c>
      <c r="I75" s="62">
        <f t="shared" si="20"/>
        <v>22</v>
      </c>
      <c r="J75" s="62" t="e">
        <f t="shared" si="21"/>
        <v>#VALUE!</v>
      </c>
      <c r="K75" s="62">
        <f t="shared" si="22"/>
        <v>32</v>
      </c>
      <c r="L75" s="62" t="str">
        <f>IFERROR(VLOOKUP(MID(G75,J75,K75-J75),[6]skilldef!$C:$D,2,FALSE),"-") &amp; " / " &amp; IFERROR(VLOOKUP(MID(G75,H75,I75-H75),[6]skilldef!$A:$B,2,FALSE),"-")</f>
        <v>- / -</v>
      </c>
      <c r="M75" s="62" t="str">
        <f t="shared" si="23"/>
        <v>[effect:break_attack, target:unit_one, val:0.12, lowest_val:2000, count:5, color:red, block01:jammer]</v>
      </c>
      <c r="N75" s="47" t="str">
        <f>IFERROR(LEFT(M75,FIND("],",M75)+S86),M75)</f>
        <v>[effect:break_attack, target:unit_one, val:0.12, lowest_val:2000, count:5, color:red, block01:jammer]</v>
      </c>
      <c r="O75" s="62">
        <f t="shared" si="25"/>
        <v>9</v>
      </c>
      <c r="P75" s="62">
        <f t="shared" si="26"/>
        <v>21</v>
      </c>
      <c r="Q75" s="62">
        <f t="shared" si="27"/>
        <v>30</v>
      </c>
      <c r="R75" s="62">
        <f t="shared" si="28"/>
        <v>38</v>
      </c>
      <c r="S75" s="62" t="str">
        <f>IFERROR(VLOOKUP(MID(N75,Q75,R75-Q75),[6]skilldef!$C:$D,2,FALSE),"-") &amp; " / " &amp; IFERROR(VLOOKUP(MID(N75,O75,P75-O75),[6]skilldef!$A:$B,2,FALSE),"-")</f>
        <v>味方単体に / -</v>
      </c>
      <c r="T75" s="47" t="str">
        <f t="shared" si="29"/>
        <v>none</v>
      </c>
      <c r="U75" s="62" t="e">
        <f t="shared" si="30"/>
        <v>#VALUE!</v>
      </c>
      <c r="V75" s="62">
        <f t="shared" si="31"/>
        <v>4</v>
      </c>
      <c r="W75" s="62" t="e">
        <f t="shared" si="32"/>
        <v>#VALUE!</v>
      </c>
      <c r="X75" s="62" t="e">
        <f t="shared" si="33"/>
        <v>#VALUE!</v>
      </c>
      <c r="Y75" s="62" t="str">
        <f>IFERROR(VLOOKUP(MID(T75,W75,X75-W75),[6]skilldef!$C:$D,2,FALSE),"-") &amp; " / " &amp; IFERROR(VLOOKUP(MID(T75,U75,V75-U75),[6]skilldef!$A:$B,2,FALSE),"-")</f>
        <v>- / -</v>
      </c>
      <c r="Z75" s="49"/>
      <c r="AA75" s="51"/>
      <c r="AB75" s="49"/>
      <c r="AC75" s="48">
        <f t="shared" si="34"/>
        <v>10</v>
      </c>
      <c r="AD75" s="48">
        <f t="shared" si="35"/>
        <v>19</v>
      </c>
    </row>
    <row r="76" spans="1:30" ht="21" customHeight="1" x14ac:dyDescent="0.15">
      <c r="A76" s="46">
        <v>47014074</v>
      </c>
      <c r="B76" s="46" t="s">
        <v>355</v>
      </c>
      <c r="C76" s="49">
        <v>3</v>
      </c>
      <c r="D76" s="49" t="s">
        <v>128</v>
      </c>
      <c r="E76" s="50" t="s">
        <v>378</v>
      </c>
      <c r="F76" s="50" t="s">
        <v>306</v>
      </c>
      <c r="G76" s="62" t="str">
        <f t="shared" si="18"/>
        <v>[effect:enemy_message, val1:1.2, val2:2.5]</v>
      </c>
      <c r="H76" s="62">
        <f t="shared" si="19"/>
        <v>9</v>
      </c>
      <c r="I76" s="62">
        <f t="shared" si="20"/>
        <v>22</v>
      </c>
      <c r="J76" s="62" t="e">
        <f t="shared" si="21"/>
        <v>#VALUE!</v>
      </c>
      <c r="K76" s="62">
        <f t="shared" si="22"/>
        <v>32</v>
      </c>
      <c r="L76" s="62" t="str">
        <f>IFERROR(VLOOKUP(MID(G76,J76,K76-J76),[6]skilldef!$C:$D,2,FALSE),"-") &amp; " / " &amp; IFERROR(VLOOKUP(MID(G76,H76,I76-H76),[6]skilldef!$A:$B,2,FALSE),"-")</f>
        <v>- / -</v>
      </c>
      <c r="M76" s="62" t="str">
        <f t="shared" si="23"/>
        <v>[effect:force_change_block, new_block:jammer, target:normal, count:5, val:0, animation:change_block],[effect:rush, count:4, val:0.27]</v>
      </c>
      <c r="N76" s="47" t="str">
        <f t="shared" ref="N76:N81" si="36">IFERROR(LEFT(M76,FIND("],",M76)+S89),M76)</f>
        <v>[effect:force_change_block, new_block:jammer, target:normal, count:5, val:0, animation:change_block],[effect:rush, count:4, val:0.27]</v>
      </c>
      <c r="O76" s="62">
        <f t="shared" si="25"/>
        <v>9</v>
      </c>
      <c r="P76" s="62">
        <f t="shared" si="26"/>
        <v>27</v>
      </c>
      <c r="Q76" s="62">
        <f t="shared" si="27"/>
        <v>54</v>
      </c>
      <c r="R76" s="62">
        <f t="shared" si="28"/>
        <v>45</v>
      </c>
      <c r="S76" s="62" t="str">
        <f>IFERROR(VLOOKUP(MID(N76,Q76,R76-Q76),[6]skilldef!$C:$D,2,FALSE),"-") &amp; " / " &amp; IFERROR(VLOOKUP(MID(N76,O76,P76-O76),[6]skilldef!$A:$B,2,FALSE),"-")</f>
        <v>- / -</v>
      </c>
      <c r="T76" s="47" t="str">
        <f t="shared" si="29"/>
        <v>[effect:rush, count:4, val:0.27]</v>
      </c>
      <c r="U76" s="62">
        <f t="shared" si="30"/>
        <v>9</v>
      </c>
      <c r="V76" s="62">
        <f t="shared" si="31"/>
        <v>13</v>
      </c>
      <c r="W76" s="62" t="e">
        <f t="shared" si="32"/>
        <v>#VALUE!</v>
      </c>
      <c r="X76" s="62">
        <f t="shared" si="33"/>
        <v>22</v>
      </c>
      <c r="Y76" s="62" t="str">
        <f>IFERROR(VLOOKUP(MID(T76,W76,X76-W76),[6]skilldef!$C:$D,2,FALSE),"-") &amp; " / " &amp; IFERROR(VLOOKUP(MID(T76,U76,V76-U76),[6]skilldef!$A:$B,2,FALSE),"-")</f>
        <v>- / 連続攻撃</v>
      </c>
      <c r="Z76" s="49"/>
      <c r="AA76" s="51"/>
      <c r="AB76" s="49"/>
      <c r="AC76" s="48">
        <f t="shared" si="34"/>
        <v>12</v>
      </c>
      <c r="AD76" s="48">
        <f t="shared" si="35"/>
        <v>25</v>
      </c>
    </row>
    <row r="77" spans="1:30" ht="21" customHeight="1" x14ac:dyDescent="0.15">
      <c r="A77" s="46">
        <v>47014075</v>
      </c>
      <c r="B77" s="46" t="s">
        <v>395</v>
      </c>
      <c r="C77" s="49">
        <v>3</v>
      </c>
      <c r="D77" s="49" t="s">
        <v>128</v>
      </c>
      <c r="E77" s="50" t="s">
        <v>371</v>
      </c>
      <c r="F77" s="50" t="s">
        <v>394</v>
      </c>
      <c r="G77" s="62" t="str">
        <f t="shared" si="18"/>
        <v>[effect:enemy_message, val1:1.7, val2:1.6]</v>
      </c>
      <c r="H77" s="62">
        <f t="shared" si="19"/>
        <v>9</v>
      </c>
      <c r="I77" s="62">
        <f t="shared" si="20"/>
        <v>22</v>
      </c>
      <c r="J77" s="62" t="e">
        <f t="shared" si="21"/>
        <v>#VALUE!</v>
      </c>
      <c r="K77" s="62">
        <f t="shared" si="22"/>
        <v>32</v>
      </c>
      <c r="L77" s="62" t="str">
        <f>IFERROR(VLOOKUP(MID(G77,J77,K77-J77),[6]skilldef!$C:$D,2,FALSE),"-") &amp; " / " &amp; IFERROR(VLOOKUP(MID(G77,H77,I77-H77),[6]skilldef!$A:$B,2,FALSE),"-")</f>
        <v>- / -</v>
      </c>
      <c r="M77" s="62" t="str">
        <f t="shared" si="23"/>
        <v>none</v>
      </c>
      <c r="N77" s="47" t="str">
        <f t="shared" si="36"/>
        <v>none</v>
      </c>
      <c r="O77" s="62" t="e">
        <f t="shared" si="25"/>
        <v>#VALUE!</v>
      </c>
      <c r="P77" s="62">
        <f t="shared" si="26"/>
        <v>4</v>
      </c>
      <c r="Q77" s="62" t="e">
        <f t="shared" si="27"/>
        <v>#VALUE!</v>
      </c>
      <c r="R77" s="62" t="e">
        <f t="shared" si="28"/>
        <v>#VALUE!</v>
      </c>
      <c r="S77" s="62" t="str">
        <f>IFERROR(VLOOKUP(MID(N77,Q77,R77-Q77),[6]skilldef!$C:$D,2,FALSE),"-") &amp; " / " &amp; IFERROR(VLOOKUP(MID(N77,O77,P77-O77),[6]skilldef!$A:$B,2,FALSE),"-")</f>
        <v>- / -</v>
      </c>
      <c r="T77" s="47" t="str">
        <f t="shared" si="29"/>
        <v>none</v>
      </c>
      <c r="U77" s="62" t="e">
        <f t="shared" si="30"/>
        <v>#VALUE!</v>
      </c>
      <c r="V77" s="62">
        <f t="shared" si="31"/>
        <v>4</v>
      </c>
      <c r="W77" s="62" t="e">
        <f t="shared" si="32"/>
        <v>#VALUE!</v>
      </c>
      <c r="X77" s="62" t="e">
        <f t="shared" si="33"/>
        <v>#VALUE!</v>
      </c>
      <c r="Y77" s="62" t="str">
        <f>IFERROR(VLOOKUP(MID(T77,W77,X77-W77),[6]skilldef!$C:$D,2,FALSE),"-") &amp; " / " &amp; IFERROR(VLOOKUP(MID(T77,U77,V77-U77),[6]skilldef!$A:$B,2,FALSE),"-")</f>
        <v>- / -</v>
      </c>
      <c r="Z77" s="49"/>
      <c r="AA77" s="51"/>
      <c r="AB77" s="49"/>
      <c r="AC77" s="48">
        <f t="shared" si="34"/>
        <v>17</v>
      </c>
      <c r="AD77" s="48">
        <f t="shared" si="35"/>
        <v>16</v>
      </c>
    </row>
    <row r="78" spans="1:30" ht="21" customHeight="1" x14ac:dyDescent="0.15">
      <c r="A78" s="46">
        <v>47014076</v>
      </c>
      <c r="B78" s="46" t="s">
        <v>286</v>
      </c>
      <c r="C78" s="49">
        <v>3</v>
      </c>
      <c r="D78" s="49" t="s">
        <v>128</v>
      </c>
      <c r="E78" s="50" t="s">
        <v>336</v>
      </c>
      <c r="F78" s="50" t="s">
        <v>389</v>
      </c>
      <c r="G78" s="62" t="str">
        <f t="shared" si="18"/>
        <v>[effect:enemy_message, val1:1.2, val2:1.2]</v>
      </c>
      <c r="H78" s="62">
        <f t="shared" si="19"/>
        <v>9</v>
      </c>
      <c r="I78" s="62">
        <f t="shared" si="20"/>
        <v>22</v>
      </c>
      <c r="J78" s="62" t="e">
        <f t="shared" si="21"/>
        <v>#VALUE!</v>
      </c>
      <c r="K78" s="62">
        <f t="shared" si="22"/>
        <v>32</v>
      </c>
      <c r="L78" s="62" t="str">
        <f>IFERROR(VLOOKUP(MID(G78,J78,K78-J78),[6]skilldef!$C:$D,2,FALSE),"-") &amp; " / " &amp; IFERROR(VLOOKUP(MID(G78,H78,I78-H78),[6]skilldef!$A:$B,2,FALSE),"-")</f>
        <v>- / -</v>
      </c>
      <c r="M78" s="62" t="str">
        <f t="shared" si="23"/>
        <v>[effect:spread, val:2.0],[effect:spread, val:2.0],[effect:spread, val:2.0],[effect:spread, val:2.0],[effect:spread, val:2.0]</v>
      </c>
      <c r="N78" s="47" t="str">
        <f t="shared" si="36"/>
        <v>[effect:spread, val:2.0],[effect:spread, val:2.0],[effect:spread, val:2.0],[effect:spread, val:2.0],[effect:spread, val:2.0]</v>
      </c>
      <c r="O78" s="62">
        <f t="shared" si="25"/>
        <v>9</v>
      </c>
      <c r="P78" s="62">
        <f t="shared" si="26"/>
        <v>15</v>
      </c>
      <c r="Q78" s="62" t="e">
        <f t="shared" si="27"/>
        <v>#VALUE!</v>
      </c>
      <c r="R78" s="62">
        <f t="shared" si="28"/>
        <v>25</v>
      </c>
      <c r="S78" s="62" t="str">
        <f>IFERROR(VLOOKUP(MID(N78,Q78,R78-Q78),[6]skilldef!$C:$D,2,FALSE),"-") &amp; " / " &amp; IFERROR(VLOOKUP(MID(N78,O78,P78-O78),[6]skilldef!$A:$B,2,FALSE),"-")</f>
        <v>- / 全体攻撃</v>
      </c>
      <c r="T78" s="47" t="str">
        <f t="shared" si="29"/>
        <v>[effect:spread, val:2.0],[effect:spread, val:2.0],[effect:spread, val:2.0],[effect:spread, val:2.0]</v>
      </c>
      <c r="U78" s="62">
        <f t="shared" si="30"/>
        <v>9</v>
      </c>
      <c r="V78" s="62">
        <f t="shared" si="31"/>
        <v>15</v>
      </c>
      <c r="W78" s="62" t="e">
        <f t="shared" si="32"/>
        <v>#VALUE!</v>
      </c>
      <c r="X78" s="62">
        <f t="shared" si="33"/>
        <v>25</v>
      </c>
      <c r="Y78" s="62" t="str">
        <f>IFERROR(VLOOKUP(MID(T78,W78,X78-W78),[6]skilldef!$C:$D,2,FALSE),"-") &amp; " / " &amp; IFERROR(VLOOKUP(MID(T78,U78,V78-U78),[6]skilldef!$A:$B,2,FALSE),"-")</f>
        <v>- / 全体攻撃</v>
      </c>
      <c r="Z78" s="49"/>
      <c r="AA78" s="51"/>
      <c r="AB78" s="49"/>
      <c r="AC78" s="48">
        <f t="shared" si="34"/>
        <v>10</v>
      </c>
      <c r="AD78" s="48">
        <f t="shared" si="35"/>
        <v>8</v>
      </c>
    </row>
    <row r="79" spans="1:30" ht="21" customHeight="1" x14ac:dyDescent="0.15">
      <c r="A79" s="46">
        <v>47014077</v>
      </c>
      <c r="B79" s="46" t="s">
        <v>356</v>
      </c>
      <c r="C79" s="49">
        <v>3</v>
      </c>
      <c r="D79" s="49" t="s">
        <v>128</v>
      </c>
      <c r="E79" s="50" t="s">
        <v>375</v>
      </c>
      <c r="F79" s="50" t="s">
        <v>341</v>
      </c>
      <c r="G79" s="62" t="str">
        <f t="shared" si="18"/>
        <v>[effect:enemy_message, val1:1.6, val2:2.1]</v>
      </c>
      <c r="H79" s="62">
        <f t="shared" si="19"/>
        <v>9</v>
      </c>
      <c r="I79" s="62">
        <f t="shared" si="20"/>
        <v>22</v>
      </c>
      <c r="J79" s="62" t="e">
        <f t="shared" si="21"/>
        <v>#VALUE!</v>
      </c>
      <c r="K79" s="62">
        <f t="shared" si="22"/>
        <v>32</v>
      </c>
      <c r="L79" s="62" t="str">
        <f>IFERROR(VLOOKUP(MID(G79,J79,K79-J79),[6]skilldef!$C:$D,2,FALSE),"-") &amp; " / " &amp; IFERROR(VLOOKUP(MID(G79,H79,I79-H79),[6]skilldef!$A:$B,2,FALSE),"-")</f>
        <v>- / -</v>
      </c>
      <c r="M79" s="62" t="str">
        <f t="shared" si="23"/>
        <v>none</v>
      </c>
      <c r="N79" s="47" t="str">
        <f t="shared" si="36"/>
        <v>none</v>
      </c>
      <c r="O79" s="62" t="e">
        <f t="shared" si="25"/>
        <v>#VALUE!</v>
      </c>
      <c r="P79" s="62">
        <f t="shared" si="26"/>
        <v>4</v>
      </c>
      <c r="Q79" s="62" t="e">
        <f t="shared" si="27"/>
        <v>#VALUE!</v>
      </c>
      <c r="R79" s="62" t="e">
        <f t="shared" si="28"/>
        <v>#VALUE!</v>
      </c>
      <c r="S79" s="62" t="str">
        <f>IFERROR(VLOOKUP(MID(N79,Q79,R79-Q79),[6]skilldef!$C:$D,2,FALSE),"-") &amp; " / " &amp; IFERROR(VLOOKUP(MID(N79,O79,P79-O79),[6]skilldef!$A:$B,2,FALSE),"-")</f>
        <v>- / -</v>
      </c>
      <c r="T79" s="47" t="str">
        <f t="shared" si="29"/>
        <v>none</v>
      </c>
      <c r="U79" s="62" t="e">
        <f t="shared" si="30"/>
        <v>#VALUE!</v>
      </c>
      <c r="V79" s="62">
        <f t="shared" si="31"/>
        <v>4</v>
      </c>
      <c r="W79" s="62" t="e">
        <f t="shared" si="32"/>
        <v>#VALUE!</v>
      </c>
      <c r="X79" s="62" t="e">
        <f t="shared" si="33"/>
        <v>#VALUE!</v>
      </c>
      <c r="Y79" s="62" t="str">
        <f>IFERROR(VLOOKUP(MID(T79,W79,X79-W79),[6]skilldef!$C:$D,2,FALSE),"-") &amp; " / " &amp; IFERROR(VLOOKUP(MID(T79,U79,V79-U79),[6]skilldef!$A:$B,2,FALSE),"-")</f>
        <v>- / -</v>
      </c>
      <c r="Z79" s="49"/>
      <c r="AA79" s="51"/>
      <c r="AB79" s="49"/>
      <c r="AC79" s="48">
        <f t="shared" si="34"/>
        <v>11</v>
      </c>
      <c r="AD79" s="48">
        <f t="shared" si="35"/>
        <v>16</v>
      </c>
    </row>
    <row r="80" spans="1:30" ht="21" customHeight="1" x14ac:dyDescent="0.15">
      <c r="A80" s="46">
        <v>47014078</v>
      </c>
      <c r="B80" s="46" t="s">
        <v>265</v>
      </c>
      <c r="C80" s="49">
        <v>1</v>
      </c>
      <c r="D80" s="49" t="s">
        <v>128</v>
      </c>
      <c r="E80" s="50" t="s">
        <v>283</v>
      </c>
      <c r="F80" s="50" t="s">
        <v>267</v>
      </c>
      <c r="G80" s="62" t="str">
        <f t="shared" si="18"/>
        <v>[effect:enemy_message, val1:1.2, val2:1.2]</v>
      </c>
      <c r="H80" s="62">
        <f t="shared" si="19"/>
        <v>9</v>
      </c>
      <c r="I80" s="62">
        <f t="shared" si="20"/>
        <v>22</v>
      </c>
      <c r="J80" s="62" t="e">
        <f t="shared" si="21"/>
        <v>#VALUE!</v>
      </c>
      <c r="K80" s="62">
        <f t="shared" si="22"/>
        <v>32</v>
      </c>
      <c r="L80" s="62" t="str">
        <f>IFERROR(VLOOKUP(MID(G80,J80,K80-J80),[6]skilldef!$C:$D,2,FALSE),"-") &amp; " / " &amp; IFERROR(VLOOKUP(MID(G80,H80,I80-H80),[6]skilldef!$A:$B,2,FALSE),"-")</f>
        <v>- / -</v>
      </c>
      <c r="M80" s="62" t="str">
        <f t="shared" si="23"/>
        <v>none</v>
      </c>
      <c r="N80" s="47" t="str">
        <f t="shared" si="36"/>
        <v>none</v>
      </c>
      <c r="O80" s="62" t="e">
        <f t="shared" si="25"/>
        <v>#VALUE!</v>
      </c>
      <c r="P80" s="62">
        <f t="shared" si="26"/>
        <v>4</v>
      </c>
      <c r="Q80" s="62" t="e">
        <f t="shared" si="27"/>
        <v>#VALUE!</v>
      </c>
      <c r="R80" s="62" t="e">
        <f t="shared" si="28"/>
        <v>#VALUE!</v>
      </c>
      <c r="S80" s="62" t="str">
        <f>IFERROR(VLOOKUP(MID(N80,Q80,R80-Q80),[6]skilldef!$C:$D,2,FALSE),"-") &amp; " / " &amp; IFERROR(VLOOKUP(MID(N80,O80,P80-O80),[6]skilldef!$A:$B,2,FALSE),"-")</f>
        <v>- / -</v>
      </c>
      <c r="T80" s="47" t="str">
        <f t="shared" si="29"/>
        <v>none</v>
      </c>
      <c r="U80" s="62" t="e">
        <f t="shared" si="30"/>
        <v>#VALUE!</v>
      </c>
      <c r="V80" s="62">
        <f t="shared" si="31"/>
        <v>4</v>
      </c>
      <c r="W80" s="62" t="e">
        <f t="shared" si="32"/>
        <v>#VALUE!</v>
      </c>
      <c r="X80" s="62" t="e">
        <f t="shared" si="33"/>
        <v>#VALUE!</v>
      </c>
      <c r="Y80" s="62" t="str">
        <f>IFERROR(VLOOKUP(MID(T80,W80,X80-W80),[6]skilldef!$C:$D,2,FALSE),"-") &amp; " / " &amp; IFERROR(VLOOKUP(MID(T80,U80,V80-U80),[6]skilldef!$A:$B,2,FALSE),"-")</f>
        <v>- / -</v>
      </c>
      <c r="Z80" s="49"/>
      <c r="AA80" s="51"/>
      <c r="AB80" s="49"/>
      <c r="AC80" s="48">
        <f t="shared" si="34"/>
        <v>7</v>
      </c>
      <c r="AD80" s="48">
        <f t="shared" si="35"/>
        <v>3</v>
      </c>
    </row>
    <row r="81" spans="1:30" ht="21" customHeight="1" x14ac:dyDescent="0.15">
      <c r="A81" s="46">
        <v>47014079</v>
      </c>
      <c r="B81" s="46" t="s">
        <v>265</v>
      </c>
      <c r="C81" s="49">
        <v>1</v>
      </c>
      <c r="D81" s="49" t="s">
        <v>128</v>
      </c>
      <c r="E81" s="50" t="s">
        <v>283</v>
      </c>
      <c r="F81" s="50" t="s">
        <v>267</v>
      </c>
      <c r="G81" s="62" t="str">
        <f t="shared" si="18"/>
        <v>[effect:enemy_message, val1:1.2, val2:1.2]</v>
      </c>
      <c r="H81" s="62">
        <f t="shared" si="19"/>
        <v>9</v>
      </c>
      <c r="I81" s="62">
        <f t="shared" si="20"/>
        <v>22</v>
      </c>
      <c r="J81" s="62" t="e">
        <f t="shared" si="21"/>
        <v>#VALUE!</v>
      </c>
      <c r="K81" s="62">
        <f t="shared" si="22"/>
        <v>32</v>
      </c>
      <c r="L81" s="62" t="str">
        <f>IFERROR(VLOOKUP(MID(G81,J81,K81-J81),[6]skilldef!$C:$D,2,FALSE),"-") &amp; " / " &amp; IFERROR(VLOOKUP(MID(G81,H81,I81-H81),[6]skilldef!$A:$B,2,FALSE),"-")</f>
        <v>- / -</v>
      </c>
      <c r="M81" s="62" t="str">
        <f t="shared" si="23"/>
        <v>none</v>
      </c>
      <c r="N81" s="47" t="str">
        <f t="shared" si="36"/>
        <v>none</v>
      </c>
      <c r="O81" s="62" t="e">
        <f t="shared" si="25"/>
        <v>#VALUE!</v>
      </c>
      <c r="P81" s="62">
        <f t="shared" si="26"/>
        <v>4</v>
      </c>
      <c r="Q81" s="62" t="e">
        <f t="shared" si="27"/>
        <v>#VALUE!</v>
      </c>
      <c r="R81" s="62" t="e">
        <f t="shared" si="28"/>
        <v>#VALUE!</v>
      </c>
      <c r="S81" s="62" t="str">
        <f>IFERROR(VLOOKUP(MID(N81,Q81,R81-Q81),[6]skilldef!$C:$D,2,FALSE),"-") &amp; " / " &amp; IFERROR(VLOOKUP(MID(N81,O81,P81-O81),[6]skilldef!$A:$B,2,FALSE),"-")</f>
        <v>- / -</v>
      </c>
      <c r="T81" s="47" t="str">
        <f t="shared" si="29"/>
        <v>none</v>
      </c>
      <c r="U81" s="62" t="e">
        <f t="shared" si="30"/>
        <v>#VALUE!</v>
      </c>
      <c r="V81" s="62">
        <f t="shared" si="31"/>
        <v>4</v>
      </c>
      <c r="W81" s="62" t="e">
        <f t="shared" si="32"/>
        <v>#VALUE!</v>
      </c>
      <c r="X81" s="62" t="e">
        <f t="shared" si="33"/>
        <v>#VALUE!</v>
      </c>
      <c r="Y81" s="62" t="str">
        <f>IFERROR(VLOOKUP(MID(T81,W81,X81-W81),[6]skilldef!$C:$D,2,FALSE),"-") &amp; " / " &amp; IFERROR(VLOOKUP(MID(T81,U81,V81-U81),[6]skilldef!$A:$B,2,FALSE),"-")</f>
        <v>- / -</v>
      </c>
      <c r="Z81" s="49"/>
      <c r="AA81" s="51"/>
      <c r="AB81" s="49"/>
      <c r="AC81" s="48">
        <f t="shared" si="34"/>
        <v>7</v>
      </c>
      <c r="AD81" s="48">
        <f t="shared" si="35"/>
        <v>3</v>
      </c>
    </row>
    <row r="82" spans="1:30" ht="21" customHeight="1" x14ac:dyDescent="0.15">
      <c r="A82" s="46">
        <v>47014080</v>
      </c>
      <c r="B82" s="46" t="s">
        <v>422</v>
      </c>
      <c r="C82" s="49">
        <v>3</v>
      </c>
      <c r="D82" s="49" t="s">
        <v>284</v>
      </c>
      <c r="E82" s="50" t="s">
        <v>374</v>
      </c>
      <c r="F82" s="125" t="s">
        <v>421</v>
      </c>
      <c r="G82" s="62" t="str">
        <f t="shared" ref="G82" si="37">IFERROR(LEFT(B82,FIND("],",B82)),B82)</f>
        <v>[effect:enemy_message, val1:1.9, val2:2.3]</v>
      </c>
      <c r="H82" s="62">
        <f t="shared" ref="H82" si="38">FIND("effect:",G82)+7</f>
        <v>9</v>
      </c>
      <c r="I82" s="62">
        <f t="shared" ref="I82" si="39">IFERROR(FIND(",",G82),LEN(G82))</f>
        <v>22</v>
      </c>
      <c r="J82" s="62" t="e">
        <f t="shared" ref="J82" si="40">FIND("target:",G82)+7</f>
        <v>#VALUE!</v>
      </c>
      <c r="K82" s="62">
        <f t="shared" ref="K82" si="41">FIND(",",G82,I82+1)</f>
        <v>32</v>
      </c>
      <c r="L82" s="62" t="str">
        <f>IFERROR(VLOOKUP(MID(G82,J82,K82-J82),[6]skilldef!$C:$D,2,FALSE),"-") &amp; " / " &amp; IFERROR(VLOOKUP(MID(G82,H82,I82-H82),[6]skilldef!$A:$B,2,FALSE),"-")</f>
        <v>- / -</v>
      </c>
      <c r="M82" s="62" t="str">
        <f t="shared" ref="M82" si="42">IFERROR(RIGHT(B82,LEN(B82)-FIND("],",B82)-1),"none")</f>
        <v>[effect:tolerance, target:myself, turn:-1, count:-1, tolerance_effect:all, animation:enemy_tolerance],[effect:fix_speed, target:myself, turn:1],[effect:crash_condition, target:unit_all, turn:-1, val:-3]</v>
      </c>
      <c r="N82" s="47" t="str">
        <f t="shared" ref="N82" si="43">IFERROR(LEFT(M82,FIND("],",M82)+S94),M82)</f>
        <v>[effect:tolerance, target:myself, turn:-1, count:-1, tolerance_effect:all, animation:enemy_tolerance],[effect:fix_speed, target:myself, turn:1],[effect:crash_condition, target:unit_all, turn:-1, val:-3]</v>
      </c>
      <c r="O82" s="62">
        <f t="shared" ref="O82" si="44">FIND("effect:",N82)+7</f>
        <v>9</v>
      </c>
      <c r="P82" s="62">
        <f t="shared" ref="P82" si="45">IFERROR(FIND(",",N82),LEN(N82))</f>
        <v>18</v>
      </c>
      <c r="Q82" s="62">
        <f t="shared" ref="Q82" si="46">FIND("target:",N82)+7</f>
        <v>27</v>
      </c>
      <c r="R82" s="62">
        <f t="shared" ref="R82" si="47">FIND(",",N82,P82+1)</f>
        <v>33</v>
      </c>
      <c r="S82" s="62" t="str">
        <f>IFERROR(VLOOKUP(MID(N82,Q82,R82-Q82),[6]skilldef!$C:$D,2,FALSE),"-") &amp; " / " &amp; IFERROR(VLOOKUP(MID(N82,O82,P82-O82),[6]skilldef!$A:$B,2,FALSE),"-")</f>
        <v>自分自身に / 状態異常耐性</v>
      </c>
      <c r="T82" s="47" t="str">
        <f t="shared" ref="T82" si="48">IFERROR(RIGHT(M82,LEN(M82)-FIND("],",M82)-1),"none")</f>
        <v>[effect:fix_speed, target:myself, turn:1],[effect:crash_condition, target:unit_all, turn:-1, val:-3]</v>
      </c>
      <c r="U82" s="62">
        <f t="shared" ref="U82" si="49">FIND("effect:",T82)+7</f>
        <v>9</v>
      </c>
      <c r="V82" s="62">
        <f t="shared" ref="V82" si="50">IFERROR(FIND(",",T82),LEN(T82))</f>
        <v>18</v>
      </c>
      <c r="W82" s="62">
        <f t="shared" ref="W82" si="51">FIND("target:",T82)+7</f>
        <v>27</v>
      </c>
      <c r="X82" s="62">
        <f t="shared" ref="X82" si="52">FIND(",",T82,V82+1)</f>
        <v>33</v>
      </c>
      <c r="Y82" s="62" t="str">
        <f>IFERROR(VLOOKUP(MID(T82,W82,X82-W82),[6]skilldef!$C:$D,2,FALSE),"-") &amp; " / " &amp; IFERROR(VLOOKUP(MID(T82,U82,V82-U82),[6]skilldef!$A:$B,2,FALSE),"-")</f>
        <v>自分自身に / 行動値設定</v>
      </c>
      <c r="Z82" s="49"/>
      <c r="AA82" s="51"/>
      <c r="AB82" s="49"/>
      <c r="AC82" s="48">
        <f t="shared" si="34"/>
        <v>19</v>
      </c>
      <c r="AD82" s="48">
        <f t="shared" si="35"/>
        <v>23</v>
      </c>
    </row>
    <row r="83" spans="1:30" ht="21" customHeight="1" x14ac:dyDescent="0.15">
      <c r="A83" s="46">
        <v>47014081</v>
      </c>
      <c r="B83" s="46" t="s">
        <v>373</v>
      </c>
      <c r="C83" s="49">
        <v>3</v>
      </c>
      <c r="D83" s="49" t="s">
        <v>284</v>
      </c>
      <c r="E83" s="50" t="s">
        <v>372</v>
      </c>
      <c r="F83" s="50" t="s">
        <v>277</v>
      </c>
      <c r="G83" s="62" t="str">
        <f t="shared" si="18"/>
        <v>[effect:enemy_message, val1:2.9, val2:1.2]</v>
      </c>
      <c r="H83" s="62">
        <f t="shared" si="19"/>
        <v>9</v>
      </c>
      <c r="I83" s="62">
        <f t="shared" si="20"/>
        <v>22</v>
      </c>
      <c r="J83" s="62" t="e">
        <f t="shared" si="21"/>
        <v>#VALUE!</v>
      </c>
      <c r="K83" s="62">
        <f t="shared" si="22"/>
        <v>32</v>
      </c>
      <c r="L83" s="62" t="str">
        <f>IFERROR(VLOOKUP(MID(G83,J83,K83-J83),[6]skilldef!$C:$D,2,FALSE),"-") &amp; " / " &amp; IFERROR(VLOOKUP(MID(G83,H83,I83-H83),[6]skilldef!$A:$B,2,FALSE),"-")</f>
        <v>- / -</v>
      </c>
      <c r="M83" s="62" t="str">
        <f t="shared" si="23"/>
        <v>[effect:tolerance, target:myself, turn:-1, count:-1, tolerance_effect:all, animation:enemy_tolerance],[effect:fix_speed, target:myself, turn:1]</v>
      </c>
      <c r="N83" s="47" t="str">
        <f>IFERROR(LEFT(M83,FIND("],",M83)+S95),M83)</f>
        <v>[effect:tolerance, target:myself, turn:-1, count:-1, tolerance_effect:all, animation:enemy_tolerance],[effect:fix_speed, target:myself, turn:1]</v>
      </c>
      <c r="O83" s="62">
        <f t="shared" si="25"/>
        <v>9</v>
      </c>
      <c r="P83" s="62">
        <f t="shared" si="26"/>
        <v>18</v>
      </c>
      <c r="Q83" s="62">
        <f t="shared" si="27"/>
        <v>27</v>
      </c>
      <c r="R83" s="62">
        <f t="shared" si="28"/>
        <v>33</v>
      </c>
      <c r="S83" s="62" t="str">
        <f>IFERROR(VLOOKUP(MID(N83,Q83,R83-Q83),[6]skilldef!$C:$D,2,FALSE),"-") &amp; " / " &amp; IFERROR(VLOOKUP(MID(N83,O83,P83-O83),[6]skilldef!$A:$B,2,FALSE),"-")</f>
        <v>自分自身に / 状態異常耐性</v>
      </c>
      <c r="T83" s="47" t="str">
        <f t="shared" si="29"/>
        <v>[effect:fix_speed, target:myself, turn:1]</v>
      </c>
      <c r="U83" s="62">
        <f t="shared" si="30"/>
        <v>9</v>
      </c>
      <c r="V83" s="62">
        <f t="shared" si="31"/>
        <v>18</v>
      </c>
      <c r="W83" s="62">
        <f t="shared" si="32"/>
        <v>27</v>
      </c>
      <c r="X83" s="62">
        <f t="shared" si="33"/>
        <v>33</v>
      </c>
      <c r="Y83" s="62" t="str">
        <f>IFERROR(VLOOKUP(MID(T83,W83,X83-W83),[6]skilldef!$C:$D,2,FALSE),"-") &amp; " / " &amp; IFERROR(VLOOKUP(MID(T83,U83,V83-U83),[6]skilldef!$A:$B,2,FALSE),"-")</f>
        <v>自分自身に / 行動値設定</v>
      </c>
      <c r="Z83" s="49"/>
      <c r="AA83" s="51"/>
      <c r="AB83" s="49"/>
      <c r="AC83" s="48">
        <f t="shared" si="34"/>
        <v>29</v>
      </c>
      <c r="AD83" s="48">
        <f t="shared" si="35"/>
        <v>6</v>
      </c>
    </row>
    <row r="84" spans="1:30" ht="21" customHeight="1" x14ac:dyDescent="0.15">
      <c r="A84" s="46">
        <v>47014082</v>
      </c>
      <c r="B84" s="46" t="s">
        <v>373</v>
      </c>
      <c r="C84" s="49">
        <v>3</v>
      </c>
      <c r="D84" s="49" t="s">
        <v>128</v>
      </c>
      <c r="E84" s="50" t="s">
        <v>372</v>
      </c>
      <c r="F84" s="50" t="s">
        <v>277</v>
      </c>
      <c r="G84" s="62" t="str">
        <f t="shared" si="18"/>
        <v>[effect:enemy_message, val1:2.9, val2:1.2]</v>
      </c>
      <c r="H84" s="62">
        <f t="shared" si="19"/>
        <v>9</v>
      </c>
      <c r="I84" s="62">
        <f t="shared" si="20"/>
        <v>22</v>
      </c>
      <c r="J84" s="62" t="e">
        <f t="shared" si="21"/>
        <v>#VALUE!</v>
      </c>
      <c r="K84" s="62">
        <f t="shared" si="22"/>
        <v>32</v>
      </c>
      <c r="L84" s="62" t="str">
        <f>IFERROR(VLOOKUP(MID(G84,J84,K84-J84),[6]skilldef!$C:$D,2,FALSE),"-") &amp; " / " &amp; IFERROR(VLOOKUP(MID(G84,H84,I84-H84),[6]skilldef!$A:$B,2,FALSE),"-")</f>
        <v>- / -</v>
      </c>
      <c r="M84" s="62" t="str">
        <f t="shared" si="23"/>
        <v>[effect:tolerance, target:myself, turn:-1, count:-1, tolerance_effect:all, animation:enemy_tolerance],[effect:fix_speed, target:myself, turn:1]</v>
      </c>
      <c r="N84" s="47" t="str">
        <f>IFERROR(LEFT(M84,FIND("],",M84)+S96),M84)</f>
        <v>[effect:tolerance, target:myself, turn:-1, count:-1, tolerance_effect:all, animation:enemy_tolerance],[effect:fix_speed, target:myself, turn:1]</v>
      </c>
      <c r="O84" s="62">
        <f t="shared" si="25"/>
        <v>9</v>
      </c>
      <c r="P84" s="62">
        <f t="shared" si="26"/>
        <v>18</v>
      </c>
      <c r="Q84" s="62">
        <f t="shared" si="27"/>
        <v>27</v>
      </c>
      <c r="R84" s="62">
        <f t="shared" si="28"/>
        <v>33</v>
      </c>
      <c r="S84" s="62" t="str">
        <f>IFERROR(VLOOKUP(MID(N84,Q84,R84-Q84),[6]skilldef!$C:$D,2,FALSE),"-") &amp; " / " &amp; IFERROR(VLOOKUP(MID(N84,O84,P84-O84),[6]skilldef!$A:$B,2,FALSE),"-")</f>
        <v>自分自身に / 状態異常耐性</v>
      </c>
      <c r="T84" s="47" t="str">
        <f t="shared" si="29"/>
        <v>[effect:fix_speed, target:myself, turn:1]</v>
      </c>
      <c r="U84" s="62">
        <f t="shared" si="30"/>
        <v>9</v>
      </c>
      <c r="V84" s="62">
        <f t="shared" si="31"/>
        <v>18</v>
      </c>
      <c r="W84" s="62">
        <f t="shared" si="32"/>
        <v>27</v>
      </c>
      <c r="X84" s="62">
        <f t="shared" si="33"/>
        <v>33</v>
      </c>
      <c r="Y84" s="62" t="str">
        <f>IFERROR(VLOOKUP(MID(T84,W84,X84-W84),[6]skilldef!$C:$D,2,FALSE),"-") &amp; " / " &amp; IFERROR(VLOOKUP(MID(T84,U84,V84-U84),[6]skilldef!$A:$B,2,FALSE),"-")</f>
        <v>自分自身に / 行動値設定</v>
      </c>
      <c r="Z84" s="49"/>
      <c r="AA84" s="51"/>
      <c r="AB84" s="49"/>
      <c r="AC84" s="48">
        <f t="shared" si="34"/>
        <v>29</v>
      </c>
      <c r="AD84" s="48">
        <f t="shared" si="35"/>
        <v>6</v>
      </c>
    </row>
    <row r="85" spans="1:30" ht="21" customHeight="1" x14ac:dyDescent="0.15">
      <c r="A85" s="46">
        <v>47014083</v>
      </c>
      <c r="B85" s="46" t="s">
        <v>373</v>
      </c>
      <c r="C85" s="49">
        <v>3</v>
      </c>
      <c r="D85" s="49" t="s">
        <v>128</v>
      </c>
      <c r="E85" s="50" t="s">
        <v>372</v>
      </c>
      <c r="F85" s="50" t="s">
        <v>277</v>
      </c>
      <c r="G85" s="62" t="str">
        <f t="shared" si="18"/>
        <v>[effect:enemy_message, val1:2.9, val2:1.2]</v>
      </c>
      <c r="H85" s="62">
        <f t="shared" si="19"/>
        <v>9</v>
      </c>
      <c r="I85" s="62">
        <f t="shared" si="20"/>
        <v>22</v>
      </c>
      <c r="J85" s="62" t="e">
        <f t="shared" si="21"/>
        <v>#VALUE!</v>
      </c>
      <c r="K85" s="62">
        <f t="shared" si="22"/>
        <v>32</v>
      </c>
      <c r="L85" s="62" t="str">
        <f>IFERROR(VLOOKUP(MID(G85,J85,K85-J85),[6]skilldef!$C:$D,2,FALSE),"-") &amp; " / " &amp; IFERROR(VLOOKUP(MID(G85,H85,I85-H85),[6]skilldef!$A:$B,2,FALSE),"-")</f>
        <v>- / -</v>
      </c>
      <c r="M85" s="62" t="str">
        <f t="shared" si="23"/>
        <v>[effect:tolerance, target:myself, turn:-1, count:-1, tolerance_effect:all, animation:enemy_tolerance],[effect:fix_speed, target:myself, turn:1]</v>
      </c>
      <c r="N85" s="47" t="str">
        <f>IFERROR(LEFT(M85,FIND("],",M85)+S97),M85)</f>
        <v>[effect:tolerance, target:myself, turn:-1, count:-1, tolerance_effect:all, animation:enemy_tolerance],[effect:fix_speed, target:myself, turn:1]</v>
      </c>
      <c r="O85" s="62">
        <f t="shared" si="25"/>
        <v>9</v>
      </c>
      <c r="P85" s="62">
        <f t="shared" si="26"/>
        <v>18</v>
      </c>
      <c r="Q85" s="62">
        <f t="shared" si="27"/>
        <v>27</v>
      </c>
      <c r="R85" s="62">
        <f t="shared" si="28"/>
        <v>33</v>
      </c>
      <c r="S85" s="62" t="str">
        <f>IFERROR(VLOOKUP(MID(N85,Q85,R85-Q85),[6]skilldef!$C:$D,2,FALSE),"-") &amp; " / " &amp; IFERROR(VLOOKUP(MID(N85,O85,P85-O85),[6]skilldef!$A:$B,2,FALSE),"-")</f>
        <v>自分自身に / 状態異常耐性</v>
      </c>
      <c r="T85" s="47" t="str">
        <f t="shared" si="29"/>
        <v>[effect:fix_speed, target:myself, turn:1]</v>
      </c>
      <c r="U85" s="62">
        <f t="shared" si="30"/>
        <v>9</v>
      </c>
      <c r="V85" s="62">
        <f t="shared" si="31"/>
        <v>18</v>
      </c>
      <c r="W85" s="62">
        <f t="shared" si="32"/>
        <v>27</v>
      </c>
      <c r="X85" s="62">
        <f t="shared" si="33"/>
        <v>33</v>
      </c>
      <c r="Y85" s="62" t="str">
        <f>IFERROR(VLOOKUP(MID(T85,W85,X85-W85),[6]skilldef!$C:$D,2,FALSE),"-") &amp; " / " &amp; IFERROR(VLOOKUP(MID(T85,U85,V85-U85),[6]skilldef!$A:$B,2,FALSE),"-")</f>
        <v>自分自身に / 行動値設定</v>
      </c>
      <c r="Z85" s="49"/>
      <c r="AA85" s="51"/>
      <c r="AB85" s="49"/>
      <c r="AC85" s="48">
        <f t="shared" si="34"/>
        <v>29</v>
      </c>
      <c r="AD85" s="48">
        <f t="shared" si="35"/>
        <v>6</v>
      </c>
    </row>
    <row r="86" spans="1:30" ht="21" customHeight="1" x14ac:dyDescent="0.15">
      <c r="A86" s="46">
        <v>47014084</v>
      </c>
      <c r="B86" s="46" t="s">
        <v>373</v>
      </c>
      <c r="C86" s="49">
        <v>3</v>
      </c>
      <c r="D86" s="49" t="s">
        <v>128</v>
      </c>
      <c r="E86" s="50" t="s">
        <v>372</v>
      </c>
      <c r="F86" s="50" t="s">
        <v>277</v>
      </c>
      <c r="G86" s="62" t="str">
        <f t="shared" si="18"/>
        <v>[effect:enemy_message, val1:2.9, val2:1.2]</v>
      </c>
      <c r="H86" s="62">
        <f t="shared" si="19"/>
        <v>9</v>
      </c>
      <c r="I86" s="62">
        <f t="shared" si="20"/>
        <v>22</v>
      </c>
      <c r="J86" s="62" t="e">
        <f t="shared" si="21"/>
        <v>#VALUE!</v>
      </c>
      <c r="K86" s="62">
        <f t="shared" si="22"/>
        <v>32</v>
      </c>
      <c r="L86" s="62" t="str">
        <f>IFERROR(VLOOKUP(MID(G86,J86,K86-J86),[6]skilldef!$C:$D,2,FALSE),"-") &amp; " / " &amp; IFERROR(VLOOKUP(MID(G86,H86,I86-H86),[6]skilldef!$A:$B,2,FALSE),"-")</f>
        <v>- / -</v>
      </c>
      <c r="M86" s="62" t="str">
        <f t="shared" si="23"/>
        <v>[effect:tolerance, target:myself, turn:-1, count:-1, tolerance_effect:all, animation:enemy_tolerance],[effect:fix_speed, target:myself, turn:1]</v>
      </c>
      <c r="N86" s="47" t="str">
        <f>IFERROR(LEFT(M86,FIND("],",M86)+S98),M86)</f>
        <v>[effect:tolerance, target:myself, turn:-1, count:-1, tolerance_effect:all, animation:enemy_tolerance],[effect:fix_speed, target:myself, turn:1]</v>
      </c>
      <c r="O86" s="62">
        <f t="shared" si="25"/>
        <v>9</v>
      </c>
      <c r="P86" s="62">
        <f t="shared" si="26"/>
        <v>18</v>
      </c>
      <c r="Q86" s="62">
        <f t="shared" si="27"/>
        <v>27</v>
      </c>
      <c r="R86" s="62">
        <f t="shared" si="28"/>
        <v>33</v>
      </c>
      <c r="S86" s="62" t="str">
        <f>IFERROR(VLOOKUP(MID(N86,Q86,R86-Q86),[6]skilldef!$C:$D,2,FALSE),"-") &amp; " / " &amp; IFERROR(VLOOKUP(MID(N86,O86,P86-O86),[6]skilldef!$A:$B,2,FALSE),"-")</f>
        <v>自分自身に / 状態異常耐性</v>
      </c>
      <c r="T86" s="47" t="str">
        <f t="shared" si="29"/>
        <v>[effect:fix_speed, target:myself, turn:1]</v>
      </c>
      <c r="U86" s="62">
        <f t="shared" si="30"/>
        <v>9</v>
      </c>
      <c r="V86" s="62">
        <f t="shared" si="31"/>
        <v>18</v>
      </c>
      <c r="W86" s="62">
        <f t="shared" si="32"/>
        <v>27</v>
      </c>
      <c r="X86" s="62">
        <f t="shared" si="33"/>
        <v>33</v>
      </c>
      <c r="Y86" s="62" t="str">
        <f>IFERROR(VLOOKUP(MID(T86,W86,X86-W86),[6]skilldef!$C:$D,2,FALSE),"-") &amp; " / " &amp; IFERROR(VLOOKUP(MID(T86,U86,V86-U86),[6]skilldef!$A:$B,2,FALSE),"-")</f>
        <v>自分自身に / 行動値設定</v>
      </c>
      <c r="Z86" s="49"/>
      <c r="AA86" s="51"/>
      <c r="AB86" s="49"/>
      <c r="AC86" s="48">
        <f t="shared" si="34"/>
        <v>29</v>
      </c>
      <c r="AD86" s="48">
        <f t="shared" si="35"/>
        <v>6</v>
      </c>
    </row>
    <row r="87" spans="1:30" ht="21" customHeight="1" x14ac:dyDescent="0.15">
      <c r="A87" s="46">
        <v>47014085</v>
      </c>
      <c r="B87" s="46" t="s">
        <v>357</v>
      </c>
      <c r="C87" s="49">
        <v>3</v>
      </c>
      <c r="D87" s="49" t="s">
        <v>128</v>
      </c>
      <c r="E87" s="50" t="s">
        <v>342</v>
      </c>
      <c r="F87" s="50" t="s">
        <v>377</v>
      </c>
      <c r="G87" s="62" t="str">
        <f t="shared" ref="G87:G88" si="53">IFERROR(LEFT(B87,FIND("],",B87)),B87)</f>
        <v>[effect:enemy_message, val1:1.6, val2:2.2]</v>
      </c>
      <c r="H87" s="62">
        <f t="shared" ref="H87:H88" si="54">FIND("effect:",G87)+7</f>
        <v>9</v>
      </c>
      <c r="I87" s="62">
        <f t="shared" ref="I87:I88" si="55">IFERROR(FIND(",",G87),LEN(G87))</f>
        <v>22</v>
      </c>
      <c r="J87" s="62" t="e">
        <f t="shared" ref="J87:J88" si="56">FIND("target:",G87)+7</f>
        <v>#VALUE!</v>
      </c>
      <c r="K87" s="62">
        <f t="shared" ref="K87:K88" si="57">FIND(",",G87,I87+1)</f>
        <v>32</v>
      </c>
      <c r="L87" s="62" t="str">
        <f>IFERROR(VLOOKUP(MID(G87,J87,K87-J87),[6]skilldef!$C:$D,2,FALSE),"-") &amp; " / " &amp; IFERROR(VLOOKUP(MID(G87,H87,I87-H87),[6]skilldef!$A:$B,2,FALSE),"-")</f>
        <v>- / -</v>
      </c>
      <c r="M87" s="62" t="str">
        <f t="shared" ref="M87:M88" si="58">IFERROR(RIGHT(B87,LEN(B87)-FIND("],",B87)-1),"none")</f>
        <v>none</v>
      </c>
      <c r="N87" s="47" t="str">
        <f t="shared" ref="N87:N88" si="59">IFERROR(LEFT(M87,FIND("],",M87)+S97),M87)</f>
        <v>none</v>
      </c>
      <c r="O87" s="62" t="e">
        <f t="shared" ref="O87:O88" si="60">FIND("effect:",N87)+7</f>
        <v>#VALUE!</v>
      </c>
      <c r="P87" s="62">
        <f t="shared" ref="P87:P88" si="61">IFERROR(FIND(",",N87),LEN(N87))</f>
        <v>4</v>
      </c>
      <c r="Q87" s="62" t="e">
        <f t="shared" ref="Q87:Q88" si="62">FIND("target:",N87)+7</f>
        <v>#VALUE!</v>
      </c>
      <c r="R87" s="62" t="e">
        <f t="shared" ref="R87:R88" si="63">FIND(",",N87,P87+1)</f>
        <v>#VALUE!</v>
      </c>
      <c r="S87" s="62" t="str">
        <f>IFERROR(VLOOKUP(MID(N87,Q87,R87-Q87),[6]skilldef!$C:$D,2,FALSE),"-") &amp; " / " &amp; IFERROR(VLOOKUP(MID(N87,O87,P87-O87),[6]skilldef!$A:$B,2,FALSE),"-")</f>
        <v>- / -</v>
      </c>
      <c r="T87" s="47" t="str">
        <f t="shared" ref="T87:T88" si="64">IFERROR(RIGHT(M87,LEN(M87)-FIND("],",M87)-1),"none")</f>
        <v>none</v>
      </c>
      <c r="U87" s="62" t="e">
        <f t="shared" ref="U87:U88" si="65">FIND("effect:",T87)+7</f>
        <v>#VALUE!</v>
      </c>
      <c r="V87" s="62">
        <f t="shared" ref="V87:V88" si="66">IFERROR(FIND(",",T87),LEN(T87))</f>
        <v>4</v>
      </c>
      <c r="W87" s="62" t="e">
        <f t="shared" ref="W87:W88" si="67">FIND("target:",T87)+7</f>
        <v>#VALUE!</v>
      </c>
      <c r="X87" s="62" t="e">
        <f t="shared" ref="X87:X88" si="68">FIND(",",T87,V87+1)</f>
        <v>#VALUE!</v>
      </c>
      <c r="Y87" s="62" t="str">
        <f>IFERROR(VLOOKUP(MID(T87,W87,X87-W87),[6]skilldef!$C:$D,2,FALSE),"-") &amp; " / " &amp; IFERROR(VLOOKUP(MID(T87,U87,V87-U87),[6]skilldef!$A:$B,2,FALSE),"-")</f>
        <v>- / -</v>
      </c>
      <c r="Z87" s="49"/>
      <c r="AA87" s="51"/>
      <c r="AB87" s="49"/>
      <c r="AC87" s="48">
        <f t="shared" si="34"/>
        <v>6</v>
      </c>
      <c r="AD87" s="48">
        <f t="shared" si="35"/>
        <v>17</v>
      </c>
    </row>
    <row r="88" spans="1:30" ht="21" customHeight="1" x14ac:dyDescent="0.15">
      <c r="A88" s="46">
        <v>47014086</v>
      </c>
      <c r="B88" s="46" t="s">
        <v>357</v>
      </c>
      <c r="C88" s="49">
        <v>3</v>
      </c>
      <c r="D88" s="49" t="s">
        <v>128</v>
      </c>
      <c r="E88" s="50" t="s">
        <v>342</v>
      </c>
      <c r="F88" s="50" t="s">
        <v>377</v>
      </c>
      <c r="G88" s="62" t="str">
        <f t="shared" si="53"/>
        <v>[effect:enemy_message, val1:1.6, val2:2.2]</v>
      </c>
      <c r="H88" s="62">
        <f t="shared" si="54"/>
        <v>9</v>
      </c>
      <c r="I88" s="62">
        <f t="shared" si="55"/>
        <v>22</v>
      </c>
      <c r="J88" s="62" t="e">
        <f t="shared" si="56"/>
        <v>#VALUE!</v>
      </c>
      <c r="K88" s="62">
        <f t="shared" si="57"/>
        <v>32</v>
      </c>
      <c r="L88" s="62" t="str">
        <f>IFERROR(VLOOKUP(MID(G88,J88,K88-J88),[6]skilldef!$C:$D,2,FALSE),"-") &amp; " / " &amp; IFERROR(VLOOKUP(MID(G88,H88,I88-H88),[6]skilldef!$A:$B,2,FALSE),"-")</f>
        <v>- / -</v>
      </c>
      <c r="M88" s="62" t="str">
        <f t="shared" si="58"/>
        <v>none</v>
      </c>
      <c r="N88" s="47" t="str">
        <f t="shared" si="59"/>
        <v>none</v>
      </c>
      <c r="O88" s="62" t="e">
        <f t="shared" si="60"/>
        <v>#VALUE!</v>
      </c>
      <c r="P88" s="62">
        <f t="shared" si="61"/>
        <v>4</v>
      </c>
      <c r="Q88" s="62" t="e">
        <f t="shared" si="62"/>
        <v>#VALUE!</v>
      </c>
      <c r="R88" s="62" t="e">
        <f t="shared" si="63"/>
        <v>#VALUE!</v>
      </c>
      <c r="S88" s="62" t="str">
        <f>IFERROR(VLOOKUP(MID(N88,Q88,R88-Q88),[6]skilldef!$C:$D,2,FALSE),"-") &amp; " / " &amp; IFERROR(VLOOKUP(MID(N88,O88,P88-O88),[6]skilldef!$A:$B,2,FALSE),"-")</f>
        <v>- / -</v>
      </c>
      <c r="T88" s="47" t="str">
        <f t="shared" si="64"/>
        <v>none</v>
      </c>
      <c r="U88" s="62" t="e">
        <f t="shared" si="65"/>
        <v>#VALUE!</v>
      </c>
      <c r="V88" s="62">
        <f t="shared" si="66"/>
        <v>4</v>
      </c>
      <c r="W88" s="62" t="e">
        <f t="shared" si="67"/>
        <v>#VALUE!</v>
      </c>
      <c r="X88" s="62" t="e">
        <f t="shared" si="68"/>
        <v>#VALUE!</v>
      </c>
      <c r="Y88" s="62" t="str">
        <f>IFERROR(VLOOKUP(MID(T88,W88,X88-W88),[6]skilldef!$C:$D,2,FALSE),"-") &amp; " / " &amp; IFERROR(VLOOKUP(MID(T88,U88,V88-U88),[6]skilldef!$A:$B,2,FALSE),"-")</f>
        <v>- / -</v>
      </c>
      <c r="Z88" s="49"/>
      <c r="AA88" s="51"/>
      <c r="AB88" s="49"/>
      <c r="AC88" s="48">
        <f t="shared" si="34"/>
        <v>6</v>
      </c>
      <c r="AD88" s="48">
        <f t="shared" si="35"/>
        <v>17</v>
      </c>
    </row>
    <row r="89" spans="1:30" ht="21" customHeight="1" x14ac:dyDescent="0.15">
      <c r="A89" s="46">
        <v>47014087</v>
      </c>
      <c r="B89" s="46" t="s">
        <v>358</v>
      </c>
      <c r="C89" s="49">
        <v>3</v>
      </c>
      <c r="D89" s="49" t="s">
        <v>128</v>
      </c>
      <c r="E89" s="50" t="s">
        <v>343</v>
      </c>
      <c r="F89" s="50" t="s">
        <v>376</v>
      </c>
      <c r="G89" s="62" t="str">
        <f t="shared" si="18"/>
        <v>[effect:enemy_message, val1:2.1, val2:2.5]</v>
      </c>
      <c r="H89" s="62">
        <f t="shared" si="19"/>
        <v>9</v>
      </c>
      <c r="I89" s="62">
        <f t="shared" si="20"/>
        <v>22</v>
      </c>
      <c r="J89" s="62" t="e">
        <f t="shared" si="21"/>
        <v>#VALUE!</v>
      </c>
      <c r="K89" s="62">
        <f t="shared" si="22"/>
        <v>32</v>
      </c>
      <c r="L89" s="62" t="str">
        <f>IFERROR(VLOOKUP(MID(G89,J89,K89-J89),[6]skilldef!$C:$D,2,FALSE),"-") &amp; " / " &amp; IFERROR(VLOOKUP(MID(G89,H89,I89-H89),[6]skilldef!$A:$B,2,FALSE),"-")</f>
        <v>- / -</v>
      </c>
      <c r="M89" s="62" t="str">
        <f t="shared" si="23"/>
        <v>none</v>
      </c>
      <c r="N89" s="47" t="str">
        <f t="shared" si="24"/>
        <v>none</v>
      </c>
      <c r="O89" s="62" t="e">
        <f t="shared" si="25"/>
        <v>#VALUE!</v>
      </c>
      <c r="P89" s="62">
        <f t="shared" si="26"/>
        <v>4</v>
      </c>
      <c r="Q89" s="62" t="e">
        <f t="shared" si="27"/>
        <v>#VALUE!</v>
      </c>
      <c r="R89" s="62" t="e">
        <f t="shared" si="28"/>
        <v>#VALUE!</v>
      </c>
      <c r="S89" s="62" t="str">
        <f>IFERROR(VLOOKUP(MID(N89,Q89,R89-Q89),[6]skilldef!$C:$D,2,FALSE),"-") &amp; " / " &amp; IFERROR(VLOOKUP(MID(N89,O89,P89-O89),[6]skilldef!$A:$B,2,FALSE),"-")</f>
        <v>- / -</v>
      </c>
      <c r="T89" s="47" t="str">
        <f t="shared" si="29"/>
        <v>none</v>
      </c>
      <c r="U89" s="62" t="e">
        <f t="shared" si="30"/>
        <v>#VALUE!</v>
      </c>
      <c r="V89" s="62">
        <f t="shared" si="31"/>
        <v>4</v>
      </c>
      <c r="W89" s="62" t="e">
        <f t="shared" si="32"/>
        <v>#VALUE!</v>
      </c>
      <c r="X89" s="62" t="e">
        <f t="shared" si="33"/>
        <v>#VALUE!</v>
      </c>
      <c r="Y89" s="62" t="str">
        <f>IFERROR(VLOOKUP(MID(T89,W89,X89-W89),[6]skilldef!$C:$D,2,FALSE),"-") &amp; " / " &amp; IFERROR(VLOOKUP(MID(T89,U89,V89-U89),[6]skilldef!$A:$B,2,FALSE),"-")</f>
        <v>- / -</v>
      </c>
      <c r="Z89" s="49"/>
      <c r="AA89" s="51"/>
      <c r="AB89" s="49"/>
      <c r="AC89" s="48">
        <f t="shared" si="34"/>
        <v>16</v>
      </c>
      <c r="AD89" s="48">
        <f t="shared" si="35"/>
        <v>20</v>
      </c>
    </row>
    <row r="90" spans="1:30" ht="21" customHeight="1" x14ac:dyDescent="0.15">
      <c r="A90" s="46">
        <v>47014088</v>
      </c>
      <c r="B90" s="46" t="s">
        <v>358</v>
      </c>
      <c r="C90" s="49">
        <v>3</v>
      </c>
      <c r="D90" s="49" t="s">
        <v>128</v>
      </c>
      <c r="E90" s="50" t="s">
        <v>343</v>
      </c>
      <c r="F90" s="50" t="s">
        <v>376</v>
      </c>
      <c r="G90" s="62" t="str">
        <f t="shared" si="18"/>
        <v>[effect:enemy_message, val1:2.1, val2:2.5]</v>
      </c>
      <c r="H90" s="62">
        <f t="shared" si="19"/>
        <v>9</v>
      </c>
      <c r="I90" s="62">
        <f t="shared" si="20"/>
        <v>22</v>
      </c>
      <c r="J90" s="62" t="e">
        <f t="shared" si="21"/>
        <v>#VALUE!</v>
      </c>
      <c r="K90" s="62">
        <f t="shared" si="22"/>
        <v>32</v>
      </c>
      <c r="L90" s="62" t="str">
        <f>IFERROR(VLOOKUP(MID(G90,J90,K90-J90),[6]skilldef!$C:$D,2,FALSE),"-") &amp; " / " &amp; IFERROR(VLOOKUP(MID(G90,H90,I90-H90),[6]skilldef!$A:$B,2,FALSE),"-")</f>
        <v>- / -</v>
      </c>
      <c r="M90" s="62" t="str">
        <f t="shared" si="23"/>
        <v>none</v>
      </c>
      <c r="N90" s="47" t="str">
        <f t="shared" si="24"/>
        <v>none</v>
      </c>
      <c r="O90" s="62" t="e">
        <f t="shared" si="25"/>
        <v>#VALUE!</v>
      </c>
      <c r="P90" s="62">
        <f t="shared" si="26"/>
        <v>4</v>
      </c>
      <c r="Q90" s="62" t="e">
        <f t="shared" si="27"/>
        <v>#VALUE!</v>
      </c>
      <c r="R90" s="62" t="e">
        <f t="shared" si="28"/>
        <v>#VALUE!</v>
      </c>
      <c r="S90" s="62" t="str">
        <f>IFERROR(VLOOKUP(MID(N90,Q90,R90-Q90),[6]skilldef!$C:$D,2,FALSE),"-") &amp; " / " &amp; IFERROR(VLOOKUP(MID(N90,O90,P90-O90),[6]skilldef!$A:$B,2,FALSE),"-")</f>
        <v>- / -</v>
      </c>
      <c r="T90" s="47" t="str">
        <f t="shared" si="29"/>
        <v>none</v>
      </c>
      <c r="U90" s="62" t="e">
        <f t="shared" si="30"/>
        <v>#VALUE!</v>
      </c>
      <c r="V90" s="62">
        <f t="shared" si="31"/>
        <v>4</v>
      </c>
      <c r="W90" s="62" t="e">
        <f t="shared" si="32"/>
        <v>#VALUE!</v>
      </c>
      <c r="X90" s="62" t="e">
        <f t="shared" si="33"/>
        <v>#VALUE!</v>
      </c>
      <c r="Y90" s="62" t="str">
        <f>IFERROR(VLOOKUP(MID(T90,W90,X90-W90),[6]skilldef!$C:$D,2,FALSE),"-") &amp; " / " &amp; IFERROR(VLOOKUP(MID(T90,U90,V90-U90),[6]skilldef!$A:$B,2,FALSE),"-")</f>
        <v>- / -</v>
      </c>
      <c r="Z90" s="49"/>
      <c r="AA90" s="51"/>
      <c r="AB90" s="49"/>
      <c r="AC90" s="48">
        <f t="shared" si="34"/>
        <v>16</v>
      </c>
      <c r="AD90" s="48">
        <f t="shared" si="35"/>
        <v>20</v>
      </c>
    </row>
    <row r="91" spans="1:30" ht="21" customHeight="1" x14ac:dyDescent="0.15">
      <c r="A91" s="46">
        <v>47014089</v>
      </c>
      <c r="B91" s="46" t="s">
        <v>358</v>
      </c>
      <c r="C91" s="49">
        <v>3</v>
      </c>
      <c r="D91" s="49" t="s">
        <v>128</v>
      </c>
      <c r="E91" s="50" t="s">
        <v>343</v>
      </c>
      <c r="F91" s="50" t="s">
        <v>376</v>
      </c>
      <c r="G91" s="62" t="str">
        <f t="shared" si="18"/>
        <v>[effect:enemy_message, val1:2.1, val2:2.5]</v>
      </c>
      <c r="H91" s="62">
        <f t="shared" si="19"/>
        <v>9</v>
      </c>
      <c r="I91" s="62">
        <f t="shared" si="20"/>
        <v>22</v>
      </c>
      <c r="J91" s="62" t="e">
        <f t="shared" si="21"/>
        <v>#VALUE!</v>
      </c>
      <c r="K91" s="62">
        <f t="shared" si="22"/>
        <v>32</v>
      </c>
      <c r="L91" s="62" t="str">
        <f>IFERROR(VLOOKUP(MID(G91,J91,K91-J91),[6]skilldef!$C:$D,2,FALSE),"-") &amp; " / " &amp; IFERROR(VLOOKUP(MID(G91,H91,I91-H91),[6]skilldef!$A:$B,2,FALSE),"-")</f>
        <v>- / -</v>
      </c>
      <c r="M91" s="62" t="str">
        <f t="shared" si="23"/>
        <v>none</v>
      </c>
      <c r="N91" s="47" t="str">
        <f t="shared" si="24"/>
        <v>none</v>
      </c>
      <c r="O91" s="62" t="e">
        <f t="shared" si="25"/>
        <v>#VALUE!</v>
      </c>
      <c r="P91" s="62">
        <f t="shared" si="26"/>
        <v>4</v>
      </c>
      <c r="Q91" s="62" t="e">
        <f t="shared" si="27"/>
        <v>#VALUE!</v>
      </c>
      <c r="R91" s="62" t="e">
        <f t="shared" si="28"/>
        <v>#VALUE!</v>
      </c>
      <c r="S91" s="62" t="str">
        <f>IFERROR(VLOOKUP(MID(N91,Q91,R91-Q91),[6]skilldef!$C:$D,2,FALSE),"-") &amp; " / " &amp; IFERROR(VLOOKUP(MID(N91,O91,P91-O91),[6]skilldef!$A:$B,2,FALSE),"-")</f>
        <v>- / -</v>
      </c>
      <c r="T91" s="47" t="str">
        <f t="shared" si="29"/>
        <v>none</v>
      </c>
      <c r="U91" s="62" t="e">
        <f t="shared" si="30"/>
        <v>#VALUE!</v>
      </c>
      <c r="V91" s="62">
        <f t="shared" si="31"/>
        <v>4</v>
      </c>
      <c r="W91" s="62" t="e">
        <f t="shared" si="32"/>
        <v>#VALUE!</v>
      </c>
      <c r="X91" s="62" t="e">
        <f t="shared" si="33"/>
        <v>#VALUE!</v>
      </c>
      <c r="Y91" s="62" t="str">
        <f>IFERROR(VLOOKUP(MID(T91,W91,X91-W91),[6]skilldef!$C:$D,2,FALSE),"-") &amp; " / " &amp; IFERROR(VLOOKUP(MID(T91,U91,V91-U91),[6]skilldef!$A:$B,2,FALSE),"-")</f>
        <v>- / -</v>
      </c>
      <c r="Z91" s="49"/>
      <c r="AA91" s="51"/>
      <c r="AB91" s="49"/>
      <c r="AC91" s="48">
        <f t="shared" si="34"/>
        <v>16</v>
      </c>
      <c r="AD91" s="48">
        <f t="shared" si="35"/>
        <v>20</v>
      </c>
    </row>
    <row r="92" spans="1:30" ht="21" customHeight="1" x14ac:dyDescent="0.15">
      <c r="A92" s="46">
        <v>47014090</v>
      </c>
      <c r="B92" s="46" t="s">
        <v>358</v>
      </c>
      <c r="C92" s="49">
        <v>3</v>
      </c>
      <c r="D92" s="49" t="s">
        <v>128</v>
      </c>
      <c r="E92" s="50" t="s">
        <v>343</v>
      </c>
      <c r="F92" s="50" t="s">
        <v>376</v>
      </c>
      <c r="G92" s="62" t="str">
        <f t="shared" si="18"/>
        <v>[effect:enemy_message, val1:2.1, val2:2.5]</v>
      </c>
      <c r="H92" s="62">
        <f t="shared" si="19"/>
        <v>9</v>
      </c>
      <c r="I92" s="62">
        <f t="shared" si="20"/>
        <v>22</v>
      </c>
      <c r="J92" s="62" t="e">
        <f t="shared" si="21"/>
        <v>#VALUE!</v>
      </c>
      <c r="K92" s="62">
        <f t="shared" si="22"/>
        <v>32</v>
      </c>
      <c r="L92" s="62" t="str">
        <f>IFERROR(VLOOKUP(MID(G92,J92,K92-J92),[6]skilldef!$C:$D,2,FALSE),"-") &amp; " / " &amp; IFERROR(VLOOKUP(MID(G92,H92,I92-H92),[6]skilldef!$A:$B,2,FALSE),"-")</f>
        <v>- / -</v>
      </c>
      <c r="M92" s="62" t="str">
        <f t="shared" si="23"/>
        <v>none</v>
      </c>
      <c r="N92" s="47" t="str">
        <f t="shared" si="24"/>
        <v>none</v>
      </c>
      <c r="O92" s="62" t="e">
        <f t="shared" si="25"/>
        <v>#VALUE!</v>
      </c>
      <c r="P92" s="62">
        <f t="shared" si="26"/>
        <v>4</v>
      </c>
      <c r="Q92" s="62" t="e">
        <f t="shared" si="27"/>
        <v>#VALUE!</v>
      </c>
      <c r="R92" s="62" t="e">
        <f t="shared" si="28"/>
        <v>#VALUE!</v>
      </c>
      <c r="S92" s="62" t="str">
        <f>IFERROR(VLOOKUP(MID(N92,Q92,R92-Q92),[6]skilldef!$C:$D,2,FALSE),"-") &amp; " / " &amp; IFERROR(VLOOKUP(MID(N92,O92,P92-O92),[6]skilldef!$A:$B,2,FALSE),"-")</f>
        <v>- / -</v>
      </c>
      <c r="T92" s="47" t="str">
        <f t="shared" si="29"/>
        <v>none</v>
      </c>
      <c r="U92" s="62" t="e">
        <f t="shared" si="30"/>
        <v>#VALUE!</v>
      </c>
      <c r="V92" s="62">
        <f t="shared" si="31"/>
        <v>4</v>
      </c>
      <c r="W92" s="62" t="e">
        <f t="shared" si="32"/>
        <v>#VALUE!</v>
      </c>
      <c r="X92" s="62" t="e">
        <f t="shared" si="33"/>
        <v>#VALUE!</v>
      </c>
      <c r="Y92" s="62" t="str">
        <f>IFERROR(VLOOKUP(MID(T92,W92,X92-W92),[6]skilldef!$C:$D,2,FALSE),"-") &amp; " / " &amp; IFERROR(VLOOKUP(MID(T92,U92,V92-U92),[6]skilldef!$A:$B,2,FALSE),"-")</f>
        <v>- / -</v>
      </c>
      <c r="Z92" s="49"/>
      <c r="AA92" s="51"/>
      <c r="AB92" s="49"/>
      <c r="AC92" s="48">
        <f t="shared" si="34"/>
        <v>16</v>
      </c>
      <c r="AD92" s="48">
        <f t="shared" si="35"/>
        <v>20</v>
      </c>
    </row>
    <row r="93" spans="1:30" ht="21" customHeight="1" x14ac:dyDescent="0.15">
      <c r="A93" s="46">
        <v>47014091</v>
      </c>
      <c r="B93" s="46" t="s">
        <v>358</v>
      </c>
      <c r="C93" s="49">
        <v>3</v>
      </c>
      <c r="D93" s="49" t="s">
        <v>128</v>
      </c>
      <c r="E93" s="50" t="s">
        <v>343</v>
      </c>
      <c r="F93" s="50" t="s">
        <v>376</v>
      </c>
      <c r="G93" s="62" t="str">
        <f t="shared" si="18"/>
        <v>[effect:enemy_message, val1:2.1, val2:2.5]</v>
      </c>
      <c r="H93" s="62">
        <f t="shared" si="19"/>
        <v>9</v>
      </c>
      <c r="I93" s="62">
        <f t="shared" si="20"/>
        <v>22</v>
      </c>
      <c r="J93" s="62" t="e">
        <f t="shared" si="21"/>
        <v>#VALUE!</v>
      </c>
      <c r="K93" s="62">
        <f t="shared" si="22"/>
        <v>32</v>
      </c>
      <c r="L93" s="62" t="str">
        <f>IFERROR(VLOOKUP(MID(G93,J93,K93-J93),[6]skilldef!$C:$D,2,FALSE),"-") &amp; " / " &amp; IFERROR(VLOOKUP(MID(G93,H93,I93-H93),[6]skilldef!$A:$B,2,FALSE),"-")</f>
        <v>- / -</v>
      </c>
      <c r="M93" s="62" t="str">
        <f t="shared" si="23"/>
        <v>none</v>
      </c>
      <c r="N93" s="47" t="str">
        <f t="shared" si="24"/>
        <v>none</v>
      </c>
      <c r="O93" s="62" t="e">
        <f t="shared" si="25"/>
        <v>#VALUE!</v>
      </c>
      <c r="P93" s="62">
        <f t="shared" si="26"/>
        <v>4</v>
      </c>
      <c r="Q93" s="62" t="e">
        <f t="shared" si="27"/>
        <v>#VALUE!</v>
      </c>
      <c r="R93" s="62" t="e">
        <f t="shared" si="28"/>
        <v>#VALUE!</v>
      </c>
      <c r="S93" s="62" t="str">
        <f>IFERROR(VLOOKUP(MID(N93,Q93,R93-Q93),[6]skilldef!$C:$D,2,FALSE),"-") &amp; " / " &amp; IFERROR(VLOOKUP(MID(N93,O93,P93-O93),[6]skilldef!$A:$B,2,FALSE),"-")</f>
        <v>- / -</v>
      </c>
      <c r="T93" s="47" t="str">
        <f t="shared" si="29"/>
        <v>none</v>
      </c>
      <c r="U93" s="62" t="e">
        <f t="shared" si="30"/>
        <v>#VALUE!</v>
      </c>
      <c r="V93" s="62">
        <f t="shared" si="31"/>
        <v>4</v>
      </c>
      <c r="W93" s="62" t="e">
        <f t="shared" si="32"/>
        <v>#VALUE!</v>
      </c>
      <c r="X93" s="62" t="e">
        <f t="shared" si="33"/>
        <v>#VALUE!</v>
      </c>
      <c r="Y93" s="62" t="str">
        <f>IFERROR(VLOOKUP(MID(T93,W93,X93-W93),[6]skilldef!$C:$D,2,FALSE),"-") &amp; " / " &amp; IFERROR(VLOOKUP(MID(T93,U93,V93-U93),[6]skilldef!$A:$B,2,FALSE),"-")</f>
        <v>- / -</v>
      </c>
      <c r="Z93" s="49"/>
      <c r="AA93" s="51"/>
      <c r="AB93" s="49"/>
      <c r="AC93" s="48">
        <f t="shared" si="34"/>
        <v>16</v>
      </c>
      <c r="AD93" s="48">
        <f t="shared" si="35"/>
        <v>20</v>
      </c>
    </row>
    <row r="94" spans="1:30" ht="21" customHeight="1" x14ac:dyDescent="0.15">
      <c r="A94" s="46">
        <v>47014092</v>
      </c>
      <c r="B94" s="46" t="s">
        <v>358</v>
      </c>
      <c r="C94" s="49">
        <v>3</v>
      </c>
      <c r="D94" s="49" t="s">
        <v>128</v>
      </c>
      <c r="E94" s="50" t="s">
        <v>343</v>
      </c>
      <c r="F94" s="50" t="s">
        <v>376</v>
      </c>
      <c r="G94" s="62" t="str">
        <f t="shared" ref="G94:G113" si="69">IFERROR(LEFT(B94,FIND("],",B94)),B94)</f>
        <v>[effect:enemy_message, val1:2.1, val2:2.5]</v>
      </c>
      <c r="H94" s="62">
        <f t="shared" si="19"/>
        <v>9</v>
      </c>
      <c r="I94" s="62">
        <f t="shared" ref="I94:I113" si="70">IFERROR(FIND(",",G94),LEN(G94))</f>
        <v>22</v>
      </c>
      <c r="J94" s="62" t="e">
        <f t="shared" ref="J94:J113" si="71">FIND("target:",G94)+7</f>
        <v>#VALUE!</v>
      </c>
      <c r="K94" s="62">
        <f t="shared" ref="K94:K113" si="72">FIND(",",G94,I94+1)</f>
        <v>32</v>
      </c>
      <c r="L94" s="62" t="str">
        <f>IFERROR(VLOOKUP(MID(G94,J94,K94-J94),[6]skilldef!$C:$D,2,FALSE),"-") &amp; " / " &amp; IFERROR(VLOOKUP(MID(G94,H94,I94-H94),[6]skilldef!$A:$B,2,FALSE),"-")</f>
        <v>- / -</v>
      </c>
      <c r="M94" s="62" t="str">
        <f t="shared" ref="M94:M113" si="73">IFERROR(RIGHT(B94,LEN(B94)-FIND("],",B94)-1),"none")</f>
        <v>none</v>
      </c>
      <c r="N94" s="47" t="str">
        <f t="shared" ref="N94" si="74">IFERROR(LEFT(M94,FIND("],",M94)+S104),M94)</f>
        <v>none</v>
      </c>
      <c r="O94" s="62" t="e">
        <f t="shared" si="25"/>
        <v>#VALUE!</v>
      </c>
      <c r="P94" s="62">
        <f t="shared" ref="P94:P113" si="75">IFERROR(FIND(",",N94),LEN(N94))</f>
        <v>4</v>
      </c>
      <c r="Q94" s="62" t="e">
        <f t="shared" ref="Q94:Q113" si="76">FIND("target:",N94)+7</f>
        <v>#VALUE!</v>
      </c>
      <c r="R94" s="62" t="e">
        <f t="shared" ref="R94:R113" si="77">FIND(",",N94,P94+1)</f>
        <v>#VALUE!</v>
      </c>
      <c r="S94" s="62" t="str">
        <f>IFERROR(VLOOKUP(MID(N94,Q94,R94-Q94),[6]skilldef!$C:$D,2,FALSE),"-") &amp; " / " &amp; IFERROR(VLOOKUP(MID(N94,O94,P94-O94),[6]skilldef!$A:$B,2,FALSE),"-")</f>
        <v>- / -</v>
      </c>
      <c r="T94" s="47" t="str">
        <f t="shared" ref="T94:T113" si="78">IFERROR(RIGHT(M94,LEN(M94)-FIND("],",M94)-1),"none")</f>
        <v>none</v>
      </c>
      <c r="U94" s="62" t="e">
        <f t="shared" si="30"/>
        <v>#VALUE!</v>
      </c>
      <c r="V94" s="62">
        <f t="shared" ref="V94:V113" si="79">IFERROR(FIND(",",T94),LEN(T94))</f>
        <v>4</v>
      </c>
      <c r="W94" s="62" t="e">
        <f t="shared" ref="W94:W113" si="80">FIND("target:",T94)+7</f>
        <v>#VALUE!</v>
      </c>
      <c r="X94" s="62" t="e">
        <f t="shared" ref="X94:X113" si="81">FIND(",",T94,V94+1)</f>
        <v>#VALUE!</v>
      </c>
      <c r="Y94" s="62" t="str">
        <f>IFERROR(VLOOKUP(MID(T94,W94,X94-W94),[6]skilldef!$C:$D,2,FALSE),"-") &amp; " / " &amp; IFERROR(VLOOKUP(MID(T94,U94,V94-U94),[6]skilldef!$A:$B,2,FALSE),"-")</f>
        <v>- / -</v>
      </c>
      <c r="Z94" s="49"/>
      <c r="AA94" s="51"/>
      <c r="AB94" s="49"/>
      <c r="AC94" s="48">
        <f t="shared" si="34"/>
        <v>16</v>
      </c>
      <c r="AD94" s="48">
        <f t="shared" si="35"/>
        <v>20</v>
      </c>
    </row>
    <row r="95" spans="1:30" ht="21" customHeight="1" x14ac:dyDescent="0.15">
      <c r="A95" s="46">
        <v>47014093</v>
      </c>
      <c r="B95" s="46" t="s">
        <v>358</v>
      </c>
      <c r="C95" s="49">
        <v>3</v>
      </c>
      <c r="D95" s="49" t="s">
        <v>128</v>
      </c>
      <c r="E95" s="50" t="s">
        <v>343</v>
      </c>
      <c r="F95" s="50" t="s">
        <v>376</v>
      </c>
      <c r="G95" s="62" t="str">
        <f t="shared" si="69"/>
        <v>[effect:enemy_message, val1:2.1, val2:2.5]</v>
      </c>
      <c r="H95" s="62">
        <f t="shared" si="19"/>
        <v>9</v>
      </c>
      <c r="I95" s="62">
        <f t="shared" si="70"/>
        <v>22</v>
      </c>
      <c r="J95" s="62" t="e">
        <f t="shared" si="71"/>
        <v>#VALUE!</v>
      </c>
      <c r="K95" s="62">
        <f t="shared" si="72"/>
        <v>32</v>
      </c>
      <c r="L95" s="62" t="str">
        <f>IFERROR(VLOOKUP(MID(G95,J95,K95-J95),[6]skilldef!$C:$D,2,FALSE),"-") &amp; " / " &amp; IFERROR(VLOOKUP(MID(G95,H95,I95-H95),[6]skilldef!$A:$B,2,FALSE),"-")</f>
        <v>- / -</v>
      </c>
      <c r="M95" s="62" t="str">
        <f t="shared" si="73"/>
        <v>none</v>
      </c>
      <c r="N95" s="47" t="str">
        <f>IFERROR(LEFT(M95,FIND("],",M95)+#REF!),M95)</f>
        <v>none</v>
      </c>
      <c r="O95" s="62" t="e">
        <f t="shared" si="25"/>
        <v>#VALUE!</v>
      </c>
      <c r="P95" s="62">
        <f t="shared" si="75"/>
        <v>4</v>
      </c>
      <c r="Q95" s="62" t="e">
        <f t="shared" si="76"/>
        <v>#VALUE!</v>
      </c>
      <c r="R95" s="62" t="e">
        <f t="shared" si="77"/>
        <v>#VALUE!</v>
      </c>
      <c r="S95" s="62" t="str">
        <f>IFERROR(VLOOKUP(MID(N95,Q95,R95-Q95),[6]skilldef!$C:$D,2,FALSE),"-") &amp; " / " &amp; IFERROR(VLOOKUP(MID(N95,O95,P95-O95),[6]skilldef!$A:$B,2,FALSE),"-")</f>
        <v>- / -</v>
      </c>
      <c r="T95" s="47" t="str">
        <f t="shared" si="78"/>
        <v>none</v>
      </c>
      <c r="U95" s="62" t="e">
        <f t="shared" si="30"/>
        <v>#VALUE!</v>
      </c>
      <c r="V95" s="62">
        <f t="shared" si="79"/>
        <v>4</v>
      </c>
      <c r="W95" s="62" t="e">
        <f t="shared" si="80"/>
        <v>#VALUE!</v>
      </c>
      <c r="X95" s="62" t="e">
        <f t="shared" si="81"/>
        <v>#VALUE!</v>
      </c>
      <c r="Y95" s="62" t="str">
        <f>IFERROR(VLOOKUP(MID(T95,W95,X95-W95),[6]skilldef!$C:$D,2,FALSE),"-") &amp; " / " &amp; IFERROR(VLOOKUP(MID(T95,U95,V95-U95),[6]skilldef!$A:$B,2,FALSE),"-")</f>
        <v>- / -</v>
      </c>
      <c r="Z95" s="49"/>
      <c r="AA95" s="51"/>
      <c r="AB95" s="49"/>
      <c r="AC95" s="48">
        <f t="shared" si="34"/>
        <v>16</v>
      </c>
      <c r="AD95" s="48">
        <f t="shared" si="35"/>
        <v>20</v>
      </c>
    </row>
    <row r="96" spans="1:30" ht="21" customHeight="1" x14ac:dyDescent="0.15">
      <c r="A96" s="46">
        <v>47014094</v>
      </c>
      <c r="B96" s="46" t="s">
        <v>358</v>
      </c>
      <c r="C96" s="49">
        <v>3</v>
      </c>
      <c r="D96" s="49" t="s">
        <v>128</v>
      </c>
      <c r="E96" s="50" t="s">
        <v>343</v>
      </c>
      <c r="F96" s="50" t="s">
        <v>376</v>
      </c>
      <c r="G96" s="62" t="str">
        <f t="shared" si="69"/>
        <v>[effect:enemy_message, val1:2.1, val2:2.5]</v>
      </c>
      <c r="H96" s="62">
        <f t="shared" si="19"/>
        <v>9</v>
      </c>
      <c r="I96" s="62">
        <f t="shared" si="70"/>
        <v>22</v>
      </c>
      <c r="J96" s="62" t="e">
        <f t="shared" si="71"/>
        <v>#VALUE!</v>
      </c>
      <c r="K96" s="62">
        <f t="shared" si="72"/>
        <v>32</v>
      </c>
      <c r="L96" s="62" t="str">
        <f>IFERROR(VLOOKUP(MID(G96,J96,K96-J96),[6]skilldef!$C:$D,2,FALSE),"-") &amp; " / " &amp; IFERROR(VLOOKUP(MID(G96,H96,I96-H96),[6]skilldef!$A:$B,2,FALSE),"-")</f>
        <v>- / -</v>
      </c>
      <c r="M96" s="62" t="str">
        <f t="shared" si="73"/>
        <v>none</v>
      </c>
      <c r="N96" s="47" t="str">
        <f>IFERROR(LEFT(M96,FIND("],",M96)+#REF!),M96)</f>
        <v>none</v>
      </c>
      <c r="O96" s="62" t="e">
        <f t="shared" si="25"/>
        <v>#VALUE!</v>
      </c>
      <c r="P96" s="62">
        <f t="shared" si="75"/>
        <v>4</v>
      </c>
      <c r="Q96" s="62" t="e">
        <f t="shared" si="76"/>
        <v>#VALUE!</v>
      </c>
      <c r="R96" s="62" t="e">
        <f t="shared" si="77"/>
        <v>#VALUE!</v>
      </c>
      <c r="S96" s="62" t="str">
        <f>IFERROR(VLOOKUP(MID(N96,Q96,R96-Q96),[6]skilldef!$C:$D,2,FALSE),"-") &amp; " / " &amp; IFERROR(VLOOKUP(MID(N96,O96,P96-O96),[6]skilldef!$A:$B,2,FALSE),"-")</f>
        <v>- / -</v>
      </c>
      <c r="T96" s="47" t="str">
        <f t="shared" si="78"/>
        <v>none</v>
      </c>
      <c r="U96" s="62" t="e">
        <f t="shared" si="30"/>
        <v>#VALUE!</v>
      </c>
      <c r="V96" s="62">
        <f t="shared" si="79"/>
        <v>4</v>
      </c>
      <c r="W96" s="62" t="e">
        <f t="shared" si="80"/>
        <v>#VALUE!</v>
      </c>
      <c r="X96" s="62" t="e">
        <f t="shared" si="81"/>
        <v>#VALUE!</v>
      </c>
      <c r="Y96" s="62" t="str">
        <f>IFERROR(VLOOKUP(MID(T96,W96,X96-W96),[6]skilldef!$C:$D,2,FALSE),"-") &amp; " / " &amp; IFERROR(VLOOKUP(MID(T96,U96,V96-U96),[6]skilldef!$A:$B,2,FALSE),"-")</f>
        <v>- / -</v>
      </c>
      <c r="Z96" s="49"/>
      <c r="AA96" s="51"/>
      <c r="AB96" s="49"/>
      <c r="AC96" s="48">
        <f t="shared" si="34"/>
        <v>16</v>
      </c>
      <c r="AD96" s="48">
        <f t="shared" si="35"/>
        <v>20</v>
      </c>
    </row>
    <row r="97" spans="1:30" ht="21" customHeight="1" x14ac:dyDescent="0.15">
      <c r="A97" s="46">
        <v>47014095</v>
      </c>
      <c r="B97" s="46" t="s">
        <v>358</v>
      </c>
      <c r="C97" s="49">
        <v>3</v>
      </c>
      <c r="D97" s="49" t="s">
        <v>128</v>
      </c>
      <c r="E97" s="50" t="s">
        <v>343</v>
      </c>
      <c r="F97" s="50" t="s">
        <v>376</v>
      </c>
      <c r="G97" s="62" t="str">
        <f t="shared" si="69"/>
        <v>[effect:enemy_message, val1:2.1, val2:2.5]</v>
      </c>
      <c r="H97" s="62">
        <f t="shared" si="19"/>
        <v>9</v>
      </c>
      <c r="I97" s="62">
        <f t="shared" si="70"/>
        <v>22</v>
      </c>
      <c r="J97" s="62" t="e">
        <f t="shared" si="71"/>
        <v>#VALUE!</v>
      </c>
      <c r="K97" s="62">
        <f t="shared" si="72"/>
        <v>32</v>
      </c>
      <c r="L97" s="62" t="str">
        <f>IFERROR(VLOOKUP(MID(G97,J97,K97-J97),[6]skilldef!$C:$D,2,FALSE),"-") &amp; " / " &amp; IFERROR(VLOOKUP(MID(G97,H97,I97-H97),[6]skilldef!$A:$B,2,FALSE),"-")</f>
        <v>- / -</v>
      </c>
      <c r="M97" s="62" t="str">
        <f t="shared" si="73"/>
        <v>none</v>
      </c>
      <c r="N97" s="47" t="str">
        <f>IFERROR(LEFT(M97,FIND("],",M97)+#REF!),M97)</f>
        <v>none</v>
      </c>
      <c r="O97" s="62" t="e">
        <f t="shared" si="25"/>
        <v>#VALUE!</v>
      </c>
      <c r="P97" s="62">
        <f t="shared" si="75"/>
        <v>4</v>
      </c>
      <c r="Q97" s="62" t="e">
        <f t="shared" si="76"/>
        <v>#VALUE!</v>
      </c>
      <c r="R97" s="62" t="e">
        <f t="shared" si="77"/>
        <v>#VALUE!</v>
      </c>
      <c r="S97" s="62" t="str">
        <f>IFERROR(VLOOKUP(MID(N97,Q97,R97-Q97),[6]skilldef!$C:$D,2,FALSE),"-") &amp; " / " &amp; IFERROR(VLOOKUP(MID(N97,O97,P97-O97),[6]skilldef!$A:$B,2,FALSE),"-")</f>
        <v>- / -</v>
      </c>
      <c r="T97" s="47" t="str">
        <f t="shared" si="78"/>
        <v>none</v>
      </c>
      <c r="U97" s="62" t="e">
        <f t="shared" si="30"/>
        <v>#VALUE!</v>
      </c>
      <c r="V97" s="62">
        <f t="shared" si="79"/>
        <v>4</v>
      </c>
      <c r="W97" s="62" t="e">
        <f t="shared" si="80"/>
        <v>#VALUE!</v>
      </c>
      <c r="X97" s="62" t="e">
        <f t="shared" si="81"/>
        <v>#VALUE!</v>
      </c>
      <c r="Y97" s="62" t="str">
        <f>IFERROR(VLOOKUP(MID(T97,W97,X97-W97),[6]skilldef!$C:$D,2,FALSE),"-") &amp; " / " &amp; IFERROR(VLOOKUP(MID(T97,U97,V97-U97),[6]skilldef!$A:$B,2,FALSE),"-")</f>
        <v>- / -</v>
      </c>
      <c r="Z97" s="49"/>
      <c r="AA97" s="51"/>
      <c r="AB97" s="49"/>
      <c r="AC97" s="48">
        <f t="shared" si="34"/>
        <v>16</v>
      </c>
      <c r="AD97" s="48">
        <f t="shared" si="35"/>
        <v>20</v>
      </c>
    </row>
    <row r="98" spans="1:30" ht="21" customHeight="1" x14ac:dyDescent="0.15">
      <c r="A98" s="46">
        <v>47014096</v>
      </c>
      <c r="B98" s="46" t="s">
        <v>358</v>
      </c>
      <c r="C98" s="49">
        <v>3</v>
      </c>
      <c r="D98" s="49" t="s">
        <v>128</v>
      </c>
      <c r="E98" s="50" t="s">
        <v>343</v>
      </c>
      <c r="F98" s="50" t="s">
        <v>376</v>
      </c>
      <c r="G98" s="62" t="str">
        <f t="shared" si="69"/>
        <v>[effect:enemy_message, val1:2.1, val2:2.5]</v>
      </c>
      <c r="H98" s="62">
        <f t="shared" si="19"/>
        <v>9</v>
      </c>
      <c r="I98" s="62">
        <f t="shared" si="70"/>
        <v>22</v>
      </c>
      <c r="J98" s="62" t="e">
        <f t="shared" si="71"/>
        <v>#VALUE!</v>
      </c>
      <c r="K98" s="62">
        <f t="shared" si="72"/>
        <v>32</v>
      </c>
      <c r="L98" s="62" t="str">
        <f>IFERROR(VLOOKUP(MID(G98,J98,K98-J98),[6]skilldef!$C:$D,2,FALSE),"-") &amp; " / " &amp; IFERROR(VLOOKUP(MID(G98,H98,I98-H98),[6]skilldef!$A:$B,2,FALSE),"-")</f>
        <v>- / -</v>
      </c>
      <c r="M98" s="62" t="str">
        <f t="shared" si="73"/>
        <v>none</v>
      </c>
      <c r="N98" s="47" t="str">
        <f>IFERROR(LEFT(M98,FIND("],",M98)+#REF!),M98)</f>
        <v>none</v>
      </c>
      <c r="O98" s="62" t="e">
        <f t="shared" si="25"/>
        <v>#VALUE!</v>
      </c>
      <c r="P98" s="62">
        <f t="shared" si="75"/>
        <v>4</v>
      </c>
      <c r="Q98" s="62" t="e">
        <f t="shared" si="76"/>
        <v>#VALUE!</v>
      </c>
      <c r="R98" s="62" t="e">
        <f t="shared" si="77"/>
        <v>#VALUE!</v>
      </c>
      <c r="S98" s="62" t="str">
        <f>IFERROR(VLOOKUP(MID(N98,Q98,R98-Q98),[6]skilldef!$C:$D,2,FALSE),"-") &amp; " / " &amp; IFERROR(VLOOKUP(MID(N98,O98,P98-O98),[6]skilldef!$A:$B,2,FALSE),"-")</f>
        <v>- / -</v>
      </c>
      <c r="T98" s="47" t="str">
        <f t="shared" si="78"/>
        <v>none</v>
      </c>
      <c r="U98" s="62" t="e">
        <f t="shared" si="30"/>
        <v>#VALUE!</v>
      </c>
      <c r="V98" s="62">
        <f t="shared" si="79"/>
        <v>4</v>
      </c>
      <c r="W98" s="62" t="e">
        <f t="shared" si="80"/>
        <v>#VALUE!</v>
      </c>
      <c r="X98" s="62" t="e">
        <f t="shared" si="81"/>
        <v>#VALUE!</v>
      </c>
      <c r="Y98" s="62" t="str">
        <f>IFERROR(VLOOKUP(MID(T98,W98,X98-W98),[6]skilldef!$C:$D,2,FALSE),"-") &amp; " / " &amp; IFERROR(VLOOKUP(MID(T98,U98,V98-U98),[6]skilldef!$A:$B,2,FALSE),"-")</f>
        <v>- / -</v>
      </c>
      <c r="Z98" s="49"/>
      <c r="AA98" s="51"/>
      <c r="AB98" s="49"/>
      <c r="AC98" s="48">
        <f t="shared" si="34"/>
        <v>16</v>
      </c>
      <c r="AD98" s="48">
        <f t="shared" si="35"/>
        <v>20</v>
      </c>
    </row>
    <row r="99" spans="1:30" ht="21" customHeight="1" x14ac:dyDescent="0.15">
      <c r="A99" s="46">
        <v>47014097</v>
      </c>
      <c r="B99" s="46" t="s">
        <v>358</v>
      </c>
      <c r="C99" s="49">
        <v>3</v>
      </c>
      <c r="D99" s="49" t="s">
        <v>128</v>
      </c>
      <c r="E99" s="50" t="s">
        <v>343</v>
      </c>
      <c r="F99" s="50" t="s">
        <v>376</v>
      </c>
      <c r="G99" s="62" t="str">
        <f t="shared" si="69"/>
        <v>[effect:enemy_message, val1:2.1, val2:2.5]</v>
      </c>
      <c r="H99" s="62">
        <f t="shared" si="19"/>
        <v>9</v>
      </c>
      <c r="I99" s="62">
        <f t="shared" si="70"/>
        <v>22</v>
      </c>
      <c r="J99" s="62" t="e">
        <f t="shared" si="71"/>
        <v>#VALUE!</v>
      </c>
      <c r="K99" s="62">
        <f t="shared" si="72"/>
        <v>32</v>
      </c>
      <c r="L99" s="62" t="str">
        <f>IFERROR(VLOOKUP(MID(G99,J99,K99-J99),[6]skilldef!$C:$D,2,FALSE),"-") &amp; " / " &amp; IFERROR(VLOOKUP(MID(G99,H99,I99-H99),[6]skilldef!$A:$B,2,FALSE),"-")</f>
        <v>- / -</v>
      </c>
      <c r="M99" s="62" t="str">
        <f t="shared" si="73"/>
        <v>none</v>
      </c>
      <c r="N99" s="47" t="str">
        <f>IFERROR(LEFT(M99,FIND("],",M99)+#REF!),M99)</f>
        <v>none</v>
      </c>
      <c r="O99" s="62" t="e">
        <f t="shared" si="25"/>
        <v>#VALUE!</v>
      </c>
      <c r="P99" s="62">
        <f t="shared" si="75"/>
        <v>4</v>
      </c>
      <c r="Q99" s="62" t="e">
        <f t="shared" si="76"/>
        <v>#VALUE!</v>
      </c>
      <c r="R99" s="62" t="e">
        <f t="shared" si="77"/>
        <v>#VALUE!</v>
      </c>
      <c r="S99" s="62" t="str">
        <f>IFERROR(VLOOKUP(MID(N99,Q99,R99-Q99),[6]skilldef!$C:$D,2,FALSE),"-") &amp; " / " &amp; IFERROR(VLOOKUP(MID(N99,O99,P99-O99),[6]skilldef!$A:$B,2,FALSE),"-")</f>
        <v>- / -</v>
      </c>
      <c r="T99" s="47" t="str">
        <f t="shared" si="78"/>
        <v>none</v>
      </c>
      <c r="U99" s="62" t="e">
        <f t="shared" si="30"/>
        <v>#VALUE!</v>
      </c>
      <c r="V99" s="62">
        <f t="shared" si="79"/>
        <v>4</v>
      </c>
      <c r="W99" s="62" t="e">
        <f t="shared" si="80"/>
        <v>#VALUE!</v>
      </c>
      <c r="X99" s="62" t="e">
        <f t="shared" si="81"/>
        <v>#VALUE!</v>
      </c>
      <c r="Y99" s="62" t="str">
        <f>IFERROR(VLOOKUP(MID(T99,W99,X99-W99),[6]skilldef!$C:$D,2,FALSE),"-") &amp; " / " &amp; IFERROR(VLOOKUP(MID(T99,U99,V99-U99),[6]skilldef!$A:$B,2,FALSE),"-")</f>
        <v>- / -</v>
      </c>
      <c r="Z99" s="49"/>
      <c r="AA99" s="51"/>
      <c r="AB99" s="49"/>
      <c r="AC99" s="48">
        <f t="shared" si="34"/>
        <v>16</v>
      </c>
      <c r="AD99" s="48">
        <f t="shared" si="35"/>
        <v>20</v>
      </c>
    </row>
    <row r="100" spans="1:30" ht="21" customHeight="1" x14ac:dyDescent="0.15">
      <c r="A100" s="46">
        <v>47014098</v>
      </c>
      <c r="B100" s="46" t="s">
        <v>358</v>
      </c>
      <c r="C100" s="49">
        <v>3</v>
      </c>
      <c r="D100" s="49" t="s">
        <v>128</v>
      </c>
      <c r="E100" s="50" t="s">
        <v>343</v>
      </c>
      <c r="F100" s="50" t="s">
        <v>376</v>
      </c>
      <c r="G100" s="62" t="str">
        <f t="shared" si="69"/>
        <v>[effect:enemy_message, val1:2.1, val2:2.5]</v>
      </c>
      <c r="H100" s="62">
        <f t="shared" si="19"/>
        <v>9</v>
      </c>
      <c r="I100" s="62">
        <f t="shared" si="70"/>
        <v>22</v>
      </c>
      <c r="J100" s="62" t="e">
        <f t="shared" si="71"/>
        <v>#VALUE!</v>
      </c>
      <c r="K100" s="62">
        <f t="shared" si="72"/>
        <v>32</v>
      </c>
      <c r="L100" s="62" t="str">
        <f>IFERROR(VLOOKUP(MID(G100,J100,K100-J100),[6]skilldef!$C:$D,2,FALSE),"-") &amp; " / " &amp; IFERROR(VLOOKUP(MID(G100,H100,I100-H100),[6]skilldef!$A:$B,2,FALSE),"-")</f>
        <v>- / -</v>
      </c>
      <c r="M100" s="62" t="str">
        <f t="shared" si="73"/>
        <v>none</v>
      </c>
      <c r="N100" s="47" t="str">
        <f>IFERROR(LEFT(M100,FIND("],",M100)+#REF!),M100)</f>
        <v>none</v>
      </c>
      <c r="O100" s="62" t="e">
        <f t="shared" si="25"/>
        <v>#VALUE!</v>
      </c>
      <c r="P100" s="62">
        <f t="shared" si="75"/>
        <v>4</v>
      </c>
      <c r="Q100" s="62" t="e">
        <f t="shared" si="76"/>
        <v>#VALUE!</v>
      </c>
      <c r="R100" s="62" t="e">
        <f t="shared" si="77"/>
        <v>#VALUE!</v>
      </c>
      <c r="S100" s="62" t="str">
        <f>IFERROR(VLOOKUP(MID(N100,Q100,R100-Q100),[6]skilldef!$C:$D,2,FALSE),"-") &amp; " / " &amp; IFERROR(VLOOKUP(MID(N100,O100,P100-O100),[6]skilldef!$A:$B,2,FALSE),"-")</f>
        <v>- / -</v>
      </c>
      <c r="T100" s="47" t="str">
        <f t="shared" si="78"/>
        <v>none</v>
      </c>
      <c r="U100" s="62" t="e">
        <f t="shared" si="30"/>
        <v>#VALUE!</v>
      </c>
      <c r="V100" s="62">
        <f t="shared" si="79"/>
        <v>4</v>
      </c>
      <c r="W100" s="62" t="e">
        <f t="shared" si="80"/>
        <v>#VALUE!</v>
      </c>
      <c r="X100" s="62" t="e">
        <f t="shared" si="81"/>
        <v>#VALUE!</v>
      </c>
      <c r="Y100" s="62" t="str">
        <f>IFERROR(VLOOKUP(MID(T100,W100,X100-W100),[6]skilldef!$C:$D,2,FALSE),"-") &amp; " / " &amp; IFERROR(VLOOKUP(MID(T100,U100,V100-U100),[6]skilldef!$A:$B,2,FALSE),"-")</f>
        <v>- / -</v>
      </c>
      <c r="Z100" s="49"/>
      <c r="AA100" s="51"/>
      <c r="AB100" s="49"/>
      <c r="AC100" s="48">
        <f t="shared" si="34"/>
        <v>16</v>
      </c>
      <c r="AD100" s="48">
        <f t="shared" si="35"/>
        <v>20</v>
      </c>
    </row>
    <row r="101" spans="1:30" ht="21" customHeight="1" x14ac:dyDescent="0.15">
      <c r="A101" s="46">
        <v>47014099</v>
      </c>
      <c r="B101" s="46" t="s">
        <v>358</v>
      </c>
      <c r="C101" s="49">
        <v>3</v>
      </c>
      <c r="D101" s="49" t="s">
        <v>128</v>
      </c>
      <c r="E101" s="50" t="s">
        <v>343</v>
      </c>
      <c r="F101" s="50" t="s">
        <v>376</v>
      </c>
      <c r="G101" s="62" t="str">
        <f t="shared" si="69"/>
        <v>[effect:enemy_message, val1:2.1, val2:2.5]</v>
      </c>
      <c r="H101" s="62">
        <f t="shared" si="19"/>
        <v>9</v>
      </c>
      <c r="I101" s="62">
        <f t="shared" si="70"/>
        <v>22</v>
      </c>
      <c r="J101" s="62" t="e">
        <f t="shared" si="71"/>
        <v>#VALUE!</v>
      </c>
      <c r="K101" s="62">
        <f t="shared" si="72"/>
        <v>32</v>
      </c>
      <c r="L101" s="62" t="str">
        <f>IFERROR(VLOOKUP(MID(G101,J101,K101-J101),[6]skilldef!$C:$D,2,FALSE),"-") &amp; " / " &amp; IFERROR(VLOOKUP(MID(G101,H101,I101-H101),[6]skilldef!$A:$B,2,FALSE),"-")</f>
        <v>- / -</v>
      </c>
      <c r="M101" s="62" t="str">
        <f t="shared" si="73"/>
        <v>none</v>
      </c>
      <c r="N101" s="47" t="str">
        <f>IFERROR(LEFT(M101,FIND("],",M101)+#REF!),M101)</f>
        <v>none</v>
      </c>
      <c r="O101" s="62" t="e">
        <f t="shared" si="25"/>
        <v>#VALUE!</v>
      </c>
      <c r="P101" s="62">
        <f t="shared" si="75"/>
        <v>4</v>
      </c>
      <c r="Q101" s="62" t="e">
        <f t="shared" si="76"/>
        <v>#VALUE!</v>
      </c>
      <c r="R101" s="62" t="e">
        <f t="shared" si="77"/>
        <v>#VALUE!</v>
      </c>
      <c r="S101" s="62" t="str">
        <f>IFERROR(VLOOKUP(MID(N101,Q101,R101-Q101),[6]skilldef!$C:$D,2,FALSE),"-") &amp; " / " &amp; IFERROR(VLOOKUP(MID(N101,O101,P101-O101),[6]skilldef!$A:$B,2,FALSE),"-")</f>
        <v>- / -</v>
      </c>
      <c r="T101" s="47" t="str">
        <f t="shared" si="78"/>
        <v>none</v>
      </c>
      <c r="U101" s="62" t="e">
        <f t="shared" si="30"/>
        <v>#VALUE!</v>
      </c>
      <c r="V101" s="62">
        <f t="shared" si="79"/>
        <v>4</v>
      </c>
      <c r="W101" s="62" t="e">
        <f t="shared" si="80"/>
        <v>#VALUE!</v>
      </c>
      <c r="X101" s="62" t="e">
        <f t="shared" si="81"/>
        <v>#VALUE!</v>
      </c>
      <c r="Y101" s="62" t="str">
        <f>IFERROR(VLOOKUP(MID(T101,W101,X101-W101),[6]skilldef!$C:$D,2,FALSE),"-") &amp; " / " &amp; IFERROR(VLOOKUP(MID(T101,U101,V101-U101),[6]skilldef!$A:$B,2,FALSE),"-")</f>
        <v>- / -</v>
      </c>
      <c r="Z101" s="49"/>
      <c r="AA101" s="51"/>
      <c r="AB101" s="49"/>
      <c r="AC101" s="48">
        <f t="shared" si="34"/>
        <v>16</v>
      </c>
      <c r="AD101" s="48">
        <f t="shared" si="35"/>
        <v>20</v>
      </c>
    </row>
    <row r="102" spans="1:30" ht="21" customHeight="1" x14ac:dyDescent="0.15">
      <c r="A102" s="46">
        <v>47014100</v>
      </c>
      <c r="B102" s="46" t="s">
        <v>358</v>
      </c>
      <c r="C102" s="49">
        <v>3</v>
      </c>
      <c r="D102" s="49" t="s">
        <v>128</v>
      </c>
      <c r="E102" s="50" t="s">
        <v>343</v>
      </c>
      <c r="F102" s="50" t="s">
        <v>376</v>
      </c>
      <c r="G102" s="62" t="str">
        <f t="shared" si="69"/>
        <v>[effect:enemy_message, val1:2.1, val2:2.5]</v>
      </c>
      <c r="H102" s="62">
        <f t="shared" si="19"/>
        <v>9</v>
      </c>
      <c r="I102" s="62">
        <f t="shared" si="70"/>
        <v>22</v>
      </c>
      <c r="J102" s="62" t="e">
        <f t="shared" si="71"/>
        <v>#VALUE!</v>
      </c>
      <c r="K102" s="62">
        <f t="shared" si="72"/>
        <v>32</v>
      </c>
      <c r="L102" s="62" t="str">
        <f>IFERROR(VLOOKUP(MID(G102,J102,K102-J102),[6]skilldef!$C:$D,2,FALSE),"-") &amp; " / " &amp; IFERROR(VLOOKUP(MID(G102,H102,I102-H102),[6]skilldef!$A:$B,2,FALSE),"-")</f>
        <v>- / -</v>
      </c>
      <c r="M102" s="62" t="str">
        <f t="shared" si="73"/>
        <v>none</v>
      </c>
      <c r="N102" s="47" t="str">
        <f>IFERROR(LEFT(M102,FIND("],",M102)+#REF!),M102)</f>
        <v>none</v>
      </c>
      <c r="O102" s="62" t="e">
        <f t="shared" si="25"/>
        <v>#VALUE!</v>
      </c>
      <c r="P102" s="62">
        <f t="shared" si="75"/>
        <v>4</v>
      </c>
      <c r="Q102" s="62" t="e">
        <f t="shared" si="76"/>
        <v>#VALUE!</v>
      </c>
      <c r="R102" s="62" t="e">
        <f t="shared" si="77"/>
        <v>#VALUE!</v>
      </c>
      <c r="S102" s="62" t="str">
        <f>IFERROR(VLOOKUP(MID(N102,Q102,R102-Q102),[6]skilldef!$C:$D,2,FALSE),"-") &amp; " / " &amp; IFERROR(VLOOKUP(MID(N102,O102,P102-O102),[6]skilldef!$A:$B,2,FALSE),"-")</f>
        <v>- / -</v>
      </c>
      <c r="T102" s="47" t="str">
        <f t="shared" si="78"/>
        <v>none</v>
      </c>
      <c r="U102" s="62" t="e">
        <f t="shared" si="30"/>
        <v>#VALUE!</v>
      </c>
      <c r="V102" s="62">
        <f t="shared" si="79"/>
        <v>4</v>
      </c>
      <c r="W102" s="62" t="e">
        <f t="shared" si="80"/>
        <v>#VALUE!</v>
      </c>
      <c r="X102" s="62" t="e">
        <f t="shared" si="81"/>
        <v>#VALUE!</v>
      </c>
      <c r="Y102" s="62" t="str">
        <f>IFERROR(VLOOKUP(MID(T102,W102,X102-W102),[6]skilldef!$C:$D,2,FALSE),"-") &amp; " / " &amp; IFERROR(VLOOKUP(MID(T102,U102,V102-U102),[6]skilldef!$A:$B,2,FALSE),"-")</f>
        <v>- / -</v>
      </c>
      <c r="Z102" s="49"/>
      <c r="AA102" s="51"/>
      <c r="AB102" s="49"/>
      <c r="AC102" s="48">
        <f t="shared" si="34"/>
        <v>16</v>
      </c>
      <c r="AD102" s="48">
        <f t="shared" si="35"/>
        <v>20</v>
      </c>
    </row>
    <row r="103" spans="1:30" ht="21" customHeight="1" x14ac:dyDescent="0.15">
      <c r="A103" s="46">
        <v>47014101</v>
      </c>
      <c r="B103" s="46" t="s">
        <v>358</v>
      </c>
      <c r="C103" s="49">
        <v>3</v>
      </c>
      <c r="D103" s="49" t="s">
        <v>128</v>
      </c>
      <c r="E103" s="50" t="s">
        <v>343</v>
      </c>
      <c r="F103" s="50" t="s">
        <v>376</v>
      </c>
      <c r="G103" s="62" t="str">
        <f t="shared" si="69"/>
        <v>[effect:enemy_message, val1:2.1, val2:2.5]</v>
      </c>
      <c r="H103" s="62">
        <f t="shared" si="19"/>
        <v>9</v>
      </c>
      <c r="I103" s="62">
        <f t="shared" si="70"/>
        <v>22</v>
      </c>
      <c r="J103" s="62" t="e">
        <f t="shared" si="71"/>
        <v>#VALUE!</v>
      </c>
      <c r="K103" s="62">
        <f t="shared" si="72"/>
        <v>32</v>
      </c>
      <c r="L103" s="62" t="str">
        <f>IFERROR(VLOOKUP(MID(G103,J103,K103-J103),[6]skilldef!$C:$D,2,FALSE),"-") &amp; " / " &amp; IFERROR(VLOOKUP(MID(G103,H103,I103-H103),[6]skilldef!$A:$B,2,FALSE),"-")</f>
        <v>- / -</v>
      </c>
      <c r="M103" s="62" t="str">
        <f t="shared" si="73"/>
        <v>none</v>
      </c>
      <c r="N103" s="47" t="str">
        <f>IFERROR(LEFT(M103,FIND("],",M103)+#REF!),M103)</f>
        <v>none</v>
      </c>
      <c r="O103" s="62" t="e">
        <f t="shared" si="25"/>
        <v>#VALUE!</v>
      </c>
      <c r="P103" s="62">
        <f t="shared" si="75"/>
        <v>4</v>
      </c>
      <c r="Q103" s="62" t="e">
        <f t="shared" si="76"/>
        <v>#VALUE!</v>
      </c>
      <c r="R103" s="62" t="e">
        <f t="shared" si="77"/>
        <v>#VALUE!</v>
      </c>
      <c r="S103" s="62" t="str">
        <f>IFERROR(VLOOKUP(MID(N103,Q103,R103-Q103),[6]skilldef!$C:$D,2,FALSE),"-") &amp; " / " &amp; IFERROR(VLOOKUP(MID(N103,O103,P103-O103),[6]skilldef!$A:$B,2,FALSE),"-")</f>
        <v>- / -</v>
      </c>
      <c r="T103" s="47" t="str">
        <f t="shared" si="78"/>
        <v>none</v>
      </c>
      <c r="U103" s="62" t="e">
        <f t="shared" si="30"/>
        <v>#VALUE!</v>
      </c>
      <c r="V103" s="62">
        <f t="shared" si="79"/>
        <v>4</v>
      </c>
      <c r="W103" s="62" t="e">
        <f t="shared" si="80"/>
        <v>#VALUE!</v>
      </c>
      <c r="X103" s="62" t="e">
        <f t="shared" si="81"/>
        <v>#VALUE!</v>
      </c>
      <c r="Y103" s="62" t="str">
        <f>IFERROR(VLOOKUP(MID(T103,W103,X103-W103),[6]skilldef!$C:$D,2,FALSE),"-") &amp; " / " &amp; IFERROR(VLOOKUP(MID(T103,U103,V103-U103),[6]skilldef!$A:$B,2,FALSE),"-")</f>
        <v>- / -</v>
      </c>
      <c r="Z103" s="49"/>
      <c r="AA103" s="51"/>
      <c r="AB103" s="49"/>
      <c r="AC103" s="48">
        <f t="shared" si="34"/>
        <v>16</v>
      </c>
      <c r="AD103" s="48">
        <f t="shared" si="35"/>
        <v>20</v>
      </c>
    </row>
    <row r="104" spans="1:30" ht="21" customHeight="1" x14ac:dyDescent="0.15">
      <c r="A104" s="46">
        <v>47014102</v>
      </c>
      <c r="B104" s="46" t="s">
        <v>358</v>
      </c>
      <c r="C104" s="49">
        <v>3</v>
      </c>
      <c r="D104" s="49" t="s">
        <v>128</v>
      </c>
      <c r="E104" s="50" t="s">
        <v>343</v>
      </c>
      <c r="F104" s="50" t="s">
        <v>376</v>
      </c>
      <c r="G104" s="62" t="str">
        <f t="shared" si="69"/>
        <v>[effect:enemy_message, val1:2.1, val2:2.5]</v>
      </c>
      <c r="H104" s="62">
        <f t="shared" si="19"/>
        <v>9</v>
      </c>
      <c r="I104" s="62">
        <f t="shared" si="70"/>
        <v>22</v>
      </c>
      <c r="J104" s="62" t="e">
        <f t="shared" si="71"/>
        <v>#VALUE!</v>
      </c>
      <c r="K104" s="62">
        <f t="shared" si="72"/>
        <v>32</v>
      </c>
      <c r="L104" s="62" t="str">
        <f>IFERROR(VLOOKUP(MID(G104,J104,K104-J104),[6]skilldef!$C:$D,2,FALSE),"-") &amp; " / " &amp; IFERROR(VLOOKUP(MID(G104,H104,I104-H104),[6]skilldef!$A:$B,2,FALSE),"-")</f>
        <v>- / -</v>
      </c>
      <c r="M104" s="62" t="str">
        <f t="shared" si="73"/>
        <v>none</v>
      </c>
      <c r="N104" s="47" t="str">
        <f>IFERROR(LEFT(M104,FIND("],",M104)+S105),M104)</f>
        <v>none</v>
      </c>
      <c r="O104" s="62" t="e">
        <f t="shared" si="25"/>
        <v>#VALUE!</v>
      </c>
      <c r="P104" s="62">
        <f t="shared" si="75"/>
        <v>4</v>
      </c>
      <c r="Q104" s="62" t="e">
        <f t="shared" si="76"/>
        <v>#VALUE!</v>
      </c>
      <c r="R104" s="62" t="e">
        <f t="shared" si="77"/>
        <v>#VALUE!</v>
      </c>
      <c r="S104" s="62" t="str">
        <f>IFERROR(VLOOKUP(MID(N104,Q104,R104-Q104),[6]skilldef!$C:$D,2,FALSE),"-") &amp; " / " &amp; IFERROR(VLOOKUP(MID(N104,O104,P104-O104),[6]skilldef!$A:$B,2,FALSE),"-")</f>
        <v>- / -</v>
      </c>
      <c r="T104" s="47" t="str">
        <f t="shared" si="78"/>
        <v>none</v>
      </c>
      <c r="U104" s="62" t="e">
        <f t="shared" si="30"/>
        <v>#VALUE!</v>
      </c>
      <c r="V104" s="62">
        <f t="shared" si="79"/>
        <v>4</v>
      </c>
      <c r="W104" s="62" t="e">
        <f t="shared" si="80"/>
        <v>#VALUE!</v>
      </c>
      <c r="X104" s="62" t="e">
        <f t="shared" si="81"/>
        <v>#VALUE!</v>
      </c>
      <c r="Y104" s="62" t="str">
        <f>IFERROR(VLOOKUP(MID(T104,W104,X104-W104),[6]skilldef!$C:$D,2,FALSE),"-") &amp; " / " &amp; IFERROR(VLOOKUP(MID(T104,U104,V104-U104),[6]skilldef!$A:$B,2,FALSE),"-")</f>
        <v>- / -</v>
      </c>
      <c r="Z104" s="49"/>
      <c r="AA104" s="51"/>
      <c r="AB104" s="49"/>
      <c r="AC104" s="48">
        <f t="shared" si="34"/>
        <v>16</v>
      </c>
      <c r="AD104" s="48">
        <f t="shared" si="35"/>
        <v>20</v>
      </c>
    </row>
    <row r="105" spans="1:30" s="115" customFormat="1" ht="21" customHeight="1" x14ac:dyDescent="0.15">
      <c r="A105" s="111">
        <v>47014137</v>
      </c>
      <c r="B105" s="111" t="s">
        <v>431</v>
      </c>
      <c r="C105" s="112">
        <v>3</v>
      </c>
      <c r="D105" s="112" t="s">
        <v>128</v>
      </c>
      <c r="E105" s="113" t="s">
        <v>325</v>
      </c>
      <c r="F105" s="113" t="s">
        <v>398</v>
      </c>
      <c r="G105" s="113" t="str">
        <f t="shared" si="69"/>
        <v>[effect:enemy_message, val1:1.2, val2:1.5]</v>
      </c>
      <c r="H105" s="113">
        <f t="shared" si="19"/>
        <v>9</v>
      </c>
      <c r="I105" s="113">
        <f t="shared" si="70"/>
        <v>22</v>
      </c>
      <c r="J105" s="113" t="e">
        <f t="shared" si="71"/>
        <v>#VALUE!</v>
      </c>
      <c r="K105" s="113">
        <f t="shared" si="72"/>
        <v>32</v>
      </c>
      <c r="L105" s="113" t="str">
        <f>IFERROR(VLOOKUP(MID(G105,J105,K105-J105),[6]skilldef!$C:$D,2,FALSE),"-") &amp; " / " &amp; IFERROR(VLOOKUP(MID(G105,H105,I105-H105),[6]skilldef!$A:$B,2,FALSE),"-")</f>
        <v>- / -</v>
      </c>
      <c r="M105" s="113" t="str">
        <f t="shared" si="73"/>
        <v>[effect:force_change_block, new_block:jammer, target:block_heart, count:10, val:0, animation:change_block]</v>
      </c>
      <c r="N105" s="111" t="str">
        <f t="shared" ref="N105" si="82">IFERROR(LEFT(M105,FIND("],",M105)+S117),M105)</f>
        <v>[effect:force_change_block, new_block:jammer, target:block_heart, count:10, val:0, animation:change_block]</v>
      </c>
      <c r="O105" s="113">
        <f t="shared" si="25"/>
        <v>9</v>
      </c>
      <c r="P105" s="113">
        <f t="shared" si="75"/>
        <v>27</v>
      </c>
      <c r="Q105" s="113">
        <f t="shared" si="76"/>
        <v>54</v>
      </c>
      <c r="R105" s="113">
        <f t="shared" si="77"/>
        <v>45</v>
      </c>
      <c r="S105" s="113" t="str">
        <f>IFERROR(VLOOKUP(MID(N105,Q105,R105-Q105),[6]skilldef!$C:$D,2,FALSE),"-") &amp; " / " &amp; IFERROR(VLOOKUP(MID(N105,O105,P105-O105),[6]skilldef!$A:$B,2,FALSE),"-")</f>
        <v>- / -</v>
      </c>
      <c r="T105" s="111" t="str">
        <f t="shared" si="78"/>
        <v>none</v>
      </c>
      <c r="U105" s="113" t="e">
        <f t="shared" si="30"/>
        <v>#VALUE!</v>
      </c>
      <c r="V105" s="113">
        <f t="shared" si="79"/>
        <v>4</v>
      </c>
      <c r="W105" s="113" t="e">
        <f t="shared" si="80"/>
        <v>#VALUE!</v>
      </c>
      <c r="X105" s="113" t="e">
        <f t="shared" si="81"/>
        <v>#VALUE!</v>
      </c>
      <c r="Y105" s="113" t="str">
        <f>IFERROR(VLOOKUP(MID(T105,W105,X105-W105),[6]skilldef!$C:$D,2,FALSE),"-") &amp; " / " &amp; IFERROR(VLOOKUP(MID(T105,U105,V105-U105),[6]skilldef!$A:$B,2,FALSE),"-")</f>
        <v>- / -</v>
      </c>
      <c r="Z105" s="112"/>
      <c r="AA105" s="114"/>
      <c r="AB105" s="112"/>
      <c r="AC105" s="115">
        <f t="shared" si="34"/>
        <v>7</v>
      </c>
      <c r="AD105" s="115">
        <f t="shared" si="35"/>
        <v>19</v>
      </c>
    </row>
    <row r="106" spans="1:30" ht="21" customHeight="1" x14ac:dyDescent="0.15">
      <c r="A106" s="46">
        <v>47014170</v>
      </c>
      <c r="B106" s="46" t="s">
        <v>396</v>
      </c>
      <c r="C106" s="49">
        <v>3</v>
      </c>
      <c r="D106" s="49" t="s">
        <v>128</v>
      </c>
      <c r="E106" s="50" t="s">
        <v>340</v>
      </c>
      <c r="F106" s="113" t="s">
        <v>419</v>
      </c>
      <c r="G106" s="62" t="str">
        <f t="shared" si="69"/>
        <v>[effect:enemy_message, val1:1.2, val2:2.6]</v>
      </c>
      <c r="H106" s="62">
        <f t="shared" ref="H106" si="83">FIND("effect:",G106)+7</f>
        <v>9</v>
      </c>
      <c r="I106" s="62">
        <f t="shared" si="70"/>
        <v>22</v>
      </c>
      <c r="J106" s="62" t="e">
        <f t="shared" si="71"/>
        <v>#VALUE!</v>
      </c>
      <c r="K106" s="62">
        <f t="shared" si="72"/>
        <v>32</v>
      </c>
      <c r="L106" s="62" t="str">
        <f>IFERROR(VLOOKUP(MID(G106,J106,K106-J106),[6]skilldef!$C:$D,2,FALSE),"-") &amp; " / " &amp; IFERROR(VLOOKUP(MID(G106,H106,I106-H106),[6]skilldef!$A:$B,2,FALSE),"-")</f>
        <v>- / -</v>
      </c>
      <c r="M106" s="62" t="str">
        <f t="shared" si="73"/>
        <v>[effect:tolerance, target:myself, turn:-1, count:-1, tolerance_effect:all, animation:enemy_tolerance],[effect:fix_speed, target:myself, turn:1]</v>
      </c>
      <c r="N106" s="47" t="str">
        <f>IFERROR(LEFT(M106,FIND("],",M106)+S117),M106)</f>
        <v>[effect:tolerance, target:myself, turn:-1, count:-1, tolerance_effect:all, animation:enemy_tolerance]</v>
      </c>
      <c r="O106" s="62">
        <f t="shared" ref="O106" si="84">FIND("effect:",N106)+7</f>
        <v>9</v>
      </c>
      <c r="P106" s="62">
        <f t="shared" si="75"/>
        <v>18</v>
      </c>
      <c r="Q106" s="62">
        <f t="shared" si="76"/>
        <v>27</v>
      </c>
      <c r="R106" s="62">
        <f t="shared" si="77"/>
        <v>33</v>
      </c>
      <c r="S106" s="62" t="str">
        <f>IFERROR(VLOOKUP(MID(N106,Q106,R106-Q106),[6]skilldef!$C:$D,2,FALSE),"-") &amp; " / " &amp; IFERROR(VLOOKUP(MID(N106,O106,P106-O106),[6]skilldef!$A:$B,2,FALSE),"-")</f>
        <v>自分自身に / 状態異常耐性</v>
      </c>
      <c r="T106" s="47" t="str">
        <f t="shared" si="78"/>
        <v>[effect:fix_speed, target:myself, turn:1]</v>
      </c>
      <c r="U106" s="62">
        <f t="shared" ref="U106" si="85">FIND("effect:",T106)+7</f>
        <v>9</v>
      </c>
      <c r="V106" s="62">
        <f t="shared" si="79"/>
        <v>18</v>
      </c>
      <c r="W106" s="62">
        <f t="shared" si="80"/>
        <v>27</v>
      </c>
      <c r="X106" s="62">
        <f t="shared" si="81"/>
        <v>33</v>
      </c>
      <c r="Y106" s="62" t="str">
        <f>IFERROR(VLOOKUP(MID(T106,W106,X106-W106),[6]skilldef!$C:$D,2,FALSE),"-") &amp; " / " &amp; IFERROR(VLOOKUP(MID(T106,U106,V106-U106),[6]skilldef!$A:$B,2,FALSE),"-")</f>
        <v>自分自身に / 行動値設定</v>
      </c>
      <c r="Z106" s="49"/>
      <c r="AA106" s="51"/>
      <c r="AB106" s="49"/>
      <c r="AC106" s="48">
        <f t="shared" ref="AC106" si="86">LEN(E106)</f>
        <v>12</v>
      </c>
      <c r="AD106" s="48">
        <f t="shared" ref="AD106" si="87">LEN(F106)</f>
        <v>26</v>
      </c>
    </row>
    <row r="107" spans="1:30" s="115" customFormat="1" ht="21" customHeight="1" x14ac:dyDescent="0.15">
      <c r="A107" s="111">
        <v>47014175</v>
      </c>
      <c r="B107" s="111" t="s">
        <v>395</v>
      </c>
      <c r="C107" s="112">
        <v>3</v>
      </c>
      <c r="D107" s="112" t="s">
        <v>128</v>
      </c>
      <c r="E107" s="113" t="s">
        <v>371</v>
      </c>
      <c r="F107" s="113" t="s">
        <v>394</v>
      </c>
      <c r="G107" s="113" t="str">
        <f t="shared" si="69"/>
        <v>[effect:enemy_message, val1:1.7, val2:1.6]</v>
      </c>
      <c r="H107" s="113">
        <f t="shared" ref="H107:H113" si="88">FIND("effect:",G107)+7</f>
        <v>9</v>
      </c>
      <c r="I107" s="113">
        <f t="shared" si="70"/>
        <v>22</v>
      </c>
      <c r="J107" s="113" t="e">
        <f t="shared" si="71"/>
        <v>#VALUE!</v>
      </c>
      <c r="K107" s="113">
        <f t="shared" si="72"/>
        <v>32</v>
      </c>
      <c r="L107" s="113" t="str">
        <f>IFERROR(VLOOKUP(MID(G107,J107,K107-J107),[6]skilldef!$C:$D,2,FALSE),"-") &amp; " / " &amp; IFERROR(VLOOKUP(MID(G107,H107,I107-H107),[6]skilldef!$A:$B,2,FALSE),"-")</f>
        <v>- / -</v>
      </c>
      <c r="M107" s="113" t="str">
        <f t="shared" si="73"/>
        <v>none</v>
      </c>
      <c r="N107" s="111" t="str">
        <f>IFERROR(LEFT(M107,FIND("],",M107)+S121),M107)</f>
        <v>none</v>
      </c>
      <c r="O107" s="113" t="e">
        <f t="shared" ref="O107:O113" si="89">FIND("effect:",N107)+7</f>
        <v>#VALUE!</v>
      </c>
      <c r="P107" s="113">
        <f t="shared" si="75"/>
        <v>4</v>
      </c>
      <c r="Q107" s="113" t="e">
        <f t="shared" si="76"/>
        <v>#VALUE!</v>
      </c>
      <c r="R107" s="113" t="e">
        <f t="shared" si="77"/>
        <v>#VALUE!</v>
      </c>
      <c r="S107" s="113" t="str">
        <f>IFERROR(VLOOKUP(MID(N107,Q107,R107-Q107),[6]skilldef!$C:$D,2,FALSE),"-") &amp; " / " &amp; IFERROR(VLOOKUP(MID(N107,O107,P107-O107),[6]skilldef!$A:$B,2,FALSE),"-")</f>
        <v>- / -</v>
      </c>
      <c r="T107" s="111" t="str">
        <f t="shared" si="78"/>
        <v>none</v>
      </c>
      <c r="U107" s="113" t="e">
        <f t="shared" ref="U107:U113" si="90">FIND("effect:",T107)+7</f>
        <v>#VALUE!</v>
      </c>
      <c r="V107" s="113">
        <f t="shared" si="79"/>
        <v>4</v>
      </c>
      <c r="W107" s="113" t="e">
        <f t="shared" si="80"/>
        <v>#VALUE!</v>
      </c>
      <c r="X107" s="113" t="e">
        <f t="shared" si="81"/>
        <v>#VALUE!</v>
      </c>
      <c r="Y107" s="113" t="str">
        <f>IFERROR(VLOOKUP(MID(T107,W107,X107-W107),[6]skilldef!$C:$D,2,FALSE),"-") &amp; " / " &amp; IFERROR(VLOOKUP(MID(T107,U107,V107-U107),[6]skilldef!$A:$B,2,FALSE),"-")</f>
        <v>- / -</v>
      </c>
      <c r="Z107" s="112"/>
      <c r="AA107" s="114"/>
      <c r="AB107" s="112"/>
      <c r="AC107" s="115">
        <f t="shared" ref="AC107:AC113" si="91">LEN(E107)</f>
        <v>17</v>
      </c>
      <c r="AD107" s="115">
        <f t="shared" ref="AD107:AD113" si="92">LEN(F107)</f>
        <v>16</v>
      </c>
    </row>
    <row r="108" spans="1:30" s="115" customFormat="1" ht="21" customHeight="1" x14ac:dyDescent="0.15">
      <c r="A108" s="111">
        <v>47014176</v>
      </c>
      <c r="B108" s="111" t="s">
        <v>286</v>
      </c>
      <c r="C108" s="112">
        <v>3</v>
      </c>
      <c r="D108" s="112" t="s">
        <v>128</v>
      </c>
      <c r="E108" s="113" t="s">
        <v>336</v>
      </c>
      <c r="F108" s="113" t="s">
        <v>389</v>
      </c>
      <c r="G108" s="113" t="str">
        <f t="shared" si="69"/>
        <v>[effect:enemy_message, val1:1.2, val2:1.2]</v>
      </c>
      <c r="H108" s="113">
        <f t="shared" si="88"/>
        <v>9</v>
      </c>
      <c r="I108" s="113">
        <f t="shared" si="70"/>
        <v>22</v>
      </c>
      <c r="J108" s="113" t="e">
        <f t="shared" si="71"/>
        <v>#VALUE!</v>
      </c>
      <c r="K108" s="113">
        <f t="shared" si="72"/>
        <v>32</v>
      </c>
      <c r="L108" s="113" t="str">
        <f>IFERROR(VLOOKUP(MID(G108,J108,K108-J108),[6]skilldef!$C:$D,2,FALSE),"-") &amp; " / " &amp; IFERROR(VLOOKUP(MID(G108,H108,I108-H108),[6]skilldef!$A:$B,2,FALSE),"-")</f>
        <v>- / -</v>
      </c>
      <c r="M108" s="113" t="str">
        <f t="shared" si="73"/>
        <v>[effect:spread, val:2.0],[effect:spread, val:2.0],[effect:spread, val:2.0],[effect:spread, val:2.0],[effect:spread, val:2.0]</v>
      </c>
      <c r="N108" s="111" t="str">
        <f>IFERROR(LEFT(M108,FIND("],",M108)+S122),M108)</f>
        <v>[effect:spread, val:2.0]</v>
      </c>
      <c r="O108" s="113">
        <f t="shared" si="89"/>
        <v>9</v>
      </c>
      <c r="P108" s="113">
        <f t="shared" si="75"/>
        <v>15</v>
      </c>
      <c r="Q108" s="113" t="e">
        <f t="shared" si="76"/>
        <v>#VALUE!</v>
      </c>
      <c r="R108" s="113" t="e">
        <f t="shared" si="77"/>
        <v>#VALUE!</v>
      </c>
      <c r="S108" s="113" t="str">
        <f>IFERROR(VLOOKUP(MID(N108,Q108,R108-Q108),[6]skilldef!$C:$D,2,FALSE),"-") &amp; " / " &amp; IFERROR(VLOOKUP(MID(N108,O108,P108-O108),[6]skilldef!$A:$B,2,FALSE),"-")</f>
        <v>- / 全体攻撃</v>
      </c>
      <c r="T108" s="111" t="str">
        <f t="shared" si="78"/>
        <v>[effect:spread, val:2.0],[effect:spread, val:2.0],[effect:spread, val:2.0],[effect:spread, val:2.0]</v>
      </c>
      <c r="U108" s="113">
        <f t="shared" si="90"/>
        <v>9</v>
      </c>
      <c r="V108" s="113">
        <f t="shared" si="79"/>
        <v>15</v>
      </c>
      <c r="W108" s="113" t="e">
        <f t="shared" si="80"/>
        <v>#VALUE!</v>
      </c>
      <c r="X108" s="113">
        <f t="shared" si="81"/>
        <v>25</v>
      </c>
      <c r="Y108" s="113" t="str">
        <f>IFERROR(VLOOKUP(MID(T108,W108,X108-W108),[6]skilldef!$C:$D,2,FALSE),"-") &amp; " / " &amp; IFERROR(VLOOKUP(MID(T108,U108,V108-U108),[6]skilldef!$A:$B,2,FALSE),"-")</f>
        <v>- / 全体攻撃</v>
      </c>
      <c r="Z108" s="112"/>
      <c r="AA108" s="114"/>
      <c r="AB108" s="112"/>
      <c r="AC108" s="115">
        <f t="shared" si="91"/>
        <v>10</v>
      </c>
      <c r="AD108" s="115">
        <f t="shared" si="92"/>
        <v>8</v>
      </c>
    </row>
    <row r="109" spans="1:30" ht="21" customHeight="1" x14ac:dyDescent="0.15">
      <c r="A109" s="116">
        <v>47014205</v>
      </c>
      <c r="B109" s="116" t="s">
        <v>399</v>
      </c>
      <c r="C109" s="117">
        <v>3</v>
      </c>
      <c r="D109" s="117" t="s">
        <v>128</v>
      </c>
      <c r="E109" s="118" t="s">
        <v>310</v>
      </c>
      <c r="F109" s="118" t="s">
        <v>400</v>
      </c>
      <c r="G109" s="118" t="str">
        <f t="shared" si="69"/>
        <v>[effect:enemy_message, val1:1.2, val2:2.6]</v>
      </c>
      <c r="H109" s="118">
        <f t="shared" si="88"/>
        <v>9</v>
      </c>
      <c r="I109" s="118">
        <f t="shared" si="70"/>
        <v>22</v>
      </c>
      <c r="J109" s="118" t="e">
        <f t="shared" si="71"/>
        <v>#VALUE!</v>
      </c>
      <c r="K109" s="118">
        <f t="shared" si="72"/>
        <v>32</v>
      </c>
      <c r="L109" s="118" t="str">
        <f>IFERROR(VLOOKUP(MID(G109,J109,K109-J109),[6]skilldef!$C:$D,2,FALSE),"-") &amp; " / " &amp; IFERROR(VLOOKUP(MID(G109,H109,I109-H109),[6]skilldef!$A:$B,2,FALSE),"-")</f>
        <v>- / -</v>
      </c>
      <c r="M109" s="118" t="str">
        <f t="shared" si="73"/>
        <v>[effect:critical, val:1.2, animation:enemy_critical],[effect:force_change_block, new_block:jammer, target:normal, count:1, val:0, animation:change_block]</v>
      </c>
      <c r="N109" s="116" t="str">
        <f>IFERROR(LEFT(M109,FIND("],",M109)+S120),M109)</f>
        <v>[effect:critical, val:1.2, animation:enemy_critical]</v>
      </c>
      <c r="O109" s="118">
        <f t="shared" si="89"/>
        <v>9</v>
      </c>
      <c r="P109" s="118">
        <f t="shared" si="75"/>
        <v>17</v>
      </c>
      <c r="Q109" s="118" t="e">
        <f t="shared" si="76"/>
        <v>#VALUE!</v>
      </c>
      <c r="R109" s="62">
        <f t="shared" si="77"/>
        <v>26</v>
      </c>
      <c r="S109" s="62" t="str">
        <f>IFERROR(VLOOKUP(MID(N109,Q109,R109-Q109),[6]skilldef!$C:$D,2,FALSE),"-") &amp; " / " &amp; IFERROR(VLOOKUP(MID(N109,O109,P109-O109),[6]skilldef!$A:$B,2,FALSE),"-")</f>
        <v>- / 大攻撃</v>
      </c>
      <c r="T109" s="47" t="str">
        <f t="shared" si="78"/>
        <v>[effect:force_change_block, new_block:jammer, target:normal, count:1, val:0, animation:change_block]</v>
      </c>
      <c r="U109" s="62">
        <f t="shared" si="90"/>
        <v>9</v>
      </c>
      <c r="V109" s="62">
        <f t="shared" si="79"/>
        <v>27</v>
      </c>
      <c r="W109" s="62">
        <f t="shared" si="80"/>
        <v>54</v>
      </c>
      <c r="X109" s="62">
        <f t="shared" si="81"/>
        <v>45</v>
      </c>
      <c r="Y109" s="62" t="str">
        <f>IFERROR(VLOOKUP(MID(T109,W109,X109-W109),[6]skilldef!$C:$D,2,FALSE),"-") &amp; " / " &amp; IFERROR(VLOOKUP(MID(T109,U109,V109-U109),[6]skilldef!$A:$B,2,FALSE),"-")</f>
        <v>- / -</v>
      </c>
      <c r="Z109" s="49"/>
      <c r="AA109" s="51"/>
      <c r="AB109" s="49"/>
      <c r="AC109" s="48">
        <f t="shared" si="91"/>
        <v>3</v>
      </c>
      <c r="AD109" s="48">
        <f t="shared" si="92"/>
        <v>26</v>
      </c>
    </row>
    <row r="110" spans="1:30" s="120" customFormat="1" ht="21" customHeight="1" x14ac:dyDescent="0.15">
      <c r="A110" s="116">
        <v>47014212</v>
      </c>
      <c r="B110" s="116" t="s">
        <v>401</v>
      </c>
      <c r="C110" s="117">
        <v>3</v>
      </c>
      <c r="D110" s="117" t="s">
        <v>128</v>
      </c>
      <c r="E110" s="118" t="s">
        <v>321</v>
      </c>
      <c r="F110" s="118" t="s">
        <v>384</v>
      </c>
      <c r="G110" s="118" t="str">
        <f t="shared" si="69"/>
        <v>[effect:enemy_message, val1:1.2, val2:1.2]</v>
      </c>
      <c r="H110" s="118">
        <f t="shared" si="88"/>
        <v>9</v>
      </c>
      <c r="I110" s="118">
        <f t="shared" si="70"/>
        <v>22</v>
      </c>
      <c r="J110" s="118" t="e">
        <f t="shared" si="71"/>
        <v>#VALUE!</v>
      </c>
      <c r="K110" s="118">
        <f t="shared" si="72"/>
        <v>32</v>
      </c>
      <c r="L110" s="118" t="str">
        <f>IFERROR(VLOOKUP(MID(G110,J110,K110-J110),[6]skilldef!$C:$D,2,FALSE),"-") &amp; " / " &amp; IFERROR(VLOOKUP(MID(G110,H110,I110-H110),[6]skilldef!$A:$B,2,FALSE),"-")</f>
        <v>- / -</v>
      </c>
      <c r="M110" s="118" t="str">
        <f t="shared" si="73"/>
        <v>[effect:damage_gravity, val:0.5, animation:fevergauge_down]</v>
      </c>
      <c r="N110" s="116" t="str">
        <f>IFERROR(LEFT(M110,FIND("],",M110)+S121),M110)</f>
        <v>[effect:damage_gravity, val:0.5, animation:fevergauge_down]</v>
      </c>
      <c r="O110" s="118">
        <f t="shared" si="89"/>
        <v>9</v>
      </c>
      <c r="P110" s="118">
        <f t="shared" si="75"/>
        <v>23</v>
      </c>
      <c r="Q110" s="118" t="e">
        <f t="shared" si="76"/>
        <v>#VALUE!</v>
      </c>
      <c r="R110" s="118">
        <f t="shared" si="77"/>
        <v>32</v>
      </c>
      <c r="S110" s="118" t="str">
        <f>IFERROR(VLOOKUP(MID(N110,Q110,R110-Q110),[6]skilldef!$C:$D,2,FALSE),"-") &amp; " / " &amp; IFERROR(VLOOKUP(MID(N110,O110,P110-O110),[6]skilldef!$A:$B,2,FALSE),"-")</f>
        <v>- / 割合ダメージ</v>
      </c>
      <c r="T110" s="116" t="str">
        <f t="shared" si="78"/>
        <v>none</v>
      </c>
      <c r="U110" s="118" t="e">
        <f t="shared" si="90"/>
        <v>#VALUE!</v>
      </c>
      <c r="V110" s="118">
        <f t="shared" si="79"/>
        <v>4</v>
      </c>
      <c r="W110" s="118" t="e">
        <f t="shared" si="80"/>
        <v>#VALUE!</v>
      </c>
      <c r="X110" s="118" t="e">
        <f t="shared" si="81"/>
        <v>#VALUE!</v>
      </c>
      <c r="Y110" s="118" t="str">
        <f>IFERROR(VLOOKUP(MID(T110,W110,X110-W110),[6]skilldef!$C:$D,2,FALSE),"-") &amp; " / " &amp; IFERROR(VLOOKUP(MID(T110,U110,V110-U110),[6]skilldef!$A:$B,2,FALSE),"-")</f>
        <v>- / -</v>
      </c>
      <c r="Z110" s="117"/>
      <c r="AA110" s="119"/>
      <c r="AB110" s="117"/>
      <c r="AC110" s="120">
        <f t="shared" si="91"/>
        <v>4</v>
      </c>
      <c r="AD110" s="120">
        <f t="shared" si="92"/>
        <v>13</v>
      </c>
    </row>
    <row r="111" spans="1:30" s="120" customFormat="1" ht="21" customHeight="1" x14ac:dyDescent="0.15">
      <c r="A111" s="116">
        <v>47014222</v>
      </c>
      <c r="B111" s="116" t="s">
        <v>402</v>
      </c>
      <c r="C111" s="117">
        <v>3</v>
      </c>
      <c r="D111" s="117" t="s">
        <v>128</v>
      </c>
      <c r="E111" s="118" t="s">
        <v>321</v>
      </c>
      <c r="F111" s="118" t="s">
        <v>384</v>
      </c>
      <c r="G111" s="118" t="str">
        <f t="shared" si="69"/>
        <v>[effect:enemy_message, val1:1.2, val2:1.2]</v>
      </c>
      <c r="H111" s="118">
        <f t="shared" si="88"/>
        <v>9</v>
      </c>
      <c r="I111" s="118">
        <f t="shared" si="70"/>
        <v>22</v>
      </c>
      <c r="J111" s="118" t="e">
        <f t="shared" si="71"/>
        <v>#VALUE!</v>
      </c>
      <c r="K111" s="118">
        <f t="shared" si="72"/>
        <v>32</v>
      </c>
      <c r="L111" s="118" t="str">
        <f>IFERROR(VLOOKUP(MID(G111,J111,K111-J111),[6]skilldef!$C:$D,2,FALSE),"-") &amp; " / " &amp; IFERROR(VLOOKUP(MID(G111,H111,I111-H111),[6]skilldef!$A:$B,2,FALSE),"-")</f>
        <v>- / -</v>
      </c>
      <c r="M111" s="118" t="str">
        <f t="shared" si="73"/>
        <v>[effect:damage_gravity, val:0.5, animation:fevergauge_down]</v>
      </c>
      <c r="N111" s="116" t="str">
        <f>IFERROR(LEFT(M111,FIND("],",M111)+S122),M111)</f>
        <v>[effect:damage_gravity, val:0.5, animation:fevergauge_down]</v>
      </c>
      <c r="O111" s="118">
        <f t="shared" si="89"/>
        <v>9</v>
      </c>
      <c r="P111" s="118">
        <f t="shared" si="75"/>
        <v>23</v>
      </c>
      <c r="Q111" s="118" t="e">
        <f t="shared" si="76"/>
        <v>#VALUE!</v>
      </c>
      <c r="R111" s="118">
        <f t="shared" si="77"/>
        <v>32</v>
      </c>
      <c r="S111" s="118" t="str">
        <f>IFERROR(VLOOKUP(MID(N111,Q111,R111-Q111),[6]skilldef!$C:$D,2,FALSE),"-") &amp; " / " &amp; IFERROR(VLOOKUP(MID(N111,O111,P111-O111),[6]skilldef!$A:$B,2,FALSE),"-")</f>
        <v>- / 割合ダメージ</v>
      </c>
      <c r="T111" s="116" t="str">
        <f t="shared" si="78"/>
        <v>none</v>
      </c>
      <c r="U111" s="118" t="e">
        <f t="shared" si="90"/>
        <v>#VALUE!</v>
      </c>
      <c r="V111" s="118">
        <f t="shared" si="79"/>
        <v>4</v>
      </c>
      <c r="W111" s="118" t="e">
        <f t="shared" si="80"/>
        <v>#VALUE!</v>
      </c>
      <c r="X111" s="118" t="e">
        <f t="shared" si="81"/>
        <v>#VALUE!</v>
      </c>
      <c r="Y111" s="118" t="str">
        <f>IFERROR(VLOOKUP(MID(T111,W111,X111-W111),[6]skilldef!$C:$D,2,FALSE),"-") &amp; " / " &amp; IFERROR(VLOOKUP(MID(T111,U111,V111-U111),[6]skilldef!$A:$B,2,FALSE),"-")</f>
        <v>- / -</v>
      </c>
      <c r="Z111" s="117"/>
      <c r="AA111" s="119"/>
      <c r="AB111" s="117"/>
      <c r="AC111" s="120">
        <f t="shared" si="91"/>
        <v>4</v>
      </c>
      <c r="AD111" s="120">
        <f t="shared" si="92"/>
        <v>13</v>
      </c>
    </row>
    <row r="112" spans="1:30" s="120" customFormat="1" ht="21" customHeight="1" x14ac:dyDescent="0.15">
      <c r="A112" s="116">
        <v>47014237</v>
      </c>
      <c r="B112" s="116" t="s">
        <v>430</v>
      </c>
      <c r="C112" s="117">
        <v>3</v>
      </c>
      <c r="D112" s="117" t="s">
        <v>128</v>
      </c>
      <c r="E112" s="118" t="s">
        <v>325</v>
      </c>
      <c r="F112" s="118" t="s">
        <v>403</v>
      </c>
      <c r="G112" s="118" t="str">
        <f t="shared" si="69"/>
        <v>[effect:enemy_message, val1:1.2, val2:1.4]</v>
      </c>
      <c r="H112" s="118">
        <f t="shared" si="88"/>
        <v>9</v>
      </c>
      <c r="I112" s="118">
        <f t="shared" si="70"/>
        <v>22</v>
      </c>
      <c r="J112" s="118" t="e">
        <f t="shared" si="71"/>
        <v>#VALUE!</v>
      </c>
      <c r="K112" s="118">
        <f t="shared" si="72"/>
        <v>32</v>
      </c>
      <c r="L112" s="118" t="str">
        <f>IFERROR(VLOOKUP(MID(G112,J112,K112-J112),[6]skilldef!$C:$D,2,FALSE),"-") &amp; " / " &amp; IFERROR(VLOOKUP(MID(G112,H112,I112-H112),[6]skilldef!$A:$B,2,FALSE),"-")</f>
        <v>- / -</v>
      </c>
      <c r="M112" s="118" t="str">
        <f t="shared" si="73"/>
        <v>[effect:force_change_block, new_block:jammer, target:block_heart, count:5, val:0, animation:change_block]</v>
      </c>
      <c r="N112" s="116" t="str">
        <f>IFERROR(LEFT(M112,FIND("],",M112)+S123),M112)</f>
        <v>[effect:force_change_block, new_block:jammer, target:block_heart, count:5, val:0, animation:change_block]</v>
      </c>
      <c r="O112" s="118">
        <f t="shared" si="89"/>
        <v>9</v>
      </c>
      <c r="P112" s="118">
        <f t="shared" si="75"/>
        <v>27</v>
      </c>
      <c r="Q112" s="118">
        <f t="shared" si="76"/>
        <v>54</v>
      </c>
      <c r="R112" s="118">
        <f t="shared" si="77"/>
        <v>45</v>
      </c>
      <c r="S112" s="118" t="str">
        <f>IFERROR(VLOOKUP(MID(N112,Q112,R112-Q112),[6]skilldef!$C:$D,2,FALSE),"-") &amp; " / " &amp; IFERROR(VLOOKUP(MID(N112,O112,P112-O112),[6]skilldef!$A:$B,2,FALSE),"-")</f>
        <v>- / -</v>
      </c>
      <c r="T112" s="116" t="str">
        <f t="shared" si="78"/>
        <v>none</v>
      </c>
      <c r="U112" s="118" t="e">
        <f t="shared" si="90"/>
        <v>#VALUE!</v>
      </c>
      <c r="V112" s="118">
        <f t="shared" si="79"/>
        <v>4</v>
      </c>
      <c r="W112" s="118" t="e">
        <f t="shared" si="80"/>
        <v>#VALUE!</v>
      </c>
      <c r="X112" s="118" t="e">
        <f t="shared" si="81"/>
        <v>#VALUE!</v>
      </c>
      <c r="Y112" s="118" t="str">
        <f>IFERROR(VLOOKUP(MID(T112,W112,X112-W112),[6]skilldef!$C:$D,2,FALSE),"-") &amp; " / " &amp; IFERROR(VLOOKUP(MID(T112,U112,V112-U112),[6]skilldef!$A:$B,2,FALSE),"-")</f>
        <v>- / -</v>
      </c>
      <c r="Z112" s="117"/>
      <c r="AA112" s="119"/>
      <c r="AB112" s="117"/>
      <c r="AC112" s="120">
        <f t="shared" si="91"/>
        <v>7</v>
      </c>
      <c r="AD112" s="120">
        <f t="shared" si="92"/>
        <v>18</v>
      </c>
    </row>
    <row r="113" spans="1:30" ht="21" customHeight="1" x14ac:dyDescent="0.15">
      <c r="A113" s="46">
        <v>47014270</v>
      </c>
      <c r="B113" s="46" t="s">
        <v>396</v>
      </c>
      <c r="C113" s="49">
        <v>3</v>
      </c>
      <c r="D113" s="49" t="s">
        <v>128</v>
      </c>
      <c r="E113" s="50" t="s">
        <v>340</v>
      </c>
      <c r="F113" s="113" t="s">
        <v>420</v>
      </c>
      <c r="G113" s="62" t="str">
        <f t="shared" si="69"/>
        <v>[effect:enemy_message, val1:1.2, val2:2.6]</v>
      </c>
      <c r="H113" s="62">
        <f t="shared" si="88"/>
        <v>9</v>
      </c>
      <c r="I113" s="62">
        <f t="shared" si="70"/>
        <v>22</v>
      </c>
      <c r="J113" s="62" t="e">
        <f t="shared" si="71"/>
        <v>#VALUE!</v>
      </c>
      <c r="K113" s="62">
        <f t="shared" si="72"/>
        <v>32</v>
      </c>
      <c r="L113" s="62" t="str">
        <f>IFERROR(VLOOKUP(MID(G113,J113,K113-J113),[6]skilldef!$C:$D,2,FALSE),"-") &amp; " / " &amp; IFERROR(VLOOKUP(MID(G113,H113,I113-H113),[6]skilldef!$A:$B,2,FALSE),"-")</f>
        <v>- / -</v>
      </c>
      <c r="M113" s="62" t="str">
        <f t="shared" si="73"/>
        <v>[effect:tolerance, target:myself, turn:-1, count:-1, tolerance_effect:all, animation:enemy_tolerance],[effect:fix_speed, target:myself, turn:1]</v>
      </c>
      <c r="N113" s="47" t="str">
        <f>IFERROR(LEFT(M113,FIND("],",M113)+S124),M113)</f>
        <v>[effect:tolerance, target:myself, turn:-1, count:-1, tolerance_effect:all, animation:enemy_tolerance]</v>
      </c>
      <c r="O113" s="62">
        <f t="shared" si="89"/>
        <v>9</v>
      </c>
      <c r="P113" s="62">
        <f t="shared" si="75"/>
        <v>18</v>
      </c>
      <c r="Q113" s="62">
        <f t="shared" si="76"/>
        <v>27</v>
      </c>
      <c r="R113" s="62">
        <f t="shared" si="77"/>
        <v>33</v>
      </c>
      <c r="S113" s="62" t="str">
        <f>IFERROR(VLOOKUP(MID(N113,Q113,R113-Q113),[6]skilldef!$C:$D,2,FALSE),"-") &amp; " / " &amp; IFERROR(VLOOKUP(MID(N113,O113,P113-O113),[6]skilldef!$A:$B,2,FALSE),"-")</f>
        <v>自分自身に / 状態異常耐性</v>
      </c>
      <c r="T113" s="47" t="str">
        <f t="shared" si="78"/>
        <v>[effect:fix_speed, target:myself, turn:1]</v>
      </c>
      <c r="U113" s="62">
        <f t="shared" si="90"/>
        <v>9</v>
      </c>
      <c r="V113" s="62">
        <f t="shared" si="79"/>
        <v>18</v>
      </c>
      <c r="W113" s="62">
        <f t="shared" si="80"/>
        <v>27</v>
      </c>
      <c r="X113" s="62">
        <f t="shared" si="81"/>
        <v>33</v>
      </c>
      <c r="Y113" s="62" t="str">
        <f>IFERROR(VLOOKUP(MID(T113,W113,X113-W113),[6]skilldef!$C:$D,2,FALSE),"-") &amp; " / " &amp; IFERROR(VLOOKUP(MID(T113,U113,V113-U113),[6]skilldef!$A:$B,2,FALSE),"-")</f>
        <v>自分自身に / 行動値設定</v>
      </c>
      <c r="Z113" s="49"/>
      <c r="AA113" s="51"/>
      <c r="AB113" s="49"/>
      <c r="AC113" s="48">
        <f t="shared" si="91"/>
        <v>12</v>
      </c>
      <c r="AD113" s="48">
        <f t="shared" si="92"/>
        <v>26</v>
      </c>
    </row>
    <row r="114" spans="1:30" s="120" customFormat="1" ht="21" customHeight="1" x14ac:dyDescent="0.15">
      <c r="A114" s="116">
        <v>47014275</v>
      </c>
      <c r="B114" s="116" t="s">
        <v>395</v>
      </c>
      <c r="C114" s="117">
        <v>3</v>
      </c>
      <c r="D114" s="117" t="s">
        <v>128</v>
      </c>
      <c r="E114" s="118" t="s">
        <v>371</v>
      </c>
      <c r="F114" s="118" t="s">
        <v>394</v>
      </c>
      <c r="G114" s="118" t="str">
        <f t="shared" ref="G114:G115" si="93">IFERROR(LEFT(B114,FIND("],",B114)),B114)</f>
        <v>[effect:enemy_message, val1:1.7, val2:1.6]</v>
      </c>
      <c r="H114" s="118">
        <f t="shared" ref="H114:H115" si="94">FIND("effect:",G114)+7</f>
        <v>9</v>
      </c>
      <c r="I114" s="118">
        <f t="shared" ref="I114:I115" si="95">IFERROR(FIND(",",G114),LEN(G114))</f>
        <v>22</v>
      </c>
      <c r="J114" s="118" t="e">
        <f t="shared" ref="J114:J115" si="96">FIND("target:",G114)+7</f>
        <v>#VALUE!</v>
      </c>
      <c r="K114" s="118">
        <f t="shared" ref="K114:K115" si="97">FIND(",",G114,I114+1)</f>
        <v>32</v>
      </c>
      <c r="L114" s="118" t="str">
        <f>IFERROR(VLOOKUP(MID(G114,J114,K114-J114),[6]skilldef!$C:$D,2,FALSE),"-") &amp; " / " &amp; IFERROR(VLOOKUP(MID(G114,H114,I114-H114),[6]skilldef!$A:$B,2,FALSE),"-")</f>
        <v>- / -</v>
      </c>
      <c r="M114" s="118" t="str">
        <f t="shared" ref="M114:M115" si="98">IFERROR(RIGHT(B114,LEN(B114)-FIND("],",B114)-1),"none")</f>
        <v>none</v>
      </c>
      <c r="N114" s="116" t="str">
        <f t="shared" ref="N114:N115" si="99">IFERROR(LEFT(M114,FIND("],",M114)+S127),M114)</f>
        <v>none</v>
      </c>
      <c r="O114" s="118" t="e">
        <f t="shared" ref="O114:O115" si="100">FIND("effect:",N114)+7</f>
        <v>#VALUE!</v>
      </c>
      <c r="P114" s="118">
        <f t="shared" ref="P114:P115" si="101">IFERROR(FIND(",",N114),LEN(N114))</f>
        <v>4</v>
      </c>
      <c r="Q114" s="118" t="e">
        <f t="shared" ref="Q114:Q115" si="102">FIND("target:",N114)+7</f>
        <v>#VALUE!</v>
      </c>
      <c r="R114" s="118" t="e">
        <f t="shared" ref="R114:R115" si="103">FIND(",",N114,P114+1)</f>
        <v>#VALUE!</v>
      </c>
      <c r="S114" s="118" t="str">
        <f>IFERROR(VLOOKUP(MID(N114,Q114,R114-Q114),[6]skilldef!$C:$D,2,FALSE),"-") &amp; " / " &amp; IFERROR(VLOOKUP(MID(N114,O114,P114-O114),[6]skilldef!$A:$B,2,FALSE),"-")</f>
        <v>- / -</v>
      </c>
      <c r="T114" s="116" t="str">
        <f t="shared" ref="T114:T115" si="104">IFERROR(RIGHT(M114,LEN(M114)-FIND("],",M114)-1),"none")</f>
        <v>none</v>
      </c>
      <c r="U114" s="118" t="e">
        <f t="shared" ref="U114:U115" si="105">FIND("effect:",T114)+7</f>
        <v>#VALUE!</v>
      </c>
      <c r="V114" s="118">
        <f t="shared" ref="V114:V115" si="106">IFERROR(FIND(",",T114),LEN(T114))</f>
        <v>4</v>
      </c>
      <c r="W114" s="118" t="e">
        <f t="shared" ref="W114:W115" si="107">FIND("target:",T114)+7</f>
        <v>#VALUE!</v>
      </c>
      <c r="X114" s="118" t="e">
        <f t="shared" ref="X114:X115" si="108">FIND(",",T114,V114+1)</f>
        <v>#VALUE!</v>
      </c>
      <c r="Y114" s="118" t="str">
        <f>IFERROR(VLOOKUP(MID(T114,W114,X114-W114),[6]skilldef!$C:$D,2,FALSE),"-") &amp; " / " &amp; IFERROR(VLOOKUP(MID(T114,U114,V114-U114),[6]skilldef!$A:$B,2,FALSE),"-")</f>
        <v>- / -</v>
      </c>
      <c r="Z114" s="117"/>
      <c r="AA114" s="119"/>
      <c r="AB114" s="117"/>
      <c r="AC114" s="120">
        <f t="shared" ref="AC114:AC115" si="109">LEN(E114)</f>
        <v>17</v>
      </c>
      <c r="AD114" s="120">
        <f t="shared" ref="AD114:AD115" si="110">LEN(F114)</f>
        <v>16</v>
      </c>
    </row>
    <row r="115" spans="1:30" s="120" customFormat="1" ht="21" customHeight="1" x14ac:dyDescent="0.15">
      <c r="A115" s="116">
        <v>47014276</v>
      </c>
      <c r="B115" s="116" t="s">
        <v>286</v>
      </c>
      <c r="C115" s="117">
        <v>3</v>
      </c>
      <c r="D115" s="117" t="s">
        <v>128</v>
      </c>
      <c r="E115" s="118" t="s">
        <v>336</v>
      </c>
      <c r="F115" s="118" t="s">
        <v>389</v>
      </c>
      <c r="G115" s="118" t="str">
        <f t="shared" si="93"/>
        <v>[effect:enemy_message, val1:1.2, val2:1.2]</v>
      </c>
      <c r="H115" s="118">
        <f t="shared" si="94"/>
        <v>9</v>
      </c>
      <c r="I115" s="118">
        <f t="shared" si="95"/>
        <v>22</v>
      </c>
      <c r="J115" s="118" t="e">
        <f t="shared" si="96"/>
        <v>#VALUE!</v>
      </c>
      <c r="K115" s="118">
        <f t="shared" si="97"/>
        <v>32</v>
      </c>
      <c r="L115" s="118" t="str">
        <f>IFERROR(VLOOKUP(MID(G115,J115,K115-J115),[6]skilldef!$C:$D,2,FALSE),"-") &amp; " / " &amp; IFERROR(VLOOKUP(MID(G115,H115,I115-H115),[6]skilldef!$A:$B,2,FALSE),"-")</f>
        <v>- / -</v>
      </c>
      <c r="M115" s="118" t="str">
        <f t="shared" si="98"/>
        <v>[effect:spread, val:2.0],[effect:spread, val:2.0],[effect:spread, val:2.0],[effect:spread, val:2.0],[effect:spread, val:2.0]</v>
      </c>
      <c r="N115" s="116" t="str">
        <f t="shared" si="99"/>
        <v>[effect:spread, val:2.0]</v>
      </c>
      <c r="O115" s="118">
        <f t="shared" si="100"/>
        <v>9</v>
      </c>
      <c r="P115" s="118">
        <f t="shared" si="101"/>
        <v>15</v>
      </c>
      <c r="Q115" s="118" t="e">
        <f t="shared" si="102"/>
        <v>#VALUE!</v>
      </c>
      <c r="R115" s="118" t="e">
        <f t="shared" si="103"/>
        <v>#VALUE!</v>
      </c>
      <c r="S115" s="118" t="str">
        <f>IFERROR(VLOOKUP(MID(N115,Q115,R115-Q115),[6]skilldef!$C:$D,2,FALSE),"-") &amp; " / " &amp; IFERROR(VLOOKUP(MID(N115,O115,P115-O115),[6]skilldef!$A:$B,2,FALSE),"-")</f>
        <v>- / 全体攻撃</v>
      </c>
      <c r="T115" s="116" t="str">
        <f t="shared" si="104"/>
        <v>[effect:spread, val:2.0],[effect:spread, val:2.0],[effect:spread, val:2.0],[effect:spread, val:2.0]</v>
      </c>
      <c r="U115" s="118">
        <f t="shared" si="105"/>
        <v>9</v>
      </c>
      <c r="V115" s="118">
        <f t="shared" si="106"/>
        <v>15</v>
      </c>
      <c r="W115" s="118" t="e">
        <f t="shared" si="107"/>
        <v>#VALUE!</v>
      </c>
      <c r="X115" s="118">
        <f t="shared" si="108"/>
        <v>25</v>
      </c>
      <c r="Y115" s="118" t="str">
        <f>IFERROR(VLOOKUP(MID(T115,W115,X115-W115),[6]skilldef!$C:$D,2,FALSE),"-") &amp; " / " &amp; IFERROR(VLOOKUP(MID(T115,U115,V115-U115),[6]skilldef!$A:$B,2,FALSE),"-")</f>
        <v>- / 全体攻撃</v>
      </c>
      <c r="Z115" s="117"/>
      <c r="AA115" s="119"/>
      <c r="AB115" s="117"/>
      <c r="AC115" s="120">
        <f t="shared" si="109"/>
        <v>10</v>
      </c>
      <c r="AD115" s="120">
        <f t="shared" si="110"/>
        <v>8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14"/>
  <sheetViews>
    <sheetView showGridLines="0" workbookViewId="0">
      <pane ySplit="1" topLeftCell="A103" activePane="bottomLeft" state="frozenSplit"/>
      <selection pane="bottomLeft" activeCell="C106" sqref="C106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47014000</v>
      </c>
      <c r="B2" s="46">
        <v>0</v>
      </c>
      <c r="C2" s="46">
        <v>100</v>
      </c>
      <c r="D2" s="46">
        <v>50</v>
      </c>
      <c r="E2" s="46" t="s">
        <v>264</v>
      </c>
      <c r="F2" s="46" t="s">
        <v>90</v>
      </c>
      <c r="G2" s="46" t="s">
        <v>264</v>
      </c>
      <c r="H2" s="46" t="s">
        <v>90</v>
      </c>
      <c r="I2" s="46" t="s">
        <v>90</v>
      </c>
      <c r="J2" s="47">
        <f t="shared" ref="J2" si="0">D2</f>
        <v>50</v>
      </c>
    </row>
    <row r="3" spans="1:11" ht="21" customHeight="1" x14ac:dyDescent="0.15">
      <c r="A3" s="46">
        <v>47014001</v>
      </c>
      <c r="B3" s="46">
        <v>0</v>
      </c>
      <c r="C3" s="46">
        <v>110</v>
      </c>
      <c r="D3" s="46">
        <v>100</v>
      </c>
      <c r="E3" s="46" t="s">
        <v>264</v>
      </c>
      <c r="F3" s="46" t="s">
        <v>89</v>
      </c>
      <c r="G3" s="46">
        <v>1</v>
      </c>
      <c r="H3" s="46">
        <v>4</v>
      </c>
      <c r="I3" s="46" t="s">
        <v>89</v>
      </c>
      <c r="J3" s="47">
        <f t="shared" ref="J3:J66" si="1">D3</f>
        <v>100</v>
      </c>
    </row>
    <row r="4" spans="1:11" ht="21" customHeight="1" x14ac:dyDescent="0.15">
      <c r="A4" s="46">
        <v>47014002</v>
      </c>
      <c r="B4" s="46">
        <v>1</v>
      </c>
      <c r="C4" s="46">
        <v>120</v>
      </c>
      <c r="D4" s="46">
        <v>100</v>
      </c>
      <c r="E4" s="46" t="s">
        <v>264</v>
      </c>
      <c r="F4" s="46" t="s">
        <v>89</v>
      </c>
      <c r="G4" s="46">
        <v>1</v>
      </c>
      <c r="H4" s="46" t="s">
        <v>89</v>
      </c>
      <c r="I4" s="46">
        <v>1346</v>
      </c>
      <c r="J4" s="47">
        <f t="shared" si="1"/>
        <v>100</v>
      </c>
    </row>
    <row r="5" spans="1:11" ht="21" customHeight="1" x14ac:dyDescent="0.15">
      <c r="A5" s="46">
        <v>47014003</v>
      </c>
      <c r="B5" s="46">
        <v>0</v>
      </c>
      <c r="C5" s="46" t="s">
        <v>89</v>
      </c>
      <c r="D5" s="46">
        <v>100</v>
      </c>
      <c r="E5" s="46" t="s">
        <v>264</v>
      </c>
      <c r="F5" s="46" t="s">
        <v>89</v>
      </c>
      <c r="G5" s="46" t="s">
        <v>264</v>
      </c>
      <c r="H5" s="46" t="s">
        <v>89</v>
      </c>
      <c r="I5" s="46" t="s">
        <v>89</v>
      </c>
      <c r="J5" s="47">
        <f t="shared" si="1"/>
        <v>100</v>
      </c>
    </row>
    <row r="6" spans="1:11" ht="21" customHeight="1" x14ac:dyDescent="0.15">
      <c r="A6" s="46">
        <v>47014004</v>
      </c>
      <c r="B6" s="46">
        <v>0</v>
      </c>
      <c r="C6" s="46" t="s">
        <v>89</v>
      </c>
      <c r="D6" s="46">
        <v>100</v>
      </c>
      <c r="E6" s="46" t="s">
        <v>264</v>
      </c>
      <c r="F6" s="46" t="s">
        <v>89</v>
      </c>
      <c r="G6" s="46" t="s">
        <v>264</v>
      </c>
      <c r="H6" s="46" t="s">
        <v>89</v>
      </c>
      <c r="I6" s="46" t="s">
        <v>89</v>
      </c>
      <c r="J6" s="47">
        <f t="shared" si="1"/>
        <v>100</v>
      </c>
    </row>
    <row r="7" spans="1:11" ht="21" customHeight="1" x14ac:dyDescent="0.15">
      <c r="A7" s="46">
        <v>47014005</v>
      </c>
      <c r="B7" s="46">
        <v>0</v>
      </c>
      <c r="C7" s="46">
        <v>100</v>
      </c>
      <c r="D7" s="46">
        <v>100</v>
      </c>
      <c r="E7" s="46" t="s">
        <v>264</v>
      </c>
      <c r="F7" s="46" t="s">
        <v>89</v>
      </c>
      <c r="G7" s="46" t="s">
        <v>53</v>
      </c>
      <c r="H7" s="46">
        <v>1</v>
      </c>
      <c r="I7" s="46" t="s">
        <v>89</v>
      </c>
      <c r="J7" s="47">
        <f t="shared" si="1"/>
        <v>100</v>
      </c>
    </row>
    <row r="8" spans="1:11" ht="21" customHeight="1" x14ac:dyDescent="0.15">
      <c r="A8" s="46">
        <v>47014006</v>
      </c>
      <c r="B8" s="46">
        <v>0</v>
      </c>
      <c r="C8" s="46">
        <v>110</v>
      </c>
      <c r="D8" s="46">
        <v>100</v>
      </c>
      <c r="E8" s="46" t="s">
        <v>264</v>
      </c>
      <c r="F8" s="46" t="s">
        <v>89</v>
      </c>
      <c r="G8" s="46" t="s">
        <v>264</v>
      </c>
      <c r="H8" s="46">
        <v>3</v>
      </c>
      <c r="I8" s="46" t="s">
        <v>89</v>
      </c>
      <c r="J8" s="47">
        <f t="shared" si="1"/>
        <v>100</v>
      </c>
    </row>
    <row r="9" spans="1:11" ht="21" customHeight="1" x14ac:dyDescent="0.15">
      <c r="A9" s="46">
        <v>47014007</v>
      </c>
      <c r="B9" s="46">
        <v>0</v>
      </c>
      <c r="C9" s="46" t="s">
        <v>89</v>
      </c>
      <c r="D9" s="46">
        <v>100</v>
      </c>
      <c r="E9" s="46" t="s">
        <v>264</v>
      </c>
      <c r="F9" s="46" t="s">
        <v>89</v>
      </c>
      <c r="G9" s="46" t="s">
        <v>264</v>
      </c>
      <c r="H9" s="46" t="s">
        <v>89</v>
      </c>
      <c r="I9" s="46" t="s">
        <v>89</v>
      </c>
      <c r="J9" s="47">
        <f t="shared" si="1"/>
        <v>100</v>
      </c>
    </row>
    <row r="10" spans="1:11" ht="21" customHeight="1" x14ac:dyDescent="0.15">
      <c r="A10" s="46">
        <v>47014008</v>
      </c>
      <c r="B10" s="46">
        <v>0</v>
      </c>
      <c r="C10" s="46" t="s">
        <v>89</v>
      </c>
      <c r="D10" s="46">
        <v>100</v>
      </c>
      <c r="E10" s="46" t="s">
        <v>264</v>
      </c>
      <c r="F10" s="46" t="s">
        <v>89</v>
      </c>
      <c r="G10" s="46" t="s">
        <v>264</v>
      </c>
      <c r="H10" s="46" t="s">
        <v>89</v>
      </c>
      <c r="I10" s="46" t="s">
        <v>89</v>
      </c>
      <c r="J10" s="47">
        <f t="shared" si="1"/>
        <v>100</v>
      </c>
    </row>
    <row r="11" spans="1:11" ht="21" customHeight="1" x14ac:dyDescent="0.15">
      <c r="A11" s="46">
        <v>47014009</v>
      </c>
      <c r="B11" s="46">
        <v>0</v>
      </c>
      <c r="C11" s="46" t="s">
        <v>89</v>
      </c>
      <c r="D11" s="46">
        <v>100</v>
      </c>
      <c r="E11" s="46" t="s">
        <v>264</v>
      </c>
      <c r="F11" s="46" t="s">
        <v>89</v>
      </c>
      <c r="G11" s="46" t="s">
        <v>264</v>
      </c>
      <c r="H11" s="46" t="s">
        <v>89</v>
      </c>
      <c r="I11" s="46" t="s">
        <v>89</v>
      </c>
      <c r="J11" s="47">
        <f t="shared" si="1"/>
        <v>100</v>
      </c>
    </row>
    <row r="12" spans="1:11" ht="21" customHeight="1" x14ac:dyDescent="0.15">
      <c r="A12" s="46">
        <v>47014010</v>
      </c>
      <c r="B12" s="46">
        <v>1</v>
      </c>
      <c r="C12" s="46">
        <v>100</v>
      </c>
      <c r="D12" s="46">
        <v>100</v>
      </c>
      <c r="E12" s="46" t="s">
        <v>264</v>
      </c>
      <c r="F12" s="46" t="s">
        <v>89</v>
      </c>
      <c r="G12" s="46">
        <v>1</v>
      </c>
      <c r="H12" s="46" t="s">
        <v>89</v>
      </c>
      <c r="I12" s="46" t="s">
        <v>89</v>
      </c>
      <c r="J12" s="47">
        <f t="shared" si="1"/>
        <v>100</v>
      </c>
    </row>
    <row r="13" spans="1:11" ht="21" customHeight="1" x14ac:dyDescent="0.15">
      <c r="A13" s="46">
        <v>47014011</v>
      </c>
      <c r="B13" s="46">
        <v>0</v>
      </c>
      <c r="C13" s="46">
        <v>200</v>
      </c>
      <c r="D13" s="46">
        <v>100</v>
      </c>
      <c r="E13" s="46" t="s">
        <v>264</v>
      </c>
      <c r="F13" s="46" t="s">
        <v>89</v>
      </c>
      <c r="G13" s="46">
        <v>1</v>
      </c>
      <c r="H13" s="46">
        <v>1</v>
      </c>
      <c r="I13" s="46" t="s">
        <v>89</v>
      </c>
      <c r="J13" s="47">
        <f t="shared" si="1"/>
        <v>100</v>
      </c>
    </row>
    <row r="14" spans="1:11" ht="21" customHeight="1" x14ac:dyDescent="0.15">
      <c r="A14" s="46">
        <v>47014012</v>
      </c>
      <c r="B14" s="46">
        <v>0</v>
      </c>
      <c r="C14" s="46">
        <v>170</v>
      </c>
      <c r="D14" s="46">
        <v>50</v>
      </c>
      <c r="E14" s="46" t="s">
        <v>264</v>
      </c>
      <c r="F14" s="46" t="s">
        <v>89</v>
      </c>
      <c r="G14" s="46" t="s">
        <v>264</v>
      </c>
      <c r="H14" s="46" t="s">
        <v>89</v>
      </c>
      <c r="I14" s="46" t="s">
        <v>89</v>
      </c>
      <c r="J14" s="47">
        <f t="shared" si="1"/>
        <v>50</v>
      </c>
    </row>
    <row r="15" spans="1:11" ht="21" customHeight="1" x14ac:dyDescent="0.15">
      <c r="A15" s="46">
        <v>47014013</v>
      </c>
      <c r="B15" s="46">
        <v>0</v>
      </c>
      <c r="C15" s="46">
        <v>190</v>
      </c>
      <c r="D15" s="46">
        <v>100</v>
      </c>
      <c r="E15" s="46">
        <v>50</v>
      </c>
      <c r="F15" s="46" t="s">
        <v>89</v>
      </c>
      <c r="G15" s="46">
        <v>1</v>
      </c>
      <c r="H15" s="46" t="s">
        <v>89</v>
      </c>
      <c r="I15" s="46" t="s">
        <v>89</v>
      </c>
      <c r="J15" s="47">
        <f t="shared" si="1"/>
        <v>100</v>
      </c>
    </row>
    <row r="16" spans="1:11" ht="21" customHeight="1" x14ac:dyDescent="0.15">
      <c r="A16" s="46">
        <v>47014014</v>
      </c>
      <c r="B16" s="46">
        <v>0</v>
      </c>
      <c r="C16" s="46">
        <v>180</v>
      </c>
      <c r="D16" s="46">
        <v>100</v>
      </c>
      <c r="E16" s="46">
        <v>50</v>
      </c>
      <c r="F16" s="46" t="s">
        <v>89</v>
      </c>
      <c r="G16" s="46" t="s">
        <v>264</v>
      </c>
      <c r="H16" s="46" t="s">
        <v>89</v>
      </c>
      <c r="I16" s="46" t="s">
        <v>89</v>
      </c>
      <c r="J16" s="47">
        <f t="shared" si="1"/>
        <v>100</v>
      </c>
    </row>
    <row r="17" spans="1:10" ht="21" customHeight="1" x14ac:dyDescent="0.15">
      <c r="A17" s="46">
        <v>47014015</v>
      </c>
      <c r="B17" s="46">
        <v>0</v>
      </c>
      <c r="C17" s="46" t="s">
        <v>89</v>
      </c>
      <c r="D17" s="46">
        <v>100</v>
      </c>
      <c r="E17" s="46" t="s">
        <v>264</v>
      </c>
      <c r="F17" s="46" t="s">
        <v>89</v>
      </c>
      <c r="G17" s="46" t="s">
        <v>264</v>
      </c>
      <c r="H17" s="46" t="s">
        <v>89</v>
      </c>
      <c r="I17" s="46" t="s">
        <v>89</v>
      </c>
      <c r="J17" s="47">
        <f t="shared" si="1"/>
        <v>100</v>
      </c>
    </row>
    <row r="18" spans="1:10" ht="21" customHeight="1" x14ac:dyDescent="0.15">
      <c r="A18" s="46">
        <v>47014016</v>
      </c>
      <c r="B18" s="46">
        <v>0</v>
      </c>
      <c r="C18" s="46" t="s">
        <v>89</v>
      </c>
      <c r="D18" s="46">
        <v>100</v>
      </c>
      <c r="E18" s="46" t="s">
        <v>264</v>
      </c>
      <c r="F18" s="46" t="s">
        <v>89</v>
      </c>
      <c r="G18" s="46" t="s">
        <v>264</v>
      </c>
      <c r="H18" s="46" t="s">
        <v>89</v>
      </c>
      <c r="I18" s="46" t="s">
        <v>89</v>
      </c>
      <c r="J18" s="47">
        <f t="shared" si="1"/>
        <v>100</v>
      </c>
    </row>
    <row r="19" spans="1:10" ht="21" customHeight="1" x14ac:dyDescent="0.15">
      <c r="A19" s="46">
        <v>47014017</v>
      </c>
      <c r="B19" s="46">
        <v>0</v>
      </c>
      <c r="C19" s="46" t="s">
        <v>89</v>
      </c>
      <c r="D19" s="46">
        <v>100</v>
      </c>
      <c r="E19" s="46" t="s">
        <v>264</v>
      </c>
      <c r="F19" s="46" t="s">
        <v>89</v>
      </c>
      <c r="G19" s="46" t="s">
        <v>264</v>
      </c>
      <c r="H19" s="46" t="s">
        <v>89</v>
      </c>
      <c r="I19" s="46" t="s">
        <v>89</v>
      </c>
      <c r="J19" s="47">
        <f t="shared" si="1"/>
        <v>100</v>
      </c>
    </row>
    <row r="20" spans="1:10" ht="21" customHeight="1" x14ac:dyDescent="0.15">
      <c r="A20" s="46">
        <v>47014018</v>
      </c>
      <c r="B20" s="46">
        <v>0</v>
      </c>
      <c r="C20" s="46" t="s">
        <v>89</v>
      </c>
      <c r="D20" s="46">
        <v>100</v>
      </c>
      <c r="E20" s="46" t="s">
        <v>264</v>
      </c>
      <c r="F20" s="46" t="s">
        <v>89</v>
      </c>
      <c r="G20" s="46" t="s">
        <v>264</v>
      </c>
      <c r="H20" s="46" t="s">
        <v>89</v>
      </c>
      <c r="I20" s="46" t="s">
        <v>89</v>
      </c>
      <c r="J20" s="47">
        <f t="shared" si="1"/>
        <v>100</v>
      </c>
    </row>
    <row r="21" spans="1:10" ht="21" customHeight="1" x14ac:dyDescent="0.15">
      <c r="A21" s="46">
        <v>47014019</v>
      </c>
      <c r="B21" s="46">
        <v>0</v>
      </c>
      <c r="C21" s="46" t="s">
        <v>89</v>
      </c>
      <c r="D21" s="46">
        <v>100</v>
      </c>
      <c r="E21" s="46" t="s">
        <v>264</v>
      </c>
      <c r="F21" s="46" t="s">
        <v>89</v>
      </c>
      <c r="G21" s="46" t="s">
        <v>264</v>
      </c>
      <c r="H21" s="46" t="s">
        <v>89</v>
      </c>
      <c r="I21" s="46" t="s">
        <v>89</v>
      </c>
      <c r="J21" s="47">
        <f t="shared" si="1"/>
        <v>100</v>
      </c>
    </row>
    <row r="22" spans="1:10" ht="21" customHeight="1" x14ac:dyDescent="0.15">
      <c r="A22" s="46">
        <v>47014020</v>
      </c>
      <c r="B22" s="46">
        <v>1</v>
      </c>
      <c r="C22" s="46">
        <v>100</v>
      </c>
      <c r="D22" s="46">
        <v>100</v>
      </c>
      <c r="E22" s="46" t="s">
        <v>90</v>
      </c>
      <c r="F22" s="46" t="s">
        <v>89</v>
      </c>
      <c r="G22" s="46">
        <v>1</v>
      </c>
      <c r="H22" s="46" t="s">
        <v>89</v>
      </c>
      <c r="I22" s="46" t="s">
        <v>89</v>
      </c>
      <c r="J22" s="47">
        <f t="shared" si="1"/>
        <v>100</v>
      </c>
    </row>
    <row r="23" spans="1:10" ht="21" customHeight="1" x14ac:dyDescent="0.15">
      <c r="A23" s="46">
        <v>47014021</v>
      </c>
      <c r="B23" s="46">
        <v>0</v>
      </c>
      <c r="C23" s="46">
        <v>200</v>
      </c>
      <c r="D23" s="46">
        <v>100</v>
      </c>
      <c r="E23" s="46" t="s">
        <v>90</v>
      </c>
      <c r="F23" s="46" t="s">
        <v>89</v>
      </c>
      <c r="G23" s="46">
        <v>1</v>
      </c>
      <c r="H23" s="46">
        <v>1</v>
      </c>
      <c r="I23" s="46" t="s">
        <v>89</v>
      </c>
      <c r="J23" s="47">
        <f t="shared" si="1"/>
        <v>100</v>
      </c>
    </row>
    <row r="24" spans="1:10" ht="21" customHeight="1" x14ac:dyDescent="0.15">
      <c r="A24" s="46">
        <v>47014022</v>
      </c>
      <c r="B24" s="46">
        <v>0</v>
      </c>
      <c r="C24" s="46">
        <v>170</v>
      </c>
      <c r="D24" s="46">
        <v>50</v>
      </c>
      <c r="E24" s="46" t="s">
        <v>90</v>
      </c>
      <c r="F24" s="46" t="s">
        <v>89</v>
      </c>
      <c r="G24" s="46" t="s">
        <v>90</v>
      </c>
      <c r="H24" s="46" t="s">
        <v>89</v>
      </c>
      <c r="I24" s="46" t="s">
        <v>89</v>
      </c>
      <c r="J24" s="47">
        <f t="shared" si="1"/>
        <v>50</v>
      </c>
    </row>
    <row r="25" spans="1:10" ht="21" customHeight="1" x14ac:dyDescent="0.15">
      <c r="A25" s="46">
        <v>47014023</v>
      </c>
      <c r="B25" s="46">
        <v>0</v>
      </c>
      <c r="C25" s="46">
        <v>190</v>
      </c>
      <c r="D25" s="46">
        <v>100</v>
      </c>
      <c r="E25" s="46">
        <v>50</v>
      </c>
      <c r="F25" s="46" t="s">
        <v>89</v>
      </c>
      <c r="G25" s="46">
        <v>1</v>
      </c>
      <c r="H25" s="46" t="s">
        <v>89</v>
      </c>
      <c r="I25" s="46" t="s">
        <v>89</v>
      </c>
      <c r="J25" s="47">
        <f t="shared" si="1"/>
        <v>100</v>
      </c>
    </row>
    <row r="26" spans="1:10" ht="21" customHeight="1" x14ac:dyDescent="0.15">
      <c r="A26" s="46">
        <v>47014024</v>
      </c>
      <c r="B26" s="46">
        <v>0</v>
      </c>
      <c r="C26" s="46">
        <v>180</v>
      </c>
      <c r="D26" s="46">
        <v>100</v>
      </c>
      <c r="E26" s="46">
        <v>50</v>
      </c>
      <c r="F26" s="46" t="s">
        <v>89</v>
      </c>
      <c r="G26" s="46" t="s">
        <v>90</v>
      </c>
      <c r="H26" s="46" t="s">
        <v>89</v>
      </c>
      <c r="I26" s="46" t="s">
        <v>89</v>
      </c>
      <c r="J26" s="47">
        <f t="shared" si="1"/>
        <v>100</v>
      </c>
    </row>
    <row r="27" spans="1:10" ht="21" customHeight="1" x14ac:dyDescent="0.15">
      <c r="A27" s="46">
        <v>47014025</v>
      </c>
      <c r="B27" s="46">
        <v>0</v>
      </c>
      <c r="C27" s="46">
        <v>210</v>
      </c>
      <c r="D27" s="46">
        <v>100</v>
      </c>
      <c r="E27" s="46" t="s">
        <v>264</v>
      </c>
      <c r="F27" s="46" t="s">
        <v>89</v>
      </c>
      <c r="G27" s="46">
        <v>1</v>
      </c>
      <c r="H27" s="46">
        <v>5</v>
      </c>
      <c r="I27" s="46" t="s">
        <v>89</v>
      </c>
      <c r="J27" s="47">
        <f t="shared" si="1"/>
        <v>100</v>
      </c>
    </row>
    <row r="28" spans="1:10" ht="21" customHeight="1" x14ac:dyDescent="0.15">
      <c r="A28" s="46">
        <v>47014026</v>
      </c>
      <c r="B28" s="46">
        <v>0</v>
      </c>
      <c r="C28" s="46">
        <v>220</v>
      </c>
      <c r="D28" s="46">
        <v>100</v>
      </c>
      <c r="E28" s="46" t="s">
        <v>264</v>
      </c>
      <c r="F28" s="46" t="s">
        <v>89</v>
      </c>
      <c r="G28" s="46">
        <v>1</v>
      </c>
      <c r="H28" s="46">
        <v>6</v>
      </c>
      <c r="I28" s="46" t="s">
        <v>89</v>
      </c>
      <c r="J28" s="47">
        <f t="shared" si="1"/>
        <v>100</v>
      </c>
    </row>
    <row r="29" spans="1:10" ht="21" customHeight="1" x14ac:dyDescent="0.15">
      <c r="A29" s="46">
        <v>47014027</v>
      </c>
      <c r="B29" s="46">
        <v>0</v>
      </c>
      <c r="C29" s="46">
        <v>210</v>
      </c>
      <c r="D29" s="46">
        <v>100</v>
      </c>
      <c r="E29" s="46" t="s">
        <v>53</v>
      </c>
      <c r="F29" s="46" t="s">
        <v>53</v>
      </c>
      <c r="G29" s="46" t="s">
        <v>53</v>
      </c>
      <c r="H29" s="46">
        <v>7</v>
      </c>
      <c r="I29" s="46" t="s">
        <v>89</v>
      </c>
      <c r="J29" s="47">
        <f t="shared" si="1"/>
        <v>100</v>
      </c>
    </row>
    <row r="30" spans="1:10" ht="21" customHeight="1" x14ac:dyDescent="0.15">
      <c r="A30" s="46">
        <v>47014028</v>
      </c>
      <c r="B30" s="46">
        <v>0</v>
      </c>
      <c r="C30" s="46" t="s">
        <v>89</v>
      </c>
      <c r="D30" s="46">
        <v>100</v>
      </c>
      <c r="E30" s="46" t="s">
        <v>264</v>
      </c>
      <c r="F30" s="46" t="s">
        <v>89</v>
      </c>
      <c r="G30" s="46">
        <v>1</v>
      </c>
      <c r="H30" s="46">
        <v>2</v>
      </c>
      <c r="I30" s="46" t="s">
        <v>89</v>
      </c>
      <c r="J30" s="47">
        <f t="shared" si="1"/>
        <v>100</v>
      </c>
    </row>
    <row r="31" spans="1:10" ht="21" customHeight="1" x14ac:dyDescent="0.15">
      <c r="A31" s="46">
        <v>47014029</v>
      </c>
      <c r="B31" s="46">
        <v>0</v>
      </c>
      <c r="C31" s="46" t="s">
        <v>89</v>
      </c>
      <c r="D31" s="46">
        <v>100</v>
      </c>
      <c r="E31" s="46" t="s">
        <v>264</v>
      </c>
      <c r="F31" s="46" t="s">
        <v>89</v>
      </c>
      <c r="G31" s="46" t="s">
        <v>264</v>
      </c>
      <c r="H31" s="46" t="s">
        <v>89</v>
      </c>
      <c r="I31" s="46" t="s">
        <v>89</v>
      </c>
      <c r="J31" s="47">
        <f t="shared" si="1"/>
        <v>100</v>
      </c>
    </row>
    <row r="32" spans="1:10" ht="21" customHeight="1" x14ac:dyDescent="0.15">
      <c r="A32" s="46">
        <v>47014030</v>
      </c>
      <c r="B32" s="46">
        <v>1</v>
      </c>
      <c r="C32" s="46" t="s">
        <v>89</v>
      </c>
      <c r="D32" s="46">
        <v>100</v>
      </c>
      <c r="E32" s="46" t="s">
        <v>264</v>
      </c>
      <c r="F32" s="46" t="s">
        <v>89</v>
      </c>
      <c r="G32" s="46">
        <v>1</v>
      </c>
      <c r="H32" s="46" t="s">
        <v>89</v>
      </c>
      <c r="I32" s="46" t="s">
        <v>89</v>
      </c>
      <c r="J32" s="47">
        <f t="shared" si="1"/>
        <v>100</v>
      </c>
    </row>
    <row r="33" spans="1:10" ht="21" customHeight="1" x14ac:dyDescent="0.15">
      <c r="A33" s="46">
        <v>47014031</v>
      </c>
      <c r="B33" s="46">
        <v>0</v>
      </c>
      <c r="C33" s="46" t="s">
        <v>89</v>
      </c>
      <c r="D33" s="46">
        <v>100</v>
      </c>
      <c r="E33" s="46" t="s">
        <v>264</v>
      </c>
      <c r="F33" s="46" t="s">
        <v>89</v>
      </c>
      <c r="G33" s="46" t="s">
        <v>264</v>
      </c>
      <c r="H33" s="46" t="s">
        <v>89</v>
      </c>
      <c r="I33" s="46" t="s">
        <v>89</v>
      </c>
      <c r="J33" s="47">
        <f t="shared" si="1"/>
        <v>100</v>
      </c>
    </row>
    <row r="34" spans="1:10" ht="21" customHeight="1" x14ac:dyDescent="0.15">
      <c r="A34" s="46">
        <v>47014032</v>
      </c>
      <c r="B34" s="46">
        <v>0</v>
      </c>
      <c r="C34" s="46" t="s">
        <v>89</v>
      </c>
      <c r="D34" s="46">
        <v>100</v>
      </c>
      <c r="E34" s="46" t="s">
        <v>264</v>
      </c>
      <c r="F34" s="46" t="s">
        <v>89</v>
      </c>
      <c r="G34" s="46" t="s">
        <v>264</v>
      </c>
      <c r="H34" s="46" t="s">
        <v>89</v>
      </c>
      <c r="I34" s="46" t="s">
        <v>89</v>
      </c>
      <c r="J34" s="47">
        <f t="shared" si="1"/>
        <v>100</v>
      </c>
    </row>
    <row r="35" spans="1:10" ht="21" customHeight="1" x14ac:dyDescent="0.15">
      <c r="A35" s="46">
        <v>47014033</v>
      </c>
      <c r="B35" s="46">
        <v>0</v>
      </c>
      <c r="C35" s="46" t="s">
        <v>89</v>
      </c>
      <c r="D35" s="46">
        <v>100</v>
      </c>
      <c r="E35" s="46" t="s">
        <v>264</v>
      </c>
      <c r="F35" s="46" t="s">
        <v>89</v>
      </c>
      <c r="G35" s="46" t="s">
        <v>264</v>
      </c>
      <c r="H35" s="46" t="s">
        <v>89</v>
      </c>
      <c r="I35" s="46" t="s">
        <v>89</v>
      </c>
      <c r="J35" s="47">
        <f t="shared" si="1"/>
        <v>100</v>
      </c>
    </row>
    <row r="36" spans="1:10" ht="21" customHeight="1" x14ac:dyDescent="0.15">
      <c r="A36" s="46">
        <v>47014034</v>
      </c>
      <c r="B36" s="46">
        <v>0</v>
      </c>
      <c r="C36" s="46" t="s">
        <v>89</v>
      </c>
      <c r="D36" s="46">
        <v>100</v>
      </c>
      <c r="E36" s="46" t="s">
        <v>264</v>
      </c>
      <c r="F36" s="46" t="s">
        <v>89</v>
      </c>
      <c r="G36" s="46" t="s">
        <v>264</v>
      </c>
      <c r="H36" s="46" t="s">
        <v>89</v>
      </c>
      <c r="I36" s="46" t="s">
        <v>89</v>
      </c>
      <c r="J36" s="47">
        <f t="shared" si="1"/>
        <v>100</v>
      </c>
    </row>
    <row r="37" spans="1:10" ht="21" customHeight="1" x14ac:dyDescent="0.15">
      <c r="A37" s="46">
        <v>47014035</v>
      </c>
      <c r="B37" s="46">
        <v>1</v>
      </c>
      <c r="C37" s="46" t="s">
        <v>89</v>
      </c>
      <c r="D37" s="46">
        <v>100</v>
      </c>
      <c r="E37" s="46" t="s">
        <v>264</v>
      </c>
      <c r="F37" s="46" t="s">
        <v>89</v>
      </c>
      <c r="G37" s="46">
        <v>1</v>
      </c>
      <c r="H37" s="46" t="s">
        <v>89</v>
      </c>
      <c r="I37" s="46" t="s">
        <v>89</v>
      </c>
      <c r="J37" s="47">
        <f t="shared" si="1"/>
        <v>100</v>
      </c>
    </row>
    <row r="38" spans="1:10" ht="21" customHeight="1" x14ac:dyDescent="0.15">
      <c r="A38" s="46">
        <v>47014036</v>
      </c>
      <c r="B38" s="46">
        <v>0</v>
      </c>
      <c r="C38" s="46">
        <v>170</v>
      </c>
      <c r="D38" s="46">
        <v>100</v>
      </c>
      <c r="E38" s="46" t="s">
        <v>264</v>
      </c>
      <c r="F38" s="46" t="s">
        <v>89</v>
      </c>
      <c r="G38" s="46">
        <v>1</v>
      </c>
      <c r="H38" s="46">
        <v>1</v>
      </c>
      <c r="I38" s="46" t="s">
        <v>89</v>
      </c>
      <c r="J38" s="47">
        <f t="shared" si="1"/>
        <v>100</v>
      </c>
    </row>
    <row r="39" spans="1:10" ht="21" customHeight="1" x14ac:dyDescent="0.15">
      <c r="A39" s="46">
        <v>47014037</v>
      </c>
      <c r="B39" s="46">
        <v>0</v>
      </c>
      <c r="C39" s="46">
        <v>180</v>
      </c>
      <c r="D39" s="46">
        <v>100</v>
      </c>
      <c r="E39" s="46" t="s">
        <v>264</v>
      </c>
      <c r="F39" s="46" t="s">
        <v>89</v>
      </c>
      <c r="G39" s="46" t="s">
        <v>264</v>
      </c>
      <c r="H39" s="46">
        <v>2</v>
      </c>
      <c r="I39" s="46" t="s">
        <v>89</v>
      </c>
      <c r="J39" s="47">
        <f t="shared" si="1"/>
        <v>100</v>
      </c>
    </row>
    <row r="40" spans="1:10" ht="21" customHeight="1" x14ac:dyDescent="0.15">
      <c r="A40" s="46">
        <v>47014038</v>
      </c>
      <c r="B40" s="46">
        <v>0</v>
      </c>
      <c r="C40" s="46">
        <v>190</v>
      </c>
      <c r="D40" s="46">
        <v>100</v>
      </c>
      <c r="E40" s="46">
        <v>50</v>
      </c>
      <c r="F40" s="46" t="s">
        <v>89</v>
      </c>
      <c r="G40" s="46" t="s">
        <v>264</v>
      </c>
      <c r="H40" s="46" t="s">
        <v>264</v>
      </c>
      <c r="I40" s="46" t="s">
        <v>89</v>
      </c>
      <c r="J40" s="47">
        <f t="shared" si="1"/>
        <v>100</v>
      </c>
    </row>
    <row r="41" spans="1:10" ht="21" customHeight="1" x14ac:dyDescent="0.15">
      <c r="A41" s="46">
        <v>47014039</v>
      </c>
      <c r="B41" s="46">
        <v>0</v>
      </c>
      <c r="C41" s="46">
        <v>200</v>
      </c>
      <c r="D41" s="46">
        <v>100</v>
      </c>
      <c r="E41" s="46">
        <v>50</v>
      </c>
      <c r="F41" s="46" t="s">
        <v>89</v>
      </c>
      <c r="G41" s="46">
        <v>1</v>
      </c>
      <c r="H41" s="46" t="s">
        <v>89</v>
      </c>
      <c r="I41" s="46" t="s">
        <v>89</v>
      </c>
      <c r="J41" s="47">
        <f t="shared" si="1"/>
        <v>100</v>
      </c>
    </row>
    <row r="42" spans="1:10" ht="21" customHeight="1" x14ac:dyDescent="0.15">
      <c r="A42" s="46">
        <v>47014040</v>
      </c>
      <c r="B42" s="46">
        <v>0</v>
      </c>
      <c r="C42" s="46" t="s">
        <v>89</v>
      </c>
      <c r="D42" s="46">
        <v>100</v>
      </c>
      <c r="E42" s="46" t="s">
        <v>264</v>
      </c>
      <c r="F42" s="46" t="s">
        <v>89</v>
      </c>
      <c r="G42" s="46" t="s">
        <v>264</v>
      </c>
      <c r="H42" s="46" t="s">
        <v>89</v>
      </c>
      <c r="I42" s="46" t="s">
        <v>89</v>
      </c>
      <c r="J42" s="47">
        <f t="shared" si="1"/>
        <v>100</v>
      </c>
    </row>
    <row r="43" spans="1:10" ht="21" customHeight="1" x14ac:dyDescent="0.15">
      <c r="A43" s="46">
        <v>47014041</v>
      </c>
      <c r="B43" s="46">
        <v>0</v>
      </c>
      <c r="C43" s="46" t="s">
        <v>89</v>
      </c>
      <c r="D43" s="46">
        <v>100</v>
      </c>
      <c r="E43" s="46" t="s">
        <v>264</v>
      </c>
      <c r="F43" s="46" t="s">
        <v>89</v>
      </c>
      <c r="G43" s="46" t="s">
        <v>264</v>
      </c>
      <c r="H43" s="46" t="s">
        <v>89</v>
      </c>
      <c r="I43" s="46" t="s">
        <v>89</v>
      </c>
      <c r="J43" s="47">
        <f t="shared" si="1"/>
        <v>100</v>
      </c>
    </row>
    <row r="44" spans="1:10" ht="21" customHeight="1" x14ac:dyDescent="0.15">
      <c r="A44" s="46">
        <v>47014042</v>
      </c>
      <c r="B44" s="46">
        <v>0</v>
      </c>
      <c r="C44" s="46" t="s">
        <v>89</v>
      </c>
      <c r="D44" s="46">
        <v>100</v>
      </c>
      <c r="E44" s="46" t="s">
        <v>264</v>
      </c>
      <c r="F44" s="46" t="s">
        <v>89</v>
      </c>
      <c r="G44" s="46" t="s">
        <v>264</v>
      </c>
      <c r="H44" s="46" t="s">
        <v>89</v>
      </c>
      <c r="I44" s="46" t="s">
        <v>89</v>
      </c>
      <c r="J44" s="47">
        <f t="shared" si="1"/>
        <v>100</v>
      </c>
    </row>
    <row r="45" spans="1:10" ht="21" customHeight="1" x14ac:dyDescent="0.15">
      <c r="A45" s="46">
        <v>47014043</v>
      </c>
      <c r="B45" s="46">
        <v>0</v>
      </c>
      <c r="C45" s="46" t="s">
        <v>89</v>
      </c>
      <c r="D45" s="46">
        <v>100</v>
      </c>
      <c r="E45" s="46" t="s">
        <v>264</v>
      </c>
      <c r="F45" s="46" t="s">
        <v>89</v>
      </c>
      <c r="G45" s="46" t="s">
        <v>264</v>
      </c>
      <c r="H45" s="46" t="s">
        <v>89</v>
      </c>
      <c r="I45" s="46" t="s">
        <v>89</v>
      </c>
      <c r="J45" s="47">
        <f t="shared" si="1"/>
        <v>100</v>
      </c>
    </row>
    <row r="46" spans="1:10" ht="21" customHeight="1" x14ac:dyDescent="0.15">
      <c r="A46" s="46">
        <v>47014044</v>
      </c>
      <c r="B46" s="46">
        <v>0</v>
      </c>
      <c r="C46" s="46" t="s">
        <v>89</v>
      </c>
      <c r="D46" s="46">
        <v>100</v>
      </c>
      <c r="E46" s="46" t="s">
        <v>264</v>
      </c>
      <c r="F46" s="46" t="s">
        <v>89</v>
      </c>
      <c r="G46" s="46" t="s">
        <v>264</v>
      </c>
      <c r="H46" s="46" t="s">
        <v>89</v>
      </c>
      <c r="I46" s="46" t="s">
        <v>89</v>
      </c>
      <c r="J46" s="47">
        <f t="shared" si="1"/>
        <v>100</v>
      </c>
    </row>
    <row r="47" spans="1:10" ht="21" customHeight="1" x14ac:dyDescent="0.15">
      <c r="A47" s="46">
        <v>47014045</v>
      </c>
      <c r="B47" s="46">
        <v>0</v>
      </c>
      <c r="C47" s="46" t="s">
        <v>89</v>
      </c>
      <c r="D47" s="46">
        <v>80</v>
      </c>
      <c r="E47" s="46" t="s">
        <v>264</v>
      </c>
      <c r="F47" s="46" t="s">
        <v>89</v>
      </c>
      <c r="G47" s="46" t="s">
        <v>264</v>
      </c>
      <c r="H47" s="46" t="s">
        <v>89</v>
      </c>
      <c r="I47" s="46" t="s">
        <v>89</v>
      </c>
      <c r="J47" s="47">
        <f t="shared" si="1"/>
        <v>80</v>
      </c>
    </row>
    <row r="48" spans="1:10" ht="21" customHeight="1" x14ac:dyDescent="0.15">
      <c r="A48" s="46">
        <v>47014046</v>
      </c>
      <c r="B48" s="46">
        <v>0</v>
      </c>
      <c r="C48" s="46" t="s">
        <v>89</v>
      </c>
      <c r="D48" s="46">
        <v>100</v>
      </c>
      <c r="E48" s="46" t="s">
        <v>264</v>
      </c>
      <c r="F48" s="46" t="s">
        <v>89</v>
      </c>
      <c r="G48" s="46" t="s">
        <v>264</v>
      </c>
      <c r="H48" s="46" t="s">
        <v>89</v>
      </c>
      <c r="I48" s="46" t="s">
        <v>89</v>
      </c>
      <c r="J48" s="47">
        <f t="shared" si="1"/>
        <v>100</v>
      </c>
    </row>
    <row r="49" spans="1:10" ht="21" customHeight="1" x14ac:dyDescent="0.15">
      <c r="A49" s="46">
        <v>47014047</v>
      </c>
      <c r="B49" s="46">
        <v>0</v>
      </c>
      <c r="C49" s="46" t="s">
        <v>89</v>
      </c>
      <c r="D49" s="46">
        <v>100</v>
      </c>
      <c r="E49" s="46" t="s">
        <v>264</v>
      </c>
      <c r="F49" s="46" t="s">
        <v>89</v>
      </c>
      <c r="G49" s="46" t="s">
        <v>264</v>
      </c>
      <c r="H49" s="46" t="s">
        <v>89</v>
      </c>
      <c r="I49" s="46" t="s">
        <v>89</v>
      </c>
      <c r="J49" s="47">
        <f t="shared" si="1"/>
        <v>100</v>
      </c>
    </row>
    <row r="50" spans="1:10" ht="21" customHeight="1" x14ac:dyDescent="0.15">
      <c r="A50" s="46">
        <v>47014048</v>
      </c>
      <c r="B50" s="46">
        <v>0</v>
      </c>
      <c r="C50" s="46" t="s">
        <v>89</v>
      </c>
      <c r="D50" s="46">
        <v>100</v>
      </c>
      <c r="E50" s="46" t="s">
        <v>264</v>
      </c>
      <c r="F50" s="46" t="s">
        <v>89</v>
      </c>
      <c r="G50" s="46" t="s">
        <v>264</v>
      </c>
      <c r="H50" s="46" t="s">
        <v>89</v>
      </c>
      <c r="I50" s="46" t="s">
        <v>89</v>
      </c>
      <c r="J50" s="47">
        <f t="shared" si="1"/>
        <v>100</v>
      </c>
    </row>
    <row r="51" spans="1:10" ht="21" customHeight="1" x14ac:dyDescent="0.15">
      <c r="A51" s="46">
        <v>47014049</v>
      </c>
      <c r="B51" s="46">
        <v>0</v>
      </c>
      <c r="C51" s="46" t="s">
        <v>89</v>
      </c>
      <c r="D51" s="46">
        <v>100</v>
      </c>
      <c r="E51" s="46" t="s">
        <v>264</v>
      </c>
      <c r="F51" s="46" t="s">
        <v>89</v>
      </c>
      <c r="G51" s="46" t="s">
        <v>264</v>
      </c>
      <c r="H51" s="46" t="s">
        <v>89</v>
      </c>
      <c r="I51" s="46" t="s">
        <v>89</v>
      </c>
      <c r="J51" s="47">
        <f t="shared" si="1"/>
        <v>100</v>
      </c>
    </row>
    <row r="52" spans="1:10" ht="21" customHeight="1" x14ac:dyDescent="0.15">
      <c r="A52" s="46">
        <v>47014050</v>
      </c>
      <c r="B52" s="46">
        <v>1</v>
      </c>
      <c r="C52" s="46" t="s">
        <v>89</v>
      </c>
      <c r="D52" s="46">
        <v>100</v>
      </c>
      <c r="E52" s="46" t="s">
        <v>264</v>
      </c>
      <c r="F52" s="46" t="s">
        <v>89</v>
      </c>
      <c r="G52" s="46">
        <v>1</v>
      </c>
      <c r="H52" s="46" t="s">
        <v>89</v>
      </c>
      <c r="I52" s="46" t="s">
        <v>89</v>
      </c>
      <c r="J52" s="47">
        <f t="shared" si="1"/>
        <v>100</v>
      </c>
    </row>
    <row r="53" spans="1:10" ht="21" customHeight="1" x14ac:dyDescent="0.15">
      <c r="A53" s="46">
        <v>47014051</v>
      </c>
      <c r="B53" s="46">
        <v>0</v>
      </c>
      <c r="C53" s="46" t="s">
        <v>89</v>
      </c>
      <c r="D53" s="46">
        <v>100</v>
      </c>
      <c r="E53" s="46" t="s">
        <v>264</v>
      </c>
      <c r="F53" s="46" t="s">
        <v>89</v>
      </c>
      <c r="G53" s="46">
        <v>1</v>
      </c>
      <c r="H53" s="46">
        <v>1</v>
      </c>
      <c r="I53" s="46" t="s">
        <v>89</v>
      </c>
      <c r="J53" s="47">
        <f t="shared" si="1"/>
        <v>100</v>
      </c>
    </row>
    <row r="54" spans="1:10" ht="21" customHeight="1" x14ac:dyDescent="0.15">
      <c r="A54" s="46">
        <v>47014052</v>
      </c>
      <c r="B54" s="46">
        <v>0</v>
      </c>
      <c r="C54" s="46" t="s">
        <v>89</v>
      </c>
      <c r="D54" s="46">
        <v>100</v>
      </c>
      <c r="E54" s="46" t="s">
        <v>264</v>
      </c>
      <c r="F54" s="46" t="s">
        <v>89</v>
      </c>
      <c r="G54" s="46">
        <v>1</v>
      </c>
      <c r="H54" s="46">
        <v>2</v>
      </c>
      <c r="I54" s="46" t="s">
        <v>89</v>
      </c>
      <c r="J54" s="47">
        <f t="shared" si="1"/>
        <v>100</v>
      </c>
    </row>
    <row r="55" spans="1:10" ht="21" customHeight="1" x14ac:dyDescent="0.15">
      <c r="A55" s="46">
        <v>47014053</v>
      </c>
      <c r="B55" s="46">
        <v>0</v>
      </c>
      <c r="C55" s="46" t="s">
        <v>89</v>
      </c>
      <c r="D55" s="46">
        <v>100</v>
      </c>
      <c r="E55" s="46" t="s">
        <v>264</v>
      </c>
      <c r="F55" s="46" t="s">
        <v>89</v>
      </c>
      <c r="G55" s="46">
        <v>1</v>
      </c>
      <c r="H55" s="46">
        <v>3</v>
      </c>
      <c r="I55" s="46" t="s">
        <v>89</v>
      </c>
      <c r="J55" s="47">
        <f t="shared" si="1"/>
        <v>100</v>
      </c>
    </row>
    <row r="56" spans="1:10" ht="21" customHeight="1" x14ac:dyDescent="0.15">
      <c r="A56" s="46">
        <v>47014054</v>
      </c>
      <c r="B56" s="46">
        <v>0</v>
      </c>
      <c r="C56" s="46" t="s">
        <v>89</v>
      </c>
      <c r="D56" s="46">
        <v>100</v>
      </c>
      <c r="E56" s="46" t="s">
        <v>264</v>
      </c>
      <c r="F56" s="46" t="s">
        <v>89</v>
      </c>
      <c r="G56" s="46">
        <v>1</v>
      </c>
      <c r="H56" s="46">
        <v>4</v>
      </c>
      <c r="I56" s="46" t="s">
        <v>89</v>
      </c>
      <c r="J56" s="47">
        <f t="shared" si="1"/>
        <v>100</v>
      </c>
    </row>
    <row r="57" spans="1:10" ht="21" customHeight="1" x14ac:dyDescent="0.15">
      <c r="A57" s="46">
        <v>47014055</v>
      </c>
      <c r="B57" s="46">
        <v>0</v>
      </c>
      <c r="C57" s="46" t="s">
        <v>89</v>
      </c>
      <c r="D57" s="46">
        <v>100</v>
      </c>
      <c r="E57" s="46" t="s">
        <v>264</v>
      </c>
      <c r="F57" s="46" t="s">
        <v>89</v>
      </c>
      <c r="G57" s="46">
        <v>1</v>
      </c>
      <c r="H57" s="46">
        <v>5</v>
      </c>
      <c r="I57" s="46" t="s">
        <v>89</v>
      </c>
      <c r="J57" s="47">
        <f t="shared" si="1"/>
        <v>100</v>
      </c>
    </row>
    <row r="58" spans="1:10" ht="21" customHeight="1" x14ac:dyDescent="0.15">
      <c r="A58" s="46">
        <v>47014056</v>
      </c>
      <c r="B58" s="46">
        <v>0</v>
      </c>
      <c r="C58" s="46" t="s">
        <v>89</v>
      </c>
      <c r="D58" s="46">
        <v>100</v>
      </c>
      <c r="E58" s="46" t="s">
        <v>264</v>
      </c>
      <c r="F58" s="46" t="s">
        <v>89</v>
      </c>
      <c r="G58" s="46">
        <v>1</v>
      </c>
      <c r="H58" s="46">
        <v>6</v>
      </c>
      <c r="I58" s="46" t="s">
        <v>89</v>
      </c>
      <c r="J58" s="47">
        <f t="shared" si="1"/>
        <v>100</v>
      </c>
    </row>
    <row r="59" spans="1:10" ht="21" customHeight="1" x14ac:dyDescent="0.15">
      <c r="A59" s="46">
        <v>47014057</v>
      </c>
      <c r="B59" s="46">
        <v>0</v>
      </c>
      <c r="C59" s="46" t="s">
        <v>89</v>
      </c>
      <c r="D59" s="46">
        <v>100</v>
      </c>
      <c r="E59" s="46" t="s">
        <v>264</v>
      </c>
      <c r="F59" s="46" t="s">
        <v>89</v>
      </c>
      <c r="G59" s="46">
        <v>1</v>
      </c>
      <c r="H59" s="46">
        <v>7</v>
      </c>
      <c r="I59" s="46" t="s">
        <v>89</v>
      </c>
      <c r="J59" s="47">
        <f t="shared" si="1"/>
        <v>100</v>
      </c>
    </row>
    <row r="60" spans="1:10" ht="21" customHeight="1" x14ac:dyDescent="0.15">
      <c r="A60" s="46">
        <v>47014058</v>
      </c>
      <c r="B60" s="46">
        <v>0</v>
      </c>
      <c r="C60" s="46" t="s">
        <v>89</v>
      </c>
      <c r="D60" s="46">
        <v>100</v>
      </c>
      <c r="E60" s="46" t="s">
        <v>264</v>
      </c>
      <c r="F60" s="46" t="s">
        <v>89</v>
      </c>
      <c r="G60" s="46" t="s">
        <v>264</v>
      </c>
      <c r="H60" s="46" t="s">
        <v>89</v>
      </c>
      <c r="I60" s="46" t="s">
        <v>89</v>
      </c>
      <c r="J60" s="47">
        <f t="shared" si="1"/>
        <v>100</v>
      </c>
    </row>
    <row r="61" spans="1:10" ht="21" customHeight="1" x14ac:dyDescent="0.15">
      <c r="A61" s="46">
        <v>47014059</v>
      </c>
      <c r="B61" s="46">
        <v>0</v>
      </c>
      <c r="C61" s="46" t="s">
        <v>89</v>
      </c>
      <c r="D61" s="46">
        <v>100</v>
      </c>
      <c r="E61" s="46" t="s">
        <v>264</v>
      </c>
      <c r="F61" s="46" t="s">
        <v>89</v>
      </c>
      <c r="G61" s="46" t="s">
        <v>264</v>
      </c>
      <c r="H61" s="46" t="s">
        <v>89</v>
      </c>
      <c r="I61" s="46" t="s">
        <v>89</v>
      </c>
      <c r="J61" s="47">
        <f t="shared" si="1"/>
        <v>100</v>
      </c>
    </row>
    <row r="62" spans="1:10" ht="21" customHeight="1" x14ac:dyDescent="0.15">
      <c r="A62" s="46">
        <v>47014060</v>
      </c>
      <c r="B62" s="46">
        <v>1</v>
      </c>
      <c r="C62" s="46" t="s">
        <v>89</v>
      </c>
      <c r="D62" s="46">
        <v>100</v>
      </c>
      <c r="E62" s="46" t="s">
        <v>264</v>
      </c>
      <c r="F62" s="46" t="s">
        <v>89</v>
      </c>
      <c r="G62" s="46">
        <v>1</v>
      </c>
      <c r="H62" s="46" t="s">
        <v>89</v>
      </c>
      <c r="I62" s="46" t="s">
        <v>89</v>
      </c>
      <c r="J62" s="47">
        <f t="shared" si="1"/>
        <v>100</v>
      </c>
    </row>
    <row r="63" spans="1:10" ht="21" customHeight="1" x14ac:dyDescent="0.15">
      <c r="A63" s="46">
        <v>47014061</v>
      </c>
      <c r="B63" s="46">
        <v>0</v>
      </c>
      <c r="C63" s="46">
        <v>170</v>
      </c>
      <c r="D63" s="46">
        <v>100</v>
      </c>
      <c r="E63" s="46" t="s">
        <v>264</v>
      </c>
      <c r="F63" s="46" t="s">
        <v>89</v>
      </c>
      <c r="G63" s="46">
        <v>1</v>
      </c>
      <c r="H63" s="46">
        <v>1</v>
      </c>
      <c r="I63" s="46" t="s">
        <v>89</v>
      </c>
      <c r="J63" s="47">
        <f t="shared" si="1"/>
        <v>100</v>
      </c>
    </row>
    <row r="64" spans="1:10" ht="21" customHeight="1" x14ac:dyDescent="0.15">
      <c r="A64" s="46">
        <v>47014062</v>
      </c>
      <c r="B64" s="46">
        <v>0</v>
      </c>
      <c r="C64" s="46">
        <v>160</v>
      </c>
      <c r="D64" s="46">
        <v>50</v>
      </c>
      <c r="E64" s="46" t="s">
        <v>264</v>
      </c>
      <c r="F64" s="46" t="s">
        <v>89</v>
      </c>
      <c r="G64" s="46" t="s">
        <v>264</v>
      </c>
      <c r="H64" s="46" t="s">
        <v>89</v>
      </c>
      <c r="I64" s="46" t="s">
        <v>89</v>
      </c>
      <c r="J64" s="47">
        <f t="shared" si="1"/>
        <v>50</v>
      </c>
    </row>
    <row r="65" spans="1:10" ht="21" customHeight="1" x14ac:dyDescent="0.15">
      <c r="A65" s="46">
        <v>47014063</v>
      </c>
      <c r="B65" s="46">
        <v>0</v>
      </c>
      <c r="C65" s="46">
        <v>180</v>
      </c>
      <c r="D65" s="46">
        <v>100</v>
      </c>
      <c r="E65" s="46">
        <v>60</v>
      </c>
      <c r="F65" s="46" t="s">
        <v>89</v>
      </c>
      <c r="G65" s="46">
        <v>1</v>
      </c>
      <c r="H65" s="46" t="s">
        <v>89</v>
      </c>
      <c r="I65" s="46" t="s">
        <v>89</v>
      </c>
      <c r="J65" s="47">
        <f t="shared" si="1"/>
        <v>100</v>
      </c>
    </row>
    <row r="66" spans="1:10" ht="21" customHeight="1" x14ac:dyDescent="0.15">
      <c r="A66" s="46">
        <v>47014064</v>
      </c>
      <c r="B66" s="46">
        <v>0</v>
      </c>
      <c r="C66" s="46">
        <v>190</v>
      </c>
      <c r="D66" s="46">
        <v>100</v>
      </c>
      <c r="E66" s="46" t="s">
        <v>264</v>
      </c>
      <c r="F66" s="46" t="s">
        <v>89</v>
      </c>
      <c r="G66" s="46">
        <v>1</v>
      </c>
      <c r="H66" s="46">
        <v>6</v>
      </c>
      <c r="I66" s="46" t="s">
        <v>89</v>
      </c>
      <c r="J66" s="47">
        <f t="shared" si="1"/>
        <v>100</v>
      </c>
    </row>
    <row r="67" spans="1:10" ht="21" customHeight="1" x14ac:dyDescent="0.15">
      <c r="A67" s="46">
        <v>47014065</v>
      </c>
      <c r="B67" s="46">
        <v>0</v>
      </c>
      <c r="C67" s="46">
        <v>200</v>
      </c>
      <c r="D67" s="46">
        <v>100</v>
      </c>
      <c r="E67" s="46" t="s">
        <v>264</v>
      </c>
      <c r="F67" s="46" t="s">
        <v>89</v>
      </c>
      <c r="G67" s="46">
        <v>1</v>
      </c>
      <c r="H67" s="46">
        <v>7</v>
      </c>
      <c r="I67" s="46" t="s">
        <v>89</v>
      </c>
      <c r="J67" s="47">
        <f t="shared" ref="J67:J105" si="2">D67</f>
        <v>100</v>
      </c>
    </row>
    <row r="68" spans="1:10" ht="21" customHeight="1" x14ac:dyDescent="0.15">
      <c r="A68" s="46">
        <v>47014066</v>
      </c>
      <c r="B68" s="46">
        <v>0</v>
      </c>
      <c r="C68" s="46">
        <v>200</v>
      </c>
      <c r="D68" s="46">
        <v>100</v>
      </c>
      <c r="E68" s="46" t="s">
        <v>264</v>
      </c>
      <c r="F68" s="46" t="s">
        <v>89</v>
      </c>
      <c r="G68" s="46" t="s">
        <v>264</v>
      </c>
      <c r="H68" s="46">
        <v>7</v>
      </c>
      <c r="I68" s="46" t="s">
        <v>89</v>
      </c>
      <c r="J68" s="47">
        <f t="shared" si="2"/>
        <v>100</v>
      </c>
    </row>
    <row r="69" spans="1:10" ht="21" customHeight="1" x14ac:dyDescent="0.15">
      <c r="A69" s="46">
        <v>47014067</v>
      </c>
      <c r="B69" s="46">
        <v>0</v>
      </c>
      <c r="C69" s="46" t="s">
        <v>89</v>
      </c>
      <c r="D69" s="46">
        <v>100</v>
      </c>
      <c r="E69" s="46" t="s">
        <v>264</v>
      </c>
      <c r="F69" s="46" t="s">
        <v>89</v>
      </c>
      <c r="G69" s="46" t="s">
        <v>264</v>
      </c>
      <c r="H69" s="46" t="s">
        <v>89</v>
      </c>
      <c r="I69" s="46" t="s">
        <v>89</v>
      </c>
      <c r="J69" s="47">
        <f t="shared" si="2"/>
        <v>100</v>
      </c>
    </row>
    <row r="70" spans="1:10" ht="21" customHeight="1" x14ac:dyDescent="0.15">
      <c r="A70" s="46">
        <v>47014068</v>
      </c>
      <c r="B70" s="46">
        <v>0</v>
      </c>
      <c r="C70" s="46" t="s">
        <v>89</v>
      </c>
      <c r="D70" s="46">
        <v>100</v>
      </c>
      <c r="E70" s="46" t="s">
        <v>264</v>
      </c>
      <c r="F70" s="46" t="s">
        <v>89</v>
      </c>
      <c r="G70" s="46" t="s">
        <v>264</v>
      </c>
      <c r="H70" s="46" t="s">
        <v>89</v>
      </c>
      <c r="I70" s="46" t="s">
        <v>89</v>
      </c>
      <c r="J70" s="47">
        <f t="shared" si="2"/>
        <v>100</v>
      </c>
    </row>
    <row r="71" spans="1:10" ht="21" customHeight="1" x14ac:dyDescent="0.15">
      <c r="A71" s="46">
        <v>47014069</v>
      </c>
      <c r="B71" s="46">
        <v>0</v>
      </c>
      <c r="C71" s="46" t="s">
        <v>89</v>
      </c>
      <c r="D71" s="46">
        <v>100</v>
      </c>
      <c r="E71" s="46" t="s">
        <v>264</v>
      </c>
      <c r="F71" s="46" t="s">
        <v>89</v>
      </c>
      <c r="G71" s="46" t="s">
        <v>264</v>
      </c>
      <c r="H71" s="46" t="s">
        <v>89</v>
      </c>
      <c r="I71" s="46" t="s">
        <v>89</v>
      </c>
      <c r="J71" s="47">
        <f t="shared" si="2"/>
        <v>100</v>
      </c>
    </row>
    <row r="72" spans="1:10" ht="21" customHeight="1" x14ac:dyDescent="0.15">
      <c r="A72" s="46">
        <v>47014070</v>
      </c>
      <c r="B72" s="46">
        <v>1</v>
      </c>
      <c r="C72" s="46" t="s">
        <v>89</v>
      </c>
      <c r="D72" s="46">
        <v>100</v>
      </c>
      <c r="E72" s="46" t="s">
        <v>264</v>
      </c>
      <c r="F72" s="46" t="s">
        <v>89</v>
      </c>
      <c r="G72" s="46">
        <v>1</v>
      </c>
      <c r="H72" s="46" t="s">
        <v>89</v>
      </c>
      <c r="I72" s="46" t="s">
        <v>89</v>
      </c>
      <c r="J72" s="47">
        <f t="shared" si="2"/>
        <v>100</v>
      </c>
    </row>
    <row r="73" spans="1:10" ht="21" customHeight="1" x14ac:dyDescent="0.15">
      <c r="A73" s="46">
        <v>47014071</v>
      </c>
      <c r="B73" s="46">
        <v>0</v>
      </c>
      <c r="C73" s="46">
        <v>140</v>
      </c>
      <c r="D73" s="46">
        <v>100</v>
      </c>
      <c r="E73" s="46" t="s">
        <v>264</v>
      </c>
      <c r="F73" s="46" t="s">
        <v>89</v>
      </c>
      <c r="G73" s="46">
        <v>1</v>
      </c>
      <c r="H73" s="46">
        <v>1</v>
      </c>
      <c r="I73" s="46" t="s">
        <v>89</v>
      </c>
      <c r="J73" s="47">
        <f t="shared" si="2"/>
        <v>100</v>
      </c>
    </row>
    <row r="74" spans="1:10" ht="21" customHeight="1" x14ac:dyDescent="0.15">
      <c r="A74" s="46">
        <v>47014072</v>
      </c>
      <c r="B74" s="46">
        <v>0</v>
      </c>
      <c r="C74" s="46">
        <v>130</v>
      </c>
      <c r="D74" s="46">
        <v>100</v>
      </c>
      <c r="E74" s="46" t="s">
        <v>264</v>
      </c>
      <c r="F74" s="46" t="s">
        <v>89</v>
      </c>
      <c r="G74" s="46">
        <v>1</v>
      </c>
      <c r="H74" s="46">
        <v>2</v>
      </c>
      <c r="I74" s="46" t="s">
        <v>89</v>
      </c>
      <c r="J74" s="47">
        <f t="shared" si="2"/>
        <v>100</v>
      </c>
    </row>
    <row r="75" spans="1:10" ht="21" customHeight="1" x14ac:dyDescent="0.15">
      <c r="A75" s="46">
        <v>47014073</v>
      </c>
      <c r="B75" s="46">
        <v>0</v>
      </c>
      <c r="C75" s="46">
        <v>100</v>
      </c>
      <c r="D75" s="46">
        <v>100</v>
      </c>
      <c r="E75" s="46" t="s">
        <v>264</v>
      </c>
      <c r="F75" s="46" t="s">
        <v>89</v>
      </c>
      <c r="G75" s="46" t="s">
        <v>264</v>
      </c>
      <c r="H75" s="46">
        <v>3</v>
      </c>
      <c r="I75" s="46" t="s">
        <v>89</v>
      </c>
      <c r="J75" s="47">
        <f t="shared" si="2"/>
        <v>100</v>
      </c>
    </row>
    <row r="76" spans="1:10" ht="21" customHeight="1" x14ac:dyDescent="0.15">
      <c r="A76" s="46">
        <v>47014074</v>
      </c>
      <c r="B76" s="46">
        <v>0</v>
      </c>
      <c r="C76" s="46">
        <v>90</v>
      </c>
      <c r="D76" s="46">
        <v>50</v>
      </c>
      <c r="E76" s="46" t="s">
        <v>264</v>
      </c>
      <c r="F76" s="46" t="s">
        <v>89</v>
      </c>
      <c r="G76" s="46" t="s">
        <v>264</v>
      </c>
      <c r="H76" s="46" t="s">
        <v>89</v>
      </c>
      <c r="I76" s="46" t="s">
        <v>89</v>
      </c>
      <c r="J76" s="47">
        <f t="shared" si="2"/>
        <v>50</v>
      </c>
    </row>
    <row r="77" spans="1:10" ht="21" customHeight="1" x14ac:dyDescent="0.15">
      <c r="A77" s="46">
        <v>47014075</v>
      </c>
      <c r="B77" s="46">
        <v>0</v>
      </c>
      <c r="C77" s="46">
        <v>120</v>
      </c>
      <c r="D77" s="46">
        <v>100</v>
      </c>
      <c r="E77" s="46">
        <v>40</v>
      </c>
      <c r="F77" s="46" t="s">
        <v>89</v>
      </c>
      <c r="G77" s="46">
        <v>1</v>
      </c>
      <c r="H77" s="46">
        <v>1</v>
      </c>
      <c r="I77" s="46" t="s">
        <v>89</v>
      </c>
      <c r="J77" s="47">
        <f t="shared" si="2"/>
        <v>100</v>
      </c>
    </row>
    <row r="78" spans="1:10" ht="21" customHeight="1" x14ac:dyDescent="0.15">
      <c r="A78" s="46">
        <v>47014076</v>
      </c>
      <c r="B78" s="46">
        <v>0</v>
      </c>
      <c r="C78" s="46">
        <v>110</v>
      </c>
      <c r="D78" s="46">
        <v>100</v>
      </c>
      <c r="E78" s="46">
        <v>40</v>
      </c>
      <c r="F78" s="46" t="s">
        <v>89</v>
      </c>
      <c r="G78" s="46">
        <v>1</v>
      </c>
      <c r="H78" s="46">
        <v>1</v>
      </c>
      <c r="I78" s="46" t="s">
        <v>89</v>
      </c>
      <c r="J78" s="47">
        <f t="shared" si="2"/>
        <v>100</v>
      </c>
    </row>
    <row r="79" spans="1:10" ht="21" customHeight="1" x14ac:dyDescent="0.15">
      <c r="A79" s="46">
        <v>47014077</v>
      </c>
      <c r="B79" s="46">
        <v>0</v>
      </c>
      <c r="C79" s="46" t="s">
        <v>89</v>
      </c>
      <c r="D79" s="46">
        <v>100</v>
      </c>
      <c r="E79" s="46" t="s">
        <v>264</v>
      </c>
      <c r="F79" s="46" t="s">
        <v>89</v>
      </c>
      <c r="G79" s="46">
        <v>0</v>
      </c>
      <c r="H79" s="46" t="s">
        <v>89</v>
      </c>
      <c r="I79" s="46">
        <v>0</v>
      </c>
      <c r="J79" s="47">
        <f t="shared" si="2"/>
        <v>100</v>
      </c>
    </row>
    <row r="80" spans="1:10" ht="21" customHeight="1" x14ac:dyDescent="0.15">
      <c r="A80" s="46">
        <v>47014078</v>
      </c>
      <c r="B80" s="46">
        <v>0</v>
      </c>
      <c r="C80" s="46" t="s">
        <v>89</v>
      </c>
      <c r="D80" s="46">
        <v>100</v>
      </c>
      <c r="E80" s="46" t="s">
        <v>264</v>
      </c>
      <c r="F80" s="46" t="s">
        <v>89</v>
      </c>
      <c r="G80" s="46" t="s">
        <v>264</v>
      </c>
      <c r="H80" s="46" t="s">
        <v>89</v>
      </c>
      <c r="I80" s="46" t="s">
        <v>89</v>
      </c>
      <c r="J80" s="47">
        <f t="shared" si="2"/>
        <v>100</v>
      </c>
    </row>
    <row r="81" spans="1:10" ht="21" customHeight="1" x14ac:dyDescent="0.15">
      <c r="A81" s="46">
        <v>47014079</v>
      </c>
      <c r="B81" s="46">
        <v>0</v>
      </c>
      <c r="C81" s="46" t="s">
        <v>89</v>
      </c>
      <c r="D81" s="46">
        <v>100</v>
      </c>
      <c r="E81" s="46" t="s">
        <v>264</v>
      </c>
      <c r="F81" s="46" t="s">
        <v>89</v>
      </c>
      <c r="G81" s="46" t="s">
        <v>264</v>
      </c>
      <c r="H81" s="46" t="s">
        <v>89</v>
      </c>
      <c r="I81" s="46" t="s">
        <v>89</v>
      </c>
      <c r="J81" s="47">
        <f t="shared" si="2"/>
        <v>100</v>
      </c>
    </row>
    <row r="82" spans="1:10" ht="21" customHeight="1" x14ac:dyDescent="0.15">
      <c r="A82" s="46">
        <v>47014080</v>
      </c>
      <c r="B82" s="46">
        <v>1</v>
      </c>
      <c r="C82" s="46">
        <v>145</v>
      </c>
      <c r="D82" s="46">
        <v>100</v>
      </c>
      <c r="E82" s="46" t="s">
        <v>264</v>
      </c>
      <c r="F82" s="46" t="s">
        <v>89</v>
      </c>
      <c r="G82" s="46">
        <v>1</v>
      </c>
      <c r="H82" s="46" t="s">
        <v>89</v>
      </c>
      <c r="I82" s="46">
        <v>1346</v>
      </c>
      <c r="J82" s="47">
        <f t="shared" si="2"/>
        <v>100</v>
      </c>
    </row>
    <row r="83" spans="1:10" ht="21" customHeight="1" x14ac:dyDescent="0.15">
      <c r="A83" s="46">
        <v>47014081</v>
      </c>
      <c r="B83" s="46">
        <v>1</v>
      </c>
      <c r="C83" s="46">
        <v>144</v>
      </c>
      <c r="D83" s="46">
        <v>100</v>
      </c>
      <c r="E83" s="46" t="s">
        <v>264</v>
      </c>
      <c r="F83" s="46" t="s">
        <v>89</v>
      </c>
      <c r="G83" s="46">
        <v>1</v>
      </c>
      <c r="H83" s="46" t="s">
        <v>89</v>
      </c>
      <c r="I83" s="46">
        <v>79</v>
      </c>
      <c r="J83" s="47">
        <f t="shared" si="2"/>
        <v>100</v>
      </c>
    </row>
    <row r="84" spans="1:10" ht="21" customHeight="1" x14ac:dyDescent="0.15">
      <c r="A84" s="46">
        <v>47014082</v>
      </c>
      <c r="B84" s="46">
        <v>1</v>
      </c>
      <c r="C84" s="46">
        <v>143</v>
      </c>
      <c r="D84" s="46">
        <v>100</v>
      </c>
      <c r="E84" s="46" t="s">
        <v>264</v>
      </c>
      <c r="F84" s="46" t="s">
        <v>89</v>
      </c>
      <c r="G84" s="46">
        <v>1</v>
      </c>
      <c r="H84" s="46" t="s">
        <v>89</v>
      </c>
      <c r="I84" s="46">
        <v>83</v>
      </c>
      <c r="J84" s="47">
        <f t="shared" si="2"/>
        <v>100</v>
      </c>
    </row>
    <row r="85" spans="1:10" ht="21" customHeight="1" x14ac:dyDescent="0.15">
      <c r="A85" s="46">
        <v>47014083</v>
      </c>
      <c r="B85" s="46">
        <v>1</v>
      </c>
      <c r="C85" s="46">
        <v>142</v>
      </c>
      <c r="D85" s="46">
        <v>100</v>
      </c>
      <c r="E85" s="46" t="s">
        <v>264</v>
      </c>
      <c r="F85" s="46" t="s">
        <v>89</v>
      </c>
      <c r="G85" s="46">
        <v>1</v>
      </c>
      <c r="H85" s="46" t="s">
        <v>89</v>
      </c>
      <c r="I85" s="46">
        <v>81</v>
      </c>
      <c r="J85" s="47">
        <f t="shared" si="2"/>
        <v>100</v>
      </c>
    </row>
    <row r="86" spans="1:10" ht="21" customHeight="1" x14ac:dyDescent="0.15">
      <c r="A86" s="46">
        <v>47014084</v>
      </c>
      <c r="B86" s="46">
        <v>1</v>
      </c>
      <c r="C86" s="46">
        <v>141</v>
      </c>
      <c r="D86" s="46">
        <v>100</v>
      </c>
      <c r="E86" s="46" t="s">
        <v>264</v>
      </c>
      <c r="F86" s="46" t="s">
        <v>89</v>
      </c>
      <c r="G86" s="46">
        <v>1</v>
      </c>
      <c r="H86" s="46" t="s">
        <v>89</v>
      </c>
      <c r="I86" s="46">
        <v>77</v>
      </c>
      <c r="J86" s="47">
        <f t="shared" si="2"/>
        <v>100</v>
      </c>
    </row>
    <row r="87" spans="1:10" ht="21" customHeight="1" x14ac:dyDescent="0.15">
      <c r="A87" s="46">
        <v>47014085</v>
      </c>
      <c r="B87" s="46">
        <v>0</v>
      </c>
      <c r="C87" s="46">
        <v>160</v>
      </c>
      <c r="D87" s="46">
        <v>100</v>
      </c>
      <c r="E87" s="46" t="s">
        <v>264</v>
      </c>
      <c r="F87" s="46" t="s">
        <v>89</v>
      </c>
      <c r="G87" s="46">
        <v>0</v>
      </c>
      <c r="H87" s="46" t="s">
        <v>89</v>
      </c>
      <c r="I87" s="46">
        <v>1346</v>
      </c>
      <c r="J87" s="47">
        <f t="shared" si="2"/>
        <v>100</v>
      </c>
    </row>
    <row r="88" spans="1:10" ht="21" customHeight="1" x14ac:dyDescent="0.15">
      <c r="A88" s="46">
        <v>47014086</v>
      </c>
      <c r="B88" s="46">
        <v>0</v>
      </c>
      <c r="C88" s="46">
        <v>159</v>
      </c>
      <c r="D88" s="46">
        <v>100</v>
      </c>
      <c r="E88" s="46" t="s">
        <v>264</v>
      </c>
      <c r="F88" s="46" t="s">
        <v>89</v>
      </c>
      <c r="G88" s="46">
        <v>0</v>
      </c>
      <c r="H88" s="46" t="s">
        <v>89</v>
      </c>
      <c r="I88" s="46">
        <v>1347</v>
      </c>
      <c r="J88" s="47">
        <f t="shared" si="2"/>
        <v>100</v>
      </c>
    </row>
    <row r="89" spans="1:10" ht="21" customHeight="1" x14ac:dyDescent="0.15">
      <c r="A89" s="46">
        <v>47014087</v>
      </c>
      <c r="B89" s="46">
        <v>0</v>
      </c>
      <c r="C89" s="46">
        <v>158</v>
      </c>
      <c r="D89" s="46">
        <v>100</v>
      </c>
      <c r="E89" s="46" t="s">
        <v>264</v>
      </c>
      <c r="F89" s="46" t="s">
        <v>89</v>
      </c>
      <c r="G89" s="46">
        <v>0</v>
      </c>
      <c r="H89" s="46" t="s">
        <v>89</v>
      </c>
      <c r="I89" s="46">
        <v>79</v>
      </c>
      <c r="J89" s="47">
        <f t="shared" si="2"/>
        <v>100</v>
      </c>
    </row>
    <row r="90" spans="1:10" ht="21" customHeight="1" x14ac:dyDescent="0.15">
      <c r="A90" s="46">
        <v>47014088</v>
      </c>
      <c r="B90" s="46">
        <v>0</v>
      </c>
      <c r="C90" s="46">
        <v>157</v>
      </c>
      <c r="D90" s="46">
        <v>100</v>
      </c>
      <c r="E90" s="46" t="s">
        <v>264</v>
      </c>
      <c r="F90" s="46" t="s">
        <v>89</v>
      </c>
      <c r="G90" s="46">
        <v>0</v>
      </c>
      <c r="H90" s="46" t="s">
        <v>89</v>
      </c>
      <c r="I90" s="46">
        <v>80</v>
      </c>
      <c r="J90" s="47">
        <f t="shared" si="2"/>
        <v>100</v>
      </c>
    </row>
    <row r="91" spans="1:10" ht="21" customHeight="1" x14ac:dyDescent="0.15">
      <c r="A91" s="46">
        <v>47014089</v>
      </c>
      <c r="B91" s="46">
        <v>0</v>
      </c>
      <c r="C91" s="46">
        <v>156</v>
      </c>
      <c r="D91" s="46">
        <v>100</v>
      </c>
      <c r="E91" s="46" t="s">
        <v>264</v>
      </c>
      <c r="F91" s="46" t="s">
        <v>89</v>
      </c>
      <c r="G91" s="46">
        <v>0</v>
      </c>
      <c r="H91" s="46" t="s">
        <v>89</v>
      </c>
      <c r="I91" s="46">
        <v>569</v>
      </c>
      <c r="J91" s="47">
        <f t="shared" si="2"/>
        <v>100</v>
      </c>
    </row>
    <row r="92" spans="1:10" ht="21" customHeight="1" x14ac:dyDescent="0.15">
      <c r="A92" s="46">
        <v>47014090</v>
      </c>
      <c r="B92" s="46">
        <v>0</v>
      </c>
      <c r="C92" s="46">
        <v>155</v>
      </c>
      <c r="D92" s="46">
        <v>100</v>
      </c>
      <c r="E92" s="46" t="s">
        <v>264</v>
      </c>
      <c r="F92" s="46" t="s">
        <v>89</v>
      </c>
      <c r="G92" s="46">
        <v>0</v>
      </c>
      <c r="H92" s="46" t="s">
        <v>89</v>
      </c>
      <c r="I92" s="46">
        <v>570</v>
      </c>
      <c r="J92" s="47">
        <f t="shared" si="2"/>
        <v>100</v>
      </c>
    </row>
    <row r="93" spans="1:10" ht="21" customHeight="1" x14ac:dyDescent="0.15">
      <c r="A93" s="46">
        <v>47014091</v>
      </c>
      <c r="B93" s="46">
        <v>0</v>
      </c>
      <c r="C93" s="46">
        <v>154</v>
      </c>
      <c r="D93" s="46">
        <v>100</v>
      </c>
      <c r="E93" s="46" t="s">
        <v>264</v>
      </c>
      <c r="F93" s="46" t="s">
        <v>89</v>
      </c>
      <c r="G93" s="46">
        <v>0</v>
      </c>
      <c r="H93" s="46" t="s">
        <v>89</v>
      </c>
      <c r="I93" s="46">
        <v>83</v>
      </c>
      <c r="J93" s="47">
        <f t="shared" si="2"/>
        <v>100</v>
      </c>
    </row>
    <row r="94" spans="1:10" ht="21" customHeight="1" x14ac:dyDescent="0.15">
      <c r="A94" s="46">
        <v>47014092</v>
      </c>
      <c r="B94" s="46">
        <v>0</v>
      </c>
      <c r="C94" s="46">
        <v>153</v>
      </c>
      <c r="D94" s="46">
        <v>100</v>
      </c>
      <c r="E94" s="46" t="s">
        <v>264</v>
      </c>
      <c r="F94" s="46" t="s">
        <v>89</v>
      </c>
      <c r="G94" s="46">
        <v>0</v>
      </c>
      <c r="H94" s="46" t="s">
        <v>89</v>
      </c>
      <c r="I94" s="46">
        <v>84</v>
      </c>
      <c r="J94" s="47">
        <f t="shared" si="2"/>
        <v>100</v>
      </c>
    </row>
    <row r="95" spans="1:10" ht="21" customHeight="1" x14ac:dyDescent="0.15">
      <c r="A95" s="46">
        <v>47014093</v>
      </c>
      <c r="B95" s="46">
        <v>0</v>
      </c>
      <c r="C95" s="46">
        <v>152</v>
      </c>
      <c r="D95" s="46">
        <v>100</v>
      </c>
      <c r="E95" s="46" t="s">
        <v>264</v>
      </c>
      <c r="F95" s="46" t="s">
        <v>89</v>
      </c>
      <c r="G95" s="46">
        <v>0</v>
      </c>
      <c r="H95" s="46" t="s">
        <v>89</v>
      </c>
      <c r="I95" s="46">
        <v>1422</v>
      </c>
      <c r="J95" s="47">
        <f t="shared" si="2"/>
        <v>100</v>
      </c>
    </row>
    <row r="96" spans="1:10" ht="21" customHeight="1" x14ac:dyDescent="0.15">
      <c r="A96" s="46">
        <v>47014094</v>
      </c>
      <c r="B96" s="46">
        <v>0</v>
      </c>
      <c r="C96" s="46">
        <v>150</v>
      </c>
      <c r="D96" s="46">
        <v>100</v>
      </c>
      <c r="E96" s="46" t="s">
        <v>264</v>
      </c>
      <c r="F96" s="46" t="s">
        <v>89</v>
      </c>
      <c r="G96" s="46">
        <v>0</v>
      </c>
      <c r="H96" s="46" t="s">
        <v>89</v>
      </c>
      <c r="I96" s="46">
        <v>1423</v>
      </c>
      <c r="J96" s="47">
        <f t="shared" si="2"/>
        <v>100</v>
      </c>
    </row>
    <row r="97" spans="1:10" ht="21" customHeight="1" x14ac:dyDescent="0.15">
      <c r="A97" s="46">
        <v>47014095</v>
      </c>
      <c r="B97" s="46">
        <v>0</v>
      </c>
      <c r="C97" s="46">
        <v>149</v>
      </c>
      <c r="D97" s="46">
        <v>100</v>
      </c>
      <c r="E97" s="46" t="s">
        <v>264</v>
      </c>
      <c r="F97" s="46" t="s">
        <v>89</v>
      </c>
      <c r="G97" s="46">
        <v>0</v>
      </c>
      <c r="H97" s="46" t="s">
        <v>89</v>
      </c>
      <c r="I97" s="46">
        <v>81</v>
      </c>
      <c r="J97" s="47">
        <f t="shared" si="2"/>
        <v>100</v>
      </c>
    </row>
    <row r="98" spans="1:10" ht="21" customHeight="1" x14ac:dyDescent="0.15">
      <c r="A98" s="46">
        <v>47014096</v>
      </c>
      <c r="B98" s="46">
        <v>0</v>
      </c>
      <c r="C98" s="46">
        <v>148</v>
      </c>
      <c r="D98" s="46">
        <v>100</v>
      </c>
      <c r="E98" s="46" t="s">
        <v>264</v>
      </c>
      <c r="F98" s="46" t="s">
        <v>89</v>
      </c>
      <c r="G98" s="46">
        <v>0</v>
      </c>
      <c r="H98" s="46" t="s">
        <v>89</v>
      </c>
      <c r="I98" s="46">
        <v>82</v>
      </c>
      <c r="J98" s="47">
        <f t="shared" si="2"/>
        <v>100</v>
      </c>
    </row>
    <row r="99" spans="1:10" ht="21" customHeight="1" x14ac:dyDescent="0.15">
      <c r="A99" s="46">
        <v>47014097</v>
      </c>
      <c r="B99" s="46">
        <v>0</v>
      </c>
      <c r="C99" s="46">
        <v>147</v>
      </c>
      <c r="D99" s="46">
        <v>100</v>
      </c>
      <c r="E99" s="46" t="s">
        <v>264</v>
      </c>
      <c r="F99" s="46" t="s">
        <v>89</v>
      </c>
      <c r="G99" s="46">
        <v>0</v>
      </c>
      <c r="H99" s="46" t="s">
        <v>89</v>
      </c>
      <c r="I99" s="46">
        <v>1420</v>
      </c>
      <c r="J99" s="47">
        <f t="shared" si="2"/>
        <v>100</v>
      </c>
    </row>
    <row r="100" spans="1:10" ht="21" customHeight="1" x14ac:dyDescent="0.15">
      <c r="A100" s="46">
        <v>47014098</v>
      </c>
      <c r="B100" s="46">
        <v>0</v>
      </c>
      <c r="C100" s="46">
        <v>146</v>
      </c>
      <c r="D100" s="46">
        <v>100</v>
      </c>
      <c r="E100" s="46" t="s">
        <v>264</v>
      </c>
      <c r="F100" s="46" t="s">
        <v>89</v>
      </c>
      <c r="G100" s="46">
        <v>0</v>
      </c>
      <c r="H100" s="46" t="s">
        <v>89</v>
      </c>
      <c r="I100" s="46">
        <v>1421</v>
      </c>
      <c r="J100" s="47">
        <f t="shared" si="2"/>
        <v>100</v>
      </c>
    </row>
    <row r="101" spans="1:10" ht="21" customHeight="1" x14ac:dyDescent="0.15">
      <c r="A101" s="46">
        <v>47014099</v>
      </c>
      <c r="B101" s="46">
        <v>0</v>
      </c>
      <c r="C101" s="46">
        <v>145</v>
      </c>
      <c r="D101" s="46">
        <v>100</v>
      </c>
      <c r="E101" s="46" t="s">
        <v>264</v>
      </c>
      <c r="F101" s="46" t="s">
        <v>89</v>
      </c>
      <c r="G101" s="46">
        <v>0</v>
      </c>
      <c r="H101" s="46" t="s">
        <v>89</v>
      </c>
      <c r="I101" s="46">
        <v>77</v>
      </c>
      <c r="J101" s="47">
        <f t="shared" si="2"/>
        <v>100</v>
      </c>
    </row>
    <row r="102" spans="1:10" ht="21" customHeight="1" x14ac:dyDescent="0.15">
      <c r="A102" s="46">
        <v>47014100</v>
      </c>
      <c r="B102" s="46">
        <v>0</v>
      </c>
      <c r="C102" s="46">
        <v>144</v>
      </c>
      <c r="D102" s="46">
        <v>100</v>
      </c>
      <c r="E102" s="46" t="s">
        <v>264</v>
      </c>
      <c r="F102" s="46" t="s">
        <v>89</v>
      </c>
      <c r="G102" s="46">
        <v>0</v>
      </c>
      <c r="H102" s="46" t="s">
        <v>89</v>
      </c>
      <c r="I102" s="46">
        <v>78</v>
      </c>
      <c r="J102" s="47">
        <f t="shared" si="2"/>
        <v>100</v>
      </c>
    </row>
    <row r="103" spans="1:10" ht="21" customHeight="1" x14ac:dyDescent="0.15">
      <c r="A103" s="46">
        <v>47014101</v>
      </c>
      <c r="B103" s="46">
        <v>0</v>
      </c>
      <c r="C103" s="46">
        <v>143</v>
      </c>
      <c r="D103" s="46">
        <v>100</v>
      </c>
      <c r="E103" s="46" t="s">
        <v>264</v>
      </c>
      <c r="F103" s="46" t="s">
        <v>89</v>
      </c>
      <c r="G103" s="46">
        <v>0</v>
      </c>
      <c r="H103" s="46" t="s">
        <v>89</v>
      </c>
      <c r="I103" s="46">
        <v>1418</v>
      </c>
      <c r="J103" s="47">
        <f t="shared" si="2"/>
        <v>100</v>
      </c>
    </row>
    <row r="104" spans="1:10" ht="21" customHeight="1" x14ac:dyDescent="0.15">
      <c r="A104" s="46">
        <v>47014102</v>
      </c>
      <c r="B104" s="46">
        <v>0</v>
      </c>
      <c r="C104" s="46">
        <v>142</v>
      </c>
      <c r="D104" s="46">
        <v>100</v>
      </c>
      <c r="E104" s="46" t="s">
        <v>264</v>
      </c>
      <c r="F104" s="46" t="s">
        <v>89</v>
      </c>
      <c r="G104" s="46">
        <v>0</v>
      </c>
      <c r="H104" s="46" t="s">
        <v>89</v>
      </c>
      <c r="I104" s="46">
        <v>1419</v>
      </c>
      <c r="J104" s="47">
        <f t="shared" si="2"/>
        <v>100</v>
      </c>
    </row>
    <row r="105" spans="1:10" ht="21" customHeight="1" x14ac:dyDescent="0.15">
      <c r="A105" s="123">
        <v>47014103</v>
      </c>
      <c r="B105" s="123">
        <v>1</v>
      </c>
      <c r="C105" s="123">
        <v>146</v>
      </c>
      <c r="D105" s="123">
        <v>100</v>
      </c>
      <c r="E105" s="123" t="s">
        <v>53</v>
      </c>
      <c r="F105" s="123" t="s">
        <v>53</v>
      </c>
      <c r="G105" s="123">
        <v>1</v>
      </c>
      <c r="H105" s="123" t="s">
        <v>53</v>
      </c>
      <c r="I105" s="123">
        <v>1347</v>
      </c>
      <c r="J105" s="47">
        <f t="shared" si="2"/>
        <v>100</v>
      </c>
    </row>
    <row r="106" spans="1:10" ht="21" customHeight="1" x14ac:dyDescent="0.15">
      <c r="A106" s="122">
        <v>47014137</v>
      </c>
      <c r="B106" s="122">
        <v>0</v>
      </c>
      <c r="C106" s="122">
        <v>180</v>
      </c>
      <c r="D106" s="122">
        <v>100</v>
      </c>
      <c r="E106" s="122" t="s">
        <v>53</v>
      </c>
      <c r="F106" s="122" t="s">
        <v>89</v>
      </c>
      <c r="G106" s="122" t="s">
        <v>53</v>
      </c>
      <c r="H106" s="122">
        <v>2</v>
      </c>
      <c r="I106" s="122" t="s">
        <v>89</v>
      </c>
      <c r="J106" s="47">
        <f t="shared" ref="J106:J114" si="3">D106</f>
        <v>100</v>
      </c>
    </row>
    <row r="107" spans="1:10" ht="21" customHeight="1" x14ac:dyDescent="0.15">
      <c r="A107" s="122">
        <v>47014175</v>
      </c>
      <c r="B107" s="122">
        <v>0</v>
      </c>
      <c r="C107" s="122">
        <v>120</v>
      </c>
      <c r="D107" s="122">
        <v>100</v>
      </c>
      <c r="E107" s="122">
        <v>35</v>
      </c>
      <c r="F107" s="122" t="s">
        <v>89</v>
      </c>
      <c r="G107" s="122">
        <v>1</v>
      </c>
      <c r="H107" s="122">
        <v>1</v>
      </c>
      <c r="I107" s="122" t="s">
        <v>89</v>
      </c>
      <c r="J107" s="47">
        <f t="shared" si="3"/>
        <v>100</v>
      </c>
    </row>
    <row r="108" spans="1:10" ht="21" customHeight="1" x14ac:dyDescent="0.15">
      <c r="A108" s="122">
        <v>47014176</v>
      </c>
      <c r="B108" s="122">
        <v>0</v>
      </c>
      <c r="C108" s="122">
        <v>110</v>
      </c>
      <c r="D108" s="122">
        <v>100</v>
      </c>
      <c r="E108" s="122">
        <v>35</v>
      </c>
      <c r="F108" s="122" t="s">
        <v>89</v>
      </c>
      <c r="G108" s="122">
        <v>1</v>
      </c>
      <c r="H108" s="122">
        <v>1</v>
      </c>
      <c r="I108" s="122" t="s">
        <v>89</v>
      </c>
      <c r="J108" s="47">
        <f t="shared" si="3"/>
        <v>100</v>
      </c>
    </row>
    <row r="109" spans="1:10" ht="21" customHeight="1" x14ac:dyDescent="0.15">
      <c r="A109" s="121">
        <v>47014205</v>
      </c>
      <c r="B109" s="121">
        <v>0</v>
      </c>
      <c r="C109" s="121">
        <v>100</v>
      </c>
      <c r="D109" s="121">
        <v>100</v>
      </c>
      <c r="E109" s="121" t="s">
        <v>53</v>
      </c>
      <c r="F109" s="121" t="s">
        <v>89</v>
      </c>
      <c r="G109" s="121" t="s">
        <v>53</v>
      </c>
      <c r="H109" s="121">
        <v>1</v>
      </c>
      <c r="I109" s="121" t="s">
        <v>89</v>
      </c>
      <c r="J109" s="47">
        <f t="shared" si="3"/>
        <v>100</v>
      </c>
    </row>
    <row r="110" spans="1:10" ht="21" customHeight="1" x14ac:dyDescent="0.15">
      <c r="A110" s="121">
        <v>47014212</v>
      </c>
      <c r="B110" s="121">
        <v>0</v>
      </c>
      <c r="C110" s="121">
        <v>170</v>
      </c>
      <c r="D110" s="121">
        <v>50</v>
      </c>
      <c r="E110" s="121" t="s">
        <v>53</v>
      </c>
      <c r="F110" s="121" t="s">
        <v>89</v>
      </c>
      <c r="G110" s="121" t="s">
        <v>53</v>
      </c>
      <c r="H110" s="121" t="s">
        <v>89</v>
      </c>
      <c r="I110" s="121" t="s">
        <v>89</v>
      </c>
      <c r="J110" s="47">
        <f t="shared" si="3"/>
        <v>50</v>
      </c>
    </row>
    <row r="111" spans="1:10" ht="21" customHeight="1" x14ac:dyDescent="0.15">
      <c r="A111" s="121">
        <v>47014222</v>
      </c>
      <c r="B111" s="121">
        <v>0</v>
      </c>
      <c r="C111" s="121">
        <v>170</v>
      </c>
      <c r="D111" s="121">
        <v>50</v>
      </c>
      <c r="E111" s="121" t="s">
        <v>90</v>
      </c>
      <c r="F111" s="121" t="s">
        <v>89</v>
      </c>
      <c r="G111" s="121" t="s">
        <v>90</v>
      </c>
      <c r="H111" s="121" t="s">
        <v>89</v>
      </c>
      <c r="I111" s="121" t="s">
        <v>89</v>
      </c>
      <c r="J111" s="47">
        <f t="shared" si="3"/>
        <v>50</v>
      </c>
    </row>
    <row r="112" spans="1:10" ht="21" customHeight="1" x14ac:dyDescent="0.15">
      <c r="A112" s="121">
        <v>47014237</v>
      </c>
      <c r="B112" s="121">
        <v>0</v>
      </c>
      <c r="C112" s="121">
        <v>180</v>
      </c>
      <c r="D112" s="121">
        <v>100</v>
      </c>
      <c r="E112" s="121" t="s">
        <v>53</v>
      </c>
      <c r="F112" s="121" t="s">
        <v>89</v>
      </c>
      <c r="G112" s="121" t="s">
        <v>53</v>
      </c>
      <c r="H112" s="121">
        <v>2</v>
      </c>
      <c r="I112" s="121" t="s">
        <v>89</v>
      </c>
      <c r="J112" s="47">
        <f t="shared" si="3"/>
        <v>100</v>
      </c>
    </row>
    <row r="113" spans="1:10" ht="21" customHeight="1" x14ac:dyDescent="0.15">
      <c r="A113" s="121">
        <v>47014275</v>
      </c>
      <c r="B113" s="121">
        <v>0</v>
      </c>
      <c r="C113" s="121">
        <v>120</v>
      </c>
      <c r="D113" s="121">
        <v>100</v>
      </c>
      <c r="E113" s="121">
        <v>30</v>
      </c>
      <c r="F113" s="121" t="s">
        <v>89</v>
      </c>
      <c r="G113" s="121">
        <v>1</v>
      </c>
      <c r="H113" s="121">
        <v>1</v>
      </c>
      <c r="I113" s="121" t="s">
        <v>89</v>
      </c>
      <c r="J113" s="47">
        <f t="shared" si="3"/>
        <v>100</v>
      </c>
    </row>
    <row r="114" spans="1:10" ht="21" customHeight="1" x14ac:dyDescent="0.15">
      <c r="A114" s="121">
        <v>47014276</v>
      </c>
      <c r="B114" s="121">
        <v>0</v>
      </c>
      <c r="C114" s="121">
        <v>110</v>
      </c>
      <c r="D114" s="121">
        <v>100</v>
      </c>
      <c r="E114" s="121">
        <v>30</v>
      </c>
      <c r="F114" s="121" t="s">
        <v>89</v>
      </c>
      <c r="G114" s="121">
        <v>1</v>
      </c>
      <c r="H114" s="121">
        <v>1</v>
      </c>
      <c r="I114" s="121" t="s">
        <v>89</v>
      </c>
      <c r="J114" s="47">
        <f t="shared" si="3"/>
        <v>100</v>
      </c>
    </row>
  </sheetData>
  <autoFilter ref="A1:G1"/>
  <phoneticPr fontId="5"/>
  <conditionalFormatting sqref="K106:K1048576 K1:K2">
    <cfRule type="duplicateValues" dxfId="1" priority="2"/>
  </conditionalFormatting>
  <conditionalFormatting sqref="K3:K105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9"/>
  <sheetViews>
    <sheetView workbookViewId="0">
      <selection activeCell="J31" sqref="J3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1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7">
        <v>47014</v>
      </c>
      <c r="B2" s="56">
        <v>1</v>
      </c>
      <c r="C2" s="70" t="str">
        <f>A2&amp; "_"&amp;B2</f>
        <v>47014_1</v>
      </c>
      <c r="D2" s="10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169</v>
      </c>
      <c r="G2" s="56">
        <v>5000</v>
      </c>
      <c r="H2" s="56" t="s">
        <v>170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300</v>
      </c>
      <c r="Q2" s="56" t="s">
        <v>171</v>
      </c>
      <c r="R2" s="56" t="s">
        <v>172</v>
      </c>
    </row>
    <row r="3" spans="1:18" x14ac:dyDescent="0.15">
      <c r="A3" s="7">
        <v>47014</v>
      </c>
      <c r="B3" s="56">
        <v>1</v>
      </c>
      <c r="C3" s="70" t="str">
        <f t="shared" ref="C3:C12" si="0">A3&amp; "_"&amp;B3</f>
        <v>47014_1</v>
      </c>
      <c r="D3" s="10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360</v>
      </c>
      <c r="G3" s="56">
        <v>25</v>
      </c>
      <c r="H3" s="56" t="s">
        <v>89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200</v>
      </c>
      <c r="Q3" s="56" t="s">
        <v>171</v>
      </c>
      <c r="R3" s="56" t="s">
        <v>172</v>
      </c>
    </row>
    <row r="4" spans="1:18" x14ac:dyDescent="0.15">
      <c r="A4" s="7">
        <v>47014</v>
      </c>
      <c r="B4" s="56">
        <v>1</v>
      </c>
      <c r="C4" s="70" t="str">
        <f t="shared" si="0"/>
        <v>47014_1</v>
      </c>
      <c r="D4" s="10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361</v>
      </c>
      <c r="G4" s="56">
        <v>1342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50</v>
      </c>
      <c r="Q4" s="56" t="s">
        <v>171</v>
      </c>
      <c r="R4" s="56" t="s">
        <v>172</v>
      </c>
    </row>
    <row r="5" spans="1:18" x14ac:dyDescent="0.15">
      <c r="A5" s="7">
        <v>47014</v>
      </c>
      <c r="B5" s="56">
        <v>1</v>
      </c>
      <c r="C5" s="70" t="str">
        <f t="shared" si="0"/>
        <v>47014_1</v>
      </c>
      <c r="D5" s="10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361</v>
      </c>
      <c r="G5" s="56">
        <v>332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56</v>
      </c>
      <c r="Q5" s="56" t="s">
        <v>171</v>
      </c>
      <c r="R5" s="56" t="s">
        <v>172</v>
      </c>
    </row>
    <row r="6" spans="1:18" x14ac:dyDescent="0.15">
      <c r="A6" s="7">
        <v>47014</v>
      </c>
      <c r="B6" s="56">
        <v>1</v>
      </c>
      <c r="C6" s="70" t="str">
        <f t="shared" si="0"/>
        <v>47014_1</v>
      </c>
      <c r="D6" s="10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361</v>
      </c>
      <c r="G6" s="56">
        <v>333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56</v>
      </c>
      <c r="Q6" s="56" t="s">
        <v>171</v>
      </c>
      <c r="R6" s="56" t="s">
        <v>172</v>
      </c>
    </row>
    <row r="7" spans="1:18" x14ac:dyDescent="0.15">
      <c r="A7" s="7">
        <v>47014</v>
      </c>
      <c r="B7" s="56">
        <v>1</v>
      </c>
      <c r="C7" s="70" t="str">
        <f t="shared" si="0"/>
        <v>47014_1</v>
      </c>
      <c r="D7" s="10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361</v>
      </c>
      <c r="G7" s="56">
        <v>334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28</v>
      </c>
      <c r="Q7" s="56" t="s">
        <v>171</v>
      </c>
      <c r="R7" s="56" t="s">
        <v>172</v>
      </c>
    </row>
    <row r="8" spans="1:18" x14ac:dyDescent="0.15">
      <c r="A8" s="7">
        <v>47014</v>
      </c>
      <c r="B8" s="56">
        <v>1</v>
      </c>
      <c r="C8" s="70" t="str">
        <f t="shared" si="0"/>
        <v>47014_1</v>
      </c>
      <c r="D8" s="10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361</v>
      </c>
      <c r="G8" s="56">
        <v>348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150</v>
      </c>
      <c r="Q8" s="56" t="s">
        <v>171</v>
      </c>
      <c r="R8" s="56" t="s">
        <v>172</v>
      </c>
    </row>
    <row r="9" spans="1:18" x14ac:dyDescent="0.15">
      <c r="A9" s="7">
        <v>47014</v>
      </c>
      <c r="B9" s="56">
        <v>1</v>
      </c>
      <c r="C9" s="70" t="str">
        <f t="shared" si="0"/>
        <v>47014_1</v>
      </c>
      <c r="D9" s="10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361</v>
      </c>
      <c r="G9" s="56">
        <v>121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50</v>
      </c>
      <c r="Q9" s="56" t="s">
        <v>171</v>
      </c>
      <c r="R9" s="56" t="s">
        <v>172</v>
      </c>
    </row>
    <row r="10" spans="1:18" x14ac:dyDescent="0.15">
      <c r="A10" s="7">
        <v>47014</v>
      </c>
      <c r="B10" s="56">
        <v>1</v>
      </c>
      <c r="C10" s="70" t="str">
        <f t="shared" si="0"/>
        <v>47014_1</v>
      </c>
      <c r="D10" s="10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361</v>
      </c>
      <c r="G10" s="56">
        <v>122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50</v>
      </c>
      <c r="Q10" s="56" t="s">
        <v>171</v>
      </c>
      <c r="R10" s="56" t="s">
        <v>172</v>
      </c>
    </row>
    <row r="11" spans="1:18" x14ac:dyDescent="0.15">
      <c r="A11" s="7">
        <v>47014</v>
      </c>
      <c r="B11" s="56">
        <v>1</v>
      </c>
      <c r="C11" s="70" t="str">
        <f t="shared" si="0"/>
        <v>47014_1</v>
      </c>
      <c r="D11" s="10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6">
        <v>10</v>
      </c>
      <c r="F11" s="56" t="s">
        <v>361</v>
      </c>
      <c r="G11" s="56">
        <v>123</v>
      </c>
      <c r="H11" s="56">
        <v>1</v>
      </c>
      <c r="I11" s="56">
        <v>1</v>
      </c>
      <c r="J11" s="56">
        <v>1</v>
      </c>
      <c r="K11" s="56">
        <v>0</v>
      </c>
      <c r="L11" s="56">
        <v>0</v>
      </c>
      <c r="M11" s="56">
        <v>0</v>
      </c>
      <c r="N11" s="56">
        <v>0</v>
      </c>
      <c r="O11" s="56">
        <v>1</v>
      </c>
      <c r="P11" s="56">
        <v>50</v>
      </c>
      <c r="Q11" s="56" t="s">
        <v>171</v>
      </c>
      <c r="R11" s="56" t="s">
        <v>172</v>
      </c>
    </row>
    <row r="12" spans="1:18" x14ac:dyDescent="0.15">
      <c r="A12" s="7">
        <v>47014</v>
      </c>
      <c r="B12" s="56">
        <v>1</v>
      </c>
      <c r="C12" s="70" t="str">
        <f t="shared" si="0"/>
        <v>47014_1</v>
      </c>
      <c r="D12" s="10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6">
        <v>11</v>
      </c>
      <c r="F12" s="56" t="s">
        <v>361</v>
      </c>
      <c r="G12" s="56">
        <v>125</v>
      </c>
      <c r="H12" s="56">
        <v>1</v>
      </c>
      <c r="I12" s="56">
        <v>1</v>
      </c>
      <c r="J12" s="56">
        <v>1</v>
      </c>
      <c r="K12" s="56">
        <v>0</v>
      </c>
      <c r="L12" s="56">
        <v>0</v>
      </c>
      <c r="M12" s="56">
        <v>0</v>
      </c>
      <c r="N12" s="56">
        <v>0</v>
      </c>
      <c r="O12" s="56">
        <v>1</v>
      </c>
      <c r="P12" s="56">
        <v>10</v>
      </c>
      <c r="Q12" s="56" t="s">
        <v>171</v>
      </c>
      <c r="R12" s="56" t="s">
        <v>172</v>
      </c>
    </row>
    <row r="13" spans="1:18" x14ac:dyDescent="0.15">
      <c r="A13" s="7">
        <v>47014</v>
      </c>
      <c r="B13" s="56">
        <v>2</v>
      </c>
      <c r="C13" s="70" t="str">
        <f>A13&amp; "_"&amp;B13</f>
        <v>47014_2</v>
      </c>
      <c r="D13" s="10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12</v>
      </c>
      <c r="F13" s="56" t="s">
        <v>169</v>
      </c>
      <c r="G13" s="56">
        <v>40000</v>
      </c>
      <c r="H13" s="56" t="s">
        <v>89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150</v>
      </c>
      <c r="Q13" s="56" t="s">
        <v>171</v>
      </c>
      <c r="R13" s="56" t="s">
        <v>172</v>
      </c>
    </row>
    <row r="14" spans="1:18" x14ac:dyDescent="0.15">
      <c r="A14" s="7">
        <v>47014</v>
      </c>
      <c r="B14" s="56">
        <v>2</v>
      </c>
      <c r="C14" s="70" t="str">
        <f t="shared" ref="C14:C22" si="1">A14&amp; "_"&amp;B14</f>
        <v>47014_2</v>
      </c>
      <c r="D14" s="10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13</v>
      </c>
      <c r="F14" s="56" t="s">
        <v>360</v>
      </c>
      <c r="G14" s="56">
        <v>30</v>
      </c>
      <c r="H14" s="56" t="s">
        <v>89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150</v>
      </c>
      <c r="Q14" s="56" t="s">
        <v>171</v>
      </c>
      <c r="R14" s="56" t="s">
        <v>172</v>
      </c>
    </row>
    <row r="15" spans="1:18" x14ac:dyDescent="0.15">
      <c r="A15" s="7">
        <v>47014</v>
      </c>
      <c r="B15" s="56">
        <v>2</v>
      </c>
      <c r="C15" s="70" t="str">
        <f t="shared" si="1"/>
        <v>47014_2</v>
      </c>
      <c r="D15" s="10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14</v>
      </c>
      <c r="F15" s="56" t="s">
        <v>361</v>
      </c>
      <c r="G15" s="56">
        <v>1342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100</v>
      </c>
      <c r="Q15" s="56" t="s">
        <v>171</v>
      </c>
      <c r="R15" s="56" t="s">
        <v>172</v>
      </c>
    </row>
    <row r="16" spans="1:18" x14ac:dyDescent="0.15">
      <c r="A16" s="7">
        <v>47014</v>
      </c>
      <c r="B16" s="56">
        <v>2</v>
      </c>
      <c r="C16" s="70" t="str">
        <f t="shared" si="1"/>
        <v>47014_2</v>
      </c>
      <c r="D16" s="10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6">
        <v>15</v>
      </c>
      <c r="F16" s="56" t="s">
        <v>361</v>
      </c>
      <c r="G16" s="56">
        <v>333</v>
      </c>
      <c r="H16" s="56">
        <v>1</v>
      </c>
      <c r="I16" s="56">
        <v>1</v>
      </c>
      <c r="J16" s="56">
        <v>1</v>
      </c>
      <c r="K16" s="56">
        <v>0</v>
      </c>
      <c r="L16" s="56">
        <v>0</v>
      </c>
      <c r="M16" s="56">
        <v>0</v>
      </c>
      <c r="N16" s="56">
        <v>0</v>
      </c>
      <c r="O16" s="56">
        <v>1</v>
      </c>
      <c r="P16" s="56">
        <v>28</v>
      </c>
      <c r="Q16" s="56" t="s">
        <v>171</v>
      </c>
      <c r="R16" s="56" t="s">
        <v>172</v>
      </c>
    </row>
    <row r="17" spans="1:18" x14ac:dyDescent="0.15">
      <c r="A17" s="7">
        <v>47014</v>
      </c>
      <c r="B17" s="56">
        <v>2</v>
      </c>
      <c r="C17" s="70" t="str">
        <f t="shared" si="1"/>
        <v>47014_2</v>
      </c>
      <c r="D17" s="10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6">
        <v>16</v>
      </c>
      <c r="F17" s="56" t="s">
        <v>361</v>
      </c>
      <c r="G17" s="56">
        <v>334</v>
      </c>
      <c r="H17" s="56">
        <v>1</v>
      </c>
      <c r="I17" s="56">
        <v>1</v>
      </c>
      <c r="J17" s="56">
        <v>1</v>
      </c>
      <c r="K17" s="56">
        <v>0</v>
      </c>
      <c r="L17" s="56">
        <v>0</v>
      </c>
      <c r="M17" s="56">
        <v>0</v>
      </c>
      <c r="N17" s="56">
        <v>0</v>
      </c>
      <c r="O17" s="56">
        <v>1</v>
      </c>
      <c r="P17" s="56">
        <v>82</v>
      </c>
      <c r="Q17" s="56" t="s">
        <v>171</v>
      </c>
      <c r="R17" s="56" t="s">
        <v>172</v>
      </c>
    </row>
    <row r="18" spans="1:18" x14ac:dyDescent="0.15">
      <c r="A18" s="7">
        <v>47014</v>
      </c>
      <c r="B18" s="56">
        <v>2</v>
      </c>
      <c r="C18" s="70" t="str">
        <f t="shared" si="1"/>
        <v>47014_2</v>
      </c>
      <c r="D18" s="10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6">
        <v>17</v>
      </c>
      <c r="F18" s="56" t="s">
        <v>361</v>
      </c>
      <c r="G18" s="56">
        <v>348</v>
      </c>
      <c r="H18" s="56">
        <v>1</v>
      </c>
      <c r="I18" s="56">
        <v>1</v>
      </c>
      <c r="J18" s="56">
        <v>1</v>
      </c>
      <c r="K18" s="56">
        <v>0</v>
      </c>
      <c r="L18" s="56">
        <v>0</v>
      </c>
      <c r="M18" s="56">
        <v>0</v>
      </c>
      <c r="N18" s="56">
        <v>0</v>
      </c>
      <c r="O18" s="56">
        <v>1</v>
      </c>
      <c r="P18" s="56">
        <v>100</v>
      </c>
      <c r="Q18" s="56" t="s">
        <v>171</v>
      </c>
      <c r="R18" s="56" t="s">
        <v>172</v>
      </c>
    </row>
    <row r="19" spans="1:18" x14ac:dyDescent="0.15">
      <c r="A19" s="7">
        <v>47014</v>
      </c>
      <c r="B19" s="56">
        <v>2</v>
      </c>
      <c r="C19" s="70" t="str">
        <f t="shared" si="1"/>
        <v>47014_2</v>
      </c>
      <c r="D19" s="10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6">
        <v>18</v>
      </c>
      <c r="F19" s="56" t="s">
        <v>361</v>
      </c>
      <c r="G19" s="56">
        <v>121</v>
      </c>
      <c r="H19" s="56">
        <v>1</v>
      </c>
      <c r="I19" s="56">
        <v>1</v>
      </c>
      <c r="J19" s="56">
        <v>1</v>
      </c>
      <c r="K19" s="56">
        <v>0</v>
      </c>
      <c r="L19" s="56">
        <v>0</v>
      </c>
      <c r="M19" s="56">
        <v>0</v>
      </c>
      <c r="N19" s="56">
        <v>0</v>
      </c>
      <c r="O19" s="56">
        <v>1</v>
      </c>
      <c r="P19" s="56">
        <v>120</v>
      </c>
      <c r="Q19" s="56" t="s">
        <v>171</v>
      </c>
      <c r="R19" s="56" t="s">
        <v>172</v>
      </c>
    </row>
    <row r="20" spans="1:18" x14ac:dyDescent="0.15">
      <c r="A20" s="7">
        <v>47014</v>
      </c>
      <c r="B20" s="56">
        <v>2</v>
      </c>
      <c r="C20" s="70" t="str">
        <f t="shared" si="1"/>
        <v>47014_2</v>
      </c>
      <c r="D20" s="10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6">
        <v>19</v>
      </c>
      <c r="F20" s="56" t="s">
        <v>361</v>
      </c>
      <c r="G20" s="56">
        <v>122</v>
      </c>
      <c r="H20" s="56">
        <v>1</v>
      </c>
      <c r="I20" s="56">
        <v>1</v>
      </c>
      <c r="J20" s="56">
        <v>1</v>
      </c>
      <c r="K20" s="56">
        <v>0</v>
      </c>
      <c r="L20" s="56">
        <v>0</v>
      </c>
      <c r="M20" s="56">
        <v>0</v>
      </c>
      <c r="N20" s="56">
        <v>0</v>
      </c>
      <c r="O20" s="56">
        <v>1</v>
      </c>
      <c r="P20" s="56">
        <v>120</v>
      </c>
      <c r="Q20" s="56" t="s">
        <v>171</v>
      </c>
      <c r="R20" s="56" t="s">
        <v>172</v>
      </c>
    </row>
    <row r="21" spans="1:18" x14ac:dyDescent="0.15">
      <c r="A21" s="7">
        <v>47014</v>
      </c>
      <c r="B21" s="56">
        <v>2</v>
      </c>
      <c r="C21" s="70" t="str">
        <f t="shared" si="1"/>
        <v>47014_2</v>
      </c>
      <c r="D21" s="10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6">
        <v>20</v>
      </c>
      <c r="F21" s="56" t="s">
        <v>361</v>
      </c>
      <c r="G21" s="56">
        <v>123</v>
      </c>
      <c r="H21" s="56">
        <v>1</v>
      </c>
      <c r="I21" s="56">
        <v>1</v>
      </c>
      <c r="J21" s="56">
        <v>1</v>
      </c>
      <c r="K21" s="56">
        <v>0</v>
      </c>
      <c r="L21" s="56">
        <v>0</v>
      </c>
      <c r="M21" s="56">
        <v>0</v>
      </c>
      <c r="N21" s="56">
        <v>0</v>
      </c>
      <c r="O21" s="56">
        <v>1</v>
      </c>
      <c r="P21" s="56">
        <v>120</v>
      </c>
      <c r="Q21" s="56" t="s">
        <v>171</v>
      </c>
      <c r="R21" s="56" t="s">
        <v>172</v>
      </c>
    </row>
    <row r="22" spans="1:18" x14ac:dyDescent="0.15">
      <c r="A22" s="7">
        <v>47014</v>
      </c>
      <c r="B22" s="56">
        <v>2</v>
      </c>
      <c r="C22" s="70" t="str">
        <f t="shared" si="1"/>
        <v>47014_2</v>
      </c>
      <c r="D22" s="10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6">
        <v>21</v>
      </c>
      <c r="F22" s="56" t="s">
        <v>361</v>
      </c>
      <c r="G22" s="56">
        <v>125</v>
      </c>
      <c r="H22" s="56">
        <v>1</v>
      </c>
      <c r="I22" s="56">
        <v>1</v>
      </c>
      <c r="J22" s="56">
        <v>1</v>
      </c>
      <c r="K22" s="56">
        <v>0</v>
      </c>
      <c r="L22" s="56">
        <v>0</v>
      </c>
      <c r="M22" s="56">
        <v>0</v>
      </c>
      <c r="N22" s="56">
        <v>0</v>
      </c>
      <c r="O22" s="56">
        <v>1</v>
      </c>
      <c r="P22" s="56">
        <v>30</v>
      </c>
      <c r="Q22" s="56" t="s">
        <v>171</v>
      </c>
      <c r="R22" s="56" t="s">
        <v>172</v>
      </c>
    </row>
    <row r="23" spans="1:18" x14ac:dyDescent="0.15">
      <c r="A23" s="7">
        <v>47014</v>
      </c>
      <c r="B23" s="56">
        <v>3</v>
      </c>
      <c r="C23" s="70" t="str">
        <f t="shared" ref="C23:C29" si="2">A23&amp; "_"&amp;B23</f>
        <v>47014_3</v>
      </c>
      <c r="D23" s="10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6">
        <v>22</v>
      </c>
      <c r="F23" s="56" t="s">
        <v>361</v>
      </c>
      <c r="G23" s="56">
        <v>1342</v>
      </c>
      <c r="H23" s="56">
        <v>1</v>
      </c>
      <c r="I23" s="56">
        <v>1</v>
      </c>
      <c r="J23" s="56">
        <v>1</v>
      </c>
      <c r="K23" s="56">
        <v>0</v>
      </c>
      <c r="L23" s="56">
        <v>0</v>
      </c>
      <c r="M23" s="56">
        <v>0</v>
      </c>
      <c r="N23" s="56">
        <v>0</v>
      </c>
      <c r="O23" s="56">
        <v>1</v>
      </c>
      <c r="P23" s="56">
        <v>400</v>
      </c>
      <c r="Q23" s="56" t="s">
        <v>171</v>
      </c>
      <c r="R23" s="56" t="s">
        <v>172</v>
      </c>
    </row>
    <row r="24" spans="1:18" x14ac:dyDescent="0.15">
      <c r="A24" s="7">
        <v>47014</v>
      </c>
      <c r="B24" s="56">
        <v>3</v>
      </c>
      <c r="C24" s="70" t="str">
        <f t="shared" si="2"/>
        <v>47014_3</v>
      </c>
      <c r="D24" s="10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6">
        <v>23</v>
      </c>
      <c r="F24" s="56" t="s">
        <v>361</v>
      </c>
      <c r="G24" s="56">
        <v>334</v>
      </c>
      <c r="H24" s="56">
        <v>1</v>
      </c>
      <c r="I24" s="56">
        <v>1</v>
      </c>
      <c r="J24" s="56">
        <v>1</v>
      </c>
      <c r="K24" s="56">
        <v>0</v>
      </c>
      <c r="L24" s="56">
        <v>0</v>
      </c>
      <c r="M24" s="56">
        <v>0</v>
      </c>
      <c r="N24" s="56">
        <v>0</v>
      </c>
      <c r="O24" s="56">
        <v>1</v>
      </c>
      <c r="P24" s="56">
        <v>140</v>
      </c>
      <c r="Q24" s="56" t="s">
        <v>171</v>
      </c>
      <c r="R24" s="56" t="s">
        <v>172</v>
      </c>
    </row>
    <row r="25" spans="1:18" x14ac:dyDescent="0.15">
      <c r="A25" s="7">
        <v>47014</v>
      </c>
      <c r="B25" s="56">
        <v>3</v>
      </c>
      <c r="C25" s="70" t="str">
        <f t="shared" si="2"/>
        <v>47014_3</v>
      </c>
      <c r="D25" s="10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6">
        <v>24</v>
      </c>
      <c r="F25" s="56" t="s">
        <v>361</v>
      </c>
      <c r="G25" s="56">
        <v>348</v>
      </c>
      <c r="H25" s="56">
        <v>1</v>
      </c>
      <c r="I25" s="56">
        <v>1</v>
      </c>
      <c r="J25" s="56">
        <v>1</v>
      </c>
      <c r="K25" s="56">
        <v>0</v>
      </c>
      <c r="L25" s="56">
        <v>0</v>
      </c>
      <c r="M25" s="56">
        <v>0</v>
      </c>
      <c r="N25" s="56">
        <v>0</v>
      </c>
      <c r="O25" s="56">
        <v>1</v>
      </c>
      <c r="P25" s="56">
        <v>100</v>
      </c>
      <c r="Q25" s="56" t="s">
        <v>171</v>
      </c>
      <c r="R25" s="56" t="s">
        <v>172</v>
      </c>
    </row>
    <row r="26" spans="1:18" x14ac:dyDescent="0.15">
      <c r="A26" s="7">
        <v>47014</v>
      </c>
      <c r="B26" s="56">
        <v>3</v>
      </c>
      <c r="C26" s="70" t="str">
        <f t="shared" si="2"/>
        <v>47014_3</v>
      </c>
      <c r="D26" s="10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6">
        <v>25</v>
      </c>
      <c r="F26" s="56" t="s">
        <v>361</v>
      </c>
      <c r="G26" s="56">
        <v>607</v>
      </c>
      <c r="H26" s="56">
        <v>1</v>
      </c>
      <c r="I26" s="56">
        <v>1</v>
      </c>
      <c r="J26" s="56">
        <v>1</v>
      </c>
      <c r="K26" s="56">
        <v>0</v>
      </c>
      <c r="L26" s="56">
        <v>0</v>
      </c>
      <c r="M26" s="56">
        <v>0</v>
      </c>
      <c r="N26" s="56">
        <v>0</v>
      </c>
      <c r="O26" s="56">
        <v>1</v>
      </c>
      <c r="P26" s="56">
        <v>110</v>
      </c>
      <c r="Q26" s="56" t="s">
        <v>171</v>
      </c>
      <c r="R26" s="56" t="s">
        <v>172</v>
      </c>
    </row>
    <row r="27" spans="1:18" x14ac:dyDescent="0.15">
      <c r="A27" s="7">
        <v>47014</v>
      </c>
      <c r="B27" s="56">
        <v>3</v>
      </c>
      <c r="C27" s="70" t="str">
        <f t="shared" si="2"/>
        <v>47014_3</v>
      </c>
      <c r="D27" s="10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6">
        <v>26</v>
      </c>
      <c r="F27" s="56" t="s">
        <v>361</v>
      </c>
      <c r="G27" s="56">
        <v>608</v>
      </c>
      <c r="H27" s="56">
        <v>1</v>
      </c>
      <c r="I27" s="56">
        <v>1</v>
      </c>
      <c r="J27" s="56">
        <v>1</v>
      </c>
      <c r="K27" s="56">
        <v>0</v>
      </c>
      <c r="L27" s="56">
        <v>0</v>
      </c>
      <c r="M27" s="56">
        <v>0</v>
      </c>
      <c r="N27" s="56">
        <v>0</v>
      </c>
      <c r="O27" s="56">
        <v>1</v>
      </c>
      <c r="P27" s="56">
        <v>110</v>
      </c>
      <c r="Q27" s="56" t="s">
        <v>171</v>
      </c>
      <c r="R27" s="56" t="s">
        <v>172</v>
      </c>
    </row>
    <row r="28" spans="1:18" x14ac:dyDescent="0.15">
      <c r="A28" s="7">
        <v>47014</v>
      </c>
      <c r="B28" s="56">
        <v>3</v>
      </c>
      <c r="C28" s="70" t="str">
        <f t="shared" si="2"/>
        <v>47014_3</v>
      </c>
      <c r="D28" s="10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6">
        <v>27</v>
      </c>
      <c r="F28" s="56" t="s">
        <v>361</v>
      </c>
      <c r="G28" s="56">
        <v>609</v>
      </c>
      <c r="H28" s="56">
        <v>1</v>
      </c>
      <c r="I28" s="56">
        <v>1</v>
      </c>
      <c r="J28" s="56">
        <v>1</v>
      </c>
      <c r="K28" s="56">
        <v>0</v>
      </c>
      <c r="L28" s="56">
        <v>0</v>
      </c>
      <c r="M28" s="56">
        <v>0</v>
      </c>
      <c r="N28" s="56">
        <v>0</v>
      </c>
      <c r="O28" s="56">
        <v>1</v>
      </c>
      <c r="P28" s="56">
        <v>110</v>
      </c>
      <c r="Q28" s="56" t="s">
        <v>171</v>
      </c>
      <c r="R28" s="56" t="s">
        <v>172</v>
      </c>
    </row>
    <row r="29" spans="1:18" x14ac:dyDescent="0.15">
      <c r="A29" s="7">
        <v>47014</v>
      </c>
      <c r="B29" s="56">
        <v>3</v>
      </c>
      <c r="C29" s="70" t="str">
        <f t="shared" si="2"/>
        <v>47014_3</v>
      </c>
      <c r="D29" s="10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6">
        <v>28</v>
      </c>
      <c r="F29" s="56" t="s">
        <v>361</v>
      </c>
      <c r="G29" s="56">
        <v>125</v>
      </c>
      <c r="H29" s="56">
        <v>1</v>
      </c>
      <c r="I29" s="56">
        <v>1</v>
      </c>
      <c r="J29" s="56">
        <v>1</v>
      </c>
      <c r="K29" s="56">
        <v>0</v>
      </c>
      <c r="L29" s="56">
        <v>0</v>
      </c>
      <c r="M29" s="56">
        <v>0</v>
      </c>
      <c r="N29" s="56">
        <v>0</v>
      </c>
      <c r="O29" s="56">
        <v>1</v>
      </c>
      <c r="P29" s="56">
        <v>30</v>
      </c>
      <c r="Q29" s="56" t="s">
        <v>171</v>
      </c>
      <c r="R29" s="56" t="s">
        <v>172</v>
      </c>
    </row>
  </sheetData>
  <phoneticPr fontId="5"/>
  <dataValidations count="1">
    <dataValidation type="list" allowBlank="1" showInputMessage="1" showErrorMessage="1" sqref="F2:F29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190</v>
      </c>
      <c r="B1" s="72" t="s">
        <v>191</v>
      </c>
      <c r="C1" s="76" t="s">
        <v>192</v>
      </c>
      <c r="D1" s="76" t="s">
        <v>33</v>
      </c>
      <c r="E1" s="72" t="s">
        <v>193</v>
      </c>
      <c r="F1" s="76" t="s">
        <v>194</v>
      </c>
      <c r="G1" s="76" t="s">
        <v>33</v>
      </c>
      <c r="H1" s="72" t="s">
        <v>195</v>
      </c>
      <c r="I1" s="90" t="s">
        <v>197</v>
      </c>
      <c r="J1" s="78" t="s">
        <v>127</v>
      </c>
      <c r="K1" s="77" t="s">
        <v>188</v>
      </c>
      <c r="L1" s="91" t="s">
        <v>187</v>
      </c>
      <c r="M1" s="79" t="s">
        <v>198</v>
      </c>
    </row>
    <row r="2" spans="1:13" x14ac:dyDescent="0.15">
      <c r="A2" s="80" t="s">
        <v>202</v>
      </c>
      <c r="B2" s="81">
        <f>floors!$C$2</f>
        <v>47014</v>
      </c>
      <c r="C2" s="82" t="str">
        <f ca="1">VLOOKUP($B2,OFFSET([2]quests!$A$1,0,0,COUNTA([2]quests!$A:$A),MATCH(C$1,[2]quests!$1:$1,0)-MATCH($B$1,[2]quests!$1:$1,0)+1),MATCH(C$1,[2]quests!$1:$1,0)-MATCH($B$1,[2]quests!$1:$1,0)+1,FALSE)</f>
        <v>ヘルレイザー襲来！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800万ダウンロード記念イベント</v>
      </c>
      <c r="E2" s="86" t="s">
        <v>215</v>
      </c>
      <c r="F2" s="82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2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4">
        <v>0</v>
      </c>
      <c r="I2">
        <v>1</v>
      </c>
      <c r="J2" s="83" t="s">
        <v>200</v>
      </c>
      <c r="K2" s="92" t="str">
        <f>VLOOKUP(I2,[7]stage_hints!$A:$C,3,FALSE)</f>
        <v>長くつなげて大ダメージ</v>
      </c>
      <c r="L2" s="93" t="str">
        <f>VLOOKUP(I2,[7]stage_hints!$A:$D,4,FALSE)</f>
        <v>パネルを長くつなげるほど_x000D_大ダメージを与えることができます</v>
      </c>
      <c r="M2" s="56" t="s">
        <v>212</v>
      </c>
    </row>
    <row r="3" spans="1:13" x14ac:dyDescent="0.15">
      <c r="A3" s="80" t="s">
        <v>202</v>
      </c>
      <c r="B3" s="81">
        <f>floors!$C$2</f>
        <v>47014</v>
      </c>
      <c r="C3" s="82" t="str">
        <f ca="1">VLOOKUP($B3,OFFSET([2]quests!$A$1,0,0,COUNTA([2]quests!$A:$A),MATCH(C$1,[2]quests!$1:$1,0)-MATCH($B$1,[2]quests!$1:$1,0)+1),MATCH(C$1,[2]quests!$1:$1,0)-MATCH($B$1,[2]quests!$1:$1,0)+1,FALSE)</f>
        <v>ヘルレイザー襲来！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800万ダウンロード記念イベント</v>
      </c>
      <c r="E3" s="86" t="s">
        <v>215</v>
      </c>
      <c r="F3" s="82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2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4">
        <v>0</v>
      </c>
      <c r="I3">
        <v>2</v>
      </c>
      <c r="J3" s="83" t="s">
        <v>200</v>
      </c>
      <c r="K3" s="92" t="str">
        <f>VLOOKUP(I3,[7]stage_hints!$A:$C,3,FALSE)</f>
        <v>属性の相性</v>
      </c>
      <c r="L3" s="93" t="str">
        <f>VLOOKUP(I3,[7]stage_hints!$A:$D,4,FALSE)</f>
        <v>赤＞青　青＞黄　黄＞緑　緑＞赤_x000D_敵属性に最適なパーティがオススメです</v>
      </c>
      <c r="M3" s="56" t="s">
        <v>212</v>
      </c>
    </row>
    <row r="4" spans="1:13" x14ac:dyDescent="0.15">
      <c r="A4" s="80" t="s">
        <v>202</v>
      </c>
      <c r="B4" s="81">
        <f>floors!$C$2</f>
        <v>47014</v>
      </c>
      <c r="C4" s="82" t="str">
        <f ca="1">VLOOKUP($B4,OFFSET([2]quests!$A$1,0,0,COUNTA([2]quests!$A:$A),MATCH(C$1,[2]quests!$1:$1,0)-MATCH($B$1,[2]quests!$1:$1,0)+1),MATCH(C$1,[2]quests!$1:$1,0)-MATCH($B$1,[2]quests!$1:$1,0)+1,FALSE)</f>
        <v>ヘルレイザー襲来！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800万ダウンロード記念イベント</v>
      </c>
      <c r="E4" s="86" t="s">
        <v>215</v>
      </c>
      <c r="F4" s="82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2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4">
        <v>0</v>
      </c>
      <c r="I4">
        <v>3</v>
      </c>
      <c r="J4" s="83" t="s">
        <v>200</v>
      </c>
      <c r="K4" s="92" t="str">
        <f>VLOOKUP(I4,[7]stage_hints!$A:$C,3,FALSE)</f>
        <v>ターゲット</v>
      </c>
      <c r="L4" s="93" t="str">
        <f>VLOOKUP(I4,[7]stage_hints!$A:$D,4,FALSE)</f>
        <v>敵ユニットをタップすると_x000D_その敵を狙い撃ちできます</v>
      </c>
      <c r="M4" s="56" t="s">
        <v>212</v>
      </c>
    </row>
    <row r="5" spans="1:13" x14ac:dyDescent="0.15">
      <c r="A5" s="80" t="s">
        <v>202</v>
      </c>
      <c r="B5" s="81">
        <f>floors!$C$2</f>
        <v>47014</v>
      </c>
      <c r="C5" s="82" t="str">
        <f ca="1">VLOOKUP($B5,OFFSET([2]quests!$A$1,0,0,COUNTA([2]quests!$A:$A),MATCH(C$1,[2]quests!$1:$1,0)-MATCH($B$1,[2]quests!$1:$1,0)+1),MATCH(C$1,[2]quests!$1:$1,0)-MATCH($B$1,[2]quests!$1:$1,0)+1,FALSE)</f>
        <v>ヘルレイザー襲来！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800万ダウンロード記念イベント</v>
      </c>
      <c r="E5" s="86" t="s">
        <v>215</v>
      </c>
      <c r="F5" s="82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2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4">
        <v>0</v>
      </c>
      <c r="I5">
        <v>5</v>
      </c>
      <c r="J5" s="83" t="s">
        <v>200</v>
      </c>
      <c r="K5" s="92" t="str">
        <f>VLOOKUP(I5,[7]stage_hints!$A:$C,3,FALSE)</f>
        <v>ユニット強化でレベルアップ</v>
      </c>
      <c r="L5" s="93" t="str">
        <f>VLOOKUP(I5,[7]stage_hints!$A:$D,4,FALSE)</f>
        <v>「ユニット強化」でレベルアップすると_x000D_勝てない敵にも勝てるようになります</v>
      </c>
      <c r="M5" s="56" t="s">
        <v>212</v>
      </c>
    </row>
    <row r="6" spans="1:13" x14ac:dyDescent="0.15">
      <c r="A6" s="80" t="s">
        <v>202</v>
      </c>
      <c r="B6" s="81">
        <f>floors!$C$2</f>
        <v>47014</v>
      </c>
      <c r="C6" s="82" t="str">
        <f ca="1">VLOOKUP($B6,OFFSET([2]quests!$A$1,0,0,COUNTA([2]quests!$A:$A),MATCH(C$1,[2]quests!$1:$1,0)-MATCH($B$1,[2]quests!$1:$1,0)+1),MATCH(C$1,[2]quests!$1:$1,0)-MATCH($B$1,[2]quests!$1:$1,0)+1,FALSE)</f>
        <v>ヘルレイザー襲来！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800万ダウンロード記念イベント</v>
      </c>
      <c r="E6" s="86" t="s">
        <v>215</v>
      </c>
      <c r="F6" s="82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2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4">
        <v>0</v>
      </c>
      <c r="I6">
        <v>6</v>
      </c>
      <c r="J6" s="83" t="s">
        <v>200</v>
      </c>
      <c r="K6" s="92" t="str">
        <f>VLOOKUP(I6,[7]stage_hints!$A:$C,3,FALSE)</f>
        <v>ユニット強化の属性ボーナス</v>
      </c>
      <c r="L6" s="93" t="str">
        <f>VLOOKUP(I6,[7]stage_hints!$A:$D,4,FALSE)</f>
        <v>同属性ユニットを強化素材にすると_x000D_経験値が多くもらえます</v>
      </c>
      <c r="M6" s="56" t="s">
        <v>212</v>
      </c>
    </row>
    <row r="7" spans="1:13" x14ac:dyDescent="0.15">
      <c r="A7" s="80" t="s">
        <v>202</v>
      </c>
      <c r="B7" s="81">
        <f>floors!$C$2</f>
        <v>47014</v>
      </c>
      <c r="C7" s="82" t="str">
        <f ca="1">VLOOKUP($B7,OFFSET([2]quests!$A$1,0,0,COUNTA([2]quests!$A:$A),MATCH(C$1,[2]quests!$1:$1,0)-MATCH($B$1,[2]quests!$1:$1,0)+1),MATCH(C$1,[2]quests!$1:$1,0)-MATCH($B$1,[2]quests!$1:$1,0)+1,FALSE)</f>
        <v>ヘルレイザー襲来！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800万ダウンロード記念イベント</v>
      </c>
      <c r="E7" s="86" t="s">
        <v>215</v>
      </c>
      <c r="F7" s="82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2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4">
        <v>0</v>
      </c>
      <c r="I7">
        <v>7</v>
      </c>
      <c r="J7" s="83" t="s">
        <v>200</v>
      </c>
      <c r="K7" s="92" t="str">
        <f>VLOOKUP(I7,[7]stage_hints!$A:$C,3,FALSE)</f>
        <v>メタルダックで経験値を獲得</v>
      </c>
      <c r="L7" s="93" t="str">
        <f>VLOOKUP(I7,[7]stage_hints!$A:$D,4,FALSE)</f>
        <v>「メタルなアヒル」を強化素材にすると_x000D_大量の経験値がもらえます</v>
      </c>
      <c r="M7" s="56" t="s">
        <v>212</v>
      </c>
    </row>
    <row r="8" spans="1:13" x14ac:dyDescent="0.15">
      <c r="A8" s="80" t="s">
        <v>202</v>
      </c>
      <c r="B8" s="81">
        <f>floors!$C$2</f>
        <v>47014</v>
      </c>
      <c r="C8" s="82" t="str">
        <f ca="1">VLOOKUP($B8,OFFSET([2]quests!$A$1,0,0,COUNTA([2]quests!$A:$A),MATCH(C$1,[2]quests!$1:$1,0)-MATCH($B$1,[2]quests!$1:$1,0)+1),MATCH(C$1,[2]quests!$1:$1,0)-MATCH($B$1,[2]quests!$1:$1,0)+1,FALSE)</f>
        <v>ヘルレイザー襲来！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800万ダウンロード記念イベント</v>
      </c>
      <c r="E8" s="86" t="s">
        <v>215</v>
      </c>
      <c r="F8" s="82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2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4">
        <v>0</v>
      </c>
      <c r="I8">
        <v>8</v>
      </c>
      <c r="J8" s="83" t="s">
        <v>200</v>
      </c>
      <c r="K8" s="92" t="str">
        <f>VLOOKUP(I8,[7]stage_hints!$A:$C,3,FALSE)</f>
        <v>ゲリラクエストは要チェック</v>
      </c>
      <c r="L8" s="93" t="str">
        <f>VLOOKUP(I8,[7]stage_hints!$A:$D,4,FALSE)</f>
        <v>時間限定の「アヒル捕獲作戦」では_x000D_経験値素材ユニットが多く手に入ります</v>
      </c>
      <c r="M8" s="56" t="s">
        <v>212</v>
      </c>
    </row>
    <row r="9" spans="1:13" x14ac:dyDescent="0.15">
      <c r="A9" s="80" t="s">
        <v>202</v>
      </c>
      <c r="B9" s="81">
        <f>floors!$C$2</f>
        <v>47014</v>
      </c>
      <c r="C9" s="82" t="str">
        <f ca="1">VLOOKUP($B9,OFFSET([2]quests!$A$1,0,0,COUNTA([2]quests!$A:$A),MATCH(C$1,[2]quests!$1:$1,0)-MATCH($B$1,[2]quests!$1:$1,0)+1),MATCH(C$1,[2]quests!$1:$1,0)-MATCH($B$1,[2]quests!$1:$1,0)+1,FALSE)</f>
        <v>ヘルレイザー襲来！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800万ダウンロード記念イベント</v>
      </c>
      <c r="E9" s="86" t="s">
        <v>215</v>
      </c>
      <c r="F9" s="82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2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4">
        <v>0</v>
      </c>
      <c r="I9">
        <v>9</v>
      </c>
      <c r="J9" s="83" t="s">
        <v>200</v>
      </c>
      <c r="K9" s="92" t="str">
        <f>VLOOKUP(I9,[7]stage_hints!$A:$C,3,FALSE)</f>
        <v>ゴールドダックでビットを獲得</v>
      </c>
      <c r="L9" s="93" t="str">
        <f>VLOOKUP(I9,[7]stage_hints!$A:$D,4,FALSE)</f>
        <v>「ゴールドなアヒル」を売却すると_x000D_大量のビットがもらえます</v>
      </c>
      <c r="M9" s="56" t="s">
        <v>212</v>
      </c>
    </row>
    <row r="10" spans="1:13" x14ac:dyDescent="0.15">
      <c r="A10" s="80" t="s">
        <v>202</v>
      </c>
      <c r="B10" s="81">
        <f>floors!$C$2</f>
        <v>47014</v>
      </c>
      <c r="C10" s="82" t="str">
        <f ca="1">VLOOKUP($B10,OFFSET([2]quests!$A$1,0,0,COUNTA([2]quests!$A:$A),MATCH(C$1,[2]quests!$1:$1,0)-MATCH($B$1,[2]quests!$1:$1,0)+1),MATCH(C$1,[2]quests!$1:$1,0)-MATCH($B$1,[2]quests!$1:$1,0)+1,FALSE)</f>
        <v>ヘルレイザー襲来！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800万ダウンロード記念イベント</v>
      </c>
      <c r="E10" s="86" t="s">
        <v>215</v>
      </c>
      <c r="F10" s="82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2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4">
        <v>0</v>
      </c>
      <c r="I10">
        <v>10</v>
      </c>
      <c r="J10" s="83" t="s">
        <v>200</v>
      </c>
      <c r="K10" s="92" t="str">
        <f>VLOOKUP(I10,[7]stage_hints!$A:$C,3,FALSE)</f>
        <v>土日に大量のビットを獲得</v>
      </c>
      <c r="L10" s="93" t="str">
        <f>VLOOKUP(I10,[7]stage_hints!$A:$D,4,FALSE)</f>
        <v>土日限定の「ゴールドカジノ」では_x000D_売却素材ユニットが多く手に入ります</v>
      </c>
      <c r="M10" s="56" t="s">
        <v>212</v>
      </c>
    </row>
    <row r="11" spans="1:13" x14ac:dyDescent="0.15">
      <c r="A11" s="80" t="s">
        <v>202</v>
      </c>
      <c r="B11" s="81">
        <f>floors!$C$2</f>
        <v>47014</v>
      </c>
      <c r="C11" s="82" t="str">
        <f ca="1">VLOOKUP($B11,OFFSET([2]quests!$A$1,0,0,COUNTA([2]quests!$A:$A),MATCH(C$1,[2]quests!$1:$1,0)-MATCH($B$1,[2]quests!$1:$1,0)+1),MATCH(C$1,[2]quests!$1:$1,0)-MATCH($B$1,[2]quests!$1:$1,0)+1,FALSE)</f>
        <v>ヘルレイザー襲来！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800万ダウンロード記念イベント</v>
      </c>
      <c r="E11" s="86" t="s">
        <v>215</v>
      </c>
      <c r="F11" s="82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2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4">
        <v>0</v>
      </c>
      <c r="I11">
        <v>11</v>
      </c>
      <c r="J11" s="83" t="s">
        <v>200</v>
      </c>
      <c r="K11" s="92" t="str">
        <f>VLOOKUP(I11,[7]stage_hints!$A:$C,3,FALSE)</f>
        <v>ランク解放クエスト</v>
      </c>
      <c r="L11" s="93" t="str">
        <f>VLOOKUP(I11,[7]stage_hints!$A:$D,4,FALSE)</f>
        <v>一定ランクに到達すると_x000D_報酬付きのランク開放クエストが現れます</v>
      </c>
      <c r="M11" s="56" t="s">
        <v>212</v>
      </c>
    </row>
    <row r="12" spans="1:13" x14ac:dyDescent="0.15">
      <c r="A12" s="80" t="s">
        <v>202</v>
      </c>
      <c r="B12" s="81">
        <f>floors!$C$2</f>
        <v>47014</v>
      </c>
      <c r="C12" s="82" t="str">
        <f ca="1">VLOOKUP($B12,OFFSET([2]quests!$A$1,0,0,COUNTA([2]quests!$A:$A),MATCH(C$1,[2]quests!$1:$1,0)-MATCH($B$1,[2]quests!$1:$1,0)+1),MATCH(C$1,[2]quests!$1:$1,0)-MATCH($B$1,[2]quests!$1:$1,0)+1,FALSE)</f>
        <v>ヘルレイザー襲来！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800万ダウンロード記念イベント</v>
      </c>
      <c r="E12" s="86" t="s">
        <v>215</v>
      </c>
      <c r="F12" s="82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2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4">
        <v>0</v>
      </c>
      <c r="I12">
        <v>12</v>
      </c>
      <c r="J12" s="83" t="s">
        <v>200</v>
      </c>
      <c r="K12" s="92" t="str">
        <f>VLOOKUP(I12,[7]stage_hints!$A:$C,3,FALSE)</f>
        <v>ユニットのお気に入り登録</v>
      </c>
      <c r="L12" s="93" t="str">
        <f>VLOOKUP(I12,[7]stage_hints!$A:$D,4,FALSE)</f>
        <v>大事なユニットを誤って消さないように_x000D_フォルダから「お気に入り登録」しましょう</v>
      </c>
      <c r="M12" s="56" t="s">
        <v>212</v>
      </c>
    </row>
    <row r="13" spans="1:13" x14ac:dyDescent="0.15">
      <c r="A13" s="80" t="s">
        <v>202</v>
      </c>
      <c r="B13" s="81">
        <f>floors!$C$2</f>
        <v>47014</v>
      </c>
      <c r="C13" s="82" t="str">
        <f ca="1">VLOOKUP($B13,OFFSET([2]quests!$A$1,0,0,COUNTA([2]quests!$A:$A),MATCH(C$1,[2]quests!$1:$1,0)-MATCH($B$1,[2]quests!$1:$1,0)+1),MATCH(C$1,[2]quests!$1:$1,0)-MATCH($B$1,[2]quests!$1:$1,0)+1,FALSE)</f>
        <v>ヘルレイザー襲来！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800万ダウンロード記念イベント</v>
      </c>
      <c r="E13" s="86" t="s">
        <v>215</v>
      </c>
      <c r="F13" s="82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2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4">
        <v>0</v>
      </c>
      <c r="I13">
        <v>13</v>
      </c>
      <c r="J13" s="83" t="s">
        <v>200</v>
      </c>
      <c r="K13" s="92" t="str">
        <f>VLOOKUP(I13,[7]stage_hints!$A:$C,3,FALSE)</f>
        <v>ユニットの覚醒</v>
      </c>
      <c r="L13" s="93" t="str">
        <f>VLOOKUP(I13,[7]stage_hints!$A:$D,4,FALSE)</f>
        <v>ユニットを覚醒させると_x000D_比べものにならない強さが手に入ります</v>
      </c>
      <c r="M13" s="56" t="s">
        <v>212</v>
      </c>
    </row>
    <row r="14" spans="1:13" x14ac:dyDescent="0.15">
      <c r="A14" s="80" t="s">
        <v>202</v>
      </c>
      <c r="B14" s="81">
        <f>floors!$C$2</f>
        <v>47014</v>
      </c>
      <c r="C14" s="82" t="str">
        <f ca="1">VLOOKUP($B14,OFFSET([2]quests!$A$1,0,0,COUNTA([2]quests!$A:$A),MATCH(C$1,[2]quests!$1:$1,0)-MATCH($B$1,[2]quests!$1:$1,0)+1),MATCH(C$1,[2]quests!$1:$1,0)-MATCH($B$1,[2]quests!$1:$1,0)+1,FALSE)</f>
        <v>ヘルレイザー襲来！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800万ダウンロード記念イベント</v>
      </c>
      <c r="E14" s="86" t="s">
        <v>215</v>
      </c>
      <c r="F14" s="82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2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4">
        <v>0</v>
      </c>
      <c r="I14">
        <v>14</v>
      </c>
      <c r="J14" s="83" t="s">
        <v>200</v>
      </c>
      <c r="K14" s="92" t="str">
        <f>VLOOKUP(I14,[7]stage_hints!$A:$C,3,FALSE)</f>
        <v>覚醒するにはレベルを最大に</v>
      </c>
      <c r="L14" s="93" t="str">
        <f>VLOOKUP(I14,[7]stage_hints!$A:$D,4,FALSE)</f>
        <v>覚醒するにはユニットのレベルを_x000D_最大まで上げる必要があります</v>
      </c>
      <c r="M14" s="56" t="s">
        <v>212</v>
      </c>
    </row>
    <row r="15" spans="1:13" x14ac:dyDescent="0.15">
      <c r="A15" s="80" t="s">
        <v>202</v>
      </c>
      <c r="B15" s="81">
        <f>floors!$C$2</f>
        <v>47014</v>
      </c>
      <c r="C15" s="82" t="str">
        <f ca="1">VLOOKUP($B15,OFFSET([2]quests!$A$1,0,0,COUNTA([2]quests!$A:$A),MATCH(C$1,[2]quests!$1:$1,0)-MATCH($B$1,[2]quests!$1:$1,0)+1),MATCH(C$1,[2]quests!$1:$1,0)-MATCH($B$1,[2]quests!$1:$1,0)+1,FALSE)</f>
        <v>ヘルレイザー襲来！</v>
      </c>
      <c r="D15" s="82" t="str">
        <f ca="1">VLOOKUP($B15,OFFSET([2]quests!$A$1,0,0,COUNTA([2]quests!$A:$A),MATCH(D$1,[2]quests!$1:$1,0)-MATCH($B$1,[2]quests!$1:$1,0)+1),MATCH(D$1,[2]quests!$1:$1,0)-MATCH($B$1,[2]quests!$1:$1,0)+1,FALSE)</f>
        <v>800万ダウンロード記念イベント</v>
      </c>
      <c r="E15" s="86" t="s">
        <v>215</v>
      </c>
      <c r="F15" s="82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2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4">
        <v>0</v>
      </c>
      <c r="I15">
        <v>15</v>
      </c>
      <c r="J15" s="83" t="s">
        <v>200</v>
      </c>
      <c r="K15" s="92" t="str">
        <f>VLOOKUP(I15,[7]stage_hints!$A:$C,3,FALSE)</f>
        <v>覚醒素材を獲得</v>
      </c>
      <c r="L15" s="93" t="str">
        <f>VLOOKUP(I15,[7]stage_hints!$A:$D,4,FALSE)</f>
        <v>「曜日クエスト」では_x000D_ユニットの覚醒に必要な素材が手に入ります</v>
      </c>
      <c r="M15" s="56" t="s">
        <v>212</v>
      </c>
    </row>
    <row r="16" spans="1:13" x14ac:dyDescent="0.15">
      <c r="A16" s="80" t="s">
        <v>202</v>
      </c>
      <c r="B16" s="81">
        <f>floors!$C$2</f>
        <v>47014</v>
      </c>
      <c r="C16" s="82" t="str">
        <f ca="1">VLOOKUP($B16,OFFSET([2]quests!$A$1,0,0,COUNTA([2]quests!$A:$A),MATCH(C$1,[2]quests!$1:$1,0)-MATCH($B$1,[2]quests!$1:$1,0)+1),MATCH(C$1,[2]quests!$1:$1,0)-MATCH($B$1,[2]quests!$1:$1,0)+1,FALSE)</f>
        <v>ヘルレイザー襲来！</v>
      </c>
      <c r="D16" s="82" t="str">
        <f ca="1">VLOOKUP($B16,OFFSET([2]quests!$A$1,0,0,COUNTA([2]quests!$A:$A),MATCH(D$1,[2]quests!$1:$1,0)-MATCH($B$1,[2]quests!$1:$1,0)+1),MATCH(D$1,[2]quests!$1:$1,0)-MATCH($B$1,[2]quests!$1:$1,0)+1,FALSE)</f>
        <v>800万ダウンロード記念イベント</v>
      </c>
      <c r="E16" s="86" t="s">
        <v>215</v>
      </c>
      <c r="F16" s="82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2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4">
        <v>0</v>
      </c>
      <c r="I16">
        <v>16</v>
      </c>
      <c r="J16" s="83" t="s">
        <v>200</v>
      </c>
      <c r="K16" s="92" t="str">
        <f>VLOOKUP(I16,[7]stage_hints!$A:$C,3,FALSE)</f>
        <v>マルチプレイのメリット（その1）</v>
      </c>
      <c r="L16" s="93" t="str">
        <f>VLOOKUP(I16,[7]stage_hints!$A:$D,4,FALSE)</f>
        <v>他のプレイヤーとマルチプレイで遊ぶと_x000D_ポリゴンがもらえます（100人まで）</v>
      </c>
      <c r="M16" s="56" t="s">
        <v>212</v>
      </c>
    </row>
    <row r="17" spans="1:13" x14ac:dyDescent="0.15">
      <c r="A17" s="80" t="s">
        <v>202</v>
      </c>
      <c r="B17" s="81">
        <f>floors!$C$2</f>
        <v>47014</v>
      </c>
      <c r="C17" s="82" t="str">
        <f ca="1">VLOOKUP($B17,OFFSET([2]quests!$A$1,0,0,COUNTA([2]quests!$A:$A),MATCH(C$1,[2]quests!$1:$1,0)-MATCH($B$1,[2]quests!$1:$1,0)+1),MATCH(C$1,[2]quests!$1:$1,0)-MATCH($B$1,[2]quests!$1:$1,0)+1,FALSE)</f>
        <v>ヘルレイザー襲来！</v>
      </c>
      <c r="D17" s="82" t="str">
        <f ca="1">VLOOKUP($B17,OFFSET([2]quests!$A$1,0,0,COUNTA([2]quests!$A:$A),MATCH(D$1,[2]quests!$1:$1,0)-MATCH($B$1,[2]quests!$1:$1,0)+1),MATCH(D$1,[2]quests!$1:$1,0)-MATCH($B$1,[2]quests!$1:$1,0)+1,FALSE)</f>
        <v>800万ダウンロード記念イベント</v>
      </c>
      <c r="E17" s="86" t="s">
        <v>215</v>
      </c>
      <c r="F17" s="82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2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4">
        <v>0</v>
      </c>
      <c r="I17">
        <v>17</v>
      </c>
      <c r="J17" s="83" t="s">
        <v>200</v>
      </c>
      <c r="K17" s="92" t="str">
        <f>VLOOKUP(I17,[7]stage_hints!$A:$C,3,FALSE)</f>
        <v>リンクガチャ</v>
      </c>
      <c r="L17" s="93" t="str">
        <f>VLOOKUP(I17,[7]stage_hints!$A:$D,4,FALSE)</f>
        <v>無料のリンクガチャを回して_x000D_経験値素材や売却素材を獲得しましょう</v>
      </c>
      <c r="M17" s="56" t="s">
        <v>212</v>
      </c>
    </row>
    <row r="18" spans="1:13" x14ac:dyDescent="0.15">
      <c r="A18" s="80" t="s">
        <v>202</v>
      </c>
      <c r="B18" s="81">
        <f>floors!$C$2</f>
        <v>47014</v>
      </c>
      <c r="C18" s="82" t="str">
        <f ca="1">VLOOKUP($B18,OFFSET([2]quests!$A$1,0,0,COUNTA([2]quests!$A:$A),MATCH(C$1,[2]quests!$1:$1,0)-MATCH($B$1,[2]quests!$1:$1,0)+1),MATCH(C$1,[2]quests!$1:$1,0)-MATCH($B$1,[2]quests!$1:$1,0)+1,FALSE)</f>
        <v>ヘルレイザー襲来！</v>
      </c>
      <c r="D18" s="82" t="str">
        <f ca="1">VLOOKUP($B18,OFFSET([2]quests!$A$1,0,0,COUNTA([2]quests!$A:$A),MATCH(D$1,[2]quests!$1:$1,0)-MATCH($B$1,[2]quests!$1:$1,0)+1),MATCH(D$1,[2]quests!$1:$1,0)-MATCH($B$1,[2]quests!$1:$1,0)+1,FALSE)</f>
        <v>800万ダウンロード記念イベント</v>
      </c>
      <c r="E18" s="86" t="s">
        <v>215</v>
      </c>
      <c r="F18" s="82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2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4">
        <v>0</v>
      </c>
      <c r="I18">
        <v>18</v>
      </c>
      <c r="J18" s="83" t="s">
        <v>200</v>
      </c>
      <c r="K18" s="92" t="str">
        <f>VLOOKUP(I18,[7]stage_hints!$A:$C,3,FALSE)</f>
        <v>マルチプレイのメリット（その2）</v>
      </c>
      <c r="L18" s="93" t="str">
        <f>VLOOKUP(I18,[7]stage_hints!$A:$D,4,FALSE)</f>
        <v>マルチプレイならリンクが2倍もらえます_x000D_リンクガチャをたくさん回しましょう</v>
      </c>
      <c r="M18" s="56" t="s">
        <v>212</v>
      </c>
    </row>
    <row r="19" spans="1:13" x14ac:dyDescent="0.15">
      <c r="A19" s="80" t="s">
        <v>202</v>
      </c>
      <c r="B19" s="81">
        <f>floors!$C$2</f>
        <v>47014</v>
      </c>
      <c r="C19" s="82" t="str">
        <f ca="1">VLOOKUP($B19,OFFSET([2]quests!$A$1,0,0,COUNTA([2]quests!$A:$A),MATCH(C$1,[2]quests!$1:$1,0)-MATCH($B$1,[2]quests!$1:$1,0)+1),MATCH(C$1,[2]quests!$1:$1,0)-MATCH($B$1,[2]quests!$1:$1,0)+1,FALSE)</f>
        <v>ヘルレイザー襲来！</v>
      </c>
      <c r="D19" s="82" t="str">
        <f ca="1">VLOOKUP($B19,OFFSET([2]quests!$A$1,0,0,COUNTA([2]quests!$A:$A),MATCH(D$1,[2]quests!$1:$1,0)-MATCH($B$1,[2]quests!$1:$1,0)+1),MATCH(D$1,[2]quests!$1:$1,0)-MATCH($B$1,[2]quests!$1:$1,0)+1,FALSE)</f>
        <v>800万ダウンロード記念イベント</v>
      </c>
      <c r="E19" s="86" t="s">
        <v>215</v>
      </c>
      <c r="F19" s="82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2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4">
        <v>0</v>
      </c>
      <c r="I19">
        <v>19</v>
      </c>
      <c r="J19" s="83" t="s">
        <v>200</v>
      </c>
      <c r="K19" s="92" t="str">
        <f>VLOOKUP(I19,[7]stage_hints!$A:$C,3,FALSE)</f>
        <v>ソロ専用タワーオブザクイーン</v>
      </c>
      <c r="L19" s="93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6" t="s">
        <v>212</v>
      </c>
    </row>
    <row r="20" spans="1:13" x14ac:dyDescent="0.15">
      <c r="A20" s="80" t="s">
        <v>202</v>
      </c>
      <c r="B20" s="81">
        <f>floors!$C$2</f>
        <v>47014</v>
      </c>
      <c r="C20" s="82" t="str">
        <f ca="1">VLOOKUP($B20,OFFSET([2]quests!$A$1,0,0,COUNTA([2]quests!$A:$A),MATCH(C$1,[2]quests!$1:$1,0)-MATCH($B$1,[2]quests!$1:$1,0)+1),MATCH(C$1,[2]quests!$1:$1,0)-MATCH($B$1,[2]quests!$1:$1,0)+1,FALSE)</f>
        <v>ヘルレイザー襲来！</v>
      </c>
      <c r="D20" s="82" t="str">
        <f ca="1">VLOOKUP($B20,OFFSET([2]quests!$A$1,0,0,COUNTA([2]quests!$A:$A),MATCH(D$1,[2]quests!$1:$1,0)-MATCH($B$1,[2]quests!$1:$1,0)+1),MATCH(D$1,[2]quests!$1:$1,0)-MATCH($B$1,[2]quests!$1:$1,0)+1,FALSE)</f>
        <v>800万ダウンロード記念イベント</v>
      </c>
      <c r="E20" s="86" t="s">
        <v>215</v>
      </c>
      <c r="F20" s="82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2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4">
        <v>0</v>
      </c>
      <c r="I20">
        <v>20</v>
      </c>
      <c r="J20" s="83" t="s">
        <v>200</v>
      </c>
      <c r="K20" s="92" t="str">
        <f>VLOOKUP(I20,[7]stage_hints!$A:$C,3,FALSE)</f>
        <v>マルチプレイのメリット（その3）</v>
      </c>
      <c r="L20" s="93" t="str">
        <f>VLOOKUP(I20,[7]stage_hints!$A:$D,4,FALSE)</f>
        <v>マルチプレイへの参加はエナジー消費ゼロ_x000D_いつでも好きなだけ遊ぶことができます</v>
      </c>
      <c r="M20" s="56" t="s">
        <v>212</v>
      </c>
    </row>
    <row r="21" spans="1:13" x14ac:dyDescent="0.15">
      <c r="A21" s="80" t="s">
        <v>202</v>
      </c>
      <c r="B21" s="81">
        <f>floors!$C$2</f>
        <v>47014</v>
      </c>
      <c r="C21" s="82" t="str">
        <f ca="1">VLOOKUP($B21,OFFSET([2]quests!$A$1,0,0,COUNTA([2]quests!$A:$A),MATCH(C$1,[2]quests!$1:$1,0)-MATCH($B$1,[2]quests!$1:$1,0)+1),MATCH(C$1,[2]quests!$1:$1,0)-MATCH($B$1,[2]quests!$1:$1,0)+1,FALSE)</f>
        <v>ヘルレイザー襲来！</v>
      </c>
      <c r="D21" s="82" t="str">
        <f ca="1">VLOOKUP($B21,OFFSET([2]quests!$A$1,0,0,COUNTA([2]quests!$A:$A),MATCH(D$1,[2]quests!$1:$1,0)-MATCH($B$1,[2]quests!$1:$1,0)+1),MATCH(D$1,[2]quests!$1:$1,0)-MATCH($B$1,[2]quests!$1:$1,0)+1,FALSE)</f>
        <v>800万ダウンロード記念イベント</v>
      </c>
      <c r="E21" s="86" t="s">
        <v>215</v>
      </c>
      <c r="F21" s="82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2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4">
        <v>0</v>
      </c>
      <c r="I21">
        <v>21</v>
      </c>
      <c r="J21" s="83" t="s">
        <v>200</v>
      </c>
      <c r="K21" s="92" t="str">
        <f>VLOOKUP(I21,[7]stage_hints!$A:$C,3,FALSE)</f>
        <v>スキルを有効に</v>
      </c>
      <c r="L21" s="93" t="str">
        <f>VLOOKUP(I21,[7]stage_hints!$A:$D,4,FALSE)</f>
        <v>ターン経過でユニットのスキルが使えます_x000D_強力スキルでバトルを有利に進めましょう</v>
      </c>
      <c r="M21" s="56" t="s">
        <v>212</v>
      </c>
    </row>
    <row r="22" spans="1:13" x14ac:dyDescent="0.15">
      <c r="A22" s="80" t="s">
        <v>202</v>
      </c>
      <c r="B22" s="81">
        <f>floors!$C$2</f>
        <v>47014</v>
      </c>
      <c r="C22" s="82" t="str">
        <f ca="1">VLOOKUP($B22,OFFSET([2]quests!$A$1,0,0,COUNTA([2]quests!$A:$A),MATCH(C$1,[2]quests!$1:$1,0)-MATCH($B$1,[2]quests!$1:$1,0)+1),MATCH(C$1,[2]quests!$1:$1,0)-MATCH($B$1,[2]quests!$1:$1,0)+1,FALSE)</f>
        <v>ヘルレイザー襲来！</v>
      </c>
      <c r="D22" s="82" t="str">
        <f ca="1">VLOOKUP($B22,OFFSET([2]quests!$A$1,0,0,COUNTA([2]quests!$A:$A),MATCH(D$1,[2]quests!$1:$1,0)-MATCH($B$1,[2]quests!$1:$1,0)+1),MATCH(D$1,[2]quests!$1:$1,0)-MATCH($B$1,[2]quests!$1:$1,0)+1,FALSE)</f>
        <v>800万ダウンロード記念イベント</v>
      </c>
      <c r="E22" s="86" t="s">
        <v>215</v>
      </c>
      <c r="F22" s="82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2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4">
        <v>0</v>
      </c>
      <c r="I22">
        <v>22</v>
      </c>
      <c r="J22" s="83" t="s">
        <v>200</v>
      </c>
      <c r="K22" s="92" t="str">
        <f>VLOOKUP(I22,[7]stage_hints!$A:$C,3,FALSE)</f>
        <v>フィーバーで一発逆転（その1）</v>
      </c>
      <c r="L22" s="93" t="str">
        <f>VLOOKUP(I22,[7]stage_hints!$A:$D,4,FALSE)</f>
        <v>フィーバーは攻撃と回復を兼ね備えます_x000D_ピンチからの一発逆転を狙いましょう</v>
      </c>
      <c r="M22" s="56" t="s">
        <v>212</v>
      </c>
    </row>
    <row r="23" spans="1:13" x14ac:dyDescent="0.15">
      <c r="A23" s="80" t="s">
        <v>202</v>
      </c>
      <c r="B23" s="81">
        <f>floors!$C$2</f>
        <v>47014</v>
      </c>
      <c r="C23" s="82" t="str">
        <f ca="1">VLOOKUP($B23,OFFSET([2]quests!$A$1,0,0,COUNTA([2]quests!$A:$A),MATCH(C$1,[2]quests!$1:$1,0)-MATCH($B$1,[2]quests!$1:$1,0)+1),MATCH(C$1,[2]quests!$1:$1,0)-MATCH($B$1,[2]quests!$1:$1,0)+1,FALSE)</f>
        <v>ヘルレイザー襲来！</v>
      </c>
      <c r="D23" s="82" t="str">
        <f ca="1">VLOOKUP($B23,OFFSET([2]quests!$A$1,0,0,COUNTA([2]quests!$A:$A),MATCH(D$1,[2]quests!$1:$1,0)-MATCH($B$1,[2]quests!$1:$1,0)+1),MATCH(D$1,[2]quests!$1:$1,0)-MATCH($B$1,[2]quests!$1:$1,0)+1,FALSE)</f>
        <v>800万ダウンロード記念イベント</v>
      </c>
      <c r="E23" s="86" t="s">
        <v>215</v>
      </c>
      <c r="F23" s="82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2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4">
        <v>0</v>
      </c>
      <c r="I23">
        <v>23</v>
      </c>
      <c r="J23" s="83" t="s">
        <v>200</v>
      </c>
      <c r="K23" s="92" t="str">
        <f>VLOOKUP(I23,[7]stage_hints!$A:$C,3,FALSE)</f>
        <v>フィーバーで一発逆転（その2）</v>
      </c>
      <c r="L23" s="93" t="str">
        <f>VLOOKUP(I23,[7]stage_hints!$A:$D,4,FALSE)</f>
        <v>フィーバー中は虹色のボムパネルを狙って_x000D_画面上のパネルを一気に破壊しましょう</v>
      </c>
      <c r="M23" s="56" t="s">
        <v>212</v>
      </c>
    </row>
    <row r="24" spans="1:13" x14ac:dyDescent="0.15">
      <c r="A24" s="80" t="s">
        <v>202</v>
      </c>
      <c r="B24" s="81">
        <f>floors!$C$2</f>
        <v>47014</v>
      </c>
      <c r="C24" s="82" t="str">
        <f ca="1">VLOOKUP($B24,OFFSET([2]quests!$A$1,0,0,COUNTA([2]quests!$A:$A),MATCH(C$1,[2]quests!$1:$1,0)-MATCH($B$1,[2]quests!$1:$1,0)+1),MATCH(C$1,[2]quests!$1:$1,0)-MATCH($B$1,[2]quests!$1:$1,0)+1,FALSE)</f>
        <v>ヘルレイザー襲来！</v>
      </c>
      <c r="D24" s="82" t="str">
        <f ca="1">VLOOKUP($B24,OFFSET([2]quests!$A$1,0,0,COUNTA([2]quests!$A:$A),MATCH(D$1,[2]quests!$1:$1,0)-MATCH($B$1,[2]quests!$1:$1,0)+1),MATCH(D$1,[2]quests!$1:$1,0)-MATCH($B$1,[2]quests!$1:$1,0)+1,FALSE)</f>
        <v>800万ダウンロード記念イベント</v>
      </c>
      <c r="E24" s="86" t="s">
        <v>215</v>
      </c>
      <c r="F24" s="82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2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4">
        <v>0</v>
      </c>
      <c r="I24">
        <v>24</v>
      </c>
      <c r="J24" s="83" t="s">
        <v>200</v>
      </c>
      <c r="K24" s="92" t="str">
        <f>VLOOKUP(I24,[7]stage_hints!$A:$C,3,FALSE)</f>
        <v>りんごを使って限界突破</v>
      </c>
      <c r="L24" s="93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6" t="s">
        <v>212</v>
      </c>
    </row>
    <row r="25" spans="1:13" x14ac:dyDescent="0.15">
      <c r="A25" s="80" t="s">
        <v>202</v>
      </c>
      <c r="B25" s="81">
        <f>floors!$C$2</f>
        <v>47014</v>
      </c>
      <c r="C25" s="82" t="str">
        <f ca="1">VLOOKUP($B25,OFFSET([2]quests!$A$1,0,0,COUNTA([2]quests!$A:$A),MATCH(C$1,[2]quests!$1:$1,0)-MATCH($B$1,[2]quests!$1:$1,0)+1),MATCH(C$1,[2]quests!$1:$1,0)-MATCH($B$1,[2]quests!$1:$1,0)+1,FALSE)</f>
        <v>ヘルレイザー襲来！</v>
      </c>
      <c r="D25" s="82" t="str">
        <f ca="1">VLOOKUP($B25,OFFSET([2]quests!$A$1,0,0,COUNTA([2]quests!$A:$A),MATCH(D$1,[2]quests!$1:$1,0)-MATCH($B$1,[2]quests!$1:$1,0)+1),MATCH(D$1,[2]quests!$1:$1,0)-MATCH($B$1,[2]quests!$1:$1,0)+1,FALSE)</f>
        <v>800万ダウンロード記念イベント</v>
      </c>
      <c r="E25" s="86" t="s">
        <v>215</v>
      </c>
      <c r="F25" s="82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2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4">
        <v>0</v>
      </c>
      <c r="I25">
        <v>25</v>
      </c>
      <c r="J25" s="83" t="s">
        <v>200</v>
      </c>
      <c r="K25" s="92" t="str">
        <f>VLOOKUP(I25,[7]stage_hints!$A:$C,3,FALSE)</f>
        <v>スキルレベルアップ</v>
      </c>
      <c r="L25" s="93" t="str">
        <f>VLOOKUP(I25,[7]stage_hints!$A:$D,4,FALSE)</f>
        <v>「クリスタルのりんご」を強化に使うと_x000D_スキルレベルを上げることができます</v>
      </c>
      <c r="M25" s="56" t="s">
        <v>212</v>
      </c>
    </row>
    <row r="26" spans="1:13" x14ac:dyDescent="0.15">
      <c r="A26" s="80" t="s">
        <v>202</v>
      </c>
      <c r="B26" s="81">
        <f>floors!$C$2</f>
        <v>47014</v>
      </c>
      <c r="C26" s="82" t="str">
        <f ca="1">VLOOKUP($B26,OFFSET([2]quests!$A$1,0,0,COUNTA([2]quests!$A:$A),MATCH(C$1,[2]quests!$1:$1,0)-MATCH($B$1,[2]quests!$1:$1,0)+1),MATCH(C$1,[2]quests!$1:$1,0)-MATCH($B$1,[2]quests!$1:$1,0)+1,FALSE)</f>
        <v>ヘルレイザー襲来！</v>
      </c>
      <c r="D26" s="82" t="str">
        <f ca="1">VLOOKUP($B26,OFFSET([2]quests!$A$1,0,0,COUNTA([2]quests!$A:$A),MATCH(D$1,[2]quests!$1:$1,0)-MATCH($B$1,[2]quests!$1:$1,0)+1),MATCH(D$1,[2]quests!$1:$1,0)-MATCH($B$1,[2]quests!$1:$1,0)+1,FALSE)</f>
        <v>800万ダウンロード記念イベント</v>
      </c>
      <c r="E26" s="86" t="s">
        <v>215</v>
      </c>
      <c r="F26" s="82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2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4">
        <v>0</v>
      </c>
      <c r="I26">
        <v>26</v>
      </c>
      <c r="J26" s="83" t="s">
        <v>200</v>
      </c>
      <c r="K26" s="92" t="str">
        <f>VLOOKUP(I26,[7]stage_hints!$A:$C,3,FALSE)</f>
        <v>スキルレベルの効果</v>
      </c>
      <c r="L26" s="93" t="str">
        <f>VLOOKUP(I26,[7]stage_hints!$A:$D,4,FALSE)</f>
        <v>スキルレベルが上がると_x000D_短いターンでスキルを使うことができます</v>
      </c>
      <c r="M26" s="56" t="s">
        <v>212</v>
      </c>
    </row>
    <row r="27" spans="1:13" x14ac:dyDescent="0.15">
      <c r="A27" s="80" t="s">
        <v>202</v>
      </c>
      <c r="B27" s="81">
        <f>floors!$C$2</f>
        <v>47014</v>
      </c>
      <c r="C27" s="82" t="str">
        <f ca="1">VLOOKUP($B27,OFFSET([2]quests!$A$1,0,0,COUNTA([2]quests!$A:$A),MATCH(C$1,[2]quests!$1:$1,0)-MATCH($B$1,[2]quests!$1:$1,0)+1),MATCH(C$1,[2]quests!$1:$1,0)-MATCH($B$1,[2]quests!$1:$1,0)+1,FALSE)</f>
        <v>ヘルレイザー襲来！</v>
      </c>
      <c r="D27" s="82" t="str">
        <f ca="1">VLOOKUP($B27,OFFSET([2]quests!$A$1,0,0,COUNTA([2]quests!$A:$A),MATCH(D$1,[2]quests!$1:$1,0)-MATCH($B$1,[2]quests!$1:$1,0)+1),MATCH(D$1,[2]quests!$1:$1,0)-MATCH($B$1,[2]quests!$1:$1,0)+1,FALSE)</f>
        <v>800万ダウンロード記念イベント</v>
      </c>
      <c r="E27" s="86" t="s">
        <v>215</v>
      </c>
      <c r="F27" s="82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2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4">
        <v>0</v>
      </c>
      <c r="I27">
        <v>39</v>
      </c>
      <c r="J27" s="83" t="s">
        <v>200</v>
      </c>
      <c r="K27" s="92" t="str">
        <f>VLOOKUP(I27,[7]stage_hints!$A:$C,3,FALSE)</f>
        <v>システム適合者を確認</v>
      </c>
      <c r="L27" s="93" t="str">
        <f>VLOOKUP(I27,[7]stage_hints!$A:$D,4,FALSE)</f>
        <v>ALICEが 「アナタ」を呼んでいます</v>
      </c>
      <c r="M27" s="56" t="s">
        <v>212</v>
      </c>
    </row>
    <row r="28" spans="1:13" x14ac:dyDescent="0.15">
      <c r="A28" s="80" t="s">
        <v>202</v>
      </c>
      <c r="B28" s="81">
        <f>floors!$C$2</f>
        <v>47014</v>
      </c>
      <c r="C28" s="82" t="str">
        <f ca="1">VLOOKUP($B28,OFFSET([2]quests!$A$1,0,0,COUNTA([2]quests!$A:$A),MATCH(C$1,[2]quests!$1:$1,0)-MATCH($B$1,[2]quests!$1:$1,0)+1),MATCH(C$1,[2]quests!$1:$1,0)-MATCH($B$1,[2]quests!$1:$1,0)+1,FALSE)</f>
        <v>ヘルレイザー襲来！</v>
      </c>
      <c r="D28" s="82" t="str">
        <f ca="1">VLOOKUP($B28,OFFSET([2]quests!$A$1,0,0,COUNTA([2]quests!$A:$A),MATCH(D$1,[2]quests!$1:$1,0)-MATCH($B$1,[2]quests!$1:$1,0)+1),MATCH(D$1,[2]quests!$1:$1,0)-MATCH($B$1,[2]quests!$1:$1,0)+1,FALSE)</f>
        <v>800万ダウンロード記念イベント</v>
      </c>
      <c r="E28" s="86" t="s">
        <v>216</v>
      </c>
      <c r="F28" s="82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2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4">
        <v>0</v>
      </c>
      <c r="I28">
        <v>3</v>
      </c>
      <c r="J28" s="83" t="s">
        <v>200</v>
      </c>
      <c r="K28" s="92" t="str">
        <f>VLOOKUP(I28,[7]stage_hints!$A:$C,3,FALSE)</f>
        <v>ターゲット</v>
      </c>
      <c r="L28" s="93" t="str">
        <f>VLOOKUP(I28,[7]stage_hints!$A:$D,4,FALSE)</f>
        <v>敵ユニットをタップすると_x000D_その敵を狙い撃ちできます</v>
      </c>
      <c r="M28" s="56" t="s">
        <v>212</v>
      </c>
    </row>
    <row r="29" spans="1:13" x14ac:dyDescent="0.15">
      <c r="A29" s="80" t="s">
        <v>202</v>
      </c>
      <c r="B29" s="81">
        <f>floors!$C$2</f>
        <v>47014</v>
      </c>
      <c r="C29" s="82" t="str">
        <f ca="1">VLOOKUP($B29,OFFSET([2]quests!$A$1,0,0,COUNTA([2]quests!$A:$A),MATCH(C$1,[2]quests!$1:$1,0)-MATCH($B$1,[2]quests!$1:$1,0)+1),MATCH(C$1,[2]quests!$1:$1,0)-MATCH($B$1,[2]quests!$1:$1,0)+1,FALSE)</f>
        <v>ヘルレイザー襲来！</v>
      </c>
      <c r="D29" s="82" t="str">
        <f ca="1">VLOOKUP($B29,OFFSET([2]quests!$A$1,0,0,COUNTA([2]quests!$A:$A),MATCH(D$1,[2]quests!$1:$1,0)-MATCH($B$1,[2]quests!$1:$1,0)+1),MATCH(D$1,[2]quests!$1:$1,0)-MATCH($B$1,[2]quests!$1:$1,0)+1,FALSE)</f>
        <v>800万ダウンロード記念イベント</v>
      </c>
      <c r="E29" s="86" t="s">
        <v>216</v>
      </c>
      <c r="F29" s="82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2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4">
        <v>0</v>
      </c>
      <c r="I29">
        <v>6</v>
      </c>
      <c r="J29" s="83" t="s">
        <v>200</v>
      </c>
      <c r="K29" s="92" t="str">
        <f>VLOOKUP(I29,[7]stage_hints!$A:$C,3,FALSE)</f>
        <v>ユニット強化の属性ボーナス</v>
      </c>
      <c r="L29" s="93" t="str">
        <f>VLOOKUP(I29,[7]stage_hints!$A:$D,4,FALSE)</f>
        <v>同属性ユニットを強化素材にすると_x000D_経験値が多くもらえます</v>
      </c>
      <c r="M29" s="56" t="s">
        <v>212</v>
      </c>
    </row>
    <row r="30" spans="1:13" x14ac:dyDescent="0.15">
      <c r="A30" s="80" t="s">
        <v>202</v>
      </c>
      <c r="B30" s="81">
        <f>floors!$C$2</f>
        <v>47014</v>
      </c>
      <c r="C30" s="82" t="str">
        <f ca="1">VLOOKUP($B30,OFFSET([2]quests!$A$1,0,0,COUNTA([2]quests!$A:$A),MATCH(C$1,[2]quests!$1:$1,0)-MATCH($B$1,[2]quests!$1:$1,0)+1),MATCH(C$1,[2]quests!$1:$1,0)-MATCH($B$1,[2]quests!$1:$1,0)+1,FALSE)</f>
        <v>ヘルレイザー襲来！</v>
      </c>
      <c r="D30" s="82" t="str">
        <f ca="1">VLOOKUP($B30,OFFSET([2]quests!$A$1,0,0,COUNTA([2]quests!$A:$A),MATCH(D$1,[2]quests!$1:$1,0)-MATCH($B$1,[2]quests!$1:$1,0)+1),MATCH(D$1,[2]quests!$1:$1,0)-MATCH($B$1,[2]quests!$1:$1,0)+1,FALSE)</f>
        <v>800万ダウンロード記念イベント</v>
      </c>
      <c r="E30" s="86" t="s">
        <v>216</v>
      </c>
      <c r="F30" s="82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2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4">
        <v>0</v>
      </c>
      <c r="I30">
        <v>7</v>
      </c>
      <c r="J30" s="83" t="s">
        <v>200</v>
      </c>
      <c r="K30" s="92" t="str">
        <f>VLOOKUP(I30,[7]stage_hints!$A:$C,3,FALSE)</f>
        <v>メタルダックで経験値を獲得</v>
      </c>
      <c r="L30" s="93" t="str">
        <f>VLOOKUP(I30,[7]stage_hints!$A:$D,4,FALSE)</f>
        <v>「メタルなアヒル」を強化素材にすると_x000D_大量の経験値がもらえます</v>
      </c>
      <c r="M30" s="56" t="s">
        <v>212</v>
      </c>
    </row>
    <row r="31" spans="1:13" x14ac:dyDescent="0.15">
      <c r="A31" s="80" t="s">
        <v>202</v>
      </c>
      <c r="B31" s="81">
        <f>floors!$C$2</f>
        <v>47014</v>
      </c>
      <c r="C31" s="82" t="str">
        <f ca="1">VLOOKUP($B31,OFFSET([2]quests!$A$1,0,0,COUNTA([2]quests!$A:$A),MATCH(C$1,[2]quests!$1:$1,0)-MATCH($B$1,[2]quests!$1:$1,0)+1),MATCH(C$1,[2]quests!$1:$1,0)-MATCH($B$1,[2]quests!$1:$1,0)+1,FALSE)</f>
        <v>ヘルレイザー襲来！</v>
      </c>
      <c r="D31" s="82" t="str">
        <f ca="1">VLOOKUP($B31,OFFSET([2]quests!$A$1,0,0,COUNTA([2]quests!$A:$A),MATCH(D$1,[2]quests!$1:$1,0)-MATCH($B$1,[2]quests!$1:$1,0)+1),MATCH(D$1,[2]quests!$1:$1,0)-MATCH($B$1,[2]quests!$1:$1,0)+1,FALSE)</f>
        <v>800万ダウンロード記念イベント</v>
      </c>
      <c r="E31" s="86" t="s">
        <v>216</v>
      </c>
      <c r="F31" s="82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2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4">
        <v>0</v>
      </c>
      <c r="I31">
        <v>8</v>
      </c>
      <c r="J31" s="83" t="s">
        <v>200</v>
      </c>
      <c r="K31" s="92" t="str">
        <f>VLOOKUP(I31,[7]stage_hints!$A:$C,3,FALSE)</f>
        <v>ゲリラクエストは要チェック</v>
      </c>
      <c r="L31" s="93" t="str">
        <f>VLOOKUP(I31,[7]stage_hints!$A:$D,4,FALSE)</f>
        <v>時間限定の「アヒル捕獲作戦」では_x000D_経験値素材ユニットが多く手に入ります</v>
      </c>
      <c r="M31" s="56" t="s">
        <v>212</v>
      </c>
    </row>
    <row r="32" spans="1:13" x14ac:dyDescent="0.15">
      <c r="A32" s="80" t="s">
        <v>202</v>
      </c>
      <c r="B32" s="81">
        <f>floors!$C$2</f>
        <v>47014</v>
      </c>
      <c r="C32" s="82" t="str">
        <f ca="1">VLOOKUP($B32,OFFSET([2]quests!$A$1,0,0,COUNTA([2]quests!$A:$A),MATCH(C$1,[2]quests!$1:$1,0)-MATCH($B$1,[2]quests!$1:$1,0)+1),MATCH(C$1,[2]quests!$1:$1,0)-MATCH($B$1,[2]quests!$1:$1,0)+1,FALSE)</f>
        <v>ヘルレイザー襲来！</v>
      </c>
      <c r="D32" s="82" t="str">
        <f ca="1">VLOOKUP($B32,OFFSET([2]quests!$A$1,0,0,COUNTA([2]quests!$A:$A),MATCH(D$1,[2]quests!$1:$1,0)-MATCH($B$1,[2]quests!$1:$1,0)+1),MATCH(D$1,[2]quests!$1:$1,0)-MATCH($B$1,[2]quests!$1:$1,0)+1,FALSE)</f>
        <v>800万ダウンロード記念イベント</v>
      </c>
      <c r="E32" s="86" t="s">
        <v>216</v>
      </c>
      <c r="F32" s="82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2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4">
        <v>0</v>
      </c>
      <c r="I32">
        <v>9</v>
      </c>
      <c r="J32" s="83" t="s">
        <v>200</v>
      </c>
      <c r="K32" s="92" t="str">
        <f>VLOOKUP(I32,[7]stage_hints!$A:$C,3,FALSE)</f>
        <v>ゴールドダックでビットを獲得</v>
      </c>
      <c r="L32" s="93" t="str">
        <f>VLOOKUP(I32,[7]stage_hints!$A:$D,4,FALSE)</f>
        <v>「ゴールドなアヒル」を売却すると_x000D_大量のビットがもらえます</v>
      </c>
      <c r="M32" s="56" t="s">
        <v>212</v>
      </c>
    </row>
    <row r="33" spans="1:13" x14ac:dyDescent="0.15">
      <c r="A33" s="80" t="s">
        <v>202</v>
      </c>
      <c r="B33" s="81">
        <f>floors!$C$2</f>
        <v>47014</v>
      </c>
      <c r="C33" s="82" t="str">
        <f ca="1">VLOOKUP($B33,OFFSET([2]quests!$A$1,0,0,COUNTA([2]quests!$A:$A),MATCH(C$1,[2]quests!$1:$1,0)-MATCH($B$1,[2]quests!$1:$1,0)+1),MATCH(C$1,[2]quests!$1:$1,0)-MATCH($B$1,[2]quests!$1:$1,0)+1,FALSE)</f>
        <v>ヘルレイザー襲来！</v>
      </c>
      <c r="D33" s="82" t="str">
        <f ca="1">VLOOKUP($B33,OFFSET([2]quests!$A$1,0,0,COUNTA([2]quests!$A:$A),MATCH(D$1,[2]quests!$1:$1,0)-MATCH($B$1,[2]quests!$1:$1,0)+1),MATCH(D$1,[2]quests!$1:$1,0)-MATCH($B$1,[2]quests!$1:$1,0)+1,FALSE)</f>
        <v>800万ダウンロード記念イベント</v>
      </c>
      <c r="E33" s="86" t="s">
        <v>216</v>
      </c>
      <c r="F33" s="82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2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4">
        <v>0</v>
      </c>
      <c r="I33">
        <v>10</v>
      </c>
      <c r="J33" s="83" t="s">
        <v>200</v>
      </c>
      <c r="K33" s="92" t="str">
        <f>VLOOKUP(I33,[7]stage_hints!$A:$C,3,FALSE)</f>
        <v>土日に大量のビットを獲得</v>
      </c>
      <c r="L33" s="93" t="str">
        <f>VLOOKUP(I33,[7]stage_hints!$A:$D,4,FALSE)</f>
        <v>土日限定の「ゴールドカジノ」では_x000D_売却素材ユニットが多く手に入ります</v>
      </c>
      <c r="M33" s="56" t="s">
        <v>212</v>
      </c>
    </row>
    <row r="34" spans="1:13" x14ac:dyDescent="0.15">
      <c r="A34" s="80" t="s">
        <v>202</v>
      </c>
      <c r="B34" s="81">
        <f>floors!$C$2</f>
        <v>47014</v>
      </c>
      <c r="C34" s="82" t="str">
        <f ca="1">VLOOKUP($B34,OFFSET([2]quests!$A$1,0,0,COUNTA([2]quests!$A:$A),MATCH(C$1,[2]quests!$1:$1,0)-MATCH($B$1,[2]quests!$1:$1,0)+1),MATCH(C$1,[2]quests!$1:$1,0)-MATCH($B$1,[2]quests!$1:$1,0)+1,FALSE)</f>
        <v>ヘルレイザー襲来！</v>
      </c>
      <c r="D34" s="82" t="str">
        <f ca="1">VLOOKUP($B34,OFFSET([2]quests!$A$1,0,0,COUNTA([2]quests!$A:$A),MATCH(D$1,[2]quests!$1:$1,0)-MATCH($B$1,[2]quests!$1:$1,0)+1),MATCH(D$1,[2]quests!$1:$1,0)-MATCH($B$1,[2]quests!$1:$1,0)+1,FALSE)</f>
        <v>800万ダウンロード記念イベント</v>
      </c>
      <c r="E34" s="86" t="s">
        <v>216</v>
      </c>
      <c r="F34" s="82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2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4">
        <v>0</v>
      </c>
      <c r="I34">
        <v>11</v>
      </c>
      <c r="J34" s="83" t="s">
        <v>200</v>
      </c>
      <c r="K34" s="92" t="str">
        <f>VLOOKUP(I34,[7]stage_hints!$A:$C,3,FALSE)</f>
        <v>ランク解放クエスト</v>
      </c>
      <c r="L34" s="93" t="str">
        <f>VLOOKUP(I34,[7]stage_hints!$A:$D,4,FALSE)</f>
        <v>一定ランクに到達すると_x000D_報酬付きのランク開放クエストが現れます</v>
      </c>
      <c r="M34" s="56" t="s">
        <v>212</v>
      </c>
    </row>
    <row r="35" spans="1:13" x14ac:dyDescent="0.15">
      <c r="A35" s="80" t="s">
        <v>202</v>
      </c>
      <c r="B35" s="81">
        <f>floors!$C$2</f>
        <v>47014</v>
      </c>
      <c r="C35" s="82" t="str">
        <f ca="1">VLOOKUP($B35,OFFSET([2]quests!$A$1,0,0,COUNTA([2]quests!$A:$A),MATCH(C$1,[2]quests!$1:$1,0)-MATCH($B$1,[2]quests!$1:$1,0)+1),MATCH(C$1,[2]quests!$1:$1,0)-MATCH($B$1,[2]quests!$1:$1,0)+1,FALSE)</f>
        <v>ヘルレイザー襲来！</v>
      </c>
      <c r="D35" s="82" t="str">
        <f ca="1">VLOOKUP($B35,OFFSET([2]quests!$A$1,0,0,COUNTA([2]quests!$A:$A),MATCH(D$1,[2]quests!$1:$1,0)-MATCH($B$1,[2]quests!$1:$1,0)+1),MATCH(D$1,[2]quests!$1:$1,0)-MATCH($B$1,[2]quests!$1:$1,0)+1,FALSE)</f>
        <v>800万ダウンロード記念イベント</v>
      </c>
      <c r="E35" s="86" t="s">
        <v>216</v>
      </c>
      <c r="F35" s="82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2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4">
        <v>0</v>
      </c>
      <c r="I35">
        <v>12</v>
      </c>
      <c r="J35" s="83" t="s">
        <v>200</v>
      </c>
      <c r="K35" s="92" t="str">
        <f>VLOOKUP(I35,[7]stage_hints!$A:$C,3,FALSE)</f>
        <v>ユニットのお気に入り登録</v>
      </c>
      <c r="L35" s="93" t="str">
        <f>VLOOKUP(I35,[7]stage_hints!$A:$D,4,FALSE)</f>
        <v>大事なユニットを誤って消さないように_x000D_フォルダから「お気に入り登録」しましょう</v>
      </c>
      <c r="M35" s="56" t="s">
        <v>212</v>
      </c>
    </row>
    <row r="36" spans="1:13" x14ac:dyDescent="0.15">
      <c r="A36" s="80" t="s">
        <v>202</v>
      </c>
      <c r="B36" s="81">
        <f>floors!$C$2</f>
        <v>47014</v>
      </c>
      <c r="C36" s="82" t="str">
        <f ca="1">VLOOKUP($B36,OFFSET([2]quests!$A$1,0,0,COUNTA([2]quests!$A:$A),MATCH(C$1,[2]quests!$1:$1,0)-MATCH($B$1,[2]quests!$1:$1,0)+1),MATCH(C$1,[2]quests!$1:$1,0)-MATCH($B$1,[2]quests!$1:$1,0)+1,FALSE)</f>
        <v>ヘルレイザー襲来！</v>
      </c>
      <c r="D36" s="82" t="str">
        <f ca="1">VLOOKUP($B36,OFFSET([2]quests!$A$1,0,0,COUNTA([2]quests!$A:$A),MATCH(D$1,[2]quests!$1:$1,0)-MATCH($B$1,[2]quests!$1:$1,0)+1),MATCH(D$1,[2]quests!$1:$1,0)-MATCH($B$1,[2]quests!$1:$1,0)+1,FALSE)</f>
        <v>800万ダウンロード記念イベント</v>
      </c>
      <c r="E36" s="86" t="s">
        <v>216</v>
      </c>
      <c r="F36" s="82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2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4">
        <v>0</v>
      </c>
      <c r="I36">
        <v>13</v>
      </c>
      <c r="J36" s="83" t="s">
        <v>200</v>
      </c>
      <c r="K36" s="92" t="str">
        <f>VLOOKUP(I36,[7]stage_hints!$A:$C,3,FALSE)</f>
        <v>ユニットの覚醒</v>
      </c>
      <c r="L36" s="93" t="str">
        <f>VLOOKUP(I36,[7]stage_hints!$A:$D,4,FALSE)</f>
        <v>ユニットを覚醒させると_x000D_比べものにならない強さが手に入ります</v>
      </c>
      <c r="M36" s="56" t="s">
        <v>212</v>
      </c>
    </row>
    <row r="37" spans="1:13" x14ac:dyDescent="0.15">
      <c r="A37" s="80" t="s">
        <v>202</v>
      </c>
      <c r="B37" s="81">
        <f>floors!$C$2</f>
        <v>47014</v>
      </c>
      <c r="C37" s="82" t="str">
        <f ca="1">VLOOKUP($B37,OFFSET([2]quests!$A$1,0,0,COUNTA([2]quests!$A:$A),MATCH(C$1,[2]quests!$1:$1,0)-MATCH($B$1,[2]quests!$1:$1,0)+1),MATCH(C$1,[2]quests!$1:$1,0)-MATCH($B$1,[2]quests!$1:$1,0)+1,FALSE)</f>
        <v>ヘルレイザー襲来！</v>
      </c>
      <c r="D37" s="82" t="str">
        <f ca="1">VLOOKUP($B37,OFFSET([2]quests!$A$1,0,0,COUNTA([2]quests!$A:$A),MATCH(D$1,[2]quests!$1:$1,0)-MATCH($B$1,[2]quests!$1:$1,0)+1),MATCH(D$1,[2]quests!$1:$1,0)-MATCH($B$1,[2]quests!$1:$1,0)+1,FALSE)</f>
        <v>800万ダウンロード記念イベント</v>
      </c>
      <c r="E37" s="86" t="s">
        <v>216</v>
      </c>
      <c r="F37" s="82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2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4">
        <v>0</v>
      </c>
      <c r="I37">
        <v>14</v>
      </c>
      <c r="J37" s="83" t="s">
        <v>200</v>
      </c>
      <c r="K37" s="92" t="str">
        <f>VLOOKUP(I37,[7]stage_hints!$A:$C,3,FALSE)</f>
        <v>覚醒するにはレベルを最大に</v>
      </c>
      <c r="L37" s="93" t="str">
        <f>VLOOKUP(I37,[7]stage_hints!$A:$D,4,FALSE)</f>
        <v>覚醒するにはユニットのレベルを_x000D_最大まで上げる必要があります</v>
      </c>
      <c r="M37" s="56" t="s">
        <v>212</v>
      </c>
    </row>
    <row r="38" spans="1:13" x14ac:dyDescent="0.15">
      <c r="A38" s="80" t="s">
        <v>202</v>
      </c>
      <c r="B38" s="81">
        <f>floors!$C$2</f>
        <v>47014</v>
      </c>
      <c r="C38" s="82" t="str">
        <f ca="1">VLOOKUP($B38,OFFSET([2]quests!$A$1,0,0,COUNTA([2]quests!$A:$A),MATCH(C$1,[2]quests!$1:$1,0)-MATCH($B$1,[2]quests!$1:$1,0)+1),MATCH(C$1,[2]quests!$1:$1,0)-MATCH($B$1,[2]quests!$1:$1,0)+1,FALSE)</f>
        <v>ヘルレイザー襲来！</v>
      </c>
      <c r="D38" s="82" t="str">
        <f ca="1">VLOOKUP($B38,OFFSET([2]quests!$A$1,0,0,COUNTA([2]quests!$A:$A),MATCH(D$1,[2]quests!$1:$1,0)-MATCH($B$1,[2]quests!$1:$1,0)+1),MATCH(D$1,[2]quests!$1:$1,0)-MATCH($B$1,[2]quests!$1:$1,0)+1,FALSE)</f>
        <v>800万ダウンロード記念イベント</v>
      </c>
      <c r="E38" s="86" t="s">
        <v>216</v>
      </c>
      <c r="F38" s="82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2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4">
        <v>0</v>
      </c>
      <c r="I38">
        <v>15</v>
      </c>
      <c r="J38" s="83" t="s">
        <v>200</v>
      </c>
      <c r="K38" s="92" t="str">
        <f>VLOOKUP(I38,[7]stage_hints!$A:$C,3,FALSE)</f>
        <v>覚醒素材を獲得</v>
      </c>
      <c r="L38" s="93" t="str">
        <f>VLOOKUP(I38,[7]stage_hints!$A:$D,4,FALSE)</f>
        <v>「曜日クエスト」では_x000D_ユニットの覚醒に必要な素材が手に入ります</v>
      </c>
      <c r="M38" s="56" t="s">
        <v>212</v>
      </c>
    </row>
    <row r="39" spans="1:13" x14ac:dyDescent="0.15">
      <c r="A39" s="80" t="s">
        <v>202</v>
      </c>
      <c r="B39" s="81">
        <f>floors!$C$2</f>
        <v>47014</v>
      </c>
      <c r="C39" s="82" t="str">
        <f ca="1">VLOOKUP($B39,OFFSET([2]quests!$A$1,0,0,COUNTA([2]quests!$A:$A),MATCH(C$1,[2]quests!$1:$1,0)-MATCH($B$1,[2]quests!$1:$1,0)+1),MATCH(C$1,[2]quests!$1:$1,0)-MATCH($B$1,[2]quests!$1:$1,0)+1,FALSE)</f>
        <v>ヘルレイザー襲来！</v>
      </c>
      <c r="D39" s="82" t="str">
        <f ca="1">VLOOKUP($B39,OFFSET([2]quests!$A$1,0,0,COUNTA([2]quests!$A:$A),MATCH(D$1,[2]quests!$1:$1,0)-MATCH($B$1,[2]quests!$1:$1,0)+1),MATCH(D$1,[2]quests!$1:$1,0)-MATCH($B$1,[2]quests!$1:$1,0)+1,FALSE)</f>
        <v>800万ダウンロード記念イベント</v>
      </c>
      <c r="E39" s="86" t="s">
        <v>216</v>
      </c>
      <c r="F39" s="82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2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4">
        <v>0</v>
      </c>
      <c r="I39">
        <v>16</v>
      </c>
      <c r="J39" s="83" t="s">
        <v>200</v>
      </c>
      <c r="K39" s="92" t="str">
        <f>VLOOKUP(I39,[7]stage_hints!$A:$C,3,FALSE)</f>
        <v>マルチプレイのメリット（その1）</v>
      </c>
      <c r="L39" s="93" t="str">
        <f>VLOOKUP(I39,[7]stage_hints!$A:$D,4,FALSE)</f>
        <v>他のプレイヤーとマルチプレイで遊ぶと_x000D_ポリゴンがもらえます（100人まで）</v>
      </c>
      <c r="M39" s="56" t="s">
        <v>212</v>
      </c>
    </row>
    <row r="40" spans="1:13" x14ac:dyDescent="0.15">
      <c r="A40" s="80" t="s">
        <v>202</v>
      </c>
      <c r="B40" s="81">
        <f>floors!$C$2</f>
        <v>47014</v>
      </c>
      <c r="C40" s="82" t="str">
        <f ca="1">VLOOKUP($B40,OFFSET([2]quests!$A$1,0,0,COUNTA([2]quests!$A:$A),MATCH(C$1,[2]quests!$1:$1,0)-MATCH($B$1,[2]quests!$1:$1,0)+1),MATCH(C$1,[2]quests!$1:$1,0)-MATCH($B$1,[2]quests!$1:$1,0)+1,FALSE)</f>
        <v>ヘルレイザー襲来！</v>
      </c>
      <c r="D40" s="82" t="str">
        <f ca="1">VLOOKUP($B40,OFFSET([2]quests!$A$1,0,0,COUNTA([2]quests!$A:$A),MATCH(D$1,[2]quests!$1:$1,0)-MATCH($B$1,[2]quests!$1:$1,0)+1),MATCH(D$1,[2]quests!$1:$1,0)-MATCH($B$1,[2]quests!$1:$1,0)+1,FALSE)</f>
        <v>800万ダウンロード記念イベント</v>
      </c>
      <c r="E40" s="86" t="s">
        <v>216</v>
      </c>
      <c r="F40" s="82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2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4">
        <v>0</v>
      </c>
      <c r="I40">
        <v>17</v>
      </c>
      <c r="J40" s="83" t="s">
        <v>200</v>
      </c>
      <c r="K40" s="92" t="str">
        <f>VLOOKUP(I40,[7]stage_hints!$A:$C,3,FALSE)</f>
        <v>リンクガチャ</v>
      </c>
      <c r="L40" s="93" t="str">
        <f>VLOOKUP(I40,[7]stage_hints!$A:$D,4,FALSE)</f>
        <v>無料のリンクガチャを回して_x000D_経験値素材や売却素材を獲得しましょう</v>
      </c>
      <c r="M40" s="56" t="s">
        <v>212</v>
      </c>
    </row>
    <row r="41" spans="1:13" x14ac:dyDescent="0.15">
      <c r="A41" s="80" t="s">
        <v>202</v>
      </c>
      <c r="B41" s="81">
        <f>floors!$C$2</f>
        <v>47014</v>
      </c>
      <c r="C41" s="82" t="str">
        <f ca="1">VLOOKUP($B41,OFFSET([2]quests!$A$1,0,0,COUNTA([2]quests!$A:$A),MATCH(C$1,[2]quests!$1:$1,0)-MATCH($B$1,[2]quests!$1:$1,0)+1),MATCH(C$1,[2]quests!$1:$1,0)-MATCH($B$1,[2]quests!$1:$1,0)+1,FALSE)</f>
        <v>ヘルレイザー襲来！</v>
      </c>
      <c r="D41" s="82" t="str">
        <f ca="1">VLOOKUP($B41,OFFSET([2]quests!$A$1,0,0,COUNTA([2]quests!$A:$A),MATCH(D$1,[2]quests!$1:$1,0)-MATCH($B$1,[2]quests!$1:$1,0)+1),MATCH(D$1,[2]quests!$1:$1,0)-MATCH($B$1,[2]quests!$1:$1,0)+1,FALSE)</f>
        <v>800万ダウンロード記念イベント</v>
      </c>
      <c r="E41" s="86" t="s">
        <v>216</v>
      </c>
      <c r="F41" s="82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2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4">
        <v>0</v>
      </c>
      <c r="I41">
        <v>18</v>
      </c>
      <c r="J41" s="83" t="s">
        <v>200</v>
      </c>
      <c r="K41" s="92" t="str">
        <f>VLOOKUP(I41,[7]stage_hints!$A:$C,3,FALSE)</f>
        <v>マルチプレイのメリット（その2）</v>
      </c>
      <c r="L41" s="93" t="str">
        <f>VLOOKUP(I41,[7]stage_hints!$A:$D,4,FALSE)</f>
        <v>マルチプレイならリンクが2倍もらえます_x000D_リンクガチャをたくさん回しましょう</v>
      </c>
      <c r="M41" s="56" t="s">
        <v>212</v>
      </c>
    </row>
    <row r="42" spans="1:13" x14ac:dyDescent="0.15">
      <c r="A42" s="80" t="s">
        <v>202</v>
      </c>
      <c r="B42" s="81">
        <f>floors!$C$2</f>
        <v>47014</v>
      </c>
      <c r="C42" s="82" t="str">
        <f ca="1">VLOOKUP($B42,OFFSET([2]quests!$A$1,0,0,COUNTA([2]quests!$A:$A),MATCH(C$1,[2]quests!$1:$1,0)-MATCH($B$1,[2]quests!$1:$1,0)+1),MATCH(C$1,[2]quests!$1:$1,0)-MATCH($B$1,[2]quests!$1:$1,0)+1,FALSE)</f>
        <v>ヘルレイザー襲来！</v>
      </c>
      <c r="D42" s="82" t="str">
        <f ca="1">VLOOKUP($B42,OFFSET([2]quests!$A$1,0,0,COUNTA([2]quests!$A:$A),MATCH(D$1,[2]quests!$1:$1,0)-MATCH($B$1,[2]quests!$1:$1,0)+1),MATCH(D$1,[2]quests!$1:$1,0)-MATCH($B$1,[2]quests!$1:$1,0)+1,FALSE)</f>
        <v>800万ダウンロード記念イベント</v>
      </c>
      <c r="E42" s="86" t="s">
        <v>216</v>
      </c>
      <c r="F42" s="82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2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4">
        <v>0</v>
      </c>
      <c r="I42">
        <v>19</v>
      </c>
      <c r="J42" s="83" t="s">
        <v>200</v>
      </c>
      <c r="K42" s="92" t="str">
        <f>VLOOKUP(I42,[7]stage_hints!$A:$C,3,FALSE)</f>
        <v>ソロ専用タワーオブザクイーン</v>
      </c>
      <c r="L42" s="93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6" t="s">
        <v>212</v>
      </c>
    </row>
    <row r="43" spans="1:13" x14ac:dyDescent="0.15">
      <c r="A43" s="80" t="s">
        <v>202</v>
      </c>
      <c r="B43" s="81">
        <f>floors!$C$2</f>
        <v>47014</v>
      </c>
      <c r="C43" s="82" t="str">
        <f ca="1">VLOOKUP($B43,OFFSET([2]quests!$A$1,0,0,COUNTA([2]quests!$A:$A),MATCH(C$1,[2]quests!$1:$1,0)-MATCH($B$1,[2]quests!$1:$1,0)+1),MATCH(C$1,[2]quests!$1:$1,0)-MATCH($B$1,[2]quests!$1:$1,0)+1,FALSE)</f>
        <v>ヘルレイザー襲来！</v>
      </c>
      <c r="D43" s="82" t="str">
        <f ca="1">VLOOKUP($B43,OFFSET([2]quests!$A$1,0,0,COUNTA([2]quests!$A:$A),MATCH(D$1,[2]quests!$1:$1,0)-MATCH($B$1,[2]quests!$1:$1,0)+1),MATCH(D$1,[2]quests!$1:$1,0)-MATCH($B$1,[2]quests!$1:$1,0)+1,FALSE)</f>
        <v>800万ダウンロード記念イベント</v>
      </c>
      <c r="E43" s="86" t="s">
        <v>216</v>
      </c>
      <c r="F43" s="82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2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4">
        <v>0</v>
      </c>
      <c r="I43">
        <v>20</v>
      </c>
      <c r="J43" s="83" t="s">
        <v>200</v>
      </c>
      <c r="K43" s="92" t="str">
        <f>VLOOKUP(I43,[7]stage_hints!$A:$C,3,FALSE)</f>
        <v>マルチプレイのメリット（その3）</v>
      </c>
      <c r="L43" s="93" t="str">
        <f>VLOOKUP(I43,[7]stage_hints!$A:$D,4,FALSE)</f>
        <v>マルチプレイへの参加はエナジー消費ゼロ_x000D_いつでも好きなだけ遊ぶことができます</v>
      </c>
      <c r="M43" s="56" t="s">
        <v>212</v>
      </c>
    </row>
    <row r="44" spans="1:13" x14ac:dyDescent="0.15">
      <c r="A44" s="80" t="s">
        <v>202</v>
      </c>
      <c r="B44" s="81">
        <f>floors!$C$2</f>
        <v>47014</v>
      </c>
      <c r="C44" s="82" t="str">
        <f ca="1">VLOOKUP($B44,OFFSET([2]quests!$A$1,0,0,COUNTA([2]quests!$A:$A),MATCH(C$1,[2]quests!$1:$1,0)-MATCH($B$1,[2]quests!$1:$1,0)+1),MATCH(C$1,[2]quests!$1:$1,0)-MATCH($B$1,[2]quests!$1:$1,0)+1,FALSE)</f>
        <v>ヘルレイザー襲来！</v>
      </c>
      <c r="D44" s="82" t="str">
        <f ca="1">VLOOKUP($B44,OFFSET([2]quests!$A$1,0,0,COUNTA([2]quests!$A:$A),MATCH(D$1,[2]quests!$1:$1,0)-MATCH($B$1,[2]quests!$1:$1,0)+1),MATCH(D$1,[2]quests!$1:$1,0)-MATCH($B$1,[2]quests!$1:$1,0)+1,FALSE)</f>
        <v>800万ダウンロード記念イベント</v>
      </c>
      <c r="E44" s="86" t="s">
        <v>216</v>
      </c>
      <c r="F44" s="82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2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4">
        <v>0</v>
      </c>
      <c r="I44">
        <v>21</v>
      </c>
      <c r="J44" s="83" t="s">
        <v>200</v>
      </c>
      <c r="K44" s="92" t="str">
        <f>VLOOKUP(I44,[7]stage_hints!$A:$C,3,FALSE)</f>
        <v>スキルを有効に</v>
      </c>
      <c r="L44" s="93" t="str">
        <f>VLOOKUP(I44,[7]stage_hints!$A:$D,4,FALSE)</f>
        <v>ターン経過でユニットのスキルが使えます_x000D_強力スキルでバトルを有利に進めましょう</v>
      </c>
      <c r="M44" s="56" t="s">
        <v>212</v>
      </c>
    </row>
    <row r="45" spans="1:13" x14ac:dyDescent="0.15">
      <c r="A45" s="80" t="s">
        <v>202</v>
      </c>
      <c r="B45" s="81">
        <f>floors!$C$2</f>
        <v>47014</v>
      </c>
      <c r="C45" s="82" t="str">
        <f ca="1">VLOOKUP($B45,OFFSET([2]quests!$A$1,0,0,COUNTA([2]quests!$A:$A),MATCH(C$1,[2]quests!$1:$1,0)-MATCH($B$1,[2]quests!$1:$1,0)+1),MATCH(C$1,[2]quests!$1:$1,0)-MATCH($B$1,[2]quests!$1:$1,0)+1,FALSE)</f>
        <v>ヘルレイザー襲来！</v>
      </c>
      <c r="D45" s="82" t="str">
        <f ca="1">VLOOKUP($B45,OFFSET([2]quests!$A$1,0,0,COUNTA([2]quests!$A:$A),MATCH(D$1,[2]quests!$1:$1,0)-MATCH($B$1,[2]quests!$1:$1,0)+1),MATCH(D$1,[2]quests!$1:$1,0)-MATCH($B$1,[2]quests!$1:$1,0)+1,FALSE)</f>
        <v>800万ダウンロード記念イベント</v>
      </c>
      <c r="E45" s="86" t="s">
        <v>216</v>
      </c>
      <c r="F45" s="82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2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4">
        <v>0</v>
      </c>
      <c r="I45">
        <v>22</v>
      </c>
      <c r="J45" s="83" t="s">
        <v>200</v>
      </c>
      <c r="K45" s="92" t="str">
        <f>VLOOKUP(I45,[7]stage_hints!$A:$C,3,FALSE)</f>
        <v>フィーバーで一発逆転（その1）</v>
      </c>
      <c r="L45" s="93" t="str">
        <f>VLOOKUP(I45,[7]stage_hints!$A:$D,4,FALSE)</f>
        <v>フィーバーは攻撃と回復を兼ね備えます_x000D_ピンチからの一発逆転を狙いましょう</v>
      </c>
      <c r="M45" s="56" t="s">
        <v>212</v>
      </c>
    </row>
    <row r="46" spans="1:13" x14ac:dyDescent="0.15">
      <c r="A46" s="80" t="s">
        <v>202</v>
      </c>
      <c r="B46" s="81">
        <f>floors!$C$2</f>
        <v>47014</v>
      </c>
      <c r="C46" s="82" t="str">
        <f ca="1">VLOOKUP($B46,OFFSET([2]quests!$A$1,0,0,COUNTA([2]quests!$A:$A),MATCH(C$1,[2]quests!$1:$1,0)-MATCH($B$1,[2]quests!$1:$1,0)+1),MATCH(C$1,[2]quests!$1:$1,0)-MATCH($B$1,[2]quests!$1:$1,0)+1,FALSE)</f>
        <v>ヘルレイザー襲来！</v>
      </c>
      <c r="D46" s="82" t="str">
        <f ca="1">VLOOKUP($B46,OFFSET([2]quests!$A$1,0,0,COUNTA([2]quests!$A:$A),MATCH(D$1,[2]quests!$1:$1,0)-MATCH($B$1,[2]quests!$1:$1,0)+1),MATCH(D$1,[2]quests!$1:$1,0)-MATCH($B$1,[2]quests!$1:$1,0)+1,FALSE)</f>
        <v>800万ダウンロード記念イベント</v>
      </c>
      <c r="E46" s="86" t="s">
        <v>216</v>
      </c>
      <c r="F46" s="82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2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4">
        <v>0</v>
      </c>
      <c r="I46">
        <v>23</v>
      </c>
      <c r="J46" s="83" t="s">
        <v>200</v>
      </c>
      <c r="K46" s="92" t="str">
        <f>VLOOKUP(I46,[7]stage_hints!$A:$C,3,FALSE)</f>
        <v>フィーバーで一発逆転（その2）</v>
      </c>
      <c r="L46" s="93" t="str">
        <f>VLOOKUP(I46,[7]stage_hints!$A:$D,4,FALSE)</f>
        <v>フィーバー中は虹色のボムパネルを狙って_x000D_画面上のパネルを一気に破壊しましょう</v>
      </c>
      <c r="M46" s="56" t="s">
        <v>212</v>
      </c>
    </row>
    <row r="47" spans="1:13" x14ac:dyDescent="0.15">
      <c r="A47" s="80" t="s">
        <v>202</v>
      </c>
      <c r="B47" s="81">
        <f>floors!$C$2</f>
        <v>47014</v>
      </c>
      <c r="C47" s="82" t="str">
        <f ca="1">VLOOKUP($B47,OFFSET([2]quests!$A$1,0,0,COUNTA([2]quests!$A:$A),MATCH(C$1,[2]quests!$1:$1,0)-MATCH($B$1,[2]quests!$1:$1,0)+1),MATCH(C$1,[2]quests!$1:$1,0)-MATCH($B$1,[2]quests!$1:$1,0)+1,FALSE)</f>
        <v>ヘルレイザー襲来！</v>
      </c>
      <c r="D47" s="82" t="str">
        <f ca="1">VLOOKUP($B47,OFFSET([2]quests!$A$1,0,0,COUNTA([2]quests!$A:$A),MATCH(D$1,[2]quests!$1:$1,0)-MATCH($B$1,[2]quests!$1:$1,0)+1),MATCH(D$1,[2]quests!$1:$1,0)-MATCH($B$1,[2]quests!$1:$1,0)+1,FALSE)</f>
        <v>800万ダウンロード記念イベント</v>
      </c>
      <c r="E47" s="86" t="s">
        <v>216</v>
      </c>
      <c r="F47" s="82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2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4">
        <v>0</v>
      </c>
      <c r="I47">
        <v>24</v>
      </c>
      <c r="J47" s="83" t="s">
        <v>200</v>
      </c>
      <c r="K47" s="92" t="str">
        <f>VLOOKUP(I47,[7]stage_hints!$A:$C,3,FALSE)</f>
        <v>りんごを使って限界突破</v>
      </c>
      <c r="L47" s="93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6" t="s">
        <v>212</v>
      </c>
    </row>
    <row r="48" spans="1:13" x14ac:dyDescent="0.15">
      <c r="A48" s="80" t="s">
        <v>202</v>
      </c>
      <c r="B48" s="81">
        <f>floors!$C$2</f>
        <v>47014</v>
      </c>
      <c r="C48" s="82" t="str">
        <f ca="1">VLOOKUP($B48,OFFSET([2]quests!$A$1,0,0,COUNTA([2]quests!$A:$A),MATCH(C$1,[2]quests!$1:$1,0)-MATCH($B$1,[2]quests!$1:$1,0)+1),MATCH(C$1,[2]quests!$1:$1,0)-MATCH($B$1,[2]quests!$1:$1,0)+1,FALSE)</f>
        <v>ヘルレイザー襲来！</v>
      </c>
      <c r="D48" s="82" t="str">
        <f ca="1">VLOOKUP($B48,OFFSET([2]quests!$A$1,0,0,COUNTA([2]quests!$A:$A),MATCH(D$1,[2]quests!$1:$1,0)-MATCH($B$1,[2]quests!$1:$1,0)+1),MATCH(D$1,[2]quests!$1:$1,0)-MATCH($B$1,[2]quests!$1:$1,0)+1,FALSE)</f>
        <v>800万ダウンロード記念イベント</v>
      </c>
      <c r="E48" s="86" t="s">
        <v>216</v>
      </c>
      <c r="F48" s="82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2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4">
        <v>0</v>
      </c>
      <c r="I48">
        <v>25</v>
      </c>
      <c r="J48" s="83" t="s">
        <v>200</v>
      </c>
      <c r="K48" s="92" t="str">
        <f>VLOOKUP(I48,[7]stage_hints!$A:$C,3,FALSE)</f>
        <v>スキルレベルアップ</v>
      </c>
      <c r="L48" s="93" t="str">
        <f>VLOOKUP(I48,[7]stage_hints!$A:$D,4,FALSE)</f>
        <v>「クリスタルのりんご」を強化に使うと_x000D_スキルレベルを上げることができます</v>
      </c>
      <c r="M48" s="56" t="s">
        <v>212</v>
      </c>
    </row>
    <row r="49" spans="1:13" x14ac:dyDescent="0.15">
      <c r="A49" s="80" t="s">
        <v>202</v>
      </c>
      <c r="B49" s="81">
        <f>floors!$C$2</f>
        <v>47014</v>
      </c>
      <c r="C49" s="82" t="str">
        <f ca="1">VLOOKUP($B49,OFFSET([2]quests!$A$1,0,0,COUNTA([2]quests!$A:$A),MATCH(C$1,[2]quests!$1:$1,0)-MATCH($B$1,[2]quests!$1:$1,0)+1),MATCH(C$1,[2]quests!$1:$1,0)-MATCH($B$1,[2]quests!$1:$1,0)+1,FALSE)</f>
        <v>ヘルレイザー襲来！</v>
      </c>
      <c r="D49" s="82" t="str">
        <f ca="1">VLOOKUP($B49,OFFSET([2]quests!$A$1,0,0,COUNTA([2]quests!$A:$A),MATCH(D$1,[2]quests!$1:$1,0)-MATCH($B$1,[2]quests!$1:$1,0)+1),MATCH(D$1,[2]quests!$1:$1,0)-MATCH($B$1,[2]quests!$1:$1,0)+1,FALSE)</f>
        <v>800万ダウンロード記念イベント</v>
      </c>
      <c r="E49" s="86" t="s">
        <v>216</v>
      </c>
      <c r="F49" s="82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2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4">
        <v>0</v>
      </c>
      <c r="I49">
        <v>26</v>
      </c>
      <c r="J49" s="83" t="s">
        <v>200</v>
      </c>
      <c r="K49" s="92" t="str">
        <f>VLOOKUP(I49,[7]stage_hints!$A:$C,3,FALSE)</f>
        <v>スキルレベルの効果</v>
      </c>
      <c r="L49" s="93" t="str">
        <f>VLOOKUP(I49,[7]stage_hints!$A:$D,4,FALSE)</f>
        <v>スキルレベルが上がると_x000D_短いターンでスキルを使うことができます</v>
      </c>
      <c r="M49" s="56" t="s">
        <v>212</v>
      </c>
    </row>
    <row r="50" spans="1:13" x14ac:dyDescent="0.15">
      <c r="A50" s="80" t="s">
        <v>202</v>
      </c>
      <c r="B50" s="81">
        <f>floors!$C$2</f>
        <v>47014</v>
      </c>
      <c r="C50" s="82" t="str">
        <f ca="1">VLOOKUP($B50,OFFSET([2]quests!$A$1,0,0,COUNTA([2]quests!$A:$A),MATCH(C$1,[2]quests!$1:$1,0)-MATCH($B$1,[2]quests!$1:$1,0)+1),MATCH(C$1,[2]quests!$1:$1,0)-MATCH($B$1,[2]quests!$1:$1,0)+1,FALSE)</f>
        <v>ヘルレイザー襲来！</v>
      </c>
      <c r="D50" s="82" t="str">
        <f ca="1">VLOOKUP($B50,OFFSET([2]quests!$A$1,0,0,COUNTA([2]quests!$A:$A),MATCH(D$1,[2]quests!$1:$1,0)-MATCH($B$1,[2]quests!$1:$1,0)+1),MATCH(D$1,[2]quests!$1:$1,0)-MATCH($B$1,[2]quests!$1:$1,0)+1,FALSE)</f>
        <v>800万ダウンロード記念イベント</v>
      </c>
      <c r="E50" s="86" t="s">
        <v>216</v>
      </c>
      <c r="F50" s="82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2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4">
        <v>0</v>
      </c>
      <c r="I50">
        <v>27</v>
      </c>
      <c r="J50" s="83" t="s">
        <v>200</v>
      </c>
      <c r="K50" s="92" t="str">
        <f>VLOOKUP(I50,[7]stage_hints!$A:$C,3,FALSE)</f>
        <v>ホーム画面からデッキを編成</v>
      </c>
      <c r="L50" s="93" t="str">
        <f>VLOOKUP(I50,[7]stage_hints!$A:$D,4,FALSE)</f>
        <v>ホーム画面でユニットを長押しすると_x000D_すぐにパーティ編成に移動できます</v>
      </c>
      <c r="M50" s="56" t="s">
        <v>212</v>
      </c>
    </row>
    <row r="51" spans="1:13" x14ac:dyDescent="0.15">
      <c r="A51" s="80" t="s">
        <v>202</v>
      </c>
      <c r="B51" s="81">
        <f>floors!$C$2</f>
        <v>47014</v>
      </c>
      <c r="C51" s="82" t="str">
        <f ca="1">VLOOKUP($B51,OFFSET([2]quests!$A$1,0,0,COUNTA([2]quests!$A:$A),MATCH(C$1,[2]quests!$1:$1,0)-MATCH($B$1,[2]quests!$1:$1,0)+1),MATCH(C$1,[2]quests!$1:$1,0)-MATCH($B$1,[2]quests!$1:$1,0)+1,FALSE)</f>
        <v>ヘルレイザー襲来！</v>
      </c>
      <c r="D51" s="82" t="str">
        <f ca="1">VLOOKUP($B51,OFFSET([2]quests!$A$1,0,0,COUNTA([2]quests!$A:$A),MATCH(D$1,[2]quests!$1:$1,0)-MATCH($B$1,[2]quests!$1:$1,0)+1),MATCH(D$1,[2]quests!$1:$1,0)-MATCH($B$1,[2]quests!$1:$1,0)+1,FALSE)</f>
        <v>800万ダウンロード記念イベント</v>
      </c>
      <c r="E51" s="86" t="s">
        <v>216</v>
      </c>
      <c r="F51" s="82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2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4">
        <v>0</v>
      </c>
      <c r="I51">
        <v>28</v>
      </c>
      <c r="J51" s="83" t="s">
        <v>200</v>
      </c>
      <c r="K51" s="92" t="str">
        <f>VLOOKUP(I51,[7]stage_hints!$A:$C,3,FALSE)</f>
        <v>ステータス情報は長押しで</v>
      </c>
      <c r="L51" s="93" t="str">
        <f>VLOOKUP(I51,[7]stage_hints!$A:$D,4,FALSE)</f>
        <v>ユニットのアイコンを長押しすると_x000D_ステータス情報を確認することができます</v>
      </c>
      <c r="M51" s="56" t="s">
        <v>212</v>
      </c>
    </row>
    <row r="52" spans="1:13" x14ac:dyDescent="0.15">
      <c r="A52" s="80" t="s">
        <v>202</v>
      </c>
      <c r="B52" s="81">
        <f>floors!$C$2</f>
        <v>47014</v>
      </c>
      <c r="C52" s="82" t="str">
        <f ca="1">VLOOKUP($B52,OFFSET([2]quests!$A$1,0,0,COUNTA([2]quests!$A:$A),MATCH(C$1,[2]quests!$1:$1,0)-MATCH($B$1,[2]quests!$1:$1,0)+1),MATCH(C$1,[2]quests!$1:$1,0)-MATCH($B$1,[2]quests!$1:$1,0)+1,FALSE)</f>
        <v>ヘルレイザー襲来！</v>
      </c>
      <c r="D52" s="82" t="str">
        <f ca="1">VLOOKUP($B52,OFFSET([2]quests!$A$1,0,0,COUNTA([2]quests!$A:$A),MATCH(D$1,[2]quests!$1:$1,0)-MATCH($B$1,[2]quests!$1:$1,0)+1),MATCH(D$1,[2]quests!$1:$1,0)-MATCH($B$1,[2]quests!$1:$1,0)+1,FALSE)</f>
        <v>800万ダウンロード記念イベント</v>
      </c>
      <c r="E52" s="86" t="s">
        <v>216</v>
      </c>
      <c r="F52" s="82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2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4">
        <v>0</v>
      </c>
      <c r="I52">
        <v>29</v>
      </c>
      <c r="J52" s="83" t="s">
        <v>200</v>
      </c>
      <c r="K52" s="92" t="str">
        <f>VLOOKUP(I52,[7]stage_hints!$A:$C,3,FALSE)</f>
        <v>「バグ」のメリット</v>
      </c>
      <c r="L52" s="93" t="str">
        <f>VLOOKUP(I52,[7]stage_hints!$A:$D,4,FALSE)</f>
        <v>ユニットの「バグ」を増やすと_x000D_報酬をもらえる確率がアップします</v>
      </c>
      <c r="M52" s="56" t="s">
        <v>212</v>
      </c>
    </row>
    <row r="53" spans="1:13" x14ac:dyDescent="0.15">
      <c r="A53" s="80" t="s">
        <v>202</v>
      </c>
      <c r="B53" s="81">
        <f>floors!$C$2</f>
        <v>47014</v>
      </c>
      <c r="C53" s="82" t="str">
        <f ca="1">VLOOKUP($B53,OFFSET([2]quests!$A$1,0,0,COUNTA([2]quests!$A:$A),MATCH(C$1,[2]quests!$1:$1,0)-MATCH($B$1,[2]quests!$1:$1,0)+1),MATCH(C$1,[2]quests!$1:$1,0)-MATCH($B$1,[2]quests!$1:$1,0)+1,FALSE)</f>
        <v>ヘルレイザー襲来！</v>
      </c>
      <c r="D53" s="82" t="str">
        <f ca="1">VLOOKUP($B53,OFFSET([2]quests!$A$1,0,0,COUNTA([2]quests!$A:$A),MATCH(D$1,[2]quests!$1:$1,0)-MATCH($B$1,[2]quests!$1:$1,0)+1),MATCH(D$1,[2]quests!$1:$1,0)-MATCH($B$1,[2]quests!$1:$1,0)+1,FALSE)</f>
        <v>800万ダウンロード記念イベント</v>
      </c>
      <c r="E53" s="86" t="s">
        <v>216</v>
      </c>
      <c r="F53" s="82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2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4">
        <v>0</v>
      </c>
      <c r="I53">
        <v>30</v>
      </c>
      <c r="J53" s="83" t="s">
        <v>200</v>
      </c>
      <c r="K53" s="92" t="str">
        <f>VLOOKUP(I53,[7]stage_hints!$A:$C,3,FALSE)</f>
        <v>「バグ」の増やし方</v>
      </c>
      <c r="L53" s="93" t="str">
        <f>VLOOKUP(I53,[7]stage_hints!$A:$D,4,FALSE)</f>
        <v>同じユニット同士を強化で合成すると_x000D_「バグ」を増やすことができます</v>
      </c>
      <c r="M53" s="56" t="s">
        <v>212</v>
      </c>
    </row>
    <row r="54" spans="1:13" x14ac:dyDescent="0.15">
      <c r="A54" s="80" t="s">
        <v>202</v>
      </c>
      <c r="B54" s="81">
        <f>floors!$C$2</f>
        <v>47014</v>
      </c>
      <c r="C54" s="82" t="str">
        <f ca="1">VLOOKUP($B54,OFFSET([2]quests!$A$1,0,0,COUNTA([2]quests!$A:$A),MATCH(C$1,[2]quests!$1:$1,0)-MATCH($B$1,[2]quests!$1:$1,0)+1),MATCH(C$1,[2]quests!$1:$1,0)-MATCH($B$1,[2]quests!$1:$1,0)+1,FALSE)</f>
        <v>ヘルレイザー襲来！</v>
      </c>
      <c r="D54" s="82" t="str">
        <f ca="1">VLOOKUP($B54,OFFSET([2]quests!$A$1,0,0,COUNTA([2]quests!$A:$A),MATCH(D$1,[2]quests!$1:$1,0)-MATCH($B$1,[2]quests!$1:$1,0)+1),MATCH(D$1,[2]quests!$1:$1,0)-MATCH($B$1,[2]quests!$1:$1,0)+1,FALSE)</f>
        <v>800万ダウンロード記念イベント</v>
      </c>
      <c r="E54" s="86" t="s">
        <v>216</v>
      </c>
      <c r="F54" s="82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2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4">
        <v>0</v>
      </c>
      <c r="I54">
        <v>31</v>
      </c>
      <c r="J54" s="83" t="s">
        <v>200</v>
      </c>
      <c r="K54" s="92" t="str">
        <f>VLOOKUP(I54,[7]stage_hints!$A:$C,3,FALSE)</f>
        <v>イベントはお知らせでチェック</v>
      </c>
      <c r="L54" s="93" t="str">
        <f>VLOOKUP(I54,[7]stage_hints!$A:$D,4,FALSE)</f>
        <v>イベント限定ユニットを取り忘れないように_x000D_お知らせをこまめにチェックしましょう</v>
      </c>
      <c r="M54" s="56" t="s">
        <v>212</v>
      </c>
    </row>
    <row r="55" spans="1:13" x14ac:dyDescent="0.15">
      <c r="A55" s="80" t="s">
        <v>202</v>
      </c>
      <c r="B55" s="81">
        <f>floors!$C$2</f>
        <v>47014</v>
      </c>
      <c r="C55" s="82" t="str">
        <f ca="1">VLOOKUP($B55,OFFSET([2]quests!$A$1,0,0,COUNTA([2]quests!$A:$A),MATCH(C$1,[2]quests!$1:$1,0)-MATCH($B$1,[2]quests!$1:$1,0)+1),MATCH(C$1,[2]quests!$1:$1,0)-MATCH($B$1,[2]quests!$1:$1,0)+1,FALSE)</f>
        <v>ヘルレイザー襲来！</v>
      </c>
      <c r="D55" s="82" t="str">
        <f ca="1">VLOOKUP($B55,OFFSET([2]quests!$A$1,0,0,COUNTA([2]quests!$A:$A),MATCH(D$1,[2]quests!$1:$1,0)-MATCH($B$1,[2]quests!$1:$1,0)+1),MATCH(D$1,[2]quests!$1:$1,0)-MATCH($B$1,[2]quests!$1:$1,0)+1,FALSE)</f>
        <v>800万ダウンロード記念イベント</v>
      </c>
      <c r="E55" s="86" t="s">
        <v>216</v>
      </c>
      <c r="F55" s="82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2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4">
        <v>0</v>
      </c>
      <c r="I55">
        <v>32</v>
      </c>
      <c r="J55" s="83" t="s">
        <v>200</v>
      </c>
      <c r="K55" s="92" t="str">
        <f>VLOOKUP(I55,[7]stage_hints!$A:$C,3,FALSE)</f>
        <v>敵の連続攻撃には</v>
      </c>
      <c r="L55" s="93" t="str">
        <f>VLOOKUP(I55,[7]stage_hints!$A:$D,4,FALSE)</f>
        <v>カウンタースキルを持つユニットがいれば_x000D_ダメージ回数分の反撃ができます</v>
      </c>
      <c r="M55" s="56" t="s">
        <v>212</v>
      </c>
    </row>
    <row r="56" spans="1:13" x14ac:dyDescent="0.15">
      <c r="A56" s="80" t="s">
        <v>202</v>
      </c>
      <c r="B56" s="81">
        <f>floors!$C$2</f>
        <v>47014</v>
      </c>
      <c r="C56" s="82" t="str">
        <f ca="1">VLOOKUP($B56,OFFSET([2]quests!$A$1,0,0,COUNTA([2]quests!$A:$A),MATCH(C$1,[2]quests!$1:$1,0)-MATCH($B$1,[2]quests!$1:$1,0)+1),MATCH(C$1,[2]quests!$1:$1,0)-MATCH($B$1,[2]quests!$1:$1,0)+1,FALSE)</f>
        <v>ヘルレイザー襲来！</v>
      </c>
      <c r="D56" s="82" t="str">
        <f ca="1">VLOOKUP($B56,OFFSET([2]quests!$A$1,0,0,COUNTA([2]quests!$A:$A),MATCH(D$1,[2]quests!$1:$1,0)-MATCH($B$1,[2]quests!$1:$1,0)+1),MATCH(D$1,[2]quests!$1:$1,0)-MATCH($B$1,[2]quests!$1:$1,0)+1,FALSE)</f>
        <v>800万ダウンロード記念イベント</v>
      </c>
      <c r="E56" s="86" t="s">
        <v>216</v>
      </c>
      <c r="F56" s="82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2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4">
        <v>0</v>
      </c>
      <c r="I56">
        <v>33</v>
      </c>
      <c r="J56" s="83" t="s">
        <v>200</v>
      </c>
      <c r="K56" s="92" t="str">
        <f>VLOOKUP(I56,[7]stage_hints!$A:$C,3,FALSE)</f>
        <v>敵のカウンター攻撃には</v>
      </c>
      <c r="L56" s="93" t="str">
        <f>VLOOKUP(I56,[7]stage_hints!$A:$D,4,FALSE)</f>
        <v>カウンターブレイクスキルを持っていれば_x000D_敵のカウンターを解除して攻撃ができます</v>
      </c>
      <c r="M56" s="56" t="s">
        <v>212</v>
      </c>
    </row>
    <row r="57" spans="1:13" x14ac:dyDescent="0.15">
      <c r="A57" s="80" t="s">
        <v>202</v>
      </c>
      <c r="B57" s="81">
        <f>floors!$C$2</f>
        <v>47014</v>
      </c>
      <c r="C57" s="82" t="str">
        <f ca="1">VLOOKUP($B57,OFFSET([2]quests!$A$1,0,0,COUNTA([2]quests!$A:$A),MATCH(C$1,[2]quests!$1:$1,0)-MATCH($B$1,[2]quests!$1:$1,0)+1),MATCH(C$1,[2]quests!$1:$1,0)-MATCH($B$1,[2]quests!$1:$1,0)+1,FALSE)</f>
        <v>ヘルレイザー襲来！</v>
      </c>
      <c r="D57" s="82" t="str">
        <f ca="1">VLOOKUP($B57,OFFSET([2]quests!$A$1,0,0,COUNTA([2]quests!$A:$A),MATCH(D$1,[2]quests!$1:$1,0)-MATCH($B$1,[2]quests!$1:$1,0)+1),MATCH(D$1,[2]quests!$1:$1,0)-MATCH($B$1,[2]quests!$1:$1,0)+1,FALSE)</f>
        <v>800万ダウンロード記念イベント</v>
      </c>
      <c r="E57" s="86" t="s">
        <v>216</v>
      </c>
      <c r="F57" s="82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2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4">
        <v>0</v>
      </c>
      <c r="I57">
        <v>34</v>
      </c>
      <c r="J57" s="83" t="s">
        <v>200</v>
      </c>
      <c r="K57" s="92" t="str">
        <f>VLOOKUP(I57,[7]stage_hints!$A:$C,3,FALSE)</f>
        <v>ステータスをスキルで下げられたら</v>
      </c>
      <c r="L57" s="93" t="str">
        <f>VLOOKUP(I57,[7]stage_hints!$A:$D,4,FALSE)</f>
        <v>ステータスダウンのスキルを受けたら_x000D_ステータスアップスキルで上書きしましょう</v>
      </c>
      <c r="M57" s="56" t="s">
        <v>212</v>
      </c>
    </row>
    <row r="58" spans="1:13" x14ac:dyDescent="0.15">
      <c r="A58" s="80" t="s">
        <v>202</v>
      </c>
      <c r="B58" s="81">
        <f>floors!$C$2</f>
        <v>47014</v>
      </c>
      <c r="C58" s="82" t="str">
        <f ca="1">VLOOKUP($B58,OFFSET([2]quests!$A$1,0,0,COUNTA([2]quests!$A:$A),MATCH(C$1,[2]quests!$1:$1,0)-MATCH($B$1,[2]quests!$1:$1,0)+1),MATCH(C$1,[2]quests!$1:$1,0)-MATCH($B$1,[2]quests!$1:$1,0)+1,FALSE)</f>
        <v>ヘルレイザー襲来！</v>
      </c>
      <c r="D58" s="82" t="str">
        <f ca="1">VLOOKUP($B58,OFFSET([2]quests!$A$1,0,0,COUNTA([2]quests!$A:$A),MATCH(D$1,[2]quests!$1:$1,0)-MATCH($B$1,[2]quests!$1:$1,0)+1),MATCH(D$1,[2]quests!$1:$1,0)-MATCH($B$1,[2]quests!$1:$1,0)+1,FALSE)</f>
        <v>800万ダウンロード記念イベント</v>
      </c>
      <c r="E58" s="86" t="s">
        <v>216</v>
      </c>
      <c r="F58" s="82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2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4">
        <v>0</v>
      </c>
      <c r="I58">
        <v>35</v>
      </c>
      <c r="J58" s="83" t="s">
        <v>200</v>
      </c>
      <c r="K58" s="92" t="str">
        <f>VLOOKUP(I58,[7]stage_hints!$A:$C,3,FALSE)</f>
        <v>敵のステータスがスキルで上がったら</v>
      </c>
      <c r="L58" s="93" t="str">
        <f>VLOOKUP(I58,[7]stage_hints!$A:$D,4,FALSE)</f>
        <v>敵のステータスがスキルでアップしたときは_x000D_ステータスダウンスキルで上書きしましょう</v>
      </c>
      <c r="M58" s="56" t="s">
        <v>212</v>
      </c>
    </row>
    <row r="59" spans="1:13" x14ac:dyDescent="0.15">
      <c r="A59" s="80" t="s">
        <v>202</v>
      </c>
      <c r="B59" s="81">
        <f>floors!$C$2</f>
        <v>47014</v>
      </c>
      <c r="C59" s="82" t="str">
        <f ca="1">VLOOKUP($B59,OFFSET([2]quests!$A$1,0,0,COUNTA([2]quests!$A:$A),MATCH(C$1,[2]quests!$1:$1,0)-MATCH($B$1,[2]quests!$1:$1,0)+1),MATCH(C$1,[2]quests!$1:$1,0)-MATCH($B$1,[2]quests!$1:$1,0)+1,FALSE)</f>
        <v>ヘルレイザー襲来！</v>
      </c>
      <c r="D59" s="82" t="str">
        <f ca="1">VLOOKUP($B59,OFFSET([2]quests!$A$1,0,0,COUNTA([2]quests!$A:$A),MATCH(D$1,[2]quests!$1:$1,0)-MATCH($B$1,[2]quests!$1:$1,0)+1),MATCH(D$1,[2]quests!$1:$1,0)-MATCH($B$1,[2]quests!$1:$1,0)+1,FALSE)</f>
        <v>800万ダウンロード記念イベント</v>
      </c>
      <c r="E59" s="86" t="s">
        <v>216</v>
      </c>
      <c r="F59" s="82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2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4">
        <v>0</v>
      </c>
      <c r="I59">
        <v>39</v>
      </c>
      <c r="J59" s="83" t="s">
        <v>200</v>
      </c>
      <c r="K59" s="92" t="str">
        <f>VLOOKUP(I59,[7]stage_hints!$A:$C,3,FALSE)</f>
        <v>システム適合者を確認</v>
      </c>
      <c r="L59" s="93" t="str">
        <f>VLOOKUP(I59,[7]stage_hints!$A:$D,4,FALSE)</f>
        <v>ALICEが 「アナタ」を呼んでいます</v>
      </c>
      <c r="M59" s="56" t="s">
        <v>212</v>
      </c>
    </row>
    <row r="60" spans="1:13" x14ac:dyDescent="0.15">
      <c r="A60" s="80" t="s">
        <v>202</v>
      </c>
      <c r="B60" s="81">
        <f>floors!$C$2</f>
        <v>47014</v>
      </c>
      <c r="C60" s="82" t="str">
        <f ca="1">VLOOKUP($B60,OFFSET([2]quests!$A$1,0,0,COUNTA([2]quests!$A:$A),MATCH(C$1,[2]quests!$1:$1,0)-MATCH($B$1,[2]quests!$1:$1,0)+1),MATCH(C$1,[2]quests!$1:$1,0)-MATCH($B$1,[2]quests!$1:$1,0)+1,FALSE)</f>
        <v>ヘルレイザー襲来！</v>
      </c>
      <c r="D60" s="82" t="str">
        <f ca="1">VLOOKUP($B60,OFFSET([2]quests!$A$1,0,0,COUNTA([2]quests!$A:$A),MATCH(D$1,[2]quests!$1:$1,0)-MATCH($B$1,[2]quests!$1:$1,0)+1),MATCH(D$1,[2]quests!$1:$1,0)-MATCH($B$1,[2]quests!$1:$1,0)+1,FALSE)</f>
        <v>800万ダウンロード記念イベント</v>
      </c>
      <c r="E60" s="86" t="s">
        <v>217</v>
      </c>
      <c r="F60" s="82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2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4">
        <v>0</v>
      </c>
      <c r="I60" s="95">
        <v>3</v>
      </c>
      <c r="J60" s="83" t="s">
        <v>200</v>
      </c>
      <c r="K60" s="92" t="str">
        <f>VLOOKUP(I60,[7]stage_hints!$A:$C,3,FALSE)</f>
        <v>ターゲット</v>
      </c>
      <c r="L60" s="93" t="str">
        <f>VLOOKUP(I60,[7]stage_hints!$A:$D,4,FALSE)</f>
        <v>敵ユニットをタップすると_x000D_その敵を狙い撃ちできます</v>
      </c>
      <c r="M60" s="56" t="s">
        <v>212</v>
      </c>
    </row>
    <row r="61" spans="1:13" x14ac:dyDescent="0.15">
      <c r="A61" s="80" t="s">
        <v>202</v>
      </c>
      <c r="B61" s="81">
        <f>floors!$C$2</f>
        <v>47014</v>
      </c>
      <c r="C61" s="82" t="str">
        <f ca="1">VLOOKUP($B61,OFFSET([2]quests!$A$1,0,0,COUNTA([2]quests!$A:$A),MATCH(C$1,[2]quests!$1:$1,0)-MATCH($B$1,[2]quests!$1:$1,0)+1),MATCH(C$1,[2]quests!$1:$1,0)-MATCH($B$1,[2]quests!$1:$1,0)+1,FALSE)</f>
        <v>ヘルレイザー襲来！</v>
      </c>
      <c r="D61" s="82" t="str">
        <f ca="1">VLOOKUP($B61,OFFSET([2]quests!$A$1,0,0,COUNTA([2]quests!$A:$A),MATCH(D$1,[2]quests!$1:$1,0)-MATCH($B$1,[2]quests!$1:$1,0)+1),MATCH(D$1,[2]quests!$1:$1,0)-MATCH($B$1,[2]quests!$1:$1,0)+1,FALSE)</f>
        <v>800万ダウンロード記念イベント</v>
      </c>
      <c r="E61" s="86" t="s">
        <v>217</v>
      </c>
      <c r="F61" s="82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2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4">
        <v>0</v>
      </c>
      <c r="I61" s="95">
        <v>6</v>
      </c>
      <c r="J61" s="83" t="s">
        <v>200</v>
      </c>
      <c r="K61" s="92" t="str">
        <f>VLOOKUP(I61,[7]stage_hints!$A:$C,3,FALSE)</f>
        <v>ユニット強化の属性ボーナス</v>
      </c>
      <c r="L61" s="93" t="str">
        <f>VLOOKUP(I61,[7]stage_hints!$A:$D,4,FALSE)</f>
        <v>同属性ユニットを強化素材にすると_x000D_経験値が多くもらえます</v>
      </c>
      <c r="M61" s="56" t="s">
        <v>212</v>
      </c>
    </row>
    <row r="62" spans="1:13" x14ac:dyDescent="0.15">
      <c r="A62" s="80" t="s">
        <v>202</v>
      </c>
      <c r="B62" s="81">
        <f>floors!$C$2</f>
        <v>47014</v>
      </c>
      <c r="C62" s="82" t="str">
        <f ca="1">VLOOKUP($B62,OFFSET([2]quests!$A$1,0,0,COUNTA([2]quests!$A:$A),MATCH(C$1,[2]quests!$1:$1,0)-MATCH($B$1,[2]quests!$1:$1,0)+1),MATCH(C$1,[2]quests!$1:$1,0)-MATCH($B$1,[2]quests!$1:$1,0)+1,FALSE)</f>
        <v>ヘルレイザー襲来！</v>
      </c>
      <c r="D62" s="82" t="str">
        <f ca="1">VLOOKUP($B62,OFFSET([2]quests!$A$1,0,0,COUNTA([2]quests!$A:$A),MATCH(D$1,[2]quests!$1:$1,0)-MATCH($B$1,[2]quests!$1:$1,0)+1),MATCH(D$1,[2]quests!$1:$1,0)-MATCH($B$1,[2]quests!$1:$1,0)+1,FALSE)</f>
        <v>800万ダウンロード記念イベント</v>
      </c>
      <c r="E62" s="86" t="s">
        <v>217</v>
      </c>
      <c r="F62" s="82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2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4">
        <v>0</v>
      </c>
      <c r="I62" s="95">
        <v>7</v>
      </c>
      <c r="J62" s="83" t="s">
        <v>200</v>
      </c>
      <c r="K62" s="92" t="str">
        <f>VLOOKUP(I62,[7]stage_hints!$A:$C,3,FALSE)</f>
        <v>メタルダックで経験値を獲得</v>
      </c>
      <c r="L62" s="93" t="str">
        <f>VLOOKUP(I62,[7]stage_hints!$A:$D,4,FALSE)</f>
        <v>「メタルなアヒル」を強化素材にすると_x000D_大量の経験値がもらえます</v>
      </c>
      <c r="M62" s="56" t="s">
        <v>212</v>
      </c>
    </row>
    <row r="63" spans="1:13" x14ac:dyDescent="0.15">
      <c r="A63" s="80" t="s">
        <v>202</v>
      </c>
      <c r="B63" s="81">
        <f>floors!$C$2</f>
        <v>47014</v>
      </c>
      <c r="C63" s="82" t="str">
        <f ca="1">VLOOKUP($B63,OFFSET([2]quests!$A$1,0,0,COUNTA([2]quests!$A:$A),MATCH(C$1,[2]quests!$1:$1,0)-MATCH($B$1,[2]quests!$1:$1,0)+1),MATCH(C$1,[2]quests!$1:$1,0)-MATCH($B$1,[2]quests!$1:$1,0)+1,FALSE)</f>
        <v>ヘルレイザー襲来！</v>
      </c>
      <c r="D63" s="82" t="str">
        <f ca="1">VLOOKUP($B63,OFFSET([2]quests!$A$1,0,0,COUNTA([2]quests!$A:$A),MATCH(D$1,[2]quests!$1:$1,0)-MATCH($B$1,[2]quests!$1:$1,0)+1),MATCH(D$1,[2]quests!$1:$1,0)-MATCH($B$1,[2]quests!$1:$1,0)+1,FALSE)</f>
        <v>800万ダウンロード記念イベント</v>
      </c>
      <c r="E63" s="86" t="s">
        <v>217</v>
      </c>
      <c r="F63" s="82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2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4">
        <v>0</v>
      </c>
      <c r="I63" s="95">
        <v>8</v>
      </c>
      <c r="J63" s="83" t="s">
        <v>200</v>
      </c>
      <c r="K63" s="92" t="str">
        <f>VLOOKUP(I63,[7]stage_hints!$A:$C,3,FALSE)</f>
        <v>ゲリラクエストは要チェック</v>
      </c>
      <c r="L63" s="93" t="str">
        <f>VLOOKUP(I63,[7]stage_hints!$A:$D,4,FALSE)</f>
        <v>時間限定の「アヒル捕獲作戦」では_x000D_経験値素材ユニットが多く手に入ります</v>
      </c>
      <c r="M63" s="56" t="s">
        <v>212</v>
      </c>
    </row>
    <row r="64" spans="1:13" x14ac:dyDescent="0.15">
      <c r="A64" s="80" t="s">
        <v>202</v>
      </c>
      <c r="B64" s="81">
        <f>floors!$C$2</f>
        <v>47014</v>
      </c>
      <c r="C64" s="82" t="str">
        <f ca="1">VLOOKUP($B64,OFFSET([2]quests!$A$1,0,0,COUNTA([2]quests!$A:$A),MATCH(C$1,[2]quests!$1:$1,0)-MATCH($B$1,[2]quests!$1:$1,0)+1),MATCH(C$1,[2]quests!$1:$1,0)-MATCH($B$1,[2]quests!$1:$1,0)+1,FALSE)</f>
        <v>ヘルレイザー襲来！</v>
      </c>
      <c r="D64" s="82" t="str">
        <f ca="1">VLOOKUP($B64,OFFSET([2]quests!$A$1,0,0,COUNTA([2]quests!$A:$A),MATCH(D$1,[2]quests!$1:$1,0)-MATCH($B$1,[2]quests!$1:$1,0)+1),MATCH(D$1,[2]quests!$1:$1,0)-MATCH($B$1,[2]quests!$1:$1,0)+1,FALSE)</f>
        <v>800万ダウンロード記念イベント</v>
      </c>
      <c r="E64" s="86" t="s">
        <v>217</v>
      </c>
      <c r="F64" s="82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2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4">
        <v>0</v>
      </c>
      <c r="I64" s="95">
        <v>9</v>
      </c>
      <c r="J64" s="83" t="s">
        <v>200</v>
      </c>
      <c r="K64" s="92" t="str">
        <f>VLOOKUP(I64,[7]stage_hints!$A:$C,3,FALSE)</f>
        <v>ゴールドダックでビットを獲得</v>
      </c>
      <c r="L64" s="93" t="str">
        <f>VLOOKUP(I64,[7]stage_hints!$A:$D,4,FALSE)</f>
        <v>「ゴールドなアヒル」を売却すると_x000D_大量のビットがもらえます</v>
      </c>
      <c r="M64" s="56" t="s">
        <v>212</v>
      </c>
    </row>
    <row r="65" spans="1:13" x14ac:dyDescent="0.15">
      <c r="A65" s="80" t="s">
        <v>202</v>
      </c>
      <c r="B65" s="81">
        <f>floors!$C$2</f>
        <v>47014</v>
      </c>
      <c r="C65" s="82" t="str">
        <f ca="1">VLOOKUP($B65,OFFSET([2]quests!$A$1,0,0,COUNTA([2]quests!$A:$A),MATCH(C$1,[2]quests!$1:$1,0)-MATCH($B$1,[2]quests!$1:$1,0)+1),MATCH(C$1,[2]quests!$1:$1,0)-MATCH($B$1,[2]quests!$1:$1,0)+1,FALSE)</f>
        <v>ヘルレイザー襲来！</v>
      </c>
      <c r="D65" s="82" t="str">
        <f ca="1">VLOOKUP($B65,OFFSET([2]quests!$A$1,0,0,COUNTA([2]quests!$A:$A),MATCH(D$1,[2]quests!$1:$1,0)-MATCH($B$1,[2]quests!$1:$1,0)+1),MATCH(D$1,[2]quests!$1:$1,0)-MATCH($B$1,[2]quests!$1:$1,0)+1,FALSE)</f>
        <v>800万ダウンロード記念イベント</v>
      </c>
      <c r="E65" s="86" t="s">
        <v>217</v>
      </c>
      <c r="F65" s="82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2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4">
        <v>0</v>
      </c>
      <c r="I65" s="95">
        <v>10</v>
      </c>
      <c r="J65" s="83" t="s">
        <v>200</v>
      </c>
      <c r="K65" s="92" t="str">
        <f>VLOOKUP(I65,[7]stage_hints!$A:$C,3,FALSE)</f>
        <v>土日に大量のビットを獲得</v>
      </c>
      <c r="L65" s="93" t="str">
        <f>VLOOKUP(I65,[7]stage_hints!$A:$D,4,FALSE)</f>
        <v>土日限定の「ゴールドカジノ」では_x000D_売却素材ユニットが多く手に入ります</v>
      </c>
      <c r="M65" s="56" t="s">
        <v>212</v>
      </c>
    </row>
    <row r="66" spans="1:13" x14ac:dyDescent="0.15">
      <c r="A66" s="80" t="s">
        <v>202</v>
      </c>
      <c r="B66" s="81">
        <f>floors!$C$2</f>
        <v>47014</v>
      </c>
      <c r="C66" s="82" t="str">
        <f ca="1">VLOOKUP($B66,OFFSET([2]quests!$A$1,0,0,COUNTA([2]quests!$A:$A),MATCH(C$1,[2]quests!$1:$1,0)-MATCH($B$1,[2]quests!$1:$1,0)+1),MATCH(C$1,[2]quests!$1:$1,0)-MATCH($B$1,[2]quests!$1:$1,0)+1,FALSE)</f>
        <v>ヘルレイザー襲来！</v>
      </c>
      <c r="D66" s="82" t="str">
        <f ca="1">VLOOKUP($B66,OFFSET([2]quests!$A$1,0,0,COUNTA([2]quests!$A:$A),MATCH(D$1,[2]quests!$1:$1,0)-MATCH($B$1,[2]quests!$1:$1,0)+1),MATCH(D$1,[2]quests!$1:$1,0)-MATCH($B$1,[2]quests!$1:$1,0)+1,FALSE)</f>
        <v>800万ダウンロード記念イベント</v>
      </c>
      <c r="E66" s="86" t="s">
        <v>217</v>
      </c>
      <c r="F66" s="82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2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4">
        <v>0</v>
      </c>
      <c r="I66" s="95">
        <v>11</v>
      </c>
      <c r="J66" s="83" t="s">
        <v>200</v>
      </c>
      <c r="K66" s="92" t="str">
        <f>VLOOKUP(I66,[7]stage_hints!$A:$C,3,FALSE)</f>
        <v>ランク解放クエスト</v>
      </c>
      <c r="L66" s="93" t="str">
        <f>VLOOKUP(I66,[7]stage_hints!$A:$D,4,FALSE)</f>
        <v>一定ランクに到達すると_x000D_報酬付きのランク開放クエストが現れます</v>
      </c>
      <c r="M66" s="56" t="s">
        <v>212</v>
      </c>
    </row>
    <row r="67" spans="1:13" x14ac:dyDescent="0.15">
      <c r="A67" s="80" t="s">
        <v>202</v>
      </c>
      <c r="B67" s="81">
        <f>floors!$C$2</f>
        <v>47014</v>
      </c>
      <c r="C67" s="82" t="str">
        <f ca="1">VLOOKUP($B67,OFFSET([2]quests!$A$1,0,0,COUNTA([2]quests!$A:$A),MATCH(C$1,[2]quests!$1:$1,0)-MATCH($B$1,[2]quests!$1:$1,0)+1),MATCH(C$1,[2]quests!$1:$1,0)-MATCH($B$1,[2]quests!$1:$1,0)+1,FALSE)</f>
        <v>ヘルレイザー襲来！</v>
      </c>
      <c r="D67" s="82" t="str">
        <f ca="1">VLOOKUP($B67,OFFSET([2]quests!$A$1,0,0,COUNTA([2]quests!$A:$A),MATCH(D$1,[2]quests!$1:$1,0)-MATCH($B$1,[2]quests!$1:$1,0)+1),MATCH(D$1,[2]quests!$1:$1,0)-MATCH($B$1,[2]quests!$1:$1,0)+1,FALSE)</f>
        <v>800万ダウンロード記念イベント</v>
      </c>
      <c r="E67" s="86" t="s">
        <v>217</v>
      </c>
      <c r="F67" s="82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2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4">
        <v>0</v>
      </c>
      <c r="I67" s="95">
        <v>12</v>
      </c>
      <c r="J67" s="83" t="s">
        <v>200</v>
      </c>
      <c r="K67" s="92" t="str">
        <f>VLOOKUP(I67,[7]stage_hints!$A:$C,3,FALSE)</f>
        <v>ユニットのお気に入り登録</v>
      </c>
      <c r="L67" s="93" t="str">
        <f>VLOOKUP(I67,[7]stage_hints!$A:$D,4,FALSE)</f>
        <v>大事なユニットを誤って消さないように_x000D_フォルダから「お気に入り登録」しましょう</v>
      </c>
      <c r="M67" s="56" t="s">
        <v>212</v>
      </c>
    </row>
    <row r="68" spans="1:13" x14ac:dyDescent="0.15">
      <c r="A68" s="80" t="s">
        <v>202</v>
      </c>
      <c r="B68" s="81">
        <f>floors!$C$2</f>
        <v>47014</v>
      </c>
      <c r="C68" s="82" t="str">
        <f ca="1">VLOOKUP($B68,OFFSET([2]quests!$A$1,0,0,COUNTA([2]quests!$A:$A),MATCH(C$1,[2]quests!$1:$1,0)-MATCH($B$1,[2]quests!$1:$1,0)+1),MATCH(C$1,[2]quests!$1:$1,0)-MATCH($B$1,[2]quests!$1:$1,0)+1,FALSE)</f>
        <v>ヘルレイザー襲来！</v>
      </c>
      <c r="D68" s="82" t="str">
        <f ca="1">VLOOKUP($B68,OFFSET([2]quests!$A$1,0,0,COUNTA([2]quests!$A:$A),MATCH(D$1,[2]quests!$1:$1,0)-MATCH($B$1,[2]quests!$1:$1,0)+1),MATCH(D$1,[2]quests!$1:$1,0)-MATCH($B$1,[2]quests!$1:$1,0)+1,FALSE)</f>
        <v>800万ダウンロード記念イベント</v>
      </c>
      <c r="E68" s="86" t="s">
        <v>217</v>
      </c>
      <c r="F68" s="82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2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4">
        <v>0</v>
      </c>
      <c r="I68" s="95">
        <v>13</v>
      </c>
      <c r="J68" s="83" t="s">
        <v>200</v>
      </c>
      <c r="K68" s="92" t="str">
        <f>VLOOKUP(I68,[7]stage_hints!$A:$C,3,FALSE)</f>
        <v>ユニットの覚醒</v>
      </c>
      <c r="L68" s="93" t="str">
        <f>VLOOKUP(I68,[7]stage_hints!$A:$D,4,FALSE)</f>
        <v>ユニットを覚醒させると_x000D_比べものにならない強さが手に入ります</v>
      </c>
      <c r="M68" s="56" t="s">
        <v>212</v>
      </c>
    </row>
    <row r="69" spans="1:13" x14ac:dyDescent="0.15">
      <c r="A69" s="80" t="s">
        <v>202</v>
      </c>
      <c r="B69" s="81">
        <f>floors!$C$2</f>
        <v>47014</v>
      </c>
      <c r="C69" s="82" t="str">
        <f ca="1">VLOOKUP($B69,OFFSET([2]quests!$A$1,0,0,COUNTA([2]quests!$A:$A),MATCH(C$1,[2]quests!$1:$1,0)-MATCH($B$1,[2]quests!$1:$1,0)+1),MATCH(C$1,[2]quests!$1:$1,0)-MATCH($B$1,[2]quests!$1:$1,0)+1,FALSE)</f>
        <v>ヘルレイザー襲来！</v>
      </c>
      <c r="D69" s="82" t="str">
        <f ca="1">VLOOKUP($B69,OFFSET([2]quests!$A$1,0,0,COUNTA([2]quests!$A:$A),MATCH(D$1,[2]quests!$1:$1,0)-MATCH($B$1,[2]quests!$1:$1,0)+1),MATCH(D$1,[2]quests!$1:$1,0)-MATCH($B$1,[2]quests!$1:$1,0)+1,FALSE)</f>
        <v>800万ダウンロード記念イベント</v>
      </c>
      <c r="E69" s="86" t="s">
        <v>217</v>
      </c>
      <c r="F69" s="82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2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4">
        <v>0</v>
      </c>
      <c r="I69" s="95">
        <v>14</v>
      </c>
      <c r="J69" s="83" t="s">
        <v>200</v>
      </c>
      <c r="K69" s="92" t="str">
        <f>VLOOKUP(I69,[7]stage_hints!$A:$C,3,FALSE)</f>
        <v>覚醒するにはレベルを最大に</v>
      </c>
      <c r="L69" s="93" t="str">
        <f>VLOOKUP(I69,[7]stage_hints!$A:$D,4,FALSE)</f>
        <v>覚醒するにはユニットのレベルを_x000D_最大まで上げる必要があります</v>
      </c>
      <c r="M69" s="56" t="s">
        <v>212</v>
      </c>
    </row>
    <row r="70" spans="1:13" x14ac:dyDescent="0.15">
      <c r="A70" s="80" t="s">
        <v>202</v>
      </c>
      <c r="B70" s="81">
        <f>floors!$C$2</f>
        <v>47014</v>
      </c>
      <c r="C70" s="82" t="str">
        <f ca="1">VLOOKUP($B70,OFFSET([2]quests!$A$1,0,0,COUNTA([2]quests!$A:$A),MATCH(C$1,[2]quests!$1:$1,0)-MATCH($B$1,[2]quests!$1:$1,0)+1),MATCH(C$1,[2]quests!$1:$1,0)-MATCH($B$1,[2]quests!$1:$1,0)+1,FALSE)</f>
        <v>ヘルレイザー襲来！</v>
      </c>
      <c r="D70" s="82" t="str">
        <f ca="1">VLOOKUP($B70,OFFSET([2]quests!$A$1,0,0,COUNTA([2]quests!$A:$A),MATCH(D$1,[2]quests!$1:$1,0)-MATCH($B$1,[2]quests!$1:$1,0)+1),MATCH(D$1,[2]quests!$1:$1,0)-MATCH($B$1,[2]quests!$1:$1,0)+1,FALSE)</f>
        <v>800万ダウンロード記念イベント</v>
      </c>
      <c r="E70" s="86" t="s">
        <v>217</v>
      </c>
      <c r="F70" s="82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2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4">
        <v>0</v>
      </c>
      <c r="I70" s="95">
        <v>15</v>
      </c>
      <c r="J70" s="83" t="s">
        <v>200</v>
      </c>
      <c r="K70" s="92" t="str">
        <f>VLOOKUP(I70,[7]stage_hints!$A:$C,3,FALSE)</f>
        <v>覚醒素材を獲得</v>
      </c>
      <c r="L70" s="93" t="str">
        <f>VLOOKUP(I70,[7]stage_hints!$A:$D,4,FALSE)</f>
        <v>「曜日クエスト」では_x000D_ユニットの覚醒に必要な素材が手に入ります</v>
      </c>
      <c r="M70" s="56" t="s">
        <v>212</v>
      </c>
    </row>
    <row r="71" spans="1:13" x14ac:dyDescent="0.15">
      <c r="A71" s="80" t="s">
        <v>202</v>
      </c>
      <c r="B71" s="81">
        <f>floors!$C$2</f>
        <v>47014</v>
      </c>
      <c r="C71" s="82" t="str">
        <f ca="1">VLOOKUP($B71,OFFSET([2]quests!$A$1,0,0,COUNTA([2]quests!$A:$A),MATCH(C$1,[2]quests!$1:$1,0)-MATCH($B$1,[2]quests!$1:$1,0)+1),MATCH(C$1,[2]quests!$1:$1,0)-MATCH($B$1,[2]quests!$1:$1,0)+1,FALSE)</f>
        <v>ヘルレイザー襲来！</v>
      </c>
      <c r="D71" s="82" t="str">
        <f ca="1">VLOOKUP($B71,OFFSET([2]quests!$A$1,0,0,COUNTA([2]quests!$A:$A),MATCH(D$1,[2]quests!$1:$1,0)-MATCH($B$1,[2]quests!$1:$1,0)+1),MATCH(D$1,[2]quests!$1:$1,0)-MATCH($B$1,[2]quests!$1:$1,0)+1,FALSE)</f>
        <v>800万ダウンロード記念イベント</v>
      </c>
      <c r="E71" s="86" t="s">
        <v>217</v>
      </c>
      <c r="F71" s="82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2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4">
        <v>0</v>
      </c>
      <c r="I71" s="95">
        <v>16</v>
      </c>
      <c r="J71" s="83" t="s">
        <v>200</v>
      </c>
      <c r="K71" s="92" t="str">
        <f>VLOOKUP(I71,[7]stage_hints!$A:$C,3,FALSE)</f>
        <v>マルチプレイのメリット（その1）</v>
      </c>
      <c r="L71" s="93" t="str">
        <f>VLOOKUP(I71,[7]stage_hints!$A:$D,4,FALSE)</f>
        <v>他のプレイヤーとマルチプレイで遊ぶと_x000D_ポリゴンがもらえます（100人まで）</v>
      </c>
      <c r="M71" s="56" t="s">
        <v>212</v>
      </c>
    </row>
    <row r="72" spans="1:13" x14ac:dyDescent="0.15">
      <c r="A72" s="80" t="s">
        <v>202</v>
      </c>
      <c r="B72" s="81">
        <f>floors!$C$2</f>
        <v>47014</v>
      </c>
      <c r="C72" s="82" t="str">
        <f ca="1">VLOOKUP($B72,OFFSET([2]quests!$A$1,0,0,COUNTA([2]quests!$A:$A),MATCH(C$1,[2]quests!$1:$1,0)-MATCH($B$1,[2]quests!$1:$1,0)+1),MATCH(C$1,[2]quests!$1:$1,0)-MATCH($B$1,[2]quests!$1:$1,0)+1,FALSE)</f>
        <v>ヘルレイザー襲来！</v>
      </c>
      <c r="D72" s="82" t="str">
        <f ca="1">VLOOKUP($B72,OFFSET([2]quests!$A$1,0,0,COUNTA([2]quests!$A:$A),MATCH(D$1,[2]quests!$1:$1,0)-MATCH($B$1,[2]quests!$1:$1,0)+1),MATCH(D$1,[2]quests!$1:$1,0)-MATCH($B$1,[2]quests!$1:$1,0)+1,FALSE)</f>
        <v>800万ダウンロード記念イベント</v>
      </c>
      <c r="E72" s="86" t="s">
        <v>217</v>
      </c>
      <c r="F72" s="82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2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4">
        <v>0</v>
      </c>
      <c r="I72" s="95">
        <v>17</v>
      </c>
      <c r="J72" s="83" t="s">
        <v>200</v>
      </c>
      <c r="K72" s="92" t="str">
        <f>VLOOKUP(I72,[7]stage_hints!$A:$C,3,FALSE)</f>
        <v>リンクガチャ</v>
      </c>
      <c r="L72" s="93" t="str">
        <f>VLOOKUP(I72,[7]stage_hints!$A:$D,4,FALSE)</f>
        <v>無料のリンクガチャを回して_x000D_経験値素材や売却素材を獲得しましょう</v>
      </c>
      <c r="M72" s="56" t="s">
        <v>212</v>
      </c>
    </row>
    <row r="73" spans="1:13" x14ac:dyDescent="0.15">
      <c r="A73" s="80" t="s">
        <v>202</v>
      </c>
      <c r="B73" s="81">
        <f>floors!$C$2</f>
        <v>47014</v>
      </c>
      <c r="C73" s="82" t="str">
        <f ca="1">VLOOKUP($B73,OFFSET([2]quests!$A$1,0,0,COUNTA([2]quests!$A:$A),MATCH(C$1,[2]quests!$1:$1,0)-MATCH($B$1,[2]quests!$1:$1,0)+1),MATCH(C$1,[2]quests!$1:$1,0)-MATCH($B$1,[2]quests!$1:$1,0)+1,FALSE)</f>
        <v>ヘルレイザー襲来！</v>
      </c>
      <c r="D73" s="82" t="str">
        <f ca="1">VLOOKUP($B73,OFFSET([2]quests!$A$1,0,0,COUNTA([2]quests!$A:$A),MATCH(D$1,[2]quests!$1:$1,0)-MATCH($B$1,[2]quests!$1:$1,0)+1),MATCH(D$1,[2]quests!$1:$1,0)-MATCH($B$1,[2]quests!$1:$1,0)+1,FALSE)</f>
        <v>800万ダウンロード記念イベント</v>
      </c>
      <c r="E73" s="86" t="s">
        <v>217</v>
      </c>
      <c r="F73" s="82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2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4">
        <v>0</v>
      </c>
      <c r="I73" s="95">
        <v>18</v>
      </c>
      <c r="J73" s="83" t="s">
        <v>200</v>
      </c>
      <c r="K73" s="92" t="str">
        <f>VLOOKUP(I73,[7]stage_hints!$A:$C,3,FALSE)</f>
        <v>マルチプレイのメリット（その2）</v>
      </c>
      <c r="L73" s="93" t="str">
        <f>VLOOKUP(I73,[7]stage_hints!$A:$D,4,FALSE)</f>
        <v>マルチプレイならリンクが2倍もらえます_x000D_リンクガチャをたくさん回しましょう</v>
      </c>
      <c r="M73" s="56" t="s">
        <v>212</v>
      </c>
    </row>
    <row r="74" spans="1:13" x14ac:dyDescent="0.15">
      <c r="A74" s="80" t="s">
        <v>202</v>
      </c>
      <c r="B74" s="81">
        <f>floors!$C$2</f>
        <v>47014</v>
      </c>
      <c r="C74" s="82" t="str">
        <f ca="1">VLOOKUP($B74,OFFSET([2]quests!$A$1,0,0,COUNTA([2]quests!$A:$A),MATCH(C$1,[2]quests!$1:$1,0)-MATCH($B$1,[2]quests!$1:$1,0)+1),MATCH(C$1,[2]quests!$1:$1,0)-MATCH($B$1,[2]quests!$1:$1,0)+1,FALSE)</f>
        <v>ヘルレイザー襲来！</v>
      </c>
      <c r="D74" s="82" t="str">
        <f ca="1">VLOOKUP($B74,OFFSET([2]quests!$A$1,0,0,COUNTA([2]quests!$A:$A),MATCH(D$1,[2]quests!$1:$1,0)-MATCH($B$1,[2]quests!$1:$1,0)+1),MATCH(D$1,[2]quests!$1:$1,0)-MATCH($B$1,[2]quests!$1:$1,0)+1,FALSE)</f>
        <v>800万ダウンロード記念イベント</v>
      </c>
      <c r="E74" s="86" t="s">
        <v>217</v>
      </c>
      <c r="F74" s="82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2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4">
        <v>0</v>
      </c>
      <c r="I74" s="95">
        <v>19</v>
      </c>
      <c r="J74" s="83" t="s">
        <v>200</v>
      </c>
      <c r="K74" s="92" t="str">
        <f>VLOOKUP(I74,[7]stage_hints!$A:$C,3,FALSE)</f>
        <v>ソロ専用タワーオブザクイーン</v>
      </c>
      <c r="L74" s="93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6" t="s">
        <v>212</v>
      </c>
    </row>
    <row r="75" spans="1:13" x14ac:dyDescent="0.15">
      <c r="A75" s="80" t="s">
        <v>202</v>
      </c>
      <c r="B75" s="81">
        <f>floors!$C$2</f>
        <v>47014</v>
      </c>
      <c r="C75" s="82" t="str">
        <f ca="1">VLOOKUP($B75,OFFSET([2]quests!$A$1,0,0,COUNTA([2]quests!$A:$A),MATCH(C$1,[2]quests!$1:$1,0)-MATCH($B$1,[2]quests!$1:$1,0)+1),MATCH(C$1,[2]quests!$1:$1,0)-MATCH($B$1,[2]quests!$1:$1,0)+1,FALSE)</f>
        <v>ヘルレイザー襲来！</v>
      </c>
      <c r="D75" s="82" t="str">
        <f ca="1">VLOOKUP($B75,OFFSET([2]quests!$A$1,0,0,COUNTA([2]quests!$A:$A),MATCH(D$1,[2]quests!$1:$1,0)-MATCH($B$1,[2]quests!$1:$1,0)+1),MATCH(D$1,[2]quests!$1:$1,0)-MATCH($B$1,[2]quests!$1:$1,0)+1,FALSE)</f>
        <v>800万ダウンロード記念イベント</v>
      </c>
      <c r="E75" s="86" t="s">
        <v>217</v>
      </c>
      <c r="F75" s="82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2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4">
        <v>0</v>
      </c>
      <c r="I75" s="95">
        <v>20</v>
      </c>
      <c r="J75" s="83" t="s">
        <v>200</v>
      </c>
      <c r="K75" s="92" t="str">
        <f>VLOOKUP(I75,[7]stage_hints!$A:$C,3,FALSE)</f>
        <v>マルチプレイのメリット（その3）</v>
      </c>
      <c r="L75" s="93" t="str">
        <f>VLOOKUP(I75,[7]stage_hints!$A:$D,4,FALSE)</f>
        <v>マルチプレイへの参加はエナジー消費ゼロ_x000D_いつでも好きなだけ遊ぶことができます</v>
      </c>
      <c r="M75" s="56" t="s">
        <v>212</v>
      </c>
    </row>
    <row r="76" spans="1:13" x14ac:dyDescent="0.15">
      <c r="A76" s="80" t="s">
        <v>202</v>
      </c>
      <c r="B76" s="81">
        <f>floors!$C$2</f>
        <v>47014</v>
      </c>
      <c r="C76" s="82" t="str">
        <f ca="1">VLOOKUP($B76,OFFSET([2]quests!$A$1,0,0,COUNTA([2]quests!$A:$A),MATCH(C$1,[2]quests!$1:$1,0)-MATCH($B$1,[2]quests!$1:$1,0)+1),MATCH(C$1,[2]quests!$1:$1,0)-MATCH($B$1,[2]quests!$1:$1,0)+1,FALSE)</f>
        <v>ヘルレイザー襲来！</v>
      </c>
      <c r="D76" s="82" t="str">
        <f ca="1">VLOOKUP($B76,OFFSET([2]quests!$A$1,0,0,COUNTA([2]quests!$A:$A),MATCH(D$1,[2]quests!$1:$1,0)-MATCH($B$1,[2]quests!$1:$1,0)+1),MATCH(D$1,[2]quests!$1:$1,0)-MATCH($B$1,[2]quests!$1:$1,0)+1,FALSE)</f>
        <v>800万ダウンロード記念イベント</v>
      </c>
      <c r="E76" s="86" t="s">
        <v>217</v>
      </c>
      <c r="F76" s="82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2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4">
        <v>0</v>
      </c>
      <c r="I76" s="95">
        <v>21</v>
      </c>
      <c r="J76" s="83" t="s">
        <v>200</v>
      </c>
      <c r="K76" s="92" t="str">
        <f>VLOOKUP(I76,[7]stage_hints!$A:$C,3,FALSE)</f>
        <v>スキルを有効に</v>
      </c>
      <c r="L76" s="93" t="str">
        <f>VLOOKUP(I76,[7]stage_hints!$A:$D,4,FALSE)</f>
        <v>ターン経過でユニットのスキルが使えます_x000D_強力スキルでバトルを有利に進めましょう</v>
      </c>
      <c r="M76" s="56" t="s">
        <v>212</v>
      </c>
    </row>
    <row r="77" spans="1:13" x14ac:dyDescent="0.15">
      <c r="A77" s="80" t="s">
        <v>202</v>
      </c>
      <c r="B77" s="81">
        <f>floors!$C$2</f>
        <v>47014</v>
      </c>
      <c r="C77" s="82" t="str">
        <f ca="1">VLOOKUP($B77,OFFSET([2]quests!$A$1,0,0,COUNTA([2]quests!$A:$A),MATCH(C$1,[2]quests!$1:$1,0)-MATCH($B$1,[2]quests!$1:$1,0)+1),MATCH(C$1,[2]quests!$1:$1,0)-MATCH($B$1,[2]quests!$1:$1,0)+1,FALSE)</f>
        <v>ヘルレイザー襲来！</v>
      </c>
      <c r="D77" s="82" t="str">
        <f ca="1">VLOOKUP($B77,OFFSET([2]quests!$A$1,0,0,COUNTA([2]quests!$A:$A),MATCH(D$1,[2]quests!$1:$1,0)-MATCH($B$1,[2]quests!$1:$1,0)+1),MATCH(D$1,[2]quests!$1:$1,0)-MATCH($B$1,[2]quests!$1:$1,0)+1,FALSE)</f>
        <v>800万ダウンロード記念イベント</v>
      </c>
      <c r="E77" s="86" t="s">
        <v>217</v>
      </c>
      <c r="F77" s="82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2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4">
        <v>0</v>
      </c>
      <c r="I77" s="95">
        <v>22</v>
      </c>
      <c r="J77" s="83" t="s">
        <v>200</v>
      </c>
      <c r="K77" s="92" t="str">
        <f>VLOOKUP(I77,[7]stage_hints!$A:$C,3,FALSE)</f>
        <v>フィーバーで一発逆転（その1）</v>
      </c>
      <c r="L77" s="93" t="str">
        <f>VLOOKUP(I77,[7]stage_hints!$A:$D,4,FALSE)</f>
        <v>フィーバーは攻撃と回復を兼ね備えます_x000D_ピンチからの一発逆転を狙いましょう</v>
      </c>
      <c r="M77" s="56" t="s">
        <v>212</v>
      </c>
    </row>
    <row r="78" spans="1:13" x14ac:dyDescent="0.15">
      <c r="A78" s="80" t="s">
        <v>202</v>
      </c>
      <c r="B78" s="81">
        <f>floors!$C$2</f>
        <v>47014</v>
      </c>
      <c r="C78" s="82" t="str">
        <f ca="1">VLOOKUP($B78,OFFSET([2]quests!$A$1,0,0,COUNTA([2]quests!$A:$A),MATCH(C$1,[2]quests!$1:$1,0)-MATCH($B$1,[2]quests!$1:$1,0)+1),MATCH(C$1,[2]quests!$1:$1,0)-MATCH($B$1,[2]quests!$1:$1,0)+1,FALSE)</f>
        <v>ヘルレイザー襲来！</v>
      </c>
      <c r="D78" s="82" t="str">
        <f ca="1">VLOOKUP($B78,OFFSET([2]quests!$A$1,0,0,COUNTA([2]quests!$A:$A),MATCH(D$1,[2]quests!$1:$1,0)-MATCH($B$1,[2]quests!$1:$1,0)+1),MATCH(D$1,[2]quests!$1:$1,0)-MATCH($B$1,[2]quests!$1:$1,0)+1,FALSE)</f>
        <v>800万ダウンロード記念イベント</v>
      </c>
      <c r="E78" s="86" t="s">
        <v>217</v>
      </c>
      <c r="F78" s="82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2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4">
        <v>0</v>
      </c>
      <c r="I78" s="95">
        <v>23</v>
      </c>
      <c r="J78" s="83" t="s">
        <v>200</v>
      </c>
      <c r="K78" s="92" t="str">
        <f>VLOOKUP(I78,[7]stage_hints!$A:$C,3,FALSE)</f>
        <v>フィーバーで一発逆転（その2）</v>
      </c>
      <c r="L78" s="93" t="str">
        <f>VLOOKUP(I78,[7]stage_hints!$A:$D,4,FALSE)</f>
        <v>フィーバー中は虹色のボムパネルを狙って_x000D_画面上のパネルを一気に破壊しましょう</v>
      </c>
      <c r="M78" s="56" t="s">
        <v>212</v>
      </c>
    </row>
    <row r="79" spans="1:13" x14ac:dyDescent="0.15">
      <c r="A79" s="80" t="s">
        <v>202</v>
      </c>
      <c r="B79" s="81">
        <f>floors!$C$2</f>
        <v>47014</v>
      </c>
      <c r="C79" s="82" t="str">
        <f ca="1">VLOOKUP($B79,OFFSET([2]quests!$A$1,0,0,COUNTA([2]quests!$A:$A),MATCH(C$1,[2]quests!$1:$1,0)-MATCH($B$1,[2]quests!$1:$1,0)+1),MATCH(C$1,[2]quests!$1:$1,0)-MATCH($B$1,[2]quests!$1:$1,0)+1,FALSE)</f>
        <v>ヘルレイザー襲来！</v>
      </c>
      <c r="D79" s="82" t="str">
        <f ca="1">VLOOKUP($B79,OFFSET([2]quests!$A$1,0,0,COUNTA([2]quests!$A:$A),MATCH(D$1,[2]quests!$1:$1,0)-MATCH($B$1,[2]quests!$1:$1,0)+1),MATCH(D$1,[2]quests!$1:$1,0)-MATCH($B$1,[2]quests!$1:$1,0)+1,FALSE)</f>
        <v>800万ダウンロード記念イベント</v>
      </c>
      <c r="E79" s="86" t="s">
        <v>217</v>
      </c>
      <c r="F79" s="82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2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4">
        <v>0</v>
      </c>
      <c r="I79" s="95">
        <v>24</v>
      </c>
      <c r="J79" s="83" t="s">
        <v>200</v>
      </c>
      <c r="K79" s="92" t="str">
        <f>VLOOKUP(I79,[7]stage_hints!$A:$C,3,FALSE)</f>
        <v>りんごを使って限界突破</v>
      </c>
      <c r="L79" s="93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6" t="s">
        <v>212</v>
      </c>
    </row>
    <row r="80" spans="1:13" x14ac:dyDescent="0.15">
      <c r="A80" s="80" t="s">
        <v>202</v>
      </c>
      <c r="B80" s="81">
        <f>floors!$C$2</f>
        <v>47014</v>
      </c>
      <c r="C80" s="82" t="str">
        <f ca="1">VLOOKUP($B80,OFFSET([2]quests!$A$1,0,0,COUNTA([2]quests!$A:$A),MATCH(C$1,[2]quests!$1:$1,0)-MATCH($B$1,[2]quests!$1:$1,0)+1),MATCH(C$1,[2]quests!$1:$1,0)-MATCH($B$1,[2]quests!$1:$1,0)+1,FALSE)</f>
        <v>ヘルレイザー襲来！</v>
      </c>
      <c r="D80" s="82" t="str">
        <f ca="1">VLOOKUP($B80,OFFSET([2]quests!$A$1,0,0,COUNTA([2]quests!$A:$A),MATCH(D$1,[2]quests!$1:$1,0)-MATCH($B$1,[2]quests!$1:$1,0)+1),MATCH(D$1,[2]quests!$1:$1,0)-MATCH($B$1,[2]quests!$1:$1,0)+1,FALSE)</f>
        <v>800万ダウンロード記念イベント</v>
      </c>
      <c r="E80" s="86" t="s">
        <v>217</v>
      </c>
      <c r="F80" s="82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2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4">
        <v>0</v>
      </c>
      <c r="I80" s="95">
        <v>25</v>
      </c>
      <c r="J80" s="83" t="s">
        <v>200</v>
      </c>
      <c r="K80" s="92" t="str">
        <f>VLOOKUP(I80,[7]stage_hints!$A:$C,3,FALSE)</f>
        <v>スキルレベルアップ</v>
      </c>
      <c r="L80" s="93" t="str">
        <f>VLOOKUP(I80,[7]stage_hints!$A:$D,4,FALSE)</f>
        <v>「クリスタルのりんご」を強化に使うと_x000D_スキルレベルを上げることができます</v>
      </c>
      <c r="M80" s="56" t="s">
        <v>212</v>
      </c>
    </row>
    <row r="81" spans="1:13" x14ac:dyDescent="0.15">
      <c r="A81" s="80" t="s">
        <v>202</v>
      </c>
      <c r="B81" s="81">
        <f>floors!$C$2</f>
        <v>47014</v>
      </c>
      <c r="C81" s="82" t="str">
        <f ca="1">VLOOKUP($B81,OFFSET([2]quests!$A$1,0,0,COUNTA([2]quests!$A:$A),MATCH(C$1,[2]quests!$1:$1,0)-MATCH($B$1,[2]quests!$1:$1,0)+1),MATCH(C$1,[2]quests!$1:$1,0)-MATCH($B$1,[2]quests!$1:$1,0)+1,FALSE)</f>
        <v>ヘルレイザー襲来！</v>
      </c>
      <c r="D81" s="82" t="str">
        <f ca="1">VLOOKUP($B81,OFFSET([2]quests!$A$1,0,0,COUNTA([2]quests!$A:$A),MATCH(D$1,[2]quests!$1:$1,0)-MATCH($B$1,[2]quests!$1:$1,0)+1),MATCH(D$1,[2]quests!$1:$1,0)-MATCH($B$1,[2]quests!$1:$1,0)+1,FALSE)</f>
        <v>800万ダウンロード記念イベント</v>
      </c>
      <c r="E81" s="86" t="s">
        <v>217</v>
      </c>
      <c r="F81" s="82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2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4">
        <v>0</v>
      </c>
      <c r="I81" s="95">
        <v>26</v>
      </c>
      <c r="J81" s="83" t="s">
        <v>200</v>
      </c>
      <c r="K81" s="92" t="str">
        <f>VLOOKUP(I81,[7]stage_hints!$A:$C,3,FALSE)</f>
        <v>スキルレベルの効果</v>
      </c>
      <c r="L81" s="93" t="str">
        <f>VLOOKUP(I81,[7]stage_hints!$A:$D,4,FALSE)</f>
        <v>スキルレベルが上がると_x000D_短いターンでスキルを使うことができます</v>
      </c>
      <c r="M81" s="56" t="s">
        <v>212</v>
      </c>
    </row>
    <row r="82" spans="1:13" x14ac:dyDescent="0.15">
      <c r="A82" s="80" t="s">
        <v>202</v>
      </c>
      <c r="B82" s="81">
        <f>floors!$C$2</f>
        <v>47014</v>
      </c>
      <c r="C82" s="82" t="str">
        <f ca="1">VLOOKUP($B82,OFFSET([2]quests!$A$1,0,0,COUNTA([2]quests!$A:$A),MATCH(C$1,[2]quests!$1:$1,0)-MATCH($B$1,[2]quests!$1:$1,0)+1),MATCH(C$1,[2]quests!$1:$1,0)-MATCH($B$1,[2]quests!$1:$1,0)+1,FALSE)</f>
        <v>ヘルレイザー襲来！</v>
      </c>
      <c r="D82" s="82" t="str">
        <f ca="1">VLOOKUP($B82,OFFSET([2]quests!$A$1,0,0,COUNTA([2]quests!$A:$A),MATCH(D$1,[2]quests!$1:$1,0)-MATCH($B$1,[2]quests!$1:$1,0)+1),MATCH(D$1,[2]quests!$1:$1,0)-MATCH($B$1,[2]quests!$1:$1,0)+1,FALSE)</f>
        <v>800万ダウンロード記念イベント</v>
      </c>
      <c r="E82" s="86" t="s">
        <v>217</v>
      </c>
      <c r="F82" s="82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2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4">
        <v>0</v>
      </c>
      <c r="I82" s="95">
        <v>27</v>
      </c>
      <c r="J82" s="83" t="s">
        <v>200</v>
      </c>
      <c r="K82" s="92" t="str">
        <f>VLOOKUP(I82,[7]stage_hints!$A:$C,3,FALSE)</f>
        <v>ホーム画面からデッキを編成</v>
      </c>
      <c r="L82" s="93" t="str">
        <f>VLOOKUP(I82,[7]stage_hints!$A:$D,4,FALSE)</f>
        <v>ホーム画面でユニットを長押しすると_x000D_すぐにパーティ編成に移動できます</v>
      </c>
      <c r="M82" s="56" t="s">
        <v>212</v>
      </c>
    </row>
    <row r="83" spans="1:13" x14ac:dyDescent="0.15">
      <c r="A83" s="80" t="s">
        <v>202</v>
      </c>
      <c r="B83" s="81">
        <f>floors!$C$2</f>
        <v>47014</v>
      </c>
      <c r="C83" s="82" t="str">
        <f ca="1">VLOOKUP($B83,OFFSET([2]quests!$A$1,0,0,COUNTA([2]quests!$A:$A),MATCH(C$1,[2]quests!$1:$1,0)-MATCH($B$1,[2]quests!$1:$1,0)+1),MATCH(C$1,[2]quests!$1:$1,0)-MATCH($B$1,[2]quests!$1:$1,0)+1,FALSE)</f>
        <v>ヘルレイザー襲来！</v>
      </c>
      <c r="D83" s="82" t="str">
        <f ca="1">VLOOKUP($B83,OFFSET([2]quests!$A$1,0,0,COUNTA([2]quests!$A:$A),MATCH(D$1,[2]quests!$1:$1,0)-MATCH($B$1,[2]quests!$1:$1,0)+1),MATCH(D$1,[2]quests!$1:$1,0)-MATCH($B$1,[2]quests!$1:$1,0)+1,FALSE)</f>
        <v>800万ダウンロード記念イベント</v>
      </c>
      <c r="E83" s="86" t="s">
        <v>217</v>
      </c>
      <c r="F83" s="82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2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4">
        <v>0</v>
      </c>
      <c r="I83" s="95">
        <v>28</v>
      </c>
      <c r="J83" s="83" t="s">
        <v>200</v>
      </c>
      <c r="K83" s="92" t="str">
        <f>VLOOKUP(I83,[7]stage_hints!$A:$C,3,FALSE)</f>
        <v>ステータス情報は長押しで</v>
      </c>
      <c r="L83" s="93" t="str">
        <f>VLOOKUP(I83,[7]stage_hints!$A:$D,4,FALSE)</f>
        <v>ユニットのアイコンを長押しすると_x000D_ステータス情報を確認することができます</v>
      </c>
      <c r="M83" s="56" t="s">
        <v>212</v>
      </c>
    </row>
    <row r="84" spans="1:13" x14ac:dyDescent="0.15">
      <c r="A84" s="80" t="s">
        <v>202</v>
      </c>
      <c r="B84" s="81">
        <f>floors!$C$2</f>
        <v>47014</v>
      </c>
      <c r="C84" s="82" t="str">
        <f ca="1">VLOOKUP($B84,OFFSET([2]quests!$A$1,0,0,COUNTA([2]quests!$A:$A),MATCH(C$1,[2]quests!$1:$1,0)-MATCH($B$1,[2]quests!$1:$1,0)+1),MATCH(C$1,[2]quests!$1:$1,0)-MATCH($B$1,[2]quests!$1:$1,0)+1,FALSE)</f>
        <v>ヘルレイザー襲来！</v>
      </c>
      <c r="D84" s="82" t="str">
        <f ca="1">VLOOKUP($B84,OFFSET([2]quests!$A$1,0,0,COUNTA([2]quests!$A:$A),MATCH(D$1,[2]quests!$1:$1,0)-MATCH($B$1,[2]quests!$1:$1,0)+1),MATCH(D$1,[2]quests!$1:$1,0)-MATCH($B$1,[2]quests!$1:$1,0)+1,FALSE)</f>
        <v>800万ダウンロード記念イベント</v>
      </c>
      <c r="E84" s="86" t="s">
        <v>217</v>
      </c>
      <c r="F84" s="82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2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4">
        <v>0</v>
      </c>
      <c r="I84" s="95">
        <v>29</v>
      </c>
      <c r="J84" s="83" t="s">
        <v>200</v>
      </c>
      <c r="K84" s="92" t="str">
        <f>VLOOKUP(I84,[7]stage_hints!$A:$C,3,FALSE)</f>
        <v>「バグ」のメリット</v>
      </c>
      <c r="L84" s="93" t="str">
        <f>VLOOKUP(I84,[7]stage_hints!$A:$D,4,FALSE)</f>
        <v>ユニットの「バグ」を増やすと_x000D_報酬をもらえる確率がアップします</v>
      </c>
      <c r="M84" s="56" t="s">
        <v>212</v>
      </c>
    </row>
    <row r="85" spans="1:13" x14ac:dyDescent="0.15">
      <c r="A85" s="80" t="s">
        <v>202</v>
      </c>
      <c r="B85" s="81">
        <f>floors!$C$2</f>
        <v>47014</v>
      </c>
      <c r="C85" s="82" t="str">
        <f ca="1">VLOOKUP($B85,OFFSET([2]quests!$A$1,0,0,COUNTA([2]quests!$A:$A),MATCH(C$1,[2]quests!$1:$1,0)-MATCH($B$1,[2]quests!$1:$1,0)+1),MATCH(C$1,[2]quests!$1:$1,0)-MATCH($B$1,[2]quests!$1:$1,0)+1,FALSE)</f>
        <v>ヘルレイザー襲来！</v>
      </c>
      <c r="D85" s="82" t="str">
        <f ca="1">VLOOKUP($B85,OFFSET([2]quests!$A$1,0,0,COUNTA([2]quests!$A:$A),MATCH(D$1,[2]quests!$1:$1,0)-MATCH($B$1,[2]quests!$1:$1,0)+1),MATCH(D$1,[2]quests!$1:$1,0)-MATCH($B$1,[2]quests!$1:$1,0)+1,FALSE)</f>
        <v>800万ダウンロード記念イベント</v>
      </c>
      <c r="E85" s="86" t="s">
        <v>217</v>
      </c>
      <c r="F85" s="82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2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4">
        <v>0</v>
      </c>
      <c r="I85" s="95">
        <v>30</v>
      </c>
      <c r="J85" s="83" t="s">
        <v>200</v>
      </c>
      <c r="K85" s="92" t="str">
        <f>VLOOKUP(I85,[7]stage_hints!$A:$C,3,FALSE)</f>
        <v>「バグ」の増やし方</v>
      </c>
      <c r="L85" s="93" t="str">
        <f>VLOOKUP(I85,[7]stage_hints!$A:$D,4,FALSE)</f>
        <v>同じユニット同士を強化で合成すると_x000D_「バグ」を増やすことができます</v>
      </c>
      <c r="M85" s="56" t="s">
        <v>212</v>
      </c>
    </row>
    <row r="86" spans="1:13" x14ac:dyDescent="0.15">
      <c r="A86" s="80" t="s">
        <v>202</v>
      </c>
      <c r="B86" s="81">
        <f>floors!$C$2</f>
        <v>47014</v>
      </c>
      <c r="C86" s="82" t="str">
        <f ca="1">VLOOKUP($B86,OFFSET([2]quests!$A$1,0,0,COUNTA([2]quests!$A:$A),MATCH(C$1,[2]quests!$1:$1,0)-MATCH($B$1,[2]quests!$1:$1,0)+1),MATCH(C$1,[2]quests!$1:$1,0)-MATCH($B$1,[2]quests!$1:$1,0)+1,FALSE)</f>
        <v>ヘルレイザー襲来！</v>
      </c>
      <c r="D86" s="82" t="str">
        <f ca="1">VLOOKUP($B86,OFFSET([2]quests!$A$1,0,0,COUNTA([2]quests!$A:$A),MATCH(D$1,[2]quests!$1:$1,0)-MATCH($B$1,[2]quests!$1:$1,0)+1),MATCH(D$1,[2]quests!$1:$1,0)-MATCH($B$1,[2]quests!$1:$1,0)+1,FALSE)</f>
        <v>800万ダウンロード記念イベント</v>
      </c>
      <c r="E86" s="86" t="s">
        <v>217</v>
      </c>
      <c r="F86" s="82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2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4">
        <v>0</v>
      </c>
      <c r="I86" s="95">
        <v>31</v>
      </c>
      <c r="J86" s="83" t="s">
        <v>200</v>
      </c>
      <c r="K86" s="92" t="str">
        <f>VLOOKUP(I86,[7]stage_hints!$A:$C,3,FALSE)</f>
        <v>イベントはお知らせでチェック</v>
      </c>
      <c r="L86" s="93" t="str">
        <f>VLOOKUP(I86,[7]stage_hints!$A:$D,4,FALSE)</f>
        <v>イベント限定ユニットを取り忘れないように_x000D_お知らせをこまめにチェックしましょう</v>
      </c>
      <c r="M86" s="56" t="s">
        <v>212</v>
      </c>
    </row>
    <row r="87" spans="1:13" x14ac:dyDescent="0.15">
      <c r="A87" s="80" t="s">
        <v>202</v>
      </c>
      <c r="B87" s="81">
        <f>floors!$C$2</f>
        <v>47014</v>
      </c>
      <c r="C87" s="82" t="str">
        <f ca="1">VLOOKUP($B87,OFFSET([2]quests!$A$1,0,0,COUNTA([2]quests!$A:$A),MATCH(C$1,[2]quests!$1:$1,0)-MATCH($B$1,[2]quests!$1:$1,0)+1),MATCH(C$1,[2]quests!$1:$1,0)-MATCH($B$1,[2]quests!$1:$1,0)+1,FALSE)</f>
        <v>ヘルレイザー襲来！</v>
      </c>
      <c r="D87" s="82" t="str">
        <f ca="1">VLOOKUP($B87,OFFSET([2]quests!$A$1,0,0,COUNTA([2]quests!$A:$A),MATCH(D$1,[2]quests!$1:$1,0)-MATCH($B$1,[2]quests!$1:$1,0)+1),MATCH(D$1,[2]quests!$1:$1,0)-MATCH($B$1,[2]quests!$1:$1,0)+1,FALSE)</f>
        <v>800万ダウンロード記念イベント</v>
      </c>
      <c r="E87" s="86" t="s">
        <v>217</v>
      </c>
      <c r="F87" s="82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2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4">
        <v>0</v>
      </c>
      <c r="I87" s="95">
        <v>32</v>
      </c>
      <c r="J87" s="83" t="s">
        <v>200</v>
      </c>
      <c r="K87" s="92" t="str">
        <f>VLOOKUP(I87,[7]stage_hints!$A:$C,3,FALSE)</f>
        <v>敵の連続攻撃には</v>
      </c>
      <c r="L87" s="93" t="str">
        <f>VLOOKUP(I87,[7]stage_hints!$A:$D,4,FALSE)</f>
        <v>カウンタースキルを持つユニットがいれば_x000D_ダメージ回数分の反撃ができます</v>
      </c>
      <c r="M87" s="56" t="s">
        <v>212</v>
      </c>
    </row>
    <row r="88" spans="1:13" x14ac:dyDescent="0.15">
      <c r="A88" s="80" t="s">
        <v>202</v>
      </c>
      <c r="B88" s="81">
        <f>floors!$C$2</f>
        <v>47014</v>
      </c>
      <c r="C88" s="82" t="str">
        <f ca="1">VLOOKUP($B88,OFFSET([2]quests!$A$1,0,0,COUNTA([2]quests!$A:$A),MATCH(C$1,[2]quests!$1:$1,0)-MATCH($B$1,[2]quests!$1:$1,0)+1),MATCH(C$1,[2]quests!$1:$1,0)-MATCH($B$1,[2]quests!$1:$1,0)+1,FALSE)</f>
        <v>ヘルレイザー襲来！</v>
      </c>
      <c r="D88" s="82" t="str">
        <f ca="1">VLOOKUP($B88,OFFSET([2]quests!$A$1,0,0,COUNTA([2]quests!$A:$A),MATCH(D$1,[2]quests!$1:$1,0)-MATCH($B$1,[2]quests!$1:$1,0)+1),MATCH(D$1,[2]quests!$1:$1,0)-MATCH($B$1,[2]quests!$1:$1,0)+1,FALSE)</f>
        <v>800万ダウンロード記念イベント</v>
      </c>
      <c r="E88" s="86" t="s">
        <v>217</v>
      </c>
      <c r="F88" s="82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2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4">
        <v>0</v>
      </c>
      <c r="I88" s="95">
        <v>33</v>
      </c>
      <c r="J88" s="83" t="s">
        <v>200</v>
      </c>
      <c r="K88" s="92" t="str">
        <f>VLOOKUP(I88,[7]stage_hints!$A:$C,3,FALSE)</f>
        <v>敵のカウンター攻撃には</v>
      </c>
      <c r="L88" s="93" t="str">
        <f>VLOOKUP(I88,[7]stage_hints!$A:$D,4,FALSE)</f>
        <v>カウンターブレイクスキルを持っていれば_x000D_敵のカウンターを解除して攻撃ができます</v>
      </c>
      <c r="M88" s="56" t="s">
        <v>212</v>
      </c>
    </row>
    <row r="89" spans="1:13" x14ac:dyDescent="0.15">
      <c r="A89" s="80" t="s">
        <v>202</v>
      </c>
      <c r="B89" s="81">
        <f>floors!$C$2</f>
        <v>47014</v>
      </c>
      <c r="C89" s="82" t="str">
        <f ca="1">VLOOKUP($B89,OFFSET([2]quests!$A$1,0,0,COUNTA([2]quests!$A:$A),MATCH(C$1,[2]quests!$1:$1,0)-MATCH($B$1,[2]quests!$1:$1,0)+1),MATCH(C$1,[2]quests!$1:$1,0)-MATCH($B$1,[2]quests!$1:$1,0)+1,FALSE)</f>
        <v>ヘルレイザー襲来！</v>
      </c>
      <c r="D89" s="82" t="str">
        <f ca="1">VLOOKUP($B89,OFFSET([2]quests!$A$1,0,0,COUNTA([2]quests!$A:$A),MATCH(D$1,[2]quests!$1:$1,0)-MATCH($B$1,[2]quests!$1:$1,0)+1),MATCH(D$1,[2]quests!$1:$1,0)-MATCH($B$1,[2]quests!$1:$1,0)+1,FALSE)</f>
        <v>800万ダウンロード記念イベント</v>
      </c>
      <c r="E89" s="86" t="s">
        <v>217</v>
      </c>
      <c r="F89" s="82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2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4">
        <v>0</v>
      </c>
      <c r="I89" s="95">
        <v>34</v>
      </c>
      <c r="J89" s="83" t="s">
        <v>200</v>
      </c>
      <c r="K89" s="92" t="str">
        <f>VLOOKUP(I89,[7]stage_hints!$A:$C,3,FALSE)</f>
        <v>ステータスをスキルで下げられたら</v>
      </c>
      <c r="L89" s="93" t="str">
        <f>VLOOKUP(I89,[7]stage_hints!$A:$D,4,FALSE)</f>
        <v>ステータスダウンのスキルを受けたら_x000D_ステータスアップスキルで上書きしましょう</v>
      </c>
      <c r="M89" s="56" t="s">
        <v>212</v>
      </c>
    </row>
    <row r="90" spans="1:13" x14ac:dyDescent="0.15">
      <c r="A90" s="80" t="s">
        <v>202</v>
      </c>
      <c r="B90" s="81">
        <f>floors!$C$2</f>
        <v>47014</v>
      </c>
      <c r="C90" s="82" t="str">
        <f ca="1">VLOOKUP($B90,OFFSET([2]quests!$A$1,0,0,COUNTA([2]quests!$A:$A),MATCH(C$1,[2]quests!$1:$1,0)-MATCH($B$1,[2]quests!$1:$1,0)+1),MATCH(C$1,[2]quests!$1:$1,0)-MATCH($B$1,[2]quests!$1:$1,0)+1,FALSE)</f>
        <v>ヘルレイザー襲来！</v>
      </c>
      <c r="D90" s="82" t="str">
        <f ca="1">VLOOKUP($B90,OFFSET([2]quests!$A$1,0,0,COUNTA([2]quests!$A:$A),MATCH(D$1,[2]quests!$1:$1,0)-MATCH($B$1,[2]quests!$1:$1,0)+1),MATCH(D$1,[2]quests!$1:$1,0)-MATCH($B$1,[2]quests!$1:$1,0)+1,FALSE)</f>
        <v>800万ダウンロード記念イベント</v>
      </c>
      <c r="E90" s="86" t="s">
        <v>217</v>
      </c>
      <c r="F90" s="82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2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4">
        <v>0</v>
      </c>
      <c r="I90" s="95">
        <v>35</v>
      </c>
      <c r="J90" s="83" t="s">
        <v>200</v>
      </c>
      <c r="K90" s="92" t="str">
        <f>VLOOKUP(I90,[7]stage_hints!$A:$C,3,FALSE)</f>
        <v>敵のステータスがスキルで上がったら</v>
      </c>
      <c r="L90" s="93" t="str">
        <f>VLOOKUP(I90,[7]stage_hints!$A:$D,4,FALSE)</f>
        <v>敵のステータスがスキルでアップしたときは_x000D_ステータスダウンスキルで上書きしましょう</v>
      </c>
      <c r="M90" s="56" t="s">
        <v>212</v>
      </c>
    </row>
    <row r="91" spans="1:13" x14ac:dyDescent="0.15">
      <c r="A91" s="80" t="s">
        <v>202</v>
      </c>
      <c r="B91" s="81">
        <f>floors!$C$2</f>
        <v>47014</v>
      </c>
      <c r="C91" s="82" t="str">
        <f ca="1">VLOOKUP($B91,OFFSET([2]quests!$A$1,0,0,COUNTA([2]quests!$A:$A),MATCH(C$1,[2]quests!$1:$1,0)-MATCH($B$1,[2]quests!$1:$1,0)+1),MATCH(C$1,[2]quests!$1:$1,0)-MATCH($B$1,[2]quests!$1:$1,0)+1,FALSE)</f>
        <v>ヘルレイザー襲来！</v>
      </c>
      <c r="D91" s="82" t="str">
        <f ca="1">VLOOKUP($B91,OFFSET([2]quests!$A$1,0,0,COUNTA([2]quests!$A:$A),MATCH(D$1,[2]quests!$1:$1,0)-MATCH($B$1,[2]quests!$1:$1,0)+1),MATCH(D$1,[2]quests!$1:$1,0)-MATCH($B$1,[2]quests!$1:$1,0)+1,FALSE)</f>
        <v>800万ダウンロード記念イベント</v>
      </c>
      <c r="E91" s="86" t="s">
        <v>217</v>
      </c>
      <c r="F91" s="82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2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4">
        <v>0</v>
      </c>
      <c r="I91" s="95">
        <v>36</v>
      </c>
      <c r="J91" s="83" t="s">
        <v>200</v>
      </c>
      <c r="K91" s="92" t="str">
        <f>VLOOKUP(I91,[7]stage_hints!$A:$C,3,FALSE)</f>
        <v>タワーオブザクイーンのボス</v>
      </c>
      <c r="L91" s="93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6" t="s">
        <v>212</v>
      </c>
    </row>
    <row r="92" spans="1:13" x14ac:dyDescent="0.15">
      <c r="A92" s="80" t="s">
        <v>202</v>
      </c>
      <c r="B92" s="81">
        <f>floors!$C$2</f>
        <v>47014</v>
      </c>
      <c r="C92" s="82" t="str">
        <f ca="1">VLOOKUP($B92,OFFSET([2]quests!$A$1,0,0,COUNTA([2]quests!$A:$A),MATCH(C$1,[2]quests!$1:$1,0)-MATCH($B$1,[2]quests!$1:$1,0)+1),MATCH(C$1,[2]quests!$1:$1,0)-MATCH($B$1,[2]quests!$1:$1,0)+1,FALSE)</f>
        <v>ヘルレイザー襲来！</v>
      </c>
      <c r="D92" s="82" t="str">
        <f ca="1">VLOOKUP($B92,OFFSET([2]quests!$A$1,0,0,COUNTA([2]quests!$A:$A),MATCH(D$1,[2]quests!$1:$1,0)-MATCH($B$1,[2]quests!$1:$1,0)+1),MATCH(D$1,[2]quests!$1:$1,0)-MATCH($B$1,[2]quests!$1:$1,0)+1,FALSE)</f>
        <v>800万ダウンロード記念イベント</v>
      </c>
      <c r="E92" s="86" t="s">
        <v>217</v>
      </c>
      <c r="F92" s="82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2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4">
        <v>0</v>
      </c>
      <c r="I92" s="95">
        <v>37</v>
      </c>
      <c r="J92" s="83" t="s">
        <v>200</v>
      </c>
      <c r="K92" s="92" t="str">
        <f>VLOOKUP(I92,[7]stage_hints!$A:$C,3,FALSE)</f>
        <v>限界突破値の引き継ぎ</v>
      </c>
      <c r="L92" s="93" t="str">
        <f>VLOOKUP(I92,[7]stage_hints!$A:$D,4,FALSE)</f>
        <v>同じユニットを強化で合成すると_x000D_限界突破値を引き継げます（覚醒前後も可）</v>
      </c>
      <c r="M92" s="56" t="s">
        <v>212</v>
      </c>
    </row>
    <row r="93" spans="1:13" x14ac:dyDescent="0.15">
      <c r="A93" s="80" t="s">
        <v>202</v>
      </c>
      <c r="B93" s="81">
        <f>floors!$C$2</f>
        <v>47014</v>
      </c>
      <c r="C93" s="82" t="str">
        <f ca="1">VLOOKUP($B93,OFFSET([2]quests!$A$1,0,0,COUNTA([2]quests!$A:$A),MATCH(C$1,[2]quests!$1:$1,0)-MATCH($B$1,[2]quests!$1:$1,0)+1),MATCH(C$1,[2]quests!$1:$1,0)-MATCH($B$1,[2]quests!$1:$1,0)+1,FALSE)</f>
        <v>ヘルレイザー襲来！</v>
      </c>
      <c r="D93" s="82" t="str">
        <f ca="1">VLOOKUP($B93,OFFSET([2]quests!$A$1,0,0,COUNTA([2]quests!$A:$A),MATCH(D$1,[2]quests!$1:$1,0)-MATCH($B$1,[2]quests!$1:$1,0)+1),MATCH(D$1,[2]quests!$1:$1,0)-MATCH($B$1,[2]quests!$1:$1,0)+1,FALSE)</f>
        <v>800万ダウンロード記念イベント</v>
      </c>
      <c r="E93" s="86" t="s">
        <v>217</v>
      </c>
      <c r="F93" s="82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2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4">
        <v>0</v>
      </c>
      <c r="I93" s="95">
        <v>39</v>
      </c>
      <c r="J93" s="83" t="s">
        <v>200</v>
      </c>
      <c r="K93" s="92" t="str">
        <f>VLOOKUP(I93,[7]stage_hints!$A:$C,3,FALSE)</f>
        <v>システム適合者を確認</v>
      </c>
      <c r="L93" s="93" t="str">
        <f>VLOOKUP(I93,[7]stage_hints!$A:$D,4,FALSE)</f>
        <v>ALICEが 「アナタ」を呼んでいます</v>
      </c>
      <c r="M93" s="56" t="s">
        <v>212</v>
      </c>
    </row>
    <row r="94" spans="1:13" x14ac:dyDescent="0.15">
      <c r="A94" s="80" t="s">
        <v>202</v>
      </c>
      <c r="B94" s="81">
        <f>floors!$C$2</f>
        <v>47014</v>
      </c>
      <c r="C94" s="82" t="str">
        <f ca="1">VLOOKUP($B94,OFFSET([2]quests!$A$1,0,0,COUNTA([2]quests!$A:$A),MATCH(C$1,[2]quests!$1:$1,0)-MATCH($B$1,[2]quests!$1:$1,0)+1),MATCH(C$1,[2]quests!$1:$1,0)-MATCH($B$1,[2]quests!$1:$1,0)+1,FALSE)</f>
        <v>ヘルレイザー襲来！</v>
      </c>
      <c r="D94" s="82" t="str">
        <f ca="1">VLOOKUP($B94,OFFSET([2]quests!$A$1,0,0,COUNTA([2]quests!$A:$A),MATCH(D$1,[2]quests!$1:$1,0)-MATCH($B$1,[2]quests!$1:$1,0)+1),MATCH(D$1,[2]quests!$1:$1,0)-MATCH($B$1,[2]quests!$1:$1,0)+1,FALSE)</f>
        <v>800万ダウンロード記念イベント</v>
      </c>
      <c r="E94" s="86" t="s">
        <v>218</v>
      </c>
      <c r="F94" s="82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2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4">
        <v>0</v>
      </c>
      <c r="I94">
        <v>12</v>
      </c>
      <c r="J94" s="83" t="s">
        <v>200</v>
      </c>
      <c r="K94" s="92" t="str">
        <f>VLOOKUP(I94,[7]stage_hints!$A:$C,3,FALSE)</f>
        <v>ユニットのお気に入り登録</v>
      </c>
      <c r="L94" s="93" t="str">
        <f>VLOOKUP(I94,[7]stage_hints!$A:$D,4,FALSE)</f>
        <v>大事なユニットを誤って消さないように_x000D_フォルダから「お気に入り登録」しましょう</v>
      </c>
      <c r="M94" s="56" t="s">
        <v>212</v>
      </c>
    </row>
    <row r="95" spans="1:13" x14ac:dyDescent="0.15">
      <c r="A95" s="80" t="s">
        <v>202</v>
      </c>
      <c r="B95" s="81">
        <f>floors!$C$2</f>
        <v>47014</v>
      </c>
      <c r="C95" s="82" t="str">
        <f ca="1">VLOOKUP($B95,OFFSET([2]quests!$A$1,0,0,COUNTA([2]quests!$A:$A),MATCH(C$1,[2]quests!$1:$1,0)-MATCH($B$1,[2]quests!$1:$1,0)+1),MATCH(C$1,[2]quests!$1:$1,0)-MATCH($B$1,[2]quests!$1:$1,0)+1,FALSE)</f>
        <v>ヘルレイザー襲来！</v>
      </c>
      <c r="D95" s="82" t="str">
        <f ca="1">VLOOKUP($B95,OFFSET([2]quests!$A$1,0,0,COUNTA([2]quests!$A:$A),MATCH(D$1,[2]quests!$1:$1,0)-MATCH($B$1,[2]quests!$1:$1,0)+1),MATCH(D$1,[2]quests!$1:$1,0)-MATCH($B$1,[2]quests!$1:$1,0)+1,FALSE)</f>
        <v>800万ダウンロード記念イベント</v>
      </c>
      <c r="E95" s="86" t="s">
        <v>218</v>
      </c>
      <c r="F95" s="82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2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4">
        <v>0</v>
      </c>
      <c r="I95">
        <v>17</v>
      </c>
      <c r="J95" s="83" t="s">
        <v>200</v>
      </c>
      <c r="K95" s="92" t="str">
        <f>VLOOKUP(I95,[7]stage_hints!$A:$C,3,FALSE)</f>
        <v>リンクガチャ</v>
      </c>
      <c r="L95" s="93" t="str">
        <f>VLOOKUP(I95,[7]stage_hints!$A:$D,4,FALSE)</f>
        <v>無料のリンクガチャを回して_x000D_経験値素材や売却素材を獲得しましょう</v>
      </c>
      <c r="M95" s="56" t="s">
        <v>212</v>
      </c>
    </row>
    <row r="96" spans="1:13" x14ac:dyDescent="0.15">
      <c r="A96" s="80" t="s">
        <v>202</v>
      </c>
      <c r="B96" s="81">
        <f>floors!$C$2</f>
        <v>47014</v>
      </c>
      <c r="C96" s="82" t="str">
        <f ca="1">VLOOKUP($B96,OFFSET([2]quests!$A$1,0,0,COUNTA([2]quests!$A:$A),MATCH(C$1,[2]quests!$1:$1,0)-MATCH($B$1,[2]quests!$1:$1,0)+1),MATCH(C$1,[2]quests!$1:$1,0)-MATCH($B$1,[2]quests!$1:$1,0)+1,FALSE)</f>
        <v>ヘルレイザー襲来！</v>
      </c>
      <c r="D96" s="82" t="str">
        <f ca="1">VLOOKUP($B96,OFFSET([2]quests!$A$1,0,0,COUNTA([2]quests!$A:$A),MATCH(D$1,[2]quests!$1:$1,0)-MATCH($B$1,[2]quests!$1:$1,0)+1),MATCH(D$1,[2]quests!$1:$1,0)-MATCH($B$1,[2]quests!$1:$1,0)+1,FALSE)</f>
        <v>800万ダウンロード記念イベント</v>
      </c>
      <c r="E96" s="86" t="s">
        <v>218</v>
      </c>
      <c r="F96" s="82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2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4">
        <v>0</v>
      </c>
      <c r="I96">
        <v>19</v>
      </c>
      <c r="J96" s="83" t="s">
        <v>200</v>
      </c>
      <c r="K96" s="92" t="str">
        <f>VLOOKUP(I96,[7]stage_hints!$A:$C,3,FALSE)</f>
        <v>ソロ専用タワーオブザクイーン</v>
      </c>
      <c r="L96" s="93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6" t="s">
        <v>212</v>
      </c>
    </row>
    <row r="97" spans="1:13" x14ac:dyDescent="0.15">
      <c r="A97" s="80" t="s">
        <v>202</v>
      </c>
      <c r="B97" s="81">
        <f>floors!$C$2</f>
        <v>47014</v>
      </c>
      <c r="C97" s="82" t="str">
        <f ca="1">VLOOKUP($B97,OFFSET([2]quests!$A$1,0,0,COUNTA([2]quests!$A:$A),MATCH(C$1,[2]quests!$1:$1,0)-MATCH($B$1,[2]quests!$1:$1,0)+1),MATCH(C$1,[2]quests!$1:$1,0)-MATCH($B$1,[2]quests!$1:$1,0)+1,FALSE)</f>
        <v>ヘルレイザー襲来！</v>
      </c>
      <c r="D97" s="82" t="str">
        <f ca="1">VLOOKUP($B97,OFFSET([2]quests!$A$1,0,0,COUNTA([2]quests!$A:$A),MATCH(D$1,[2]quests!$1:$1,0)-MATCH($B$1,[2]quests!$1:$1,0)+1),MATCH(D$1,[2]quests!$1:$1,0)-MATCH($B$1,[2]quests!$1:$1,0)+1,FALSE)</f>
        <v>800万ダウンロード記念イベント</v>
      </c>
      <c r="E97" s="86" t="s">
        <v>218</v>
      </c>
      <c r="F97" s="82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2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4">
        <v>0</v>
      </c>
      <c r="I97">
        <v>21</v>
      </c>
      <c r="J97" s="83" t="s">
        <v>200</v>
      </c>
      <c r="K97" s="92" t="str">
        <f>VLOOKUP(I97,[7]stage_hints!$A:$C,3,FALSE)</f>
        <v>スキルを有効に</v>
      </c>
      <c r="L97" s="93" t="str">
        <f>VLOOKUP(I97,[7]stage_hints!$A:$D,4,FALSE)</f>
        <v>ターン経過でユニットのスキルが使えます_x000D_強力スキルでバトルを有利に進めましょう</v>
      </c>
      <c r="M97" s="56" t="s">
        <v>212</v>
      </c>
    </row>
    <row r="98" spans="1:13" x14ac:dyDescent="0.15">
      <c r="A98" s="80" t="s">
        <v>202</v>
      </c>
      <c r="B98" s="81">
        <f>floors!$C$2</f>
        <v>47014</v>
      </c>
      <c r="C98" s="82" t="str">
        <f ca="1">VLOOKUP($B98,OFFSET([2]quests!$A$1,0,0,COUNTA([2]quests!$A:$A),MATCH(C$1,[2]quests!$1:$1,0)-MATCH($B$1,[2]quests!$1:$1,0)+1),MATCH(C$1,[2]quests!$1:$1,0)-MATCH($B$1,[2]quests!$1:$1,0)+1,FALSE)</f>
        <v>ヘルレイザー襲来！</v>
      </c>
      <c r="D98" s="82" t="str">
        <f ca="1">VLOOKUP($B98,OFFSET([2]quests!$A$1,0,0,COUNTA([2]quests!$A:$A),MATCH(D$1,[2]quests!$1:$1,0)-MATCH($B$1,[2]quests!$1:$1,0)+1),MATCH(D$1,[2]quests!$1:$1,0)-MATCH($B$1,[2]quests!$1:$1,0)+1,FALSE)</f>
        <v>800万ダウンロード記念イベント</v>
      </c>
      <c r="E98" s="86" t="s">
        <v>218</v>
      </c>
      <c r="F98" s="82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2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4">
        <v>0</v>
      </c>
      <c r="I98">
        <v>27</v>
      </c>
      <c r="J98" s="83" t="s">
        <v>200</v>
      </c>
      <c r="K98" s="92" t="str">
        <f>VLOOKUP(I98,[7]stage_hints!$A:$C,3,FALSE)</f>
        <v>ホーム画面からデッキを編成</v>
      </c>
      <c r="L98" s="93" t="str">
        <f>VLOOKUP(I98,[7]stage_hints!$A:$D,4,FALSE)</f>
        <v>ホーム画面でユニットを長押しすると_x000D_すぐにパーティ編成に移動できます</v>
      </c>
      <c r="M98" s="56" t="s">
        <v>212</v>
      </c>
    </row>
    <row r="99" spans="1:13" x14ac:dyDescent="0.15">
      <c r="A99" s="80" t="s">
        <v>202</v>
      </c>
      <c r="B99" s="81">
        <f>floors!$C$2</f>
        <v>47014</v>
      </c>
      <c r="C99" s="82" t="str">
        <f ca="1">VLOOKUP($B99,OFFSET([2]quests!$A$1,0,0,COUNTA([2]quests!$A:$A),MATCH(C$1,[2]quests!$1:$1,0)-MATCH($B$1,[2]quests!$1:$1,0)+1),MATCH(C$1,[2]quests!$1:$1,0)-MATCH($B$1,[2]quests!$1:$1,0)+1,FALSE)</f>
        <v>ヘルレイザー襲来！</v>
      </c>
      <c r="D99" s="82" t="str">
        <f ca="1">VLOOKUP($B99,OFFSET([2]quests!$A$1,0,0,COUNTA([2]quests!$A:$A),MATCH(D$1,[2]quests!$1:$1,0)-MATCH($B$1,[2]quests!$1:$1,0)+1),MATCH(D$1,[2]quests!$1:$1,0)-MATCH($B$1,[2]quests!$1:$1,0)+1,FALSE)</f>
        <v>800万ダウンロード記念イベント</v>
      </c>
      <c r="E99" s="86" t="s">
        <v>218</v>
      </c>
      <c r="F99" s="82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2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4">
        <v>0</v>
      </c>
      <c r="I99">
        <v>28</v>
      </c>
      <c r="J99" s="83" t="s">
        <v>200</v>
      </c>
      <c r="K99" s="92" t="str">
        <f>VLOOKUP(I99,[7]stage_hints!$A:$C,3,FALSE)</f>
        <v>ステータス情報は長押しで</v>
      </c>
      <c r="L99" s="93" t="str">
        <f>VLOOKUP(I99,[7]stage_hints!$A:$D,4,FALSE)</f>
        <v>ユニットのアイコンを長押しすると_x000D_ステータス情報を確認することができます</v>
      </c>
      <c r="M99" s="56" t="s">
        <v>212</v>
      </c>
    </row>
    <row r="100" spans="1:13" x14ac:dyDescent="0.15">
      <c r="A100" s="80" t="s">
        <v>202</v>
      </c>
      <c r="B100" s="81">
        <f>floors!$C$2</f>
        <v>47014</v>
      </c>
      <c r="C100" s="82" t="str">
        <f ca="1">VLOOKUP($B100,OFFSET([2]quests!$A$1,0,0,COUNTA([2]quests!$A:$A),MATCH(C$1,[2]quests!$1:$1,0)-MATCH($B$1,[2]quests!$1:$1,0)+1),MATCH(C$1,[2]quests!$1:$1,0)-MATCH($B$1,[2]quests!$1:$1,0)+1,FALSE)</f>
        <v>ヘルレイザー襲来！</v>
      </c>
      <c r="D100" s="82" t="str">
        <f ca="1">VLOOKUP($B100,OFFSET([2]quests!$A$1,0,0,COUNTA([2]quests!$A:$A),MATCH(D$1,[2]quests!$1:$1,0)-MATCH($B$1,[2]quests!$1:$1,0)+1),MATCH(D$1,[2]quests!$1:$1,0)-MATCH($B$1,[2]quests!$1:$1,0)+1,FALSE)</f>
        <v>800万ダウンロード記念イベント</v>
      </c>
      <c r="E100" s="86" t="s">
        <v>218</v>
      </c>
      <c r="F100" s="82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2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4">
        <v>0</v>
      </c>
      <c r="I100">
        <v>29</v>
      </c>
      <c r="J100" s="83" t="s">
        <v>200</v>
      </c>
      <c r="K100" s="92" t="str">
        <f>VLOOKUP(I100,[7]stage_hints!$A:$C,3,FALSE)</f>
        <v>「バグ」のメリット</v>
      </c>
      <c r="L100" s="93" t="str">
        <f>VLOOKUP(I100,[7]stage_hints!$A:$D,4,FALSE)</f>
        <v>ユニットの「バグ」を増やすと_x000D_報酬をもらえる確率がアップします</v>
      </c>
      <c r="M100" s="56" t="s">
        <v>212</v>
      </c>
    </row>
    <row r="101" spans="1:13" x14ac:dyDescent="0.15">
      <c r="A101" s="80" t="s">
        <v>202</v>
      </c>
      <c r="B101" s="81">
        <f>floors!$C$2</f>
        <v>47014</v>
      </c>
      <c r="C101" s="82" t="str">
        <f ca="1">VLOOKUP($B101,OFFSET([2]quests!$A$1,0,0,COUNTA([2]quests!$A:$A),MATCH(C$1,[2]quests!$1:$1,0)-MATCH($B$1,[2]quests!$1:$1,0)+1),MATCH(C$1,[2]quests!$1:$1,0)-MATCH($B$1,[2]quests!$1:$1,0)+1,FALSE)</f>
        <v>ヘルレイザー襲来！</v>
      </c>
      <c r="D101" s="82" t="str">
        <f ca="1">VLOOKUP($B101,OFFSET([2]quests!$A$1,0,0,COUNTA([2]quests!$A:$A),MATCH(D$1,[2]quests!$1:$1,0)-MATCH($B$1,[2]quests!$1:$1,0)+1),MATCH(D$1,[2]quests!$1:$1,0)-MATCH($B$1,[2]quests!$1:$1,0)+1,FALSE)</f>
        <v>800万ダウンロード記念イベント</v>
      </c>
      <c r="E101" s="86" t="s">
        <v>218</v>
      </c>
      <c r="F101" s="82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2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4">
        <v>0</v>
      </c>
      <c r="I101">
        <v>30</v>
      </c>
      <c r="J101" s="83" t="s">
        <v>200</v>
      </c>
      <c r="K101" s="92" t="str">
        <f>VLOOKUP(I101,[7]stage_hints!$A:$C,3,FALSE)</f>
        <v>「バグ」の増やし方</v>
      </c>
      <c r="L101" s="93" t="str">
        <f>VLOOKUP(I101,[7]stage_hints!$A:$D,4,FALSE)</f>
        <v>同じユニット同士を強化で合成すると_x000D_「バグ」を増やすことができます</v>
      </c>
      <c r="M101" s="56" t="s">
        <v>212</v>
      </c>
    </row>
    <row r="102" spans="1:13" x14ac:dyDescent="0.15">
      <c r="A102" s="80" t="s">
        <v>202</v>
      </c>
      <c r="B102" s="81">
        <f>floors!$C$2</f>
        <v>47014</v>
      </c>
      <c r="C102" s="82" t="str">
        <f ca="1">VLOOKUP($B102,OFFSET([2]quests!$A$1,0,0,COUNTA([2]quests!$A:$A),MATCH(C$1,[2]quests!$1:$1,0)-MATCH($B$1,[2]quests!$1:$1,0)+1),MATCH(C$1,[2]quests!$1:$1,0)-MATCH($B$1,[2]quests!$1:$1,0)+1,FALSE)</f>
        <v>ヘルレイザー襲来！</v>
      </c>
      <c r="D102" s="82" t="str">
        <f ca="1">VLOOKUP($B102,OFFSET([2]quests!$A$1,0,0,COUNTA([2]quests!$A:$A),MATCH(D$1,[2]quests!$1:$1,0)-MATCH($B$1,[2]quests!$1:$1,0)+1),MATCH(D$1,[2]quests!$1:$1,0)-MATCH($B$1,[2]quests!$1:$1,0)+1,FALSE)</f>
        <v>800万ダウンロード記念イベント</v>
      </c>
      <c r="E102" s="86" t="s">
        <v>218</v>
      </c>
      <c r="F102" s="82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2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4">
        <v>0</v>
      </c>
      <c r="I102">
        <v>32</v>
      </c>
      <c r="J102" s="83" t="s">
        <v>200</v>
      </c>
      <c r="K102" s="92" t="str">
        <f>VLOOKUP(I102,[7]stage_hints!$A:$C,3,FALSE)</f>
        <v>敵の連続攻撃には</v>
      </c>
      <c r="L102" s="93" t="str">
        <f>VLOOKUP(I102,[7]stage_hints!$A:$D,4,FALSE)</f>
        <v>カウンタースキルを持つユニットがいれば_x000D_ダメージ回数分の反撃ができます</v>
      </c>
      <c r="M102" s="56" t="s">
        <v>212</v>
      </c>
    </row>
    <row r="103" spans="1:13" x14ac:dyDescent="0.15">
      <c r="A103" s="80" t="s">
        <v>202</v>
      </c>
      <c r="B103" s="81">
        <f>floors!$C$2</f>
        <v>47014</v>
      </c>
      <c r="C103" s="82" t="str">
        <f ca="1">VLOOKUP($B103,OFFSET([2]quests!$A$1,0,0,COUNTA([2]quests!$A:$A),MATCH(C$1,[2]quests!$1:$1,0)-MATCH($B$1,[2]quests!$1:$1,0)+1),MATCH(C$1,[2]quests!$1:$1,0)-MATCH($B$1,[2]quests!$1:$1,0)+1,FALSE)</f>
        <v>ヘルレイザー襲来！</v>
      </c>
      <c r="D103" s="82" t="str">
        <f ca="1">VLOOKUP($B103,OFFSET([2]quests!$A$1,0,0,COUNTA([2]quests!$A:$A),MATCH(D$1,[2]quests!$1:$1,0)-MATCH($B$1,[2]quests!$1:$1,0)+1),MATCH(D$1,[2]quests!$1:$1,0)-MATCH($B$1,[2]quests!$1:$1,0)+1,FALSE)</f>
        <v>800万ダウンロード記念イベント</v>
      </c>
      <c r="E103" s="86" t="s">
        <v>218</v>
      </c>
      <c r="F103" s="82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2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4">
        <v>0</v>
      </c>
      <c r="I103">
        <v>33</v>
      </c>
      <c r="J103" s="83" t="s">
        <v>200</v>
      </c>
      <c r="K103" s="92" t="str">
        <f>VLOOKUP(I103,[7]stage_hints!$A:$C,3,FALSE)</f>
        <v>敵のカウンター攻撃には</v>
      </c>
      <c r="L103" s="93" t="str">
        <f>VLOOKUP(I103,[7]stage_hints!$A:$D,4,FALSE)</f>
        <v>カウンターブレイクスキルを持っていれば_x000D_敵のカウンターを解除して攻撃ができます</v>
      </c>
      <c r="M103" s="56" t="s">
        <v>212</v>
      </c>
    </row>
    <row r="104" spans="1:13" x14ac:dyDescent="0.15">
      <c r="A104" s="80" t="s">
        <v>202</v>
      </c>
      <c r="B104" s="81">
        <f>floors!$C$2</f>
        <v>47014</v>
      </c>
      <c r="C104" s="82" t="str">
        <f ca="1">VLOOKUP($B104,OFFSET([2]quests!$A$1,0,0,COUNTA([2]quests!$A:$A),MATCH(C$1,[2]quests!$1:$1,0)-MATCH($B$1,[2]quests!$1:$1,0)+1),MATCH(C$1,[2]quests!$1:$1,0)-MATCH($B$1,[2]quests!$1:$1,0)+1,FALSE)</f>
        <v>ヘルレイザー襲来！</v>
      </c>
      <c r="D104" s="82" t="str">
        <f ca="1">VLOOKUP($B104,OFFSET([2]quests!$A$1,0,0,COUNTA([2]quests!$A:$A),MATCH(D$1,[2]quests!$1:$1,0)-MATCH($B$1,[2]quests!$1:$1,0)+1),MATCH(D$1,[2]quests!$1:$1,0)-MATCH($B$1,[2]quests!$1:$1,0)+1,FALSE)</f>
        <v>800万ダウンロード記念イベント</v>
      </c>
      <c r="E104" s="86" t="s">
        <v>218</v>
      </c>
      <c r="F104" s="82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2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4">
        <v>0</v>
      </c>
      <c r="I104">
        <v>34</v>
      </c>
      <c r="J104" s="83" t="s">
        <v>200</v>
      </c>
      <c r="K104" s="92" t="str">
        <f>VLOOKUP(I104,[7]stage_hints!$A:$C,3,FALSE)</f>
        <v>ステータスをスキルで下げられたら</v>
      </c>
      <c r="L104" s="93" t="str">
        <f>VLOOKUP(I104,[7]stage_hints!$A:$D,4,FALSE)</f>
        <v>ステータスダウンのスキルを受けたら_x000D_ステータスアップスキルで上書きしましょう</v>
      </c>
      <c r="M104" s="56" t="s">
        <v>212</v>
      </c>
    </row>
    <row r="105" spans="1:13" x14ac:dyDescent="0.15">
      <c r="A105" s="80" t="s">
        <v>202</v>
      </c>
      <c r="B105" s="81">
        <f>floors!$C$2</f>
        <v>47014</v>
      </c>
      <c r="C105" s="82" t="str">
        <f ca="1">VLOOKUP($B105,OFFSET([2]quests!$A$1,0,0,COUNTA([2]quests!$A:$A),MATCH(C$1,[2]quests!$1:$1,0)-MATCH($B$1,[2]quests!$1:$1,0)+1),MATCH(C$1,[2]quests!$1:$1,0)-MATCH($B$1,[2]quests!$1:$1,0)+1,FALSE)</f>
        <v>ヘルレイザー襲来！</v>
      </c>
      <c r="D105" s="82" t="str">
        <f ca="1">VLOOKUP($B105,OFFSET([2]quests!$A$1,0,0,COUNTA([2]quests!$A:$A),MATCH(D$1,[2]quests!$1:$1,0)-MATCH($B$1,[2]quests!$1:$1,0)+1),MATCH(D$1,[2]quests!$1:$1,0)-MATCH($B$1,[2]quests!$1:$1,0)+1,FALSE)</f>
        <v>800万ダウンロード記念イベント</v>
      </c>
      <c r="E105" s="86" t="s">
        <v>218</v>
      </c>
      <c r="F105" s="82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2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4">
        <v>0</v>
      </c>
      <c r="I105">
        <v>35</v>
      </c>
      <c r="J105" s="83" t="s">
        <v>200</v>
      </c>
      <c r="K105" s="92" t="str">
        <f>VLOOKUP(I105,[7]stage_hints!$A:$C,3,FALSE)</f>
        <v>敵のステータスがスキルで上がったら</v>
      </c>
      <c r="L105" s="93" t="str">
        <f>VLOOKUP(I105,[7]stage_hints!$A:$D,4,FALSE)</f>
        <v>敵のステータスがスキルでアップしたときは_x000D_ステータスダウンスキルで上書きしましょう</v>
      </c>
      <c r="M105" s="56" t="s">
        <v>212</v>
      </c>
    </row>
    <row r="106" spans="1:13" x14ac:dyDescent="0.15">
      <c r="A106" s="80" t="s">
        <v>202</v>
      </c>
      <c r="B106" s="81">
        <f>floors!$C$2</f>
        <v>47014</v>
      </c>
      <c r="C106" s="82" t="str">
        <f ca="1">VLOOKUP($B106,OFFSET([2]quests!$A$1,0,0,COUNTA([2]quests!$A:$A),MATCH(C$1,[2]quests!$1:$1,0)-MATCH($B$1,[2]quests!$1:$1,0)+1),MATCH(C$1,[2]quests!$1:$1,0)-MATCH($B$1,[2]quests!$1:$1,0)+1,FALSE)</f>
        <v>ヘルレイザー襲来！</v>
      </c>
      <c r="D106" s="82" t="str">
        <f ca="1">VLOOKUP($B106,OFFSET([2]quests!$A$1,0,0,COUNTA([2]quests!$A:$A),MATCH(D$1,[2]quests!$1:$1,0)-MATCH($B$1,[2]quests!$1:$1,0)+1),MATCH(D$1,[2]quests!$1:$1,0)-MATCH($B$1,[2]quests!$1:$1,0)+1,FALSE)</f>
        <v>800万ダウンロード記念イベント</v>
      </c>
      <c r="E106" s="86" t="s">
        <v>218</v>
      </c>
      <c r="F106" s="82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2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4">
        <v>0</v>
      </c>
      <c r="I106">
        <v>36</v>
      </c>
      <c r="J106" s="83" t="s">
        <v>200</v>
      </c>
      <c r="K106" s="92" t="str">
        <f>VLOOKUP(I106,[7]stage_hints!$A:$C,3,FALSE)</f>
        <v>タワーオブザクイーンのボス</v>
      </c>
      <c r="L106" s="93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6" t="s">
        <v>212</v>
      </c>
    </row>
    <row r="107" spans="1:13" x14ac:dyDescent="0.15">
      <c r="A107" s="80" t="s">
        <v>202</v>
      </c>
      <c r="B107" s="81">
        <f>floors!$C$2</f>
        <v>47014</v>
      </c>
      <c r="C107" s="82" t="str">
        <f ca="1">VLOOKUP($B107,OFFSET([2]quests!$A$1,0,0,COUNTA([2]quests!$A:$A),MATCH(C$1,[2]quests!$1:$1,0)-MATCH($B$1,[2]quests!$1:$1,0)+1),MATCH(C$1,[2]quests!$1:$1,0)-MATCH($B$1,[2]quests!$1:$1,0)+1,FALSE)</f>
        <v>ヘルレイザー襲来！</v>
      </c>
      <c r="D107" s="82" t="str">
        <f ca="1">VLOOKUP($B107,OFFSET([2]quests!$A$1,0,0,COUNTA([2]quests!$A:$A),MATCH(D$1,[2]quests!$1:$1,0)-MATCH($B$1,[2]quests!$1:$1,0)+1),MATCH(D$1,[2]quests!$1:$1,0)-MATCH($B$1,[2]quests!$1:$1,0)+1,FALSE)</f>
        <v>800万ダウンロード記念イベント</v>
      </c>
      <c r="E107" s="86" t="s">
        <v>218</v>
      </c>
      <c r="F107" s="82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2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4">
        <v>0</v>
      </c>
      <c r="I107">
        <v>37</v>
      </c>
      <c r="J107" s="83" t="s">
        <v>200</v>
      </c>
      <c r="K107" s="92" t="str">
        <f>VLOOKUP(I107,[7]stage_hints!$A:$C,3,FALSE)</f>
        <v>限界突破値の引き継ぎ</v>
      </c>
      <c r="L107" s="93" t="str">
        <f>VLOOKUP(I107,[7]stage_hints!$A:$D,4,FALSE)</f>
        <v>同じユニットを強化で合成すると_x000D_限界突破値を引き継げます（覚醒前後も可）</v>
      </c>
      <c r="M107" s="56" t="s">
        <v>212</v>
      </c>
    </row>
    <row r="108" spans="1:13" x14ac:dyDescent="0.15">
      <c r="A108" s="80" t="s">
        <v>202</v>
      </c>
      <c r="B108" s="81">
        <f>floors!$C$2</f>
        <v>47014</v>
      </c>
      <c r="C108" s="82" t="str">
        <f ca="1">VLOOKUP($B108,OFFSET([2]quests!$A$1,0,0,COUNTA([2]quests!$A:$A),MATCH(C$1,[2]quests!$1:$1,0)-MATCH($B$1,[2]quests!$1:$1,0)+1),MATCH(C$1,[2]quests!$1:$1,0)-MATCH($B$1,[2]quests!$1:$1,0)+1,FALSE)</f>
        <v>ヘルレイザー襲来！</v>
      </c>
      <c r="D108" s="82" t="str">
        <f ca="1">VLOOKUP($B108,OFFSET([2]quests!$A$1,0,0,COUNTA([2]quests!$A:$A),MATCH(D$1,[2]quests!$1:$1,0)-MATCH($B$1,[2]quests!$1:$1,0)+1),MATCH(D$1,[2]quests!$1:$1,0)-MATCH($B$1,[2]quests!$1:$1,0)+1,FALSE)</f>
        <v>800万ダウンロード記念イベント</v>
      </c>
      <c r="E108" s="86" t="s">
        <v>218</v>
      </c>
      <c r="F108" s="82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2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4">
        <v>0</v>
      </c>
      <c r="I108">
        <v>39</v>
      </c>
      <c r="J108" s="83" t="s">
        <v>200</v>
      </c>
      <c r="K108" s="92" t="str">
        <f>VLOOKUP(I108,[7]stage_hints!$A:$C,3,FALSE)</f>
        <v>システム適合者を確認</v>
      </c>
      <c r="L108" s="93" t="str">
        <f>VLOOKUP(I108,[7]stage_hints!$A:$D,4,FALSE)</f>
        <v>ALICEが 「アナタ」を呼んでいます</v>
      </c>
      <c r="M108" s="56" t="s">
        <v>212</v>
      </c>
    </row>
    <row r="109" spans="1:13" x14ac:dyDescent="0.15">
      <c r="A109" s="80" t="s">
        <v>202</v>
      </c>
      <c r="B109" s="81">
        <f>floors!$C$2</f>
        <v>47014</v>
      </c>
      <c r="C109" s="82" t="str">
        <f ca="1">VLOOKUP($B109,OFFSET([2]quests!$A$1,0,0,COUNTA([2]quests!$A:$A),MATCH(C$1,[2]quests!$1:$1,0)-MATCH($B$1,[2]quests!$1:$1,0)+1),MATCH(C$1,[2]quests!$1:$1,0)-MATCH($B$1,[2]quests!$1:$1,0)+1,FALSE)</f>
        <v>ヘルレイザー襲来！</v>
      </c>
      <c r="D109" s="82" t="str">
        <f ca="1">VLOOKUP($B109,OFFSET([2]quests!$A$1,0,0,COUNTA([2]quests!$A:$A),MATCH(D$1,[2]quests!$1:$1,0)-MATCH($B$1,[2]quests!$1:$1,0)+1),MATCH(D$1,[2]quests!$1:$1,0)-MATCH($B$1,[2]quests!$1:$1,0)+1,FALSE)</f>
        <v>800万ダウンロード記念イベント</v>
      </c>
      <c r="E109" s="86" t="s">
        <v>219</v>
      </c>
      <c r="F109" s="82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2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4">
        <v>0</v>
      </c>
      <c r="I109">
        <v>12</v>
      </c>
      <c r="J109" s="83" t="s">
        <v>200</v>
      </c>
      <c r="K109" s="92" t="str">
        <f>VLOOKUP(I109,[7]stage_hints!$A:$C,3,FALSE)</f>
        <v>ユニットのお気に入り登録</v>
      </c>
      <c r="L109" s="93" t="str">
        <f>VLOOKUP(I109,[7]stage_hints!$A:$D,4,FALSE)</f>
        <v>大事なユニットを誤って消さないように_x000D_フォルダから「お気に入り登録」しましょう</v>
      </c>
      <c r="M109" s="56" t="s">
        <v>212</v>
      </c>
    </row>
    <row r="110" spans="1:13" x14ac:dyDescent="0.15">
      <c r="A110" s="80" t="s">
        <v>202</v>
      </c>
      <c r="B110" s="81">
        <f>floors!$C$2</f>
        <v>47014</v>
      </c>
      <c r="C110" s="82" t="str">
        <f ca="1">VLOOKUP($B110,OFFSET([2]quests!$A$1,0,0,COUNTA([2]quests!$A:$A),MATCH(C$1,[2]quests!$1:$1,0)-MATCH($B$1,[2]quests!$1:$1,0)+1),MATCH(C$1,[2]quests!$1:$1,0)-MATCH($B$1,[2]quests!$1:$1,0)+1,FALSE)</f>
        <v>ヘルレイザー襲来！</v>
      </c>
      <c r="D110" s="82" t="str">
        <f ca="1">VLOOKUP($B110,OFFSET([2]quests!$A$1,0,0,COUNTA([2]quests!$A:$A),MATCH(D$1,[2]quests!$1:$1,0)-MATCH($B$1,[2]quests!$1:$1,0)+1),MATCH(D$1,[2]quests!$1:$1,0)-MATCH($B$1,[2]quests!$1:$1,0)+1,FALSE)</f>
        <v>800万ダウンロード記念イベント</v>
      </c>
      <c r="E110" s="86" t="s">
        <v>219</v>
      </c>
      <c r="F110" s="82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2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4">
        <v>0</v>
      </c>
      <c r="I110">
        <v>17</v>
      </c>
      <c r="J110" s="83" t="s">
        <v>200</v>
      </c>
      <c r="K110" s="92" t="str">
        <f>VLOOKUP(I110,[7]stage_hints!$A:$C,3,FALSE)</f>
        <v>リンクガチャ</v>
      </c>
      <c r="L110" s="93" t="str">
        <f>VLOOKUP(I110,[7]stage_hints!$A:$D,4,FALSE)</f>
        <v>無料のリンクガチャを回して_x000D_経験値素材や売却素材を獲得しましょう</v>
      </c>
      <c r="M110" s="56" t="s">
        <v>212</v>
      </c>
    </row>
    <row r="111" spans="1:13" x14ac:dyDescent="0.15">
      <c r="A111" s="80" t="s">
        <v>202</v>
      </c>
      <c r="B111" s="81">
        <f>floors!$C$2</f>
        <v>47014</v>
      </c>
      <c r="C111" s="82" t="str">
        <f ca="1">VLOOKUP($B111,OFFSET([2]quests!$A$1,0,0,COUNTA([2]quests!$A:$A),MATCH(C$1,[2]quests!$1:$1,0)-MATCH($B$1,[2]quests!$1:$1,0)+1),MATCH(C$1,[2]quests!$1:$1,0)-MATCH($B$1,[2]quests!$1:$1,0)+1,FALSE)</f>
        <v>ヘルレイザー襲来！</v>
      </c>
      <c r="D111" s="82" t="str">
        <f ca="1">VLOOKUP($B111,OFFSET([2]quests!$A$1,0,0,COUNTA([2]quests!$A:$A),MATCH(D$1,[2]quests!$1:$1,0)-MATCH($B$1,[2]quests!$1:$1,0)+1),MATCH(D$1,[2]quests!$1:$1,0)-MATCH($B$1,[2]quests!$1:$1,0)+1,FALSE)</f>
        <v>800万ダウンロード記念イベント</v>
      </c>
      <c r="E111" s="86" t="s">
        <v>219</v>
      </c>
      <c r="F111" s="82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2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4">
        <v>0</v>
      </c>
      <c r="I111">
        <v>19</v>
      </c>
      <c r="J111" s="83" t="s">
        <v>200</v>
      </c>
      <c r="K111" s="92" t="str">
        <f>VLOOKUP(I111,[7]stage_hints!$A:$C,3,FALSE)</f>
        <v>ソロ専用タワーオブザクイーン</v>
      </c>
      <c r="L111" s="93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6" t="s">
        <v>212</v>
      </c>
    </row>
    <row r="112" spans="1:13" x14ac:dyDescent="0.15">
      <c r="A112" s="80" t="s">
        <v>202</v>
      </c>
      <c r="B112" s="81">
        <f>floors!$C$2</f>
        <v>47014</v>
      </c>
      <c r="C112" s="82" t="str">
        <f ca="1">VLOOKUP($B112,OFFSET([2]quests!$A$1,0,0,COUNTA([2]quests!$A:$A),MATCH(C$1,[2]quests!$1:$1,0)-MATCH($B$1,[2]quests!$1:$1,0)+1),MATCH(C$1,[2]quests!$1:$1,0)-MATCH($B$1,[2]quests!$1:$1,0)+1,FALSE)</f>
        <v>ヘルレイザー襲来！</v>
      </c>
      <c r="D112" s="82" t="str">
        <f ca="1">VLOOKUP($B112,OFFSET([2]quests!$A$1,0,0,COUNTA([2]quests!$A:$A),MATCH(D$1,[2]quests!$1:$1,0)-MATCH($B$1,[2]quests!$1:$1,0)+1),MATCH(D$1,[2]quests!$1:$1,0)-MATCH($B$1,[2]quests!$1:$1,0)+1,FALSE)</f>
        <v>800万ダウンロード記念イベント</v>
      </c>
      <c r="E112" s="86" t="s">
        <v>219</v>
      </c>
      <c r="F112" s="82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2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4">
        <v>0</v>
      </c>
      <c r="I112">
        <v>21</v>
      </c>
      <c r="J112" s="83" t="s">
        <v>200</v>
      </c>
      <c r="K112" s="92" t="str">
        <f>VLOOKUP(I112,[7]stage_hints!$A:$C,3,FALSE)</f>
        <v>スキルを有効に</v>
      </c>
      <c r="L112" s="93" t="str">
        <f>VLOOKUP(I112,[7]stage_hints!$A:$D,4,FALSE)</f>
        <v>ターン経過でユニットのスキルが使えます_x000D_強力スキルでバトルを有利に進めましょう</v>
      </c>
      <c r="M112" s="56" t="s">
        <v>212</v>
      </c>
    </row>
    <row r="113" spans="1:13" x14ac:dyDescent="0.15">
      <c r="A113" s="80" t="s">
        <v>202</v>
      </c>
      <c r="B113" s="81">
        <f>floors!$C$2</f>
        <v>47014</v>
      </c>
      <c r="C113" s="82" t="str">
        <f ca="1">VLOOKUP($B113,OFFSET([2]quests!$A$1,0,0,COUNTA([2]quests!$A:$A),MATCH(C$1,[2]quests!$1:$1,0)-MATCH($B$1,[2]quests!$1:$1,0)+1),MATCH(C$1,[2]quests!$1:$1,0)-MATCH($B$1,[2]quests!$1:$1,0)+1,FALSE)</f>
        <v>ヘルレイザー襲来！</v>
      </c>
      <c r="D113" s="82" t="str">
        <f ca="1">VLOOKUP($B113,OFFSET([2]quests!$A$1,0,0,COUNTA([2]quests!$A:$A),MATCH(D$1,[2]quests!$1:$1,0)-MATCH($B$1,[2]quests!$1:$1,0)+1),MATCH(D$1,[2]quests!$1:$1,0)-MATCH($B$1,[2]quests!$1:$1,0)+1,FALSE)</f>
        <v>800万ダウンロード記念イベント</v>
      </c>
      <c r="E113" s="86" t="s">
        <v>219</v>
      </c>
      <c r="F113" s="82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2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4">
        <v>0</v>
      </c>
      <c r="I113">
        <v>29</v>
      </c>
      <c r="J113" s="83" t="s">
        <v>200</v>
      </c>
      <c r="K113" s="92" t="str">
        <f>VLOOKUP(I113,[7]stage_hints!$A:$C,3,FALSE)</f>
        <v>「バグ」のメリット</v>
      </c>
      <c r="L113" s="93" t="str">
        <f>VLOOKUP(I113,[7]stage_hints!$A:$D,4,FALSE)</f>
        <v>ユニットの「バグ」を増やすと_x000D_報酬をもらえる確率がアップします</v>
      </c>
      <c r="M113" s="56" t="s">
        <v>212</v>
      </c>
    </row>
    <row r="114" spans="1:13" x14ac:dyDescent="0.15">
      <c r="A114" s="80" t="s">
        <v>202</v>
      </c>
      <c r="B114" s="81">
        <f>floors!$C$2</f>
        <v>47014</v>
      </c>
      <c r="C114" s="82" t="str">
        <f ca="1">VLOOKUP($B114,OFFSET([2]quests!$A$1,0,0,COUNTA([2]quests!$A:$A),MATCH(C$1,[2]quests!$1:$1,0)-MATCH($B$1,[2]quests!$1:$1,0)+1),MATCH(C$1,[2]quests!$1:$1,0)-MATCH($B$1,[2]quests!$1:$1,0)+1,FALSE)</f>
        <v>ヘルレイザー襲来！</v>
      </c>
      <c r="D114" s="82" t="str">
        <f ca="1">VLOOKUP($B114,OFFSET([2]quests!$A$1,0,0,COUNTA([2]quests!$A:$A),MATCH(D$1,[2]quests!$1:$1,0)-MATCH($B$1,[2]quests!$1:$1,0)+1),MATCH(D$1,[2]quests!$1:$1,0)-MATCH($B$1,[2]quests!$1:$1,0)+1,FALSE)</f>
        <v>800万ダウンロード記念イベント</v>
      </c>
      <c r="E114" s="86" t="s">
        <v>219</v>
      </c>
      <c r="F114" s="82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2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4">
        <v>0</v>
      </c>
      <c r="I114">
        <v>30</v>
      </c>
      <c r="J114" s="83" t="s">
        <v>200</v>
      </c>
      <c r="K114" s="92" t="str">
        <f>VLOOKUP(I114,[7]stage_hints!$A:$C,3,FALSE)</f>
        <v>「バグ」の増やし方</v>
      </c>
      <c r="L114" s="93" t="str">
        <f>VLOOKUP(I114,[7]stage_hints!$A:$D,4,FALSE)</f>
        <v>同じユニット同士を強化で合成すると_x000D_「バグ」を増やすことができます</v>
      </c>
      <c r="M114" s="56" t="s">
        <v>212</v>
      </c>
    </row>
    <row r="115" spans="1:13" x14ac:dyDescent="0.15">
      <c r="A115" s="80" t="s">
        <v>202</v>
      </c>
      <c r="B115" s="81">
        <f>floors!$C$2</f>
        <v>47014</v>
      </c>
      <c r="C115" s="82" t="str">
        <f ca="1">VLOOKUP($B115,OFFSET([2]quests!$A$1,0,0,COUNTA([2]quests!$A:$A),MATCH(C$1,[2]quests!$1:$1,0)-MATCH($B$1,[2]quests!$1:$1,0)+1),MATCH(C$1,[2]quests!$1:$1,0)-MATCH($B$1,[2]quests!$1:$1,0)+1,FALSE)</f>
        <v>ヘルレイザー襲来！</v>
      </c>
      <c r="D115" s="82" t="str">
        <f ca="1">VLOOKUP($B115,OFFSET([2]quests!$A$1,0,0,COUNTA([2]quests!$A:$A),MATCH(D$1,[2]quests!$1:$1,0)-MATCH($B$1,[2]quests!$1:$1,0)+1),MATCH(D$1,[2]quests!$1:$1,0)-MATCH($B$1,[2]quests!$1:$1,0)+1,FALSE)</f>
        <v>800万ダウンロード記念イベント</v>
      </c>
      <c r="E115" s="86" t="s">
        <v>219</v>
      </c>
      <c r="F115" s="82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2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4">
        <v>0</v>
      </c>
      <c r="I115">
        <v>32</v>
      </c>
      <c r="J115" s="83" t="s">
        <v>200</v>
      </c>
      <c r="K115" s="92" t="str">
        <f>VLOOKUP(I115,[7]stage_hints!$A:$C,3,FALSE)</f>
        <v>敵の連続攻撃には</v>
      </c>
      <c r="L115" s="93" t="str">
        <f>VLOOKUP(I115,[7]stage_hints!$A:$D,4,FALSE)</f>
        <v>カウンタースキルを持つユニットがいれば_x000D_ダメージ回数分の反撃ができます</v>
      </c>
      <c r="M115" s="56" t="s">
        <v>212</v>
      </c>
    </row>
    <row r="116" spans="1:13" x14ac:dyDescent="0.15">
      <c r="A116" s="80" t="s">
        <v>202</v>
      </c>
      <c r="B116" s="81">
        <f>floors!$C$2</f>
        <v>47014</v>
      </c>
      <c r="C116" s="82" t="str">
        <f ca="1">VLOOKUP($B116,OFFSET([2]quests!$A$1,0,0,COUNTA([2]quests!$A:$A),MATCH(C$1,[2]quests!$1:$1,0)-MATCH($B$1,[2]quests!$1:$1,0)+1),MATCH(C$1,[2]quests!$1:$1,0)-MATCH($B$1,[2]quests!$1:$1,0)+1,FALSE)</f>
        <v>ヘルレイザー襲来！</v>
      </c>
      <c r="D116" s="82" t="str">
        <f ca="1">VLOOKUP($B116,OFFSET([2]quests!$A$1,0,0,COUNTA([2]quests!$A:$A),MATCH(D$1,[2]quests!$1:$1,0)-MATCH($B$1,[2]quests!$1:$1,0)+1),MATCH(D$1,[2]quests!$1:$1,0)-MATCH($B$1,[2]quests!$1:$1,0)+1,FALSE)</f>
        <v>800万ダウンロード記念イベント</v>
      </c>
      <c r="E116" s="86" t="s">
        <v>219</v>
      </c>
      <c r="F116" s="82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2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4">
        <v>0</v>
      </c>
      <c r="I116">
        <v>33</v>
      </c>
      <c r="J116" s="83" t="s">
        <v>200</v>
      </c>
      <c r="K116" s="92" t="str">
        <f>VLOOKUP(I116,[7]stage_hints!$A:$C,3,FALSE)</f>
        <v>敵のカウンター攻撃には</v>
      </c>
      <c r="L116" s="93" t="str">
        <f>VLOOKUP(I116,[7]stage_hints!$A:$D,4,FALSE)</f>
        <v>カウンターブレイクスキルを持っていれば_x000D_敵のカウンターを解除して攻撃ができます</v>
      </c>
      <c r="M116" s="56" t="s">
        <v>212</v>
      </c>
    </row>
    <row r="117" spans="1:13" x14ac:dyDescent="0.15">
      <c r="A117" s="80" t="s">
        <v>202</v>
      </c>
      <c r="B117" s="81">
        <f>floors!$C$2</f>
        <v>47014</v>
      </c>
      <c r="C117" s="82" t="str">
        <f ca="1">VLOOKUP($B117,OFFSET([2]quests!$A$1,0,0,COUNTA([2]quests!$A:$A),MATCH(C$1,[2]quests!$1:$1,0)-MATCH($B$1,[2]quests!$1:$1,0)+1),MATCH(C$1,[2]quests!$1:$1,0)-MATCH($B$1,[2]quests!$1:$1,0)+1,FALSE)</f>
        <v>ヘルレイザー襲来！</v>
      </c>
      <c r="D117" s="82" t="str">
        <f ca="1">VLOOKUP($B117,OFFSET([2]quests!$A$1,0,0,COUNTA([2]quests!$A:$A),MATCH(D$1,[2]quests!$1:$1,0)-MATCH($B$1,[2]quests!$1:$1,0)+1),MATCH(D$1,[2]quests!$1:$1,0)-MATCH($B$1,[2]quests!$1:$1,0)+1,FALSE)</f>
        <v>800万ダウンロード記念イベント</v>
      </c>
      <c r="E117" s="86" t="s">
        <v>219</v>
      </c>
      <c r="F117" s="82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2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4">
        <v>0</v>
      </c>
      <c r="I117">
        <v>34</v>
      </c>
      <c r="J117" s="83" t="s">
        <v>200</v>
      </c>
      <c r="K117" s="92" t="str">
        <f>VLOOKUP(I117,[7]stage_hints!$A:$C,3,FALSE)</f>
        <v>ステータスをスキルで下げられたら</v>
      </c>
      <c r="L117" s="93" t="str">
        <f>VLOOKUP(I117,[7]stage_hints!$A:$D,4,FALSE)</f>
        <v>ステータスダウンのスキルを受けたら_x000D_ステータスアップスキルで上書きしましょう</v>
      </c>
      <c r="M117" s="56" t="s">
        <v>212</v>
      </c>
    </row>
    <row r="118" spans="1:13" x14ac:dyDescent="0.15">
      <c r="A118" s="80" t="s">
        <v>202</v>
      </c>
      <c r="B118" s="81">
        <f>floors!$C$2</f>
        <v>47014</v>
      </c>
      <c r="C118" s="82" t="str">
        <f ca="1">VLOOKUP($B118,OFFSET([2]quests!$A$1,0,0,COUNTA([2]quests!$A:$A),MATCH(C$1,[2]quests!$1:$1,0)-MATCH($B$1,[2]quests!$1:$1,0)+1),MATCH(C$1,[2]quests!$1:$1,0)-MATCH($B$1,[2]quests!$1:$1,0)+1,FALSE)</f>
        <v>ヘルレイザー襲来！</v>
      </c>
      <c r="D118" s="82" t="str">
        <f ca="1">VLOOKUP($B118,OFFSET([2]quests!$A$1,0,0,COUNTA([2]quests!$A:$A),MATCH(D$1,[2]quests!$1:$1,0)-MATCH($B$1,[2]quests!$1:$1,0)+1),MATCH(D$1,[2]quests!$1:$1,0)-MATCH($B$1,[2]quests!$1:$1,0)+1,FALSE)</f>
        <v>800万ダウンロード記念イベント</v>
      </c>
      <c r="E118" s="86" t="s">
        <v>219</v>
      </c>
      <c r="F118" s="82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2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4">
        <v>0</v>
      </c>
      <c r="I118">
        <v>35</v>
      </c>
      <c r="J118" s="83" t="s">
        <v>200</v>
      </c>
      <c r="K118" s="92" t="str">
        <f>VLOOKUP(I118,[7]stage_hints!$A:$C,3,FALSE)</f>
        <v>敵のステータスがスキルで上がったら</v>
      </c>
      <c r="L118" s="93" t="str">
        <f>VLOOKUP(I118,[7]stage_hints!$A:$D,4,FALSE)</f>
        <v>敵のステータスがスキルでアップしたときは_x000D_ステータスダウンスキルで上書きしましょう</v>
      </c>
      <c r="M118" s="56" t="s">
        <v>212</v>
      </c>
    </row>
    <row r="119" spans="1:13" x14ac:dyDescent="0.15">
      <c r="A119" s="80" t="s">
        <v>202</v>
      </c>
      <c r="B119" s="81">
        <f>floors!$C$2</f>
        <v>47014</v>
      </c>
      <c r="C119" s="82" t="str">
        <f ca="1">VLOOKUP($B119,OFFSET([2]quests!$A$1,0,0,COUNTA([2]quests!$A:$A),MATCH(C$1,[2]quests!$1:$1,0)-MATCH($B$1,[2]quests!$1:$1,0)+1),MATCH(C$1,[2]quests!$1:$1,0)-MATCH($B$1,[2]quests!$1:$1,0)+1,FALSE)</f>
        <v>ヘルレイザー襲来！</v>
      </c>
      <c r="D119" s="82" t="str">
        <f ca="1">VLOOKUP($B119,OFFSET([2]quests!$A$1,0,0,COUNTA([2]quests!$A:$A),MATCH(D$1,[2]quests!$1:$1,0)-MATCH($B$1,[2]quests!$1:$1,0)+1),MATCH(D$1,[2]quests!$1:$1,0)-MATCH($B$1,[2]quests!$1:$1,0)+1,FALSE)</f>
        <v>800万ダウンロード記念イベント</v>
      </c>
      <c r="E119" s="86" t="s">
        <v>219</v>
      </c>
      <c r="F119" s="82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2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4">
        <v>0</v>
      </c>
      <c r="I119">
        <v>36</v>
      </c>
      <c r="J119" s="83" t="s">
        <v>200</v>
      </c>
      <c r="K119" s="92" t="str">
        <f>VLOOKUP(I119,[7]stage_hints!$A:$C,3,FALSE)</f>
        <v>タワーオブザクイーンのボス</v>
      </c>
      <c r="L119" s="93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6" t="s">
        <v>212</v>
      </c>
    </row>
    <row r="120" spans="1:13" x14ac:dyDescent="0.15">
      <c r="A120" s="80" t="s">
        <v>202</v>
      </c>
      <c r="B120" s="81">
        <f>floors!$C$2</f>
        <v>47014</v>
      </c>
      <c r="C120" s="82" t="str">
        <f ca="1">VLOOKUP($B120,OFFSET([2]quests!$A$1,0,0,COUNTA([2]quests!$A:$A),MATCH(C$1,[2]quests!$1:$1,0)-MATCH($B$1,[2]quests!$1:$1,0)+1),MATCH(C$1,[2]quests!$1:$1,0)-MATCH($B$1,[2]quests!$1:$1,0)+1,FALSE)</f>
        <v>ヘルレイザー襲来！</v>
      </c>
      <c r="D120" s="82" t="str">
        <f ca="1">VLOOKUP($B120,OFFSET([2]quests!$A$1,0,0,COUNTA([2]quests!$A:$A),MATCH(D$1,[2]quests!$1:$1,0)-MATCH($B$1,[2]quests!$1:$1,0)+1),MATCH(D$1,[2]quests!$1:$1,0)-MATCH($B$1,[2]quests!$1:$1,0)+1,FALSE)</f>
        <v>800万ダウンロード記念イベント</v>
      </c>
      <c r="E120" s="86" t="s">
        <v>219</v>
      </c>
      <c r="F120" s="82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2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4">
        <v>0</v>
      </c>
      <c r="I120">
        <v>37</v>
      </c>
      <c r="J120" s="83" t="s">
        <v>200</v>
      </c>
      <c r="K120" s="92" t="str">
        <f>VLOOKUP(I120,[7]stage_hints!$A:$C,3,FALSE)</f>
        <v>限界突破値の引き継ぎ</v>
      </c>
      <c r="L120" s="93" t="str">
        <f>VLOOKUP(I120,[7]stage_hints!$A:$D,4,FALSE)</f>
        <v>同じユニットを強化で合成すると_x000D_限界突破値を引き継げます（覚醒前後も可）</v>
      </c>
      <c r="M120" s="56" t="s">
        <v>212</v>
      </c>
    </row>
    <row r="121" spans="1:13" x14ac:dyDescent="0.15">
      <c r="A121" s="80" t="s">
        <v>202</v>
      </c>
      <c r="B121" s="81">
        <f>floors!$C$2</f>
        <v>47014</v>
      </c>
      <c r="C121" s="82" t="str">
        <f ca="1">VLOOKUP($B121,OFFSET([2]quests!$A$1,0,0,COUNTA([2]quests!$A:$A),MATCH(C$1,[2]quests!$1:$1,0)-MATCH($B$1,[2]quests!$1:$1,0)+1),MATCH(C$1,[2]quests!$1:$1,0)-MATCH($B$1,[2]quests!$1:$1,0)+1,FALSE)</f>
        <v>ヘルレイザー襲来！</v>
      </c>
      <c r="D121" s="82" t="str">
        <f ca="1">VLOOKUP($B121,OFFSET([2]quests!$A$1,0,0,COUNTA([2]quests!$A:$A),MATCH(D$1,[2]quests!$1:$1,0)-MATCH($B$1,[2]quests!$1:$1,0)+1),MATCH(D$1,[2]quests!$1:$1,0)-MATCH($B$1,[2]quests!$1:$1,0)+1,FALSE)</f>
        <v>800万ダウンロード記念イベント</v>
      </c>
      <c r="E121" s="86" t="s">
        <v>219</v>
      </c>
      <c r="F121" s="82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2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4">
        <v>0</v>
      </c>
      <c r="I121">
        <v>39</v>
      </c>
      <c r="J121" s="83" t="s">
        <v>200</v>
      </c>
      <c r="K121" s="92" t="str">
        <f>VLOOKUP(I121,[7]stage_hints!$A:$C,3,FALSE)</f>
        <v>システム適合者を確認</v>
      </c>
      <c r="L121" s="93" t="str">
        <f>VLOOKUP(I121,[7]stage_hints!$A:$D,4,FALSE)</f>
        <v>ALICEが 「アナタ」を呼んでいます</v>
      </c>
      <c r="M121" s="56" t="s">
        <v>212</v>
      </c>
    </row>
    <row r="122" spans="1:13" x14ac:dyDescent="0.15">
      <c r="A122" s="80" t="s">
        <v>202</v>
      </c>
      <c r="B122" s="81">
        <f>floors!$C$2</f>
        <v>47014</v>
      </c>
      <c r="C122" s="82" t="str">
        <f ca="1">VLOOKUP($B122,OFFSET([2]quests!$A$1,0,0,COUNTA([2]quests!$A:$A),MATCH(C$1,[2]quests!$1:$1,0)-MATCH($B$1,[2]quests!$1:$1,0)+1),MATCH(C$1,[2]quests!$1:$1,0)-MATCH($B$1,[2]quests!$1:$1,0)+1,FALSE)</f>
        <v>ヘルレイザー襲来！</v>
      </c>
      <c r="D122" s="82" t="str">
        <f ca="1">VLOOKUP($B122,OFFSET([2]quests!$A$1,0,0,COUNTA([2]quests!$A:$A),MATCH(D$1,[2]quests!$1:$1,0)-MATCH($B$1,[2]quests!$1:$1,0)+1),MATCH(D$1,[2]quests!$1:$1,0)-MATCH($B$1,[2]quests!$1:$1,0)+1,FALSE)</f>
        <v>800万ダウンロード記念イベント</v>
      </c>
      <c r="E122" s="86" t="s">
        <v>220</v>
      </c>
      <c r="F122" s="82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2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4">
        <v>0</v>
      </c>
      <c r="I122">
        <v>12</v>
      </c>
      <c r="J122" s="83" t="s">
        <v>200</v>
      </c>
      <c r="K122" s="92" t="str">
        <f>VLOOKUP(I122,[7]stage_hints!$A:$C,3,FALSE)</f>
        <v>ユニットのお気に入り登録</v>
      </c>
      <c r="L122" s="93" t="str">
        <f>VLOOKUP(I122,[7]stage_hints!$A:$D,4,FALSE)</f>
        <v>大事なユニットを誤って消さないように_x000D_フォルダから「お気に入り登録」しましょう</v>
      </c>
      <c r="M122" s="56" t="s">
        <v>212</v>
      </c>
    </row>
    <row r="123" spans="1:13" x14ac:dyDescent="0.15">
      <c r="A123" s="80" t="s">
        <v>202</v>
      </c>
      <c r="B123" s="81">
        <f>floors!$C$2</f>
        <v>47014</v>
      </c>
      <c r="C123" s="82" t="str">
        <f ca="1">VLOOKUP($B123,OFFSET([2]quests!$A$1,0,0,COUNTA([2]quests!$A:$A),MATCH(C$1,[2]quests!$1:$1,0)-MATCH($B$1,[2]quests!$1:$1,0)+1),MATCH(C$1,[2]quests!$1:$1,0)-MATCH($B$1,[2]quests!$1:$1,0)+1,FALSE)</f>
        <v>ヘルレイザー襲来！</v>
      </c>
      <c r="D123" s="82" t="str">
        <f ca="1">VLOOKUP($B123,OFFSET([2]quests!$A$1,0,0,COUNTA([2]quests!$A:$A),MATCH(D$1,[2]quests!$1:$1,0)-MATCH($B$1,[2]quests!$1:$1,0)+1),MATCH(D$1,[2]quests!$1:$1,0)-MATCH($B$1,[2]quests!$1:$1,0)+1,FALSE)</f>
        <v>800万ダウンロード記念イベント</v>
      </c>
      <c r="E123" s="86" t="s">
        <v>220</v>
      </c>
      <c r="F123" s="82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2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4">
        <v>0</v>
      </c>
      <c r="I123">
        <v>17</v>
      </c>
      <c r="J123" s="83" t="s">
        <v>200</v>
      </c>
      <c r="K123" s="92" t="str">
        <f>VLOOKUP(I123,[7]stage_hints!$A:$C,3,FALSE)</f>
        <v>リンクガチャ</v>
      </c>
      <c r="L123" s="93" t="str">
        <f>VLOOKUP(I123,[7]stage_hints!$A:$D,4,FALSE)</f>
        <v>無料のリンクガチャを回して_x000D_経験値素材や売却素材を獲得しましょう</v>
      </c>
      <c r="M123" s="56" t="s">
        <v>212</v>
      </c>
    </row>
    <row r="124" spans="1:13" x14ac:dyDescent="0.15">
      <c r="A124" s="80" t="s">
        <v>202</v>
      </c>
      <c r="B124" s="81">
        <f>floors!$C$2</f>
        <v>47014</v>
      </c>
      <c r="C124" s="82" t="str">
        <f ca="1">VLOOKUP($B124,OFFSET([2]quests!$A$1,0,0,COUNTA([2]quests!$A:$A),MATCH(C$1,[2]quests!$1:$1,0)-MATCH($B$1,[2]quests!$1:$1,0)+1),MATCH(C$1,[2]quests!$1:$1,0)-MATCH($B$1,[2]quests!$1:$1,0)+1,FALSE)</f>
        <v>ヘルレイザー襲来！</v>
      </c>
      <c r="D124" s="82" t="str">
        <f ca="1">VLOOKUP($B124,OFFSET([2]quests!$A$1,0,0,COUNTA([2]quests!$A:$A),MATCH(D$1,[2]quests!$1:$1,0)-MATCH($B$1,[2]quests!$1:$1,0)+1),MATCH(D$1,[2]quests!$1:$1,0)-MATCH($B$1,[2]quests!$1:$1,0)+1,FALSE)</f>
        <v>800万ダウンロード記念イベント</v>
      </c>
      <c r="E124" s="86" t="s">
        <v>220</v>
      </c>
      <c r="F124" s="82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2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4">
        <v>0</v>
      </c>
      <c r="I124">
        <v>19</v>
      </c>
      <c r="J124" s="83" t="s">
        <v>200</v>
      </c>
      <c r="K124" s="92" t="str">
        <f>VLOOKUP(I124,[7]stage_hints!$A:$C,3,FALSE)</f>
        <v>ソロ専用タワーオブザクイーン</v>
      </c>
      <c r="L124" s="93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6" t="s">
        <v>212</v>
      </c>
    </row>
    <row r="125" spans="1:13" x14ac:dyDescent="0.15">
      <c r="A125" s="80" t="s">
        <v>202</v>
      </c>
      <c r="B125" s="81">
        <f>floors!$C$2</f>
        <v>47014</v>
      </c>
      <c r="C125" s="82" t="str">
        <f ca="1">VLOOKUP($B125,OFFSET([2]quests!$A$1,0,0,COUNTA([2]quests!$A:$A),MATCH(C$1,[2]quests!$1:$1,0)-MATCH($B$1,[2]quests!$1:$1,0)+1),MATCH(C$1,[2]quests!$1:$1,0)-MATCH($B$1,[2]quests!$1:$1,0)+1,FALSE)</f>
        <v>ヘルレイザー襲来！</v>
      </c>
      <c r="D125" s="82" t="str">
        <f ca="1">VLOOKUP($B125,OFFSET([2]quests!$A$1,0,0,COUNTA([2]quests!$A:$A),MATCH(D$1,[2]quests!$1:$1,0)-MATCH($B$1,[2]quests!$1:$1,0)+1),MATCH(D$1,[2]quests!$1:$1,0)-MATCH($B$1,[2]quests!$1:$1,0)+1,FALSE)</f>
        <v>800万ダウンロード記念イベント</v>
      </c>
      <c r="E125" s="86" t="s">
        <v>220</v>
      </c>
      <c r="F125" s="82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2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4">
        <v>0</v>
      </c>
      <c r="I125">
        <v>21</v>
      </c>
      <c r="J125" s="83" t="s">
        <v>200</v>
      </c>
      <c r="K125" s="92" t="str">
        <f>VLOOKUP(I125,[7]stage_hints!$A:$C,3,FALSE)</f>
        <v>スキルを有効に</v>
      </c>
      <c r="L125" s="93" t="str">
        <f>VLOOKUP(I125,[7]stage_hints!$A:$D,4,FALSE)</f>
        <v>ターン経過でユニットのスキルが使えます_x000D_強力スキルでバトルを有利に進めましょう</v>
      </c>
      <c r="M125" s="56" t="s">
        <v>212</v>
      </c>
    </row>
    <row r="126" spans="1:13" x14ac:dyDescent="0.15">
      <c r="A126" s="80" t="s">
        <v>202</v>
      </c>
      <c r="B126" s="81">
        <f>floors!$C$2</f>
        <v>47014</v>
      </c>
      <c r="C126" s="82" t="str">
        <f ca="1">VLOOKUP($B126,OFFSET([2]quests!$A$1,0,0,COUNTA([2]quests!$A:$A),MATCH(C$1,[2]quests!$1:$1,0)-MATCH($B$1,[2]quests!$1:$1,0)+1),MATCH(C$1,[2]quests!$1:$1,0)-MATCH($B$1,[2]quests!$1:$1,0)+1,FALSE)</f>
        <v>ヘルレイザー襲来！</v>
      </c>
      <c r="D126" s="82" t="str">
        <f ca="1">VLOOKUP($B126,OFFSET([2]quests!$A$1,0,0,COUNTA([2]quests!$A:$A),MATCH(D$1,[2]quests!$1:$1,0)-MATCH($B$1,[2]quests!$1:$1,0)+1),MATCH(D$1,[2]quests!$1:$1,0)-MATCH($B$1,[2]quests!$1:$1,0)+1,FALSE)</f>
        <v>800万ダウンロード記念イベント</v>
      </c>
      <c r="E126" s="86" t="s">
        <v>220</v>
      </c>
      <c r="F126" s="82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2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4">
        <v>0</v>
      </c>
      <c r="I126">
        <v>29</v>
      </c>
      <c r="J126" s="83" t="s">
        <v>200</v>
      </c>
      <c r="K126" s="92" t="str">
        <f>VLOOKUP(I126,[7]stage_hints!$A:$C,3,FALSE)</f>
        <v>「バグ」のメリット</v>
      </c>
      <c r="L126" s="93" t="str">
        <f>VLOOKUP(I126,[7]stage_hints!$A:$D,4,FALSE)</f>
        <v>ユニットの「バグ」を増やすと_x000D_報酬をもらえる確率がアップします</v>
      </c>
      <c r="M126" s="56" t="s">
        <v>212</v>
      </c>
    </row>
    <row r="127" spans="1:13" x14ac:dyDescent="0.15">
      <c r="A127" s="80" t="s">
        <v>202</v>
      </c>
      <c r="B127" s="81">
        <f>floors!$C$2</f>
        <v>47014</v>
      </c>
      <c r="C127" s="82" t="str">
        <f ca="1">VLOOKUP($B127,OFFSET([2]quests!$A$1,0,0,COUNTA([2]quests!$A:$A),MATCH(C$1,[2]quests!$1:$1,0)-MATCH($B$1,[2]quests!$1:$1,0)+1),MATCH(C$1,[2]quests!$1:$1,0)-MATCH($B$1,[2]quests!$1:$1,0)+1,FALSE)</f>
        <v>ヘルレイザー襲来！</v>
      </c>
      <c r="D127" s="82" t="str">
        <f ca="1">VLOOKUP($B127,OFFSET([2]quests!$A$1,0,0,COUNTA([2]quests!$A:$A),MATCH(D$1,[2]quests!$1:$1,0)-MATCH($B$1,[2]quests!$1:$1,0)+1),MATCH(D$1,[2]quests!$1:$1,0)-MATCH($B$1,[2]quests!$1:$1,0)+1,FALSE)</f>
        <v>800万ダウンロード記念イベント</v>
      </c>
      <c r="E127" s="86" t="s">
        <v>220</v>
      </c>
      <c r="F127" s="82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2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4">
        <v>0</v>
      </c>
      <c r="I127">
        <v>30</v>
      </c>
      <c r="J127" s="83" t="s">
        <v>200</v>
      </c>
      <c r="K127" s="92" t="str">
        <f>VLOOKUP(I127,[7]stage_hints!$A:$C,3,FALSE)</f>
        <v>「バグ」の増やし方</v>
      </c>
      <c r="L127" s="93" t="str">
        <f>VLOOKUP(I127,[7]stage_hints!$A:$D,4,FALSE)</f>
        <v>同じユニット同士を強化で合成すると_x000D_「バグ」を増やすことができます</v>
      </c>
      <c r="M127" s="56" t="s">
        <v>212</v>
      </c>
    </row>
    <row r="128" spans="1:13" x14ac:dyDescent="0.15">
      <c r="A128" s="80" t="s">
        <v>202</v>
      </c>
      <c r="B128" s="81">
        <f>floors!$C$2</f>
        <v>47014</v>
      </c>
      <c r="C128" s="82" t="str">
        <f ca="1">VLOOKUP($B128,OFFSET([2]quests!$A$1,0,0,COUNTA([2]quests!$A:$A),MATCH(C$1,[2]quests!$1:$1,0)-MATCH($B$1,[2]quests!$1:$1,0)+1),MATCH(C$1,[2]quests!$1:$1,0)-MATCH($B$1,[2]quests!$1:$1,0)+1,FALSE)</f>
        <v>ヘルレイザー襲来！</v>
      </c>
      <c r="D128" s="82" t="str">
        <f ca="1">VLOOKUP($B128,OFFSET([2]quests!$A$1,0,0,COUNTA([2]quests!$A:$A),MATCH(D$1,[2]quests!$1:$1,0)-MATCH($B$1,[2]quests!$1:$1,0)+1),MATCH(D$1,[2]quests!$1:$1,0)-MATCH($B$1,[2]quests!$1:$1,0)+1,FALSE)</f>
        <v>800万ダウンロード記念イベント</v>
      </c>
      <c r="E128" s="86" t="s">
        <v>220</v>
      </c>
      <c r="F128" s="82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2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4">
        <v>0</v>
      </c>
      <c r="I128">
        <v>32</v>
      </c>
      <c r="J128" s="83" t="s">
        <v>200</v>
      </c>
      <c r="K128" s="92" t="str">
        <f>VLOOKUP(I128,[7]stage_hints!$A:$C,3,FALSE)</f>
        <v>敵の連続攻撃には</v>
      </c>
      <c r="L128" s="93" t="str">
        <f>VLOOKUP(I128,[7]stage_hints!$A:$D,4,FALSE)</f>
        <v>カウンタースキルを持つユニットがいれば_x000D_ダメージ回数分の反撃ができます</v>
      </c>
      <c r="M128" s="56" t="s">
        <v>212</v>
      </c>
    </row>
    <row r="129" spans="1:13" x14ac:dyDescent="0.15">
      <c r="A129" s="80" t="s">
        <v>202</v>
      </c>
      <c r="B129" s="81">
        <f>floors!$C$2</f>
        <v>47014</v>
      </c>
      <c r="C129" s="82" t="str">
        <f ca="1">VLOOKUP($B129,OFFSET([2]quests!$A$1,0,0,COUNTA([2]quests!$A:$A),MATCH(C$1,[2]quests!$1:$1,0)-MATCH($B$1,[2]quests!$1:$1,0)+1),MATCH(C$1,[2]quests!$1:$1,0)-MATCH($B$1,[2]quests!$1:$1,0)+1,FALSE)</f>
        <v>ヘルレイザー襲来！</v>
      </c>
      <c r="D129" s="82" t="str">
        <f ca="1">VLOOKUP($B129,OFFSET([2]quests!$A$1,0,0,COUNTA([2]quests!$A:$A),MATCH(D$1,[2]quests!$1:$1,0)-MATCH($B$1,[2]quests!$1:$1,0)+1),MATCH(D$1,[2]quests!$1:$1,0)-MATCH($B$1,[2]quests!$1:$1,0)+1,FALSE)</f>
        <v>800万ダウンロード記念イベント</v>
      </c>
      <c r="E129" s="86" t="s">
        <v>220</v>
      </c>
      <c r="F129" s="82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2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4">
        <v>0</v>
      </c>
      <c r="I129">
        <v>33</v>
      </c>
      <c r="J129" s="83" t="s">
        <v>200</v>
      </c>
      <c r="K129" s="92" t="str">
        <f>VLOOKUP(I129,[7]stage_hints!$A:$C,3,FALSE)</f>
        <v>敵のカウンター攻撃には</v>
      </c>
      <c r="L129" s="93" t="str">
        <f>VLOOKUP(I129,[7]stage_hints!$A:$D,4,FALSE)</f>
        <v>カウンターブレイクスキルを持っていれば_x000D_敵のカウンターを解除して攻撃ができます</v>
      </c>
      <c r="M129" s="56" t="s">
        <v>212</v>
      </c>
    </row>
    <row r="130" spans="1:13" x14ac:dyDescent="0.15">
      <c r="A130" s="80" t="s">
        <v>202</v>
      </c>
      <c r="B130" s="81">
        <f>floors!$C$2</f>
        <v>47014</v>
      </c>
      <c r="C130" s="82" t="str">
        <f ca="1">VLOOKUP($B130,OFFSET([2]quests!$A$1,0,0,COUNTA([2]quests!$A:$A),MATCH(C$1,[2]quests!$1:$1,0)-MATCH($B$1,[2]quests!$1:$1,0)+1),MATCH(C$1,[2]quests!$1:$1,0)-MATCH($B$1,[2]quests!$1:$1,0)+1,FALSE)</f>
        <v>ヘルレイザー襲来！</v>
      </c>
      <c r="D130" s="82" t="str">
        <f ca="1">VLOOKUP($B130,OFFSET([2]quests!$A$1,0,0,COUNTA([2]quests!$A:$A),MATCH(D$1,[2]quests!$1:$1,0)-MATCH($B$1,[2]quests!$1:$1,0)+1),MATCH(D$1,[2]quests!$1:$1,0)-MATCH($B$1,[2]quests!$1:$1,0)+1,FALSE)</f>
        <v>800万ダウンロード記念イベント</v>
      </c>
      <c r="E130" s="86" t="s">
        <v>220</v>
      </c>
      <c r="F130" s="82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2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4">
        <v>0</v>
      </c>
      <c r="I130">
        <v>34</v>
      </c>
      <c r="J130" s="83" t="s">
        <v>200</v>
      </c>
      <c r="K130" s="92" t="str">
        <f>VLOOKUP(I130,[7]stage_hints!$A:$C,3,FALSE)</f>
        <v>ステータスをスキルで下げられたら</v>
      </c>
      <c r="L130" s="93" t="str">
        <f>VLOOKUP(I130,[7]stage_hints!$A:$D,4,FALSE)</f>
        <v>ステータスダウンのスキルを受けたら_x000D_ステータスアップスキルで上書きしましょう</v>
      </c>
      <c r="M130" s="56" t="s">
        <v>212</v>
      </c>
    </row>
    <row r="131" spans="1:13" x14ac:dyDescent="0.15">
      <c r="A131" s="80" t="s">
        <v>202</v>
      </c>
      <c r="B131" s="81">
        <f>floors!$C$2</f>
        <v>47014</v>
      </c>
      <c r="C131" s="82" t="str">
        <f ca="1">VLOOKUP($B131,OFFSET([2]quests!$A$1,0,0,COUNTA([2]quests!$A:$A),MATCH(C$1,[2]quests!$1:$1,0)-MATCH($B$1,[2]quests!$1:$1,0)+1),MATCH(C$1,[2]quests!$1:$1,0)-MATCH($B$1,[2]quests!$1:$1,0)+1,FALSE)</f>
        <v>ヘルレイザー襲来！</v>
      </c>
      <c r="D131" s="82" t="str">
        <f ca="1">VLOOKUP($B131,OFFSET([2]quests!$A$1,0,0,COUNTA([2]quests!$A:$A),MATCH(D$1,[2]quests!$1:$1,0)-MATCH($B$1,[2]quests!$1:$1,0)+1),MATCH(D$1,[2]quests!$1:$1,0)-MATCH($B$1,[2]quests!$1:$1,0)+1,FALSE)</f>
        <v>800万ダウンロード記念イベント</v>
      </c>
      <c r="E131" s="86" t="s">
        <v>220</v>
      </c>
      <c r="F131" s="82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2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4">
        <v>0</v>
      </c>
      <c r="I131">
        <v>35</v>
      </c>
      <c r="J131" s="83" t="s">
        <v>200</v>
      </c>
      <c r="K131" s="92" t="str">
        <f>VLOOKUP(I131,[7]stage_hints!$A:$C,3,FALSE)</f>
        <v>敵のステータスがスキルで上がったら</v>
      </c>
      <c r="L131" s="93" t="str">
        <f>VLOOKUP(I131,[7]stage_hints!$A:$D,4,FALSE)</f>
        <v>敵のステータスがスキルでアップしたときは_x000D_ステータスダウンスキルで上書きしましょう</v>
      </c>
      <c r="M131" s="56" t="s">
        <v>212</v>
      </c>
    </row>
    <row r="132" spans="1:13" x14ac:dyDescent="0.15">
      <c r="A132" s="80" t="s">
        <v>202</v>
      </c>
      <c r="B132" s="81">
        <f>floors!$C$2</f>
        <v>47014</v>
      </c>
      <c r="C132" s="82" t="str">
        <f ca="1">VLOOKUP($B132,OFFSET([2]quests!$A$1,0,0,COUNTA([2]quests!$A:$A),MATCH(C$1,[2]quests!$1:$1,0)-MATCH($B$1,[2]quests!$1:$1,0)+1),MATCH(C$1,[2]quests!$1:$1,0)-MATCH($B$1,[2]quests!$1:$1,0)+1,FALSE)</f>
        <v>ヘルレイザー襲来！</v>
      </c>
      <c r="D132" s="82" t="str">
        <f ca="1">VLOOKUP($B132,OFFSET([2]quests!$A$1,0,0,COUNTA([2]quests!$A:$A),MATCH(D$1,[2]quests!$1:$1,0)-MATCH($B$1,[2]quests!$1:$1,0)+1),MATCH(D$1,[2]quests!$1:$1,0)-MATCH($B$1,[2]quests!$1:$1,0)+1,FALSE)</f>
        <v>800万ダウンロード記念イベント</v>
      </c>
      <c r="E132" s="86" t="s">
        <v>220</v>
      </c>
      <c r="F132" s="82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2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4">
        <v>0</v>
      </c>
      <c r="I132">
        <v>36</v>
      </c>
      <c r="J132" s="83" t="s">
        <v>200</v>
      </c>
      <c r="K132" s="92" t="str">
        <f>VLOOKUP(I132,[7]stage_hints!$A:$C,3,FALSE)</f>
        <v>タワーオブザクイーンのボス</v>
      </c>
      <c r="L132" s="93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6" t="s">
        <v>212</v>
      </c>
    </row>
    <row r="133" spans="1:13" x14ac:dyDescent="0.15">
      <c r="A133" s="80" t="s">
        <v>202</v>
      </c>
      <c r="B133" s="81">
        <f>floors!$C$2</f>
        <v>47014</v>
      </c>
      <c r="C133" s="82" t="str">
        <f ca="1">VLOOKUP($B133,OFFSET([2]quests!$A$1,0,0,COUNTA([2]quests!$A:$A),MATCH(C$1,[2]quests!$1:$1,0)-MATCH($B$1,[2]quests!$1:$1,0)+1),MATCH(C$1,[2]quests!$1:$1,0)-MATCH($B$1,[2]quests!$1:$1,0)+1,FALSE)</f>
        <v>ヘルレイザー襲来！</v>
      </c>
      <c r="D133" s="82" t="str">
        <f ca="1">VLOOKUP($B133,OFFSET([2]quests!$A$1,0,0,COUNTA([2]quests!$A:$A),MATCH(D$1,[2]quests!$1:$1,0)-MATCH($B$1,[2]quests!$1:$1,0)+1),MATCH(D$1,[2]quests!$1:$1,0)-MATCH($B$1,[2]quests!$1:$1,0)+1,FALSE)</f>
        <v>800万ダウンロード記念イベント</v>
      </c>
      <c r="E133" s="86" t="s">
        <v>220</v>
      </c>
      <c r="F133" s="82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2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4">
        <v>0</v>
      </c>
      <c r="I133">
        <v>37</v>
      </c>
      <c r="J133" s="83" t="s">
        <v>200</v>
      </c>
      <c r="K133" s="92" t="str">
        <f>VLOOKUP(I133,[7]stage_hints!$A:$C,3,FALSE)</f>
        <v>限界突破値の引き継ぎ</v>
      </c>
      <c r="L133" s="93" t="str">
        <f>VLOOKUP(I133,[7]stage_hints!$A:$D,4,FALSE)</f>
        <v>同じユニットを強化で合成すると_x000D_限界突破値を引き継げます（覚醒前後も可）</v>
      </c>
      <c r="M133" s="56" t="s">
        <v>212</v>
      </c>
    </row>
    <row r="134" spans="1:13" x14ac:dyDescent="0.15">
      <c r="A134" s="80" t="s">
        <v>202</v>
      </c>
      <c r="B134" s="81">
        <f>floors!$C$2</f>
        <v>47014</v>
      </c>
      <c r="C134" s="82" t="str">
        <f ca="1">VLOOKUP($B134,OFFSET([2]quests!$A$1,0,0,COUNTA([2]quests!$A:$A),MATCH(C$1,[2]quests!$1:$1,0)-MATCH($B$1,[2]quests!$1:$1,0)+1),MATCH(C$1,[2]quests!$1:$1,0)-MATCH($B$1,[2]quests!$1:$1,0)+1,FALSE)</f>
        <v>ヘルレイザー襲来！</v>
      </c>
      <c r="D134" s="82" t="str">
        <f ca="1">VLOOKUP($B134,OFFSET([2]quests!$A$1,0,0,COUNTA([2]quests!$A:$A),MATCH(D$1,[2]quests!$1:$1,0)-MATCH($B$1,[2]quests!$1:$1,0)+1),MATCH(D$1,[2]quests!$1:$1,0)-MATCH($B$1,[2]quests!$1:$1,0)+1,FALSE)</f>
        <v>800万ダウンロード記念イベント</v>
      </c>
      <c r="E134" s="86" t="s">
        <v>220</v>
      </c>
      <c r="F134" s="82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2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4">
        <v>0</v>
      </c>
      <c r="I134">
        <v>39</v>
      </c>
      <c r="J134" s="83" t="s">
        <v>200</v>
      </c>
      <c r="K134" s="92" t="str">
        <f>VLOOKUP(I134,[7]stage_hints!$A:$C,3,FALSE)</f>
        <v>システム適合者を確認</v>
      </c>
      <c r="L134" s="93" t="str">
        <f>VLOOKUP(I134,[7]stage_hints!$A:$D,4,FALSE)</f>
        <v>ALICEが 「アナタ」を呼んでいます</v>
      </c>
      <c r="M134" s="56" t="s">
        <v>212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8"/>
  <sheetViews>
    <sheetView showGridLines="0" workbookViewId="0">
      <pane ySplit="1" topLeftCell="A22" activePane="bottomLeft" state="frozen"/>
      <selection pane="bottomLeft" activeCell="L31" sqref="L31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190</v>
      </c>
      <c r="B1" s="72" t="s">
        <v>151</v>
      </c>
      <c r="C1" s="76" t="s">
        <v>192</v>
      </c>
      <c r="D1" s="76" t="s">
        <v>33</v>
      </c>
      <c r="E1" s="72" t="s">
        <v>193</v>
      </c>
      <c r="F1" s="76" t="s">
        <v>18</v>
      </c>
      <c r="G1" s="76" t="s">
        <v>33</v>
      </c>
      <c r="H1" s="72" t="s">
        <v>195</v>
      </c>
      <c r="I1" s="88" t="s">
        <v>196</v>
      </c>
      <c r="J1" s="90" t="s">
        <v>197</v>
      </c>
      <c r="K1" s="78" t="s">
        <v>127</v>
      </c>
      <c r="L1" s="77" t="s">
        <v>188</v>
      </c>
      <c r="M1" s="91" t="s">
        <v>187</v>
      </c>
      <c r="N1" s="79" t="s">
        <v>198</v>
      </c>
    </row>
    <row r="2" spans="1:14" ht="42" x14ac:dyDescent="0.15">
      <c r="A2" s="80" t="s">
        <v>199</v>
      </c>
      <c r="B2" s="7">
        <v>47014</v>
      </c>
      <c r="C2" s="82" t="str">
        <f ca="1">VLOOKUP($B2,OFFSET([2]quests!$A$1,0,0,COUNTA([2]quests!$A:$A),MATCH(C$1,[2]quests!$1:$1,0)-MATCH($B$1,[2]quests!$1:$1,0)+1),MATCH(C$1,[2]quests!$1:$1,0)-MATCH($B$1,[2]quests!$1:$1,0)+1,FALSE)</f>
        <v>ヘルレイザー襲来！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800万ダウンロード記念イベント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【上級】ヘルレイザー襲来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2" s="84">
        <v>1</v>
      </c>
      <c r="I2" s="89">
        <f>ROW()-1</f>
        <v>1</v>
      </c>
      <c r="J2" s="85" t="str">
        <f>B2&amp;TEXT(I2,"00")</f>
        <v>4701401</v>
      </c>
      <c r="K2" s="83" t="s">
        <v>200</v>
      </c>
      <c r="L2" s="86" t="s">
        <v>263</v>
      </c>
      <c r="M2" s="110" t="s">
        <v>363</v>
      </c>
      <c r="N2" s="56" t="s">
        <v>201</v>
      </c>
    </row>
    <row r="3" spans="1:14" ht="70" x14ac:dyDescent="0.15">
      <c r="A3" s="80" t="s">
        <v>199</v>
      </c>
      <c r="B3" s="7">
        <v>47014</v>
      </c>
      <c r="C3" s="82" t="str">
        <f ca="1">VLOOKUP($B3,OFFSET([2]quests!$A$1,0,0,COUNTA([2]quests!$A:$A),MATCH(C$1,[2]quests!$1:$1,0)-MATCH($B$1,[2]quests!$1:$1,0)+1),MATCH(C$1,[2]quests!$1:$1,0)-MATCH($B$1,[2]quests!$1:$1,0)+1,FALSE)</f>
        <v>ヘルレイザー襲来！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800万ダウンロード記念イベント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【上級】ヘルレイザー襲来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3" s="84">
        <v>2</v>
      </c>
      <c r="I3" s="89">
        <f t="shared" ref="I3:I28" si="0">ROW()-1</f>
        <v>2</v>
      </c>
      <c r="J3" s="85" t="str">
        <f t="shared" ref="J3:J9" si="1">B3&amp;TEXT(I3,"00")</f>
        <v>4701402</v>
      </c>
      <c r="K3" s="83" t="s">
        <v>200</v>
      </c>
      <c r="L3" s="86" t="s">
        <v>263</v>
      </c>
      <c r="M3" s="110" t="s">
        <v>404</v>
      </c>
      <c r="N3" s="56" t="s">
        <v>201</v>
      </c>
    </row>
    <row r="4" spans="1:14" ht="56" x14ac:dyDescent="0.15">
      <c r="A4" s="80" t="s">
        <v>199</v>
      </c>
      <c r="B4" s="7">
        <v>47014</v>
      </c>
      <c r="C4" s="82" t="str">
        <f ca="1">VLOOKUP($B4,OFFSET([2]quests!$A$1,0,0,COUNTA([2]quests!$A:$A),MATCH(C$1,[2]quests!$1:$1,0)-MATCH($B$1,[2]quests!$1:$1,0)+1),MATCH(C$1,[2]quests!$1:$1,0)-MATCH($B$1,[2]quests!$1:$1,0)+1,FALSE)</f>
        <v>ヘルレイザー襲来！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800万ダウンロード記念イベント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【上級】ヘルレイザー襲来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4" s="84">
        <v>3</v>
      </c>
      <c r="I4" s="89">
        <f t="shared" si="0"/>
        <v>3</v>
      </c>
      <c r="J4" s="85" t="str">
        <f t="shared" si="1"/>
        <v>4701403</v>
      </c>
      <c r="K4" s="83" t="s">
        <v>200</v>
      </c>
      <c r="L4" s="86" t="s">
        <v>263</v>
      </c>
      <c r="M4" s="110" t="s">
        <v>423</v>
      </c>
      <c r="N4" s="56" t="s">
        <v>201</v>
      </c>
    </row>
    <row r="5" spans="1:14" ht="56" x14ac:dyDescent="0.15">
      <c r="A5" s="80" t="s">
        <v>199</v>
      </c>
      <c r="B5" s="7">
        <v>47014</v>
      </c>
      <c r="C5" s="82" t="str">
        <f ca="1">VLOOKUP($B5,OFFSET([2]quests!$A$1,0,0,COUNTA([2]quests!$A:$A),MATCH(C$1,[2]quests!$1:$1,0)-MATCH($B$1,[2]quests!$1:$1,0)+1),MATCH(C$1,[2]quests!$1:$1,0)-MATCH($B$1,[2]quests!$1:$1,0)+1,FALSE)</f>
        <v>ヘルレイザー襲来！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800万ダウンロード記念イベント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【上級】ヘルレイザー襲来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5" s="84">
        <v>4</v>
      </c>
      <c r="I5" s="89">
        <f t="shared" si="0"/>
        <v>4</v>
      </c>
      <c r="J5" s="85" t="str">
        <f t="shared" si="1"/>
        <v>4701404</v>
      </c>
      <c r="K5" s="83" t="s">
        <v>200</v>
      </c>
      <c r="L5" s="86" t="s">
        <v>263</v>
      </c>
      <c r="M5" s="110" t="s">
        <v>365</v>
      </c>
      <c r="N5" s="56" t="s">
        <v>201</v>
      </c>
    </row>
    <row r="6" spans="1:14" ht="42" x14ac:dyDescent="0.15">
      <c r="A6" s="80" t="s">
        <v>199</v>
      </c>
      <c r="B6" s="7">
        <v>47014</v>
      </c>
      <c r="C6" s="82" t="str">
        <f ca="1">VLOOKUP($B6,OFFSET([2]quests!$A$1,0,0,COUNTA([2]quests!$A:$A),MATCH(C$1,[2]quests!$1:$1,0)-MATCH($B$1,[2]quests!$1:$1,0)+1),MATCH(C$1,[2]quests!$1:$1,0)-MATCH($B$1,[2]quests!$1:$1,0)+1,FALSE)</f>
        <v>ヘルレイザー襲来！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800万ダウンロード記念イベント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【上級】ヘルレイザー襲来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6" s="84">
        <v>4</v>
      </c>
      <c r="I6" s="89">
        <f t="shared" si="0"/>
        <v>5</v>
      </c>
      <c r="J6" s="85" t="str">
        <f t="shared" si="1"/>
        <v>4701405</v>
      </c>
      <c r="K6" s="83" t="s">
        <v>200</v>
      </c>
      <c r="L6" s="86" t="s">
        <v>263</v>
      </c>
      <c r="M6" s="110" t="s">
        <v>366</v>
      </c>
      <c r="N6" s="56" t="s">
        <v>201</v>
      </c>
    </row>
    <row r="7" spans="1:14" ht="56" x14ac:dyDescent="0.15">
      <c r="A7" s="80" t="s">
        <v>199</v>
      </c>
      <c r="B7" s="7">
        <v>47014</v>
      </c>
      <c r="C7" s="82" t="str">
        <f ca="1">VLOOKUP($B7,OFFSET([2]quests!$A$1,0,0,COUNTA([2]quests!$A:$A),MATCH(C$1,[2]quests!$1:$1,0)-MATCH($B$1,[2]quests!$1:$1,0)+1),MATCH(C$1,[2]quests!$1:$1,0)-MATCH($B$1,[2]quests!$1:$1,0)+1,FALSE)</f>
        <v>ヘルレイザー襲来！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800万ダウンロード記念イベント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【上級】ヘルレイザー襲来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7" s="84">
        <v>4</v>
      </c>
      <c r="I7" s="89">
        <f t="shared" si="0"/>
        <v>6</v>
      </c>
      <c r="J7" s="85" t="str">
        <f t="shared" si="1"/>
        <v>4701406</v>
      </c>
      <c r="K7" s="83" t="s">
        <v>200</v>
      </c>
      <c r="L7" s="86" t="s">
        <v>263</v>
      </c>
      <c r="M7" s="110" t="s">
        <v>405</v>
      </c>
      <c r="N7" s="56" t="s">
        <v>201</v>
      </c>
    </row>
    <row r="8" spans="1:14" ht="42" x14ac:dyDescent="0.15">
      <c r="A8" s="80" t="s">
        <v>370</v>
      </c>
      <c r="B8" s="7">
        <v>47014</v>
      </c>
      <c r="C8" s="82" t="str">
        <f ca="1">VLOOKUP($B8,OFFSET([2]quests!$A$1,0,0,COUNTA([2]quests!$A:$A),MATCH(C$1,[2]quests!$1:$1,0)-MATCH($B$1,[2]quests!$1:$1,0)+1),MATCH(C$1,[2]quests!$1:$1,0)-MATCH($B$1,[2]quests!$1:$1,0)+1,FALSE)</f>
        <v>ヘルレイザー襲来！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800万ダウンロード記念イベント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【上級】ヘルレイザー襲来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8" s="84">
        <v>0</v>
      </c>
      <c r="I8" s="89">
        <f t="shared" si="0"/>
        <v>7</v>
      </c>
      <c r="J8" s="85" t="str">
        <f t="shared" si="1"/>
        <v>4701407</v>
      </c>
      <c r="K8" s="83" t="s">
        <v>200</v>
      </c>
      <c r="L8" s="86" t="s">
        <v>369</v>
      </c>
      <c r="M8" s="110" t="s">
        <v>367</v>
      </c>
      <c r="N8" s="56" t="s">
        <v>201</v>
      </c>
    </row>
    <row r="9" spans="1:14" ht="56" x14ac:dyDescent="0.15">
      <c r="A9" s="80" t="s">
        <v>370</v>
      </c>
      <c r="B9" s="7">
        <v>47014</v>
      </c>
      <c r="C9" s="82" t="str">
        <f ca="1">VLOOKUP($B9,OFFSET([2]quests!$A$1,0,0,COUNTA([2]quests!$A:$A),MATCH(C$1,[2]quests!$1:$1,0)-MATCH($B$1,[2]quests!$1:$1,0)+1),MATCH(C$1,[2]quests!$1:$1,0)-MATCH($B$1,[2]quests!$1:$1,0)+1,FALSE)</f>
        <v>ヘルレイザー襲来！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800万ダウンロード記念イベント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【上級】ヘルレイザー襲来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9" s="84">
        <v>0</v>
      </c>
      <c r="I9" s="89">
        <f t="shared" si="0"/>
        <v>8</v>
      </c>
      <c r="J9" s="85" t="str">
        <f t="shared" si="1"/>
        <v>4701408</v>
      </c>
      <c r="K9" s="83" t="s">
        <v>200</v>
      </c>
      <c r="L9" s="86" t="s">
        <v>424</v>
      </c>
      <c r="M9" s="110" t="s">
        <v>368</v>
      </c>
      <c r="N9" s="56" t="s">
        <v>201</v>
      </c>
    </row>
    <row r="10" spans="1:14" ht="42" x14ac:dyDescent="0.15">
      <c r="A10" s="80" t="s">
        <v>370</v>
      </c>
      <c r="B10" s="7">
        <v>47014</v>
      </c>
      <c r="C10" s="82" t="str">
        <f ca="1">VLOOKUP($B10,OFFSET([2]quests!$A$1,0,0,COUNTA([2]quests!$A:$A),MATCH(C$1,[2]quests!$1:$1,0)-MATCH($B$1,[2]quests!$1:$1,0)+1),MATCH(C$1,[2]quests!$1:$1,0)-MATCH($B$1,[2]quests!$1:$1,0)+1,FALSE)</f>
        <v>ヘルレイザー襲来！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800万ダウンロード記念イベント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【上級】ヘルレイザー襲来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10" s="84">
        <v>0</v>
      </c>
      <c r="I10" s="89">
        <f t="shared" si="0"/>
        <v>9</v>
      </c>
      <c r="J10" s="85" t="str">
        <f t="shared" ref="J10" si="2">B10&amp;TEXT(I10,"00")</f>
        <v>4701409</v>
      </c>
      <c r="K10" s="83" t="s">
        <v>200</v>
      </c>
      <c r="L10" s="86" t="s">
        <v>415</v>
      </c>
      <c r="M10" s="110" t="s">
        <v>414</v>
      </c>
      <c r="N10" s="56" t="s">
        <v>201</v>
      </c>
    </row>
    <row r="11" spans="1:14" ht="42" x14ac:dyDescent="0.15">
      <c r="A11" s="80" t="s">
        <v>199</v>
      </c>
      <c r="B11" s="7">
        <v>47014</v>
      </c>
      <c r="C11" s="82" t="str">
        <f ca="1">VLOOKUP($B11,OFFSET([2]quests!$A$1,0,0,COUNTA([2]quests!$A:$A),MATCH(C$1,[2]quests!$1:$1,0)-MATCH($B$1,[2]quests!$1:$1,0)+1),MATCH(C$1,[2]quests!$1:$1,0)-MATCH($B$1,[2]quests!$1:$1,0)+1,FALSE)</f>
        <v>ヘルレイザー襲来！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800万ダウンロード記念イベント</v>
      </c>
      <c r="E11" s="83">
        <v>2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【超絶級】ヘルレイザー襲来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11" s="84">
        <v>1</v>
      </c>
      <c r="I11" s="89">
        <f>ROW()-1</f>
        <v>10</v>
      </c>
      <c r="J11" s="85" t="str">
        <f>B11&amp;TEXT(I11,"00")</f>
        <v>4701410</v>
      </c>
      <c r="K11" s="83" t="s">
        <v>200</v>
      </c>
      <c r="L11" s="86" t="s">
        <v>263</v>
      </c>
      <c r="M11" s="110" t="s">
        <v>363</v>
      </c>
      <c r="N11" s="56" t="s">
        <v>201</v>
      </c>
    </row>
    <row r="12" spans="1:14" ht="70" x14ac:dyDescent="0.15">
      <c r="A12" s="80" t="s">
        <v>199</v>
      </c>
      <c r="B12" s="7">
        <v>47014</v>
      </c>
      <c r="C12" s="82" t="str">
        <f ca="1">VLOOKUP($B12,OFFSET([2]quests!$A$1,0,0,COUNTA([2]quests!$A:$A),MATCH(C$1,[2]quests!$1:$1,0)-MATCH($B$1,[2]quests!$1:$1,0)+1),MATCH(C$1,[2]quests!$1:$1,0)-MATCH($B$1,[2]quests!$1:$1,0)+1,FALSE)</f>
        <v>ヘルレイザー襲来！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800万ダウンロード記念イベント</v>
      </c>
      <c r="E12" s="83">
        <v>2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【超絶級】ヘルレイザー襲来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12" s="84">
        <v>2</v>
      </c>
      <c r="I12" s="89">
        <f t="shared" si="0"/>
        <v>11</v>
      </c>
      <c r="J12" s="85" t="str">
        <f t="shared" ref="J12:J19" si="3">B12&amp;TEXT(I12,"00")</f>
        <v>4701411</v>
      </c>
      <c r="K12" s="83" t="s">
        <v>200</v>
      </c>
      <c r="L12" s="86" t="s">
        <v>263</v>
      </c>
      <c r="M12" s="110" t="s">
        <v>404</v>
      </c>
      <c r="N12" s="56" t="s">
        <v>201</v>
      </c>
    </row>
    <row r="13" spans="1:14" ht="56" x14ac:dyDescent="0.15">
      <c r="A13" s="80" t="s">
        <v>199</v>
      </c>
      <c r="B13" s="7">
        <v>47014</v>
      </c>
      <c r="C13" s="82" t="str">
        <f ca="1">VLOOKUP($B13,OFFSET([2]quests!$A$1,0,0,COUNTA([2]quests!$A:$A),MATCH(C$1,[2]quests!$1:$1,0)-MATCH($B$1,[2]quests!$1:$1,0)+1),MATCH(C$1,[2]quests!$1:$1,0)-MATCH($B$1,[2]quests!$1:$1,0)+1,FALSE)</f>
        <v>ヘルレイザー襲来！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800万ダウンロード記念イベント</v>
      </c>
      <c r="E13" s="83">
        <v>2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【超絶級】ヘルレイザー襲来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13" s="84">
        <v>3</v>
      </c>
      <c r="I13" s="89">
        <f t="shared" si="0"/>
        <v>12</v>
      </c>
      <c r="J13" s="85" t="str">
        <f t="shared" si="3"/>
        <v>4701412</v>
      </c>
      <c r="K13" s="83" t="s">
        <v>200</v>
      </c>
      <c r="L13" s="86" t="s">
        <v>263</v>
      </c>
      <c r="M13" s="110" t="s">
        <v>423</v>
      </c>
      <c r="N13" s="56" t="s">
        <v>201</v>
      </c>
    </row>
    <row r="14" spans="1:14" ht="56" x14ac:dyDescent="0.15">
      <c r="A14" s="80" t="s">
        <v>199</v>
      </c>
      <c r="B14" s="7">
        <v>47014</v>
      </c>
      <c r="C14" s="82" t="str">
        <f ca="1">VLOOKUP($B14,OFFSET([2]quests!$A$1,0,0,COUNTA([2]quests!$A:$A),MATCH(C$1,[2]quests!$1:$1,0)-MATCH($B$1,[2]quests!$1:$1,0)+1),MATCH(C$1,[2]quests!$1:$1,0)-MATCH($B$1,[2]quests!$1:$1,0)+1,FALSE)</f>
        <v>ヘルレイザー襲来！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800万ダウンロード記念イベント</v>
      </c>
      <c r="E14" s="83">
        <v>2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【超絶級】ヘルレイザー襲来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14" s="84">
        <v>4</v>
      </c>
      <c r="I14" s="89">
        <f t="shared" si="0"/>
        <v>13</v>
      </c>
      <c r="J14" s="85" t="str">
        <f t="shared" si="3"/>
        <v>4701413</v>
      </c>
      <c r="K14" s="83" t="s">
        <v>200</v>
      </c>
      <c r="L14" s="86" t="s">
        <v>263</v>
      </c>
      <c r="M14" s="110" t="s">
        <v>365</v>
      </c>
      <c r="N14" s="56" t="s">
        <v>201</v>
      </c>
    </row>
    <row r="15" spans="1:14" ht="42" x14ac:dyDescent="0.15">
      <c r="A15" s="80" t="s">
        <v>199</v>
      </c>
      <c r="B15" s="7">
        <v>47014</v>
      </c>
      <c r="C15" s="82" t="str">
        <f ca="1">VLOOKUP($B15,OFFSET([2]quests!$A$1,0,0,COUNTA([2]quests!$A:$A),MATCH(C$1,[2]quests!$1:$1,0)-MATCH($B$1,[2]quests!$1:$1,0)+1),MATCH(C$1,[2]quests!$1:$1,0)-MATCH($B$1,[2]quests!$1:$1,0)+1,FALSE)</f>
        <v>ヘルレイザー襲来！</v>
      </c>
      <c r="D15" s="82" t="str">
        <f ca="1">VLOOKUP($B15,OFFSET([2]quests!$A$1,0,0,COUNTA([2]quests!$A:$A),MATCH(D$1,[2]quests!$1:$1,0)-MATCH($B$1,[2]quests!$1:$1,0)+1),MATCH(D$1,[2]quests!$1:$1,0)-MATCH($B$1,[2]quests!$1:$1,0)+1,FALSE)</f>
        <v>800万ダウンロード記念イベント</v>
      </c>
      <c r="E15" s="83">
        <v>2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【超絶級】ヘルレイザー襲来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15" s="84">
        <v>4</v>
      </c>
      <c r="I15" s="89">
        <f t="shared" si="0"/>
        <v>14</v>
      </c>
      <c r="J15" s="85" t="str">
        <f t="shared" si="3"/>
        <v>4701414</v>
      </c>
      <c r="K15" s="83" t="s">
        <v>200</v>
      </c>
      <c r="L15" s="86" t="s">
        <v>263</v>
      </c>
      <c r="M15" s="110" t="s">
        <v>366</v>
      </c>
      <c r="N15" s="56" t="s">
        <v>201</v>
      </c>
    </row>
    <row r="16" spans="1:14" ht="56" x14ac:dyDescent="0.15">
      <c r="A16" s="80" t="s">
        <v>199</v>
      </c>
      <c r="B16" s="7">
        <v>47014</v>
      </c>
      <c r="C16" s="82" t="str">
        <f ca="1">VLOOKUP($B16,OFFSET([2]quests!$A$1,0,0,COUNTA([2]quests!$A:$A),MATCH(C$1,[2]quests!$1:$1,0)-MATCH($B$1,[2]quests!$1:$1,0)+1),MATCH(C$1,[2]quests!$1:$1,0)-MATCH($B$1,[2]quests!$1:$1,0)+1,FALSE)</f>
        <v>ヘルレイザー襲来！</v>
      </c>
      <c r="D16" s="82" t="str">
        <f ca="1">VLOOKUP($B16,OFFSET([2]quests!$A$1,0,0,COUNTA([2]quests!$A:$A),MATCH(D$1,[2]quests!$1:$1,0)-MATCH($B$1,[2]quests!$1:$1,0)+1),MATCH(D$1,[2]quests!$1:$1,0)-MATCH($B$1,[2]quests!$1:$1,0)+1,FALSE)</f>
        <v>800万ダウンロード記念イベント</v>
      </c>
      <c r="E16" s="83">
        <v>2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【超絶級】ヘルレイザー襲来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16" s="84">
        <v>4</v>
      </c>
      <c r="I16" s="89">
        <f t="shared" si="0"/>
        <v>15</v>
      </c>
      <c r="J16" s="85" t="str">
        <f t="shared" si="3"/>
        <v>4701415</v>
      </c>
      <c r="K16" s="83" t="s">
        <v>200</v>
      </c>
      <c r="L16" s="86" t="s">
        <v>263</v>
      </c>
      <c r="M16" s="110" t="s">
        <v>405</v>
      </c>
      <c r="N16" s="56" t="s">
        <v>201</v>
      </c>
    </row>
    <row r="17" spans="1:14" ht="42" x14ac:dyDescent="0.15">
      <c r="A17" s="80" t="s">
        <v>370</v>
      </c>
      <c r="B17" s="7">
        <v>47014</v>
      </c>
      <c r="C17" s="82" t="str">
        <f ca="1">VLOOKUP($B17,OFFSET([2]quests!$A$1,0,0,COUNTA([2]quests!$A:$A),MATCH(C$1,[2]quests!$1:$1,0)-MATCH($B$1,[2]quests!$1:$1,0)+1),MATCH(C$1,[2]quests!$1:$1,0)-MATCH($B$1,[2]quests!$1:$1,0)+1,FALSE)</f>
        <v>ヘルレイザー襲来！</v>
      </c>
      <c r="D17" s="82" t="str">
        <f ca="1">VLOOKUP($B17,OFFSET([2]quests!$A$1,0,0,COUNTA([2]quests!$A:$A),MATCH(D$1,[2]quests!$1:$1,0)-MATCH($B$1,[2]quests!$1:$1,0)+1),MATCH(D$1,[2]quests!$1:$1,0)-MATCH($B$1,[2]quests!$1:$1,0)+1,FALSE)</f>
        <v>800万ダウンロード記念イベント</v>
      </c>
      <c r="E17" s="83">
        <v>2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【超絶級】ヘルレイザー襲来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17" s="84">
        <v>0</v>
      </c>
      <c r="I17" s="89">
        <f t="shared" si="0"/>
        <v>16</v>
      </c>
      <c r="J17" s="85" t="str">
        <f t="shared" si="3"/>
        <v>4701416</v>
      </c>
      <c r="K17" s="83" t="s">
        <v>200</v>
      </c>
      <c r="L17" s="86" t="s">
        <v>369</v>
      </c>
      <c r="M17" s="110" t="s">
        <v>367</v>
      </c>
      <c r="N17" s="56" t="s">
        <v>201</v>
      </c>
    </row>
    <row r="18" spans="1:14" ht="56" x14ac:dyDescent="0.15">
      <c r="A18" s="80" t="s">
        <v>370</v>
      </c>
      <c r="B18" s="7">
        <v>47014</v>
      </c>
      <c r="C18" s="82" t="str">
        <f ca="1">VLOOKUP($B18,OFFSET([2]quests!$A$1,0,0,COUNTA([2]quests!$A:$A),MATCH(C$1,[2]quests!$1:$1,0)-MATCH($B$1,[2]quests!$1:$1,0)+1),MATCH(C$1,[2]quests!$1:$1,0)-MATCH($B$1,[2]quests!$1:$1,0)+1,FALSE)</f>
        <v>ヘルレイザー襲来！</v>
      </c>
      <c r="D18" s="82" t="str">
        <f ca="1">VLOOKUP($B18,OFFSET([2]quests!$A$1,0,0,COUNTA([2]quests!$A:$A),MATCH(D$1,[2]quests!$1:$1,0)-MATCH($B$1,[2]quests!$1:$1,0)+1),MATCH(D$1,[2]quests!$1:$1,0)-MATCH($B$1,[2]quests!$1:$1,0)+1,FALSE)</f>
        <v>800万ダウンロード記念イベント</v>
      </c>
      <c r="E18" s="83">
        <v>2</v>
      </c>
      <c r="F18" s="82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【超絶級】ヘルレイザー襲来</v>
      </c>
      <c r="G18" s="82" t="str">
        <f ca="1">VLOOKUP($B18&amp;"_"&amp;$E18,OFFSET([2]stages!$A$1,0,0,COUNTA([2]stages!$A:$A),MATCH(G$1,[2]stages!$2:$2,0)-MATCH("temp_stage",[2]stages!$2:$2,0)+1),MATCH(G$1,[2]stages!$2:$2,0)-MATCH("temp_stage",[2]stages!$2:$2,0)+1,FALSE)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18" s="84">
        <v>0</v>
      </c>
      <c r="I18" s="89">
        <f t="shared" si="0"/>
        <v>17</v>
      </c>
      <c r="J18" s="85" t="str">
        <f t="shared" si="3"/>
        <v>4701417</v>
      </c>
      <c r="K18" s="83" t="s">
        <v>200</v>
      </c>
      <c r="L18" s="86" t="s">
        <v>424</v>
      </c>
      <c r="M18" s="110" t="s">
        <v>368</v>
      </c>
      <c r="N18" s="56" t="s">
        <v>201</v>
      </c>
    </row>
    <row r="19" spans="1:14" ht="42" x14ac:dyDescent="0.15">
      <c r="A19" s="80" t="s">
        <v>370</v>
      </c>
      <c r="B19" s="7">
        <v>47014</v>
      </c>
      <c r="C19" s="82" t="str">
        <f ca="1">VLOOKUP($B19,OFFSET([2]quests!$A$1,0,0,COUNTA([2]quests!$A:$A),MATCH(C$1,[2]quests!$1:$1,0)-MATCH($B$1,[2]quests!$1:$1,0)+1),MATCH(C$1,[2]quests!$1:$1,0)-MATCH($B$1,[2]quests!$1:$1,0)+1,FALSE)</f>
        <v>ヘルレイザー襲来！</v>
      </c>
      <c r="D19" s="82" t="str">
        <f ca="1">VLOOKUP($B19,OFFSET([2]quests!$A$1,0,0,COUNTA([2]quests!$A:$A),MATCH(D$1,[2]quests!$1:$1,0)-MATCH($B$1,[2]quests!$1:$1,0)+1),MATCH(D$1,[2]quests!$1:$1,0)-MATCH($B$1,[2]quests!$1:$1,0)+1,FALSE)</f>
        <v>800万ダウンロード記念イベント</v>
      </c>
      <c r="E19" s="83">
        <v>2</v>
      </c>
      <c r="F19" s="82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【超絶級】ヘルレイザー襲来</v>
      </c>
      <c r="G19" s="82" t="str">
        <f ca="1">VLOOKUP($B19&amp;"_"&amp;$E19,OFFSET([2]stages!$A$1,0,0,COUNTA([2]stages!$A:$A),MATCH(G$1,[2]stages!$2:$2,0)-MATCH("temp_stage",[2]stages!$2:$2,0)+1),MATCH(G$1,[2]stages!$2:$2,0)-MATCH("temp_stage",[2]stages!$2:$2,0)+1,FALSE)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19" s="84">
        <v>0</v>
      </c>
      <c r="I19" s="89">
        <f t="shared" si="0"/>
        <v>18</v>
      </c>
      <c r="J19" s="85" t="str">
        <f t="shared" si="3"/>
        <v>4701418</v>
      </c>
      <c r="K19" s="83" t="s">
        <v>200</v>
      </c>
      <c r="L19" s="86" t="s">
        <v>415</v>
      </c>
      <c r="M19" s="110" t="s">
        <v>414</v>
      </c>
      <c r="N19" s="56" t="s">
        <v>201</v>
      </c>
    </row>
    <row r="20" spans="1:14" ht="42" x14ac:dyDescent="0.15">
      <c r="A20" s="80" t="s">
        <v>199</v>
      </c>
      <c r="B20" s="7">
        <v>47014</v>
      </c>
      <c r="C20" s="82" t="str">
        <f ca="1">VLOOKUP($B20,OFFSET([2]quests!$A$1,0,0,COUNTA([2]quests!$A:$A),MATCH(C$1,[2]quests!$1:$1,0)-MATCH($B$1,[2]quests!$1:$1,0)+1),MATCH(C$1,[2]quests!$1:$1,0)-MATCH($B$1,[2]quests!$1:$1,0)+1,FALSE)</f>
        <v>ヘルレイザー襲来！</v>
      </c>
      <c r="D20" s="82" t="str">
        <f ca="1">VLOOKUP($B20,OFFSET([2]quests!$A$1,0,0,COUNTA([2]quests!$A:$A),MATCH(D$1,[2]quests!$1:$1,0)-MATCH($B$1,[2]quests!$1:$1,0)+1),MATCH(D$1,[2]quests!$1:$1,0)-MATCH($B$1,[2]quests!$1:$1,0)+1,FALSE)</f>
        <v>800万ダウンロード記念イベント</v>
      </c>
      <c r="E20" s="83">
        <v>3</v>
      </c>
      <c r="F20" s="82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【ウィザード級】ヘルレイザー襲来</v>
      </c>
      <c r="G20" s="82" t="str">
        <f ca="1">VLOOKUP($B20&amp;"_"&amp;$E20,OFFSET([2]stages!$A$1,0,0,COUNTA([2]stages!$A:$A),MATCH(G$1,[2]stages!$2:$2,0)-MATCH("temp_stage",[2]stages!$2:$2,0)+1),MATCH(G$1,[2]stages!$2:$2,0)-MATCH("temp_stage",[2]stages!$2:$2,0)+1,FALSE)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20" s="84">
        <v>1</v>
      </c>
      <c r="I20" s="89">
        <f>ROW()-1</f>
        <v>19</v>
      </c>
      <c r="J20" s="85" t="str">
        <f>B20&amp;TEXT(I20,"00")</f>
        <v>4701419</v>
      </c>
      <c r="K20" s="83" t="s">
        <v>200</v>
      </c>
      <c r="L20" s="86" t="s">
        <v>263</v>
      </c>
      <c r="M20" s="110" t="s">
        <v>363</v>
      </c>
      <c r="N20" s="56" t="s">
        <v>201</v>
      </c>
    </row>
    <row r="21" spans="1:14" ht="70" x14ac:dyDescent="0.15">
      <c r="A21" s="80" t="s">
        <v>199</v>
      </c>
      <c r="B21" s="7">
        <v>47014</v>
      </c>
      <c r="C21" s="82" t="str">
        <f ca="1">VLOOKUP($B21,OFFSET([2]quests!$A$1,0,0,COUNTA([2]quests!$A:$A),MATCH(C$1,[2]quests!$1:$1,0)-MATCH($B$1,[2]quests!$1:$1,0)+1),MATCH(C$1,[2]quests!$1:$1,0)-MATCH($B$1,[2]quests!$1:$1,0)+1,FALSE)</f>
        <v>ヘルレイザー襲来！</v>
      </c>
      <c r="D21" s="82" t="str">
        <f ca="1">VLOOKUP($B21,OFFSET([2]quests!$A$1,0,0,COUNTA([2]quests!$A:$A),MATCH(D$1,[2]quests!$1:$1,0)-MATCH($B$1,[2]quests!$1:$1,0)+1),MATCH(D$1,[2]quests!$1:$1,0)-MATCH($B$1,[2]quests!$1:$1,0)+1,FALSE)</f>
        <v>800万ダウンロード記念イベント</v>
      </c>
      <c r="E21" s="83">
        <v>3</v>
      </c>
      <c r="F21" s="82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【ウィザード級】ヘルレイザー襲来</v>
      </c>
      <c r="G21" s="82" t="str">
        <f ca="1">VLOOKUP($B21&amp;"_"&amp;$E21,OFFSET([2]stages!$A$1,0,0,COUNTA([2]stages!$A:$A),MATCH(G$1,[2]stages!$2:$2,0)-MATCH("temp_stage",[2]stages!$2:$2,0)+1),MATCH(G$1,[2]stages!$2:$2,0)-MATCH("temp_stage",[2]stages!$2:$2,0)+1,FALSE)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21" s="84">
        <v>2</v>
      </c>
      <c r="I21" s="89">
        <f t="shared" si="0"/>
        <v>20</v>
      </c>
      <c r="J21" s="85" t="str">
        <f t="shared" ref="J21:J28" si="4">B21&amp;TEXT(I21,"00")</f>
        <v>4701420</v>
      </c>
      <c r="K21" s="83" t="s">
        <v>200</v>
      </c>
      <c r="L21" s="86" t="s">
        <v>263</v>
      </c>
      <c r="M21" s="110" t="s">
        <v>404</v>
      </c>
      <c r="N21" s="56" t="s">
        <v>201</v>
      </c>
    </row>
    <row r="22" spans="1:14" ht="56" x14ac:dyDescent="0.15">
      <c r="A22" s="80" t="s">
        <v>199</v>
      </c>
      <c r="B22" s="7">
        <v>47014</v>
      </c>
      <c r="C22" s="82" t="str">
        <f ca="1">VLOOKUP($B22,OFFSET([2]quests!$A$1,0,0,COUNTA([2]quests!$A:$A),MATCH(C$1,[2]quests!$1:$1,0)-MATCH($B$1,[2]quests!$1:$1,0)+1),MATCH(C$1,[2]quests!$1:$1,0)-MATCH($B$1,[2]quests!$1:$1,0)+1,FALSE)</f>
        <v>ヘルレイザー襲来！</v>
      </c>
      <c r="D22" s="82" t="str">
        <f ca="1">VLOOKUP($B22,OFFSET([2]quests!$A$1,0,0,COUNTA([2]quests!$A:$A),MATCH(D$1,[2]quests!$1:$1,0)-MATCH($B$1,[2]quests!$1:$1,0)+1),MATCH(D$1,[2]quests!$1:$1,0)-MATCH($B$1,[2]quests!$1:$1,0)+1,FALSE)</f>
        <v>800万ダウンロード記念イベント</v>
      </c>
      <c r="E22" s="83">
        <v>3</v>
      </c>
      <c r="F22" s="82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【ウィザード級】ヘルレイザー襲来</v>
      </c>
      <c r="G22" s="82" t="str">
        <f ca="1">VLOOKUP($B22&amp;"_"&amp;$E22,OFFSET([2]stages!$A$1,0,0,COUNTA([2]stages!$A:$A),MATCH(G$1,[2]stages!$2:$2,0)-MATCH("temp_stage",[2]stages!$2:$2,0)+1),MATCH(G$1,[2]stages!$2:$2,0)-MATCH("temp_stage",[2]stages!$2:$2,0)+1,FALSE)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22" s="84">
        <v>3</v>
      </c>
      <c r="I22" s="89">
        <f t="shared" si="0"/>
        <v>21</v>
      </c>
      <c r="J22" s="85" t="str">
        <f t="shared" si="4"/>
        <v>4701421</v>
      </c>
      <c r="K22" s="83" t="s">
        <v>200</v>
      </c>
      <c r="L22" s="86" t="s">
        <v>263</v>
      </c>
      <c r="M22" s="110" t="s">
        <v>364</v>
      </c>
      <c r="N22" s="56" t="s">
        <v>201</v>
      </c>
    </row>
    <row r="23" spans="1:14" ht="56" x14ac:dyDescent="0.15">
      <c r="A23" s="80" t="s">
        <v>199</v>
      </c>
      <c r="B23" s="7">
        <v>47014</v>
      </c>
      <c r="C23" s="82" t="str">
        <f ca="1">VLOOKUP($B23,OFFSET([2]quests!$A$1,0,0,COUNTA([2]quests!$A:$A),MATCH(C$1,[2]quests!$1:$1,0)-MATCH($B$1,[2]quests!$1:$1,0)+1),MATCH(C$1,[2]quests!$1:$1,0)-MATCH($B$1,[2]quests!$1:$1,0)+1,FALSE)</f>
        <v>ヘルレイザー襲来！</v>
      </c>
      <c r="D23" s="82" t="str">
        <f ca="1">VLOOKUP($B23,OFFSET([2]quests!$A$1,0,0,COUNTA([2]quests!$A:$A),MATCH(D$1,[2]quests!$1:$1,0)-MATCH($B$1,[2]quests!$1:$1,0)+1),MATCH(D$1,[2]quests!$1:$1,0)-MATCH($B$1,[2]quests!$1:$1,0)+1,FALSE)</f>
        <v>800万ダウンロード記念イベント</v>
      </c>
      <c r="E23" s="83">
        <v>3</v>
      </c>
      <c r="F23" s="82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【ウィザード級】ヘルレイザー襲来</v>
      </c>
      <c r="G23" s="82" t="str">
        <f ca="1">VLOOKUP($B23&amp;"_"&amp;$E23,OFFSET([2]stages!$A$1,0,0,COUNTA([2]stages!$A:$A),MATCH(G$1,[2]stages!$2:$2,0)-MATCH("temp_stage",[2]stages!$2:$2,0)+1),MATCH(G$1,[2]stages!$2:$2,0)-MATCH("temp_stage",[2]stages!$2:$2,0)+1,FALSE)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23" s="84">
        <v>4</v>
      </c>
      <c r="I23" s="89">
        <f t="shared" si="0"/>
        <v>22</v>
      </c>
      <c r="J23" s="85" t="str">
        <f t="shared" si="4"/>
        <v>4701422</v>
      </c>
      <c r="K23" s="83" t="s">
        <v>200</v>
      </c>
      <c r="L23" s="86" t="s">
        <v>263</v>
      </c>
      <c r="M23" s="110" t="s">
        <v>365</v>
      </c>
      <c r="N23" s="56" t="s">
        <v>201</v>
      </c>
    </row>
    <row r="24" spans="1:14" ht="42" x14ac:dyDescent="0.15">
      <c r="A24" s="80" t="s">
        <v>199</v>
      </c>
      <c r="B24" s="7">
        <v>47014</v>
      </c>
      <c r="C24" s="82" t="str">
        <f ca="1">VLOOKUP($B24,OFFSET([2]quests!$A$1,0,0,COUNTA([2]quests!$A:$A),MATCH(C$1,[2]quests!$1:$1,0)-MATCH($B$1,[2]quests!$1:$1,0)+1),MATCH(C$1,[2]quests!$1:$1,0)-MATCH($B$1,[2]quests!$1:$1,0)+1,FALSE)</f>
        <v>ヘルレイザー襲来！</v>
      </c>
      <c r="D24" s="82" t="str">
        <f ca="1">VLOOKUP($B24,OFFSET([2]quests!$A$1,0,0,COUNTA([2]quests!$A:$A),MATCH(D$1,[2]quests!$1:$1,0)-MATCH($B$1,[2]quests!$1:$1,0)+1),MATCH(D$1,[2]quests!$1:$1,0)-MATCH($B$1,[2]quests!$1:$1,0)+1,FALSE)</f>
        <v>800万ダウンロード記念イベント</v>
      </c>
      <c r="E24" s="83">
        <v>3</v>
      </c>
      <c r="F24" s="82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【ウィザード級】ヘルレイザー襲来</v>
      </c>
      <c r="G24" s="82" t="str">
        <f ca="1">VLOOKUP($B24&amp;"_"&amp;$E24,OFFSET([2]stages!$A$1,0,0,COUNTA([2]stages!$A:$A),MATCH(G$1,[2]stages!$2:$2,0)-MATCH("temp_stage",[2]stages!$2:$2,0)+1),MATCH(G$1,[2]stages!$2:$2,0)-MATCH("temp_stage",[2]stages!$2:$2,0)+1,FALSE)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24" s="84">
        <v>4</v>
      </c>
      <c r="I24" s="89">
        <f t="shared" si="0"/>
        <v>23</v>
      </c>
      <c r="J24" s="85" t="str">
        <f t="shared" si="4"/>
        <v>4701423</v>
      </c>
      <c r="K24" s="83" t="s">
        <v>200</v>
      </c>
      <c r="L24" s="86" t="s">
        <v>263</v>
      </c>
      <c r="M24" s="110" t="s">
        <v>366</v>
      </c>
      <c r="N24" s="56" t="s">
        <v>201</v>
      </c>
    </row>
    <row r="25" spans="1:14" ht="56" x14ac:dyDescent="0.15">
      <c r="A25" s="80" t="s">
        <v>199</v>
      </c>
      <c r="B25" s="7">
        <v>47014</v>
      </c>
      <c r="C25" s="82" t="str">
        <f ca="1">VLOOKUP($B25,OFFSET([2]quests!$A$1,0,0,COUNTA([2]quests!$A:$A),MATCH(C$1,[2]quests!$1:$1,0)-MATCH($B$1,[2]quests!$1:$1,0)+1),MATCH(C$1,[2]quests!$1:$1,0)-MATCH($B$1,[2]quests!$1:$1,0)+1,FALSE)</f>
        <v>ヘルレイザー襲来！</v>
      </c>
      <c r="D25" s="82" t="str">
        <f ca="1">VLOOKUP($B25,OFFSET([2]quests!$A$1,0,0,COUNTA([2]quests!$A:$A),MATCH(D$1,[2]quests!$1:$1,0)-MATCH($B$1,[2]quests!$1:$1,0)+1),MATCH(D$1,[2]quests!$1:$1,0)-MATCH($B$1,[2]quests!$1:$1,0)+1,FALSE)</f>
        <v>800万ダウンロード記念イベント</v>
      </c>
      <c r="E25" s="83">
        <v>3</v>
      </c>
      <c r="F25" s="82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【ウィザード級】ヘルレイザー襲来</v>
      </c>
      <c r="G25" s="82" t="str">
        <f ca="1">VLOOKUP($B25&amp;"_"&amp;$E25,OFFSET([2]stages!$A$1,0,0,COUNTA([2]stages!$A:$A),MATCH(G$1,[2]stages!$2:$2,0)-MATCH("temp_stage",[2]stages!$2:$2,0)+1),MATCH(G$1,[2]stages!$2:$2,0)-MATCH("temp_stage",[2]stages!$2:$2,0)+1,FALSE)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25" s="84">
        <v>4</v>
      </c>
      <c r="I25" s="89">
        <f t="shared" si="0"/>
        <v>24</v>
      </c>
      <c r="J25" s="85" t="str">
        <f t="shared" si="4"/>
        <v>4701424</v>
      </c>
      <c r="K25" s="83" t="s">
        <v>200</v>
      </c>
      <c r="L25" s="86" t="s">
        <v>263</v>
      </c>
      <c r="M25" s="110" t="s">
        <v>405</v>
      </c>
      <c r="N25" s="56" t="s">
        <v>201</v>
      </c>
    </row>
    <row r="26" spans="1:14" ht="42" x14ac:dyDescent="0.15">
      <c r="A26" s="80" t="s">
        <v>370</v>
      </c>
      <c r="B26" s="7">
        <v>47014</v>
      </c>
      <c r="C26" s="82" t="str">
        <f ca="1">VLOOKUP($B26,OFFSET([2]quests!$A$1,0,0,COUNTA([2]quests!$A:$A),MATCH(C$1,[2]quests!$1:$1,0)-MATCH($B$1,[2]quests!$1:$1,0)+1),MATCH(C$1,[2]quests!$1:$1,0)-MATCH($B$1,[2]quests!$1:$1,0)+1,FALSE)</f>
        <v>ヘルレイザー襲来！</v>
      </c>
      <c r="D26" s="82" t="str">
        <f ca="1">VLOOKUP($B26,OFFSET([2]quests!$A$1,0,0,COUNTA([2]quests!$A:$A),MATCH(D$1,[2]quests!$1:$1,0)-MATCH($B$1,[2]quests!$1:$1,0)+1),MATCH(D$1,[2]quests!$1:$1,0)-MATCH($B$1,[2]quests!$1:$1,0)+1,FALSE)</f>
        <v>800万ダウンロード記念イベント</v>
      </c>
      <c r="E26" s="83">
        <v>3</v>
      </c>
      <c r="F26" s="82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【ウィザード級】ヘルレイザー襲来</v>
      </c>
      <c r="G26" s="82" t="str">
        <f ca="1">VLOOKUP($B26&amp;"_"&amp;$E26,OFFSET([2]stages!$A$1,0,0,COUNTA([2]stages!$A:$A),MATCH(G$1,[2]stages!$2:$2,0)-MATCH("temp_stage",[2]stages!$2:$2,0)+1),MATCH(G$1,[2]stages!$2:$2,0)-MATCH("temp_stage",[2]stages!$2:$2,0)+1,FALSE)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26" s="84">
        <v>0</v>
      </c>
      <c r="I26" s="89">
        <f t="shared" si="0"/>
        <v>25</v>
      </c>
      <c r="J26" s="85" t="str">
        <f t="shared" si="4"/>
        <v>4701425</v>
      </c>
      <c r="K26" s="83" t="s">
        <v>200</v>
      </c>
      <c r="L26" s="86" t="s">
        <v>369</v>
      </c>
      <c r="M26" s="110" t="s">
        <v>367</v>
      </c>
      <c r="N26" s="56" t="s">
        <v>201</v>
      </c>
    </row>
    <row r="27" spans="1:14" ht="56" x14ac:dyDescent="0.15">
      <c r="A27" s="80" t="s">
        <v>370</v>
      </c>
      <c r="B27" s="7">
        <v>47014</v>
      </c>
      <c r="C27" s="82" t="str">
        <f ca="1">VLOOKUP($B27,OFFSET([2]quests!$A$1,0,0,COUNTA([2]quests!$A:$A),MATCH(C$1,[2]quests!$1:$1,0)-MATCH($B$1,[2]quests!$1:$1,0)+1),MATCH(C$1,[2]quests!$1:$1,0)-MATCH($B$1,[2]quests!$1:$1,0)+1,FALSE)</f>
        <v>ヘルレイザー襲来！</v>
      </c>
      <c r="D27" s="82" t="str">
        <f ca="1">VLOOKUP($B27,OFFSET([2]quests!$A$1,0,0,COUNTA([2]quests!$A:$A),MATCH(D$1,[2]quests!$1:$1,0)-MATCH($B$1,[2]quests!$1:$1,0)+1),MATCH(D$1,[2]quests!$1:$1,0)-MATCH($B$1,[2]quests!$1:$1,0)+1,FALSE)</f>
        <v>800万ダウンロード記念イベント</v>
      </c>
      <c r="E27" s="83">
        <v>3</v>
      </c>
      <c r="F27" s="82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【ウィザード級】ヘルレイザー襲来</v>
      </c>
      <c r="G27" s="82" t="str">
        <f ca="1">VLOOKUP($B27&amp;"_"&amp;$E27,OFFSET([2]stages!$A$1,0,0,COUNTA([2]stages!$A:$A),MATCH(G$1,[2]stages!$2:$2,0)-MATCH("temp_stage",[2]stages!$2:$2,0)+1),MATCH(G$1,[2]stages!$2:$2,0)-MATCH("temp_stage",[2]stages!$2:$2,0)+1,FALSE)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27" s="84">
        <v>0</v>
      </c>
      <c r="I27" s="89">
        <f t="shared" si="0"/>
        <v>26</v>
      </c>
      <c r="J27" s="85" t="str">
        <f t="shared" si="4"/>
        <v>4701426</v>
      </c>
      <c r="K27" s="83" t="s">
        <v>200</v>
      </c>
      <c r="L27" s="86" t="s">
        <v>424</v>
      </c>
      <c r="M27" s="110" t="s">
        <v>368</v>
      </c>
      <c r="N27" s="56" t="s">
        <v>201</v>
      </c>
    </row>
    <row r="28" spans="1:14" ht="42" x14ac:dyDescent="0.15">
      <c r="A28" s="80" t="s">
        <v>370</v>
      </c>
      <c r="B28" s="7">
        <v>47014</v>
      </c>
      <c r="C28" s="82" t="str">
        <f ca="1">VLOOKUP($B28,OFFSET([2]quests!$A$1,0,0,COUNTA([2]quests!$A:$A),MATCH(C$1,[2]quests!$1:$1,0)-MATCH($B$1,[2]quests!$1:$1,0)+1),MATCH(C$1,[2]quests!$1:$1,0)-MATCH($B$1,[2]quests!$1:$1,0)+1,FALSE)</f>
        <v>ヘルレイザー襲来！</v>
      </c>
      <c r="D28" s="82" t="str">
        <f ca="1">VLOOKUP($B28,OFFSET([2]quests!$A$1,0,0,COUNTA([2]quests!$A:$A),MATCH(D$1,[2]quests!$1:$1,0)-MATCH($B$1,[2]quests!$1:$1,0)+1),MATCH(D$1,[2]quests!$1:$1,0)-MATCH($B$1,[2]quests!$1:$1,0)+1,FALSE)</f>
        <v>800万ダウンロード記念イベント</v>
      </c>
      <c r="E28" s="83">
        <v>3</v>
      </c>
      <c r="F28" s="82" t="str">
        <f ca="1">VLOOKUP($B28&amp;"_"&amp;$E28,OFFSET([2]stages!$A$1,0,0,COUNTA([2]stages!$A:$A),MATCH(F$1,[2]stages!$2:$2,0)-MATCH("temp_stage",[2]stages!$2:$2,0)+1),MATCH(F$1,[2]stages!$2:$2,0)-MATCH("temp_stage",[2]stages!$2:$2,0)+1,FALSE)</f>
        <v>【ウィザード級】ヘルレイザー襲来</v>
      </c>
      <c r="G28" s="82" t="str">
        <f ca="1">VLOOKUP($B28&amp;"_"&amp;$E28,OFFSET([2]stages!$A$1,0,0,COUNTA([2]stages!$A:$A),MATCH(G$1,[2]stages!$2:$2,0)-MATCH("temp_stage",[2]stages!$2:$2,0)+1),MATCH(G$1,[2]stages!$2:$2,0)-MATCH("temp_stage",[2]stages!$2:$2,0)+1,FALSE)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28" s="84">
        <v>0</v>
      </c>
      <c r="I28" s="89">
        <f t="shared" si="0"/>
        <v>27</v>
      </c>
      <c r="J28" s="85" t="str">
        <f t="shared" si="4"/>
        <v>4701427</v>
      </c>
      <c r="K28" s="83" t="s">
        <v>200</v>
      </c>
      <c r="L28" s="86" t="s">
        <v>415</v>
      </c>
      <c r="M28" s="110" t="s">
        <v>414</v>
      </c>
      <c r="N28" s="56" t="s">
        <v>201</v>
      </c>
    </row>
  </sheetData>
  <phoneticPr fontId="5"/>
  <dataValidations count="1">
    <dataValidation type="list" allowBlank="1" showInputMessage="1" showErrorMessage="1" sqref="A2:A2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K12" sqref="K1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6" t="s">
        <v>221</v>
      </c>
      <c r="B1" s="97" t="s">
        <v>222</v>
      </c>
      <c r="C1" s="76" t="s">
        <v>223</v>
      </c>
      <c r="D1" s="76" t="s">
        <v>33</v>
      </c>
      <c r="E1" s="97" t="s">
        <v>224</v>
      </c>
      <c r="F1" s="76" t="s">
        <v>225</v>
      </c>
      <c r="G1" s="76" t="s">
        <v>33</v>
      </c>
      <c r="H1" s="97" t="s">
        <v>226</v>
      </c>
      <c r="I1" s="97" t="s">
        <v>227</v>
      </c>
      <c r="J1" s="97" t="s">
        <v>228</v>
      </c>
      <c r="K1" s="72" t="s">
        <v>229</v>
      </c>
      <c r="L1" s="72" t="s">
        <v>230</v>
      </c>
      <c r="M1" s="72" t="s">
        <v>157</v>
      </c>
      <c r="N1" s="76" t="s">
        <v>16</v>
      </c>
      <c r="O1" s="72" t="s">
        <v>231</v>
      </c>
      <c r="P1" s="72" t="s">
        <v>57</v>
      </c>
      <c r="Q1" s="72" t="s">
        <v>232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233</v>
      </c>
      <c r="X1" s="72" t="s">
        <v>234</v>
      </c>
    </row>
    <row r="2" spans="1:24" x14ac:dyDescent="0.15">
      <c r="A2" s="98" t="str">
        <f t="shared" ref="A2:A3" si="0">B2&amp;"_"&amp;E2&amp;"_"&amp;H2&amp;"_"&amp;I2&amp;"_"&amp;J2</f>
        <v>47014_3_everyone_no_continue_1</v>
      </c>
      <c r="B2" s="7">
        <v>47014</v>
      </c>
      <c r="C2" s="82" t="str">
        <f ca="1">VLOOKUP($B2,OFFSET([2]quests!$A$1,0,0,COUNTA([2]quests!$A:$A),MATCH(C$1,[2]quests!$1:$1,0)-MATCH($B$1,[2]quests!$1:$1,0)+1),MATCH(C$1,[2]quests!$1:$1,0)-MATCH($B$1,[2]quests!$1:$1,0)+1,FALSE)</f>
        <v>ヘルレイザー襲来！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800万ダウンロード記念イベント</v>
      </c>
      <c r="E2" s="83">
        <v>3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【ウィザード級】ヘルレイザー襲来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2" s="84" t="s">
        <v>235</v>
      </c>
      <c r="I2" s="83" t="s">
        <v>239</v>
      </c>
      <c r="J2" s="83">
        <v>1</v>
      </c>
      <c r="K2" s="83">
        <v>1000</v>
      </c>
      <c r="L2" s="83" t="s">
        <v>236</v>
      </c>
      <c r="M2" s="19">
        <v>1342</v>
      </c>
      <c r="N2" s="99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ヘルレイザー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100" t="s">
        <v>237</v>
      </c>
      <c r="X2" s="101" t="s">
        <v>238</v>
      </c>
    </row>
    <row r="3" spans="1:24" x14ac:dyDescent="0.15">
      <c r="A3" s="98" t="str">
        <f t="shared" si="0"/>
        <v>47014_3_everyone_full_member_2</v>
      </c>
      <c r="B3" s="7">
        <v>47014</v>
      </c>
      <c r="C3" s="82" t="str">
        <f ca="1">VLOOKUP($B3,OFFSET([2]quests!$A$1,0,0,COUNTA([2]quests!$A:$A),MATCH(C$1,[2]quests!$1:$1,0)-MATCH($B$1,[2]quests!$1:$1,0)+1),MATCH(C$1,[2]quests!$1:$1,0)-MATCH($B$1,[2]quests!$1:$1,0)+1,FALSE)</f>
        <v>ヘルレイザー襲来！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800万ダウンロード記念イベント</v>
      </c>
      <c r="E3" s="83">
        <v>3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【ウィザード級】ヘルレイザー襲来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800万ダウンロード記念イベント</v>
      </c>
      <c r="H3" s="84" t="s">
        <v>235</v>
      </c>
      <c r="I3" s="83" t="s">
        <v>359</v>
      </c>
      <c r="J3" s="83">
        <v>2</v>
      </c>
      <c r="K3" s="83">
        <v>1000</v>
      </c>
      <c r="L3" s="83" t="s">
        <v>236</v>
      </c>
      <c r="M3" s="19">
        <v>1342</v>
      </c>
      <c r="N3" s="99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ヘルレイザー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100" t="s">
        <v>237</v>
      </c>
      <c r="X3" s="101" t="s">
        <v>238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2017-05-29T11:19:49Z</dcterms:modified>
</cp:coreProperties>
</file>