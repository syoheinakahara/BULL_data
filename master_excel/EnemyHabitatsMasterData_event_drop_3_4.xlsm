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1220" windowWidth="27660" windowHeight="1488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" l="1"/>
  <c r="E4" i="9"/>
  <c r="X3" i="7"/>
  <c r="E9" i="9"/>
  <c r="X2" i="7"/>
  <c r="N3" i="7"/>
  <c r="O3" i="7"/>
  <c r="P3" i="7"/>
  <c r="Q3" i="7"/>
  <c r="R3" i="7"/>
  <c r="R2" i="7"/>
  <c r="Q2" i="7"/>
  <c r="P2" i="7"/>
  <c r="O2" i="7"/>
  <c r="N2" i="7"/>
  <c r="AB3" i="1"/>
  <c r="AC3" i="1"/>
  <c r="AD3" i="1"/>
  <c r="AE3" i="1"/>
  <c r="AB4" i="1"/>
  <c r="AC4" i="1"/>
  <c r="AD4" i="1"/>
  <c r="AE4" i="1"/>
  <c r="AB5" i="1"/>
  <c r="AC5" i="1"/>
  <c r="AD5" i="1"/>
  <c r="AE5" i="1"/>
  <c r="AB6" i="1"/>
  <c r="AC6" i="1"/>
  <c r="AD6" i="1"/>
  <c r="AE6" i="1"/>
  <c r="AB7" i="1"/>
  <c r="AC7" i="1"/>
  <c r="AD7" i="1"/>
  <c r="AE7" i="1"/>
  <c r="AB8" i="1"/>
  <c r="AC8" i="1"/>
  <c r="AD8" i="1"/>
  <c r="AE8" i="1"/>
  <c r="AB9" i="1"/>
  <c r="AC9" i="1"/>
  <c r="AD9" i="1"/>
  <c r="AE9" i="1"/>
  <c r="AB10" i="1"/>
  <c r="AC10" i="1"/>
  <c r="AD10" i="1"/>
  <c r="AE10" i="1"/>
  <c r="AB11" i="1"/>
  <c r="AC11" i="1"/>
  <c r="AD11" i="1"/>
  <c r="AE11" i="1"/>
  <c r="AB12" i="1"/>
  <c r="AC12" i="1"/>
  <c r="AD12" i="1"/>
  <c r="AE12" i="1"/>
  <c r="AB13" i="1"/>
  <c r="AC13" i="1"/>
  <c r="AD13" i="1"/>
  <c r="AE13" i="1"/>
  <c r="AB14" i="1"/>
  <c r="AC14" i="1"/>
  <c r="AD14" i="1"/>
  <c r="AE14" i="1"/>
  <c r="AB15" i="1"/>
  <c r="AC15" i="1"/>
  <c r="AD15" i="1"/>
  <c r="AE15" i="1"/>
  <c r="AB16" i="1"/>
  <c r="AC16" i="1"/>
  <c r="AD16" i="1"/>
  <c r="AE16" i="1"/>
  <c r="AB17" i="1"/>
  <c r="AC17" i="1"/>
  <c r="AD17" i="1"/>
  <c r="AE17" i="1"/>
  <c r="AB18" i="1"/>
  <c r="AC18" i="1"/>
  <c r="AD18" i="1"/>
  <c r="AE18" i="1"/>
  <c r="AB19" i="1"/>
  <c r="AC19" i="1"/>
  <c r="AD19" i="1"/>
  <c r="AE19" i="1"/>
  <c r="AB20" i="1"/>
  <c r="AC20" i="1"/>
  <c r="AD20" i="1"/>
  <c r="AE20" i="1"/>
  <c r="AB21" i="1"/>
  <c r="AC21" i="1"/>
  <c r="AD21" i="1"/>
  <c r="AE21" i="1"/>
  <c r="AB22" i="1"/>
  <c r="AC22" i="1"/>
  <c r="AD22" i="1"/>
  <c r="AE22" i="1"/>
  <c r="AB23" i="1"/>
  <c r="AC23" i="1"/>
  <c r="AD23" i="1"/>
  <c r="AE23" i="1"/>
  <c r="AB24" i="1"/>
  <c r="AC24" i="1"/>
  <c r="AD24" i="1"/>
  <c r="AE24" i="1"/>
  <c r="AB25" i="1"/>
  <c r="AC25" i="1"/>
  <c r="AD25" i="1"/>
  <c r="AE25" i="1"/>
  <c r="AB26" i="1"/>
  <c r="AC26" i="1"/>
  <c r="AD26" i="1"/>
  <c r="AE26" i="1"/>
  <c r="AB27" i="1"/>
  <c r="AC27" i="1"/>
  <c r="AD27" i="1"/>
  <c r="AE27" i="1"/>
  <c r="AB28" i="1"/>
  <c r="AC28" i="1"/>
  <c r="AD28" i="1"/>
  <c r="AE28" i="1"/>
  <c r="AB29" i="1"/>
  <c r="AC29" i="1"/>
  <c r="AD29" i="1"/>
  <c r="AE29" i="1"/>
  <c r="AB30" i="1"/>
  <c r="AC30" i="1"/>
  <c r="AD30" i="1"/>
  <c r="AE30" i="1"/>
  <c r="AB31" i="1"/>
  <c r="AC31" i="1"/>
  <c r="AD31" i="1"/>
  <c r="AE31" i="1"/>
  <c r="AB32" i="1"/>
  <c r="AC32" i="1"/>
  <c r="AD32" i="1"/>
  <c r="AE32" i="1"/>
  <c r="AB33" i="1"/>
  <c r="AC33" i="1"/>
  <c r="AD33" i="1"/>
  <c r="AE33" i="1"/>
  <c r="AB34" i="1"/>
  <c r="AC34" i="1"/>
  <c r="AD34" i="1"/>
  <c r="AE34" i="1"/>
  <c r="AB35" i="1"/>
  <c r="AC35" i="1"/>
  <c r="AD35" i="1"/>
  <c r="AE35" i="1"/>
  <c r="AC36" i="1"/>
  <c r="AD36" i="1"/>
  <c r="AE36" i="1"/>
  <c r="AB2" i="1"/>
  <c r="AE2" i="1"/>
  <c r="AD2" i="1"/>
  <c r="AC2" i="1"/>
  <c r="AA34" i="1"/>
  <c r="AA33" i="1"/>
  <c r="AA32" i="1"/>
  <c r="AA31" i="1"/>
  <c r="AA30" i="1"/>
  <c r="AA29" i="1"/>
  <c r="AA28" i="1"/>
  <c r="AA27" i="1"/>
  <c r="AA26" i="1"/>
  <c r="AA25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11" i="1"/>
  <c r="AA3" i="1"/>
  <c r="AA4" i="1"/>
  <c r="AA5" i="1"/>
  <c r="AA6" i="1"/>
  <c r="AA7" i="1"/>
  <c r="AA8" i="1"/>
  <c r="AA9" i="1"/>
  <c r="AA2" i="1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E22" i="9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E14" i="9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E2" i="9"/>
  <c r="W35" i="1"/>
  <c r="E5" i="9"/>
  <c r="W36" i="1"/>
  <c r="V2" i="1"/>
  <c r="W2" i="1"/>
  <c r="M3" i="1"/>
  <c r="N3" i="1"/>
  <c r="O3" i="1"/>
  <c r="P3" i="1"/>
  <c r="Q3" i="1"/>
  <c r="M4" i="1"/>
  <c r="N4" i="1"/>
  <c r="O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M14" i="1"/>
  <c r="N14" i="1"/>
  <c r="O14" i="1"/>
  <c r="P14" i="1"/>
  <c r="Q14" i="1"/>
  <c r="M15" i="1"/>
  <c r="N15" i="1"/>
  <c r="O15" i="1"/>
  <c r="P15" i="1"/>
  <c r="Q15" i="1"/>
  <c r="M16" i="1"/>
  <c r="N16" i="1"/>
  <c r="O16" i="1"/>
  <c r="P16" i="1"/>
  <c r="Q16" i="1"/>
  <c r="M17" i="1"/>
  <c r="N17" i="1"/>
  <c r="O17" i="1"/>
  <c r="P17" i="1"/>
  <c r="Q17" i="1"/>
  <c r="M18" i="1"/>
  <c r="N18" i="1"/>
  <c r="O18" i="1"/>
  <c r="P18" i="1"/>
  <c r="Q18" i="1"/>
  <c r="M19" i="1"/>
  <c r="N19" i="1"/>
  <c r="O19" i="1"/>
  <c r="P19" i="1"/>
  <c r="Q19" i="1"/>
  <c r="M20" i="1"/>
  <c r="N20" i="1"/>
  <c r="O20" i="1"/>
  <c r="P20" i="1"/>
  <c r="Q20" i="1"/>
  <c r="M21" i="1"/>
  <c r="N21" i="1"/>
  <c r="O21" i="1"/>
  <c r="P21" i="1"/>
  <c r="Q21" i="1"/>
  <c r="M22" i="1"/>
  <c r="N22" i="1"/>
  <c r="O22" i="1"/>
  <c r="P22" i="1"/>
  <c r="Q22" i="1"/>
  <c r="M23" i="1"/>
  <c r="N23" i="1"/>
  <c r="O23" i="1"/>
  <c r="P23" i="1"/>
  <c r="Q23" i="1"/>
  <c r="M24" i="1"/>
  <c r="N24" i="1"/>
  <c r="O24" i="1"/>
  <c r="P24" i="1"/>
  <c r="Q24" i="1"/>
  <c r="M25" i="1"/>
  <c r="N25" i="1"/>
  <c r="O25" i="1"/>
  <c r="P25" i="1"/>
  <c r="Q25" i="1"/>
  <c r="M26" i="1"/>
  <c r="N26" i="1"/>
  <c r="O26" i="1"/>
  <c r="P26" i="1"/>
  <c r="Q26" i="1"/>
  <c r="M27" i="1"/>
  <c r="N27" i="1"/>
  <c r="O27" i="1"/>
  <c r="P27" i="1"/>
  <c r="Q27" i="1"/>
  <c r="M28" i="1"/>
  <c r="N28" i="1"/>
  <c r="O28" i="1"/>
  <c r="P28" i="1"/>
  <c r="Q28" i="1"/>
  <c r="M29" i="1"/>
  <c r="N29" i="1"/>
  <c r="O29" i="1"/>
  <c r="P29" i="1"/>
  <c r="Q29" i="1"/>
  <c r="M30" i="1"/>
  <c r="N30" i="1"/>
  <c r="O30" i="1"/>
  <c r="P30" i="1"/>
  <c r="Q30" i="1"/>
  <c r="M31" i="1"/>
  <c r="N31" i="1"/>
  <c r="O31" i="1"/>
  <c r="P31" i="1"/>
  <c r="Q31" i="1"/>
  <c r="M32" i="1"/>
  <c r="N32" i="1"/>
  <c r="O32" i="1"/>
  <c r="P32" i="1"/>
  <c r="Q32" i="1"/>
  <c r="M33" i="1"/>
  <c r="N33" i="1"/>
  <c r="O33" i="1"/>
  <c r="P33" i="1"/>
  <c r="Q33" i="1"/>
  <c r="M34" i="1"/>
  <c r="N34" i="1"/>
  <c r="O34" i="1"/>
  <c r="P34" i="1"/>
  <c r="Q34" i="1"/>
  <c r="M35" i="1"/>
  <c r="N35" i="1"/>
  <c r="O35" i="1"/>
  <c r="P35" i="1"/>
  <c r="Q35" i="1"/>
  <c r="M36" i="1"/>
  <c r="N36" i="1"/>
  <c r="O36" i="1"/>
  <c r="P36" i="1"/>
  <c r="Q36" i="1"/>
  <c r="Q2" i="1"/>
  <c r="P2" i="1"/>
  <c r="O2" i="1"/>
  <c r="N2" i="1"/>
  <c r="M2" i="1"/>
  <c r="D5" i="16"/>
  <c r="D8" i="16"/>
  <c r="D7" i="16"/>
  <c r="D6" i="16"/>
  <c r="B4" i="16"/>
  <c r="D4" i="16"/>
  <c r="B3" i="16"/>
  <c r="D3" i="16"/>
  <c r="B2" i="16"/>
  <c r="D2" i="16"/>
  <c r="J9" i="11"/>
  <c r="O25" i="9"/>
  <c r="N25" i="9"/>
  <c r="M25" i="9"/>
  <c r="L25" i="9"/>
  <c r="K25" i="9"/>
  <c r="J25" i="9"/>
  <c r="I25" i="9"/>
  <c r="H25" i="9"/>
  <c r="G25" i="9"/>
  <c r="E25" i="9"/>
  <c r="D25" i="9"/>
  <c r="A25" i="9"/>
  <c r="J8" i="11"/>
  <c r="O24" i="9"/>
  <c r="N24" i="9"/>
  <c r="M24" i="9"/>
  <c r="L24" i="9"/>
  <c r="K24" i="9"/>
  <c r="J24" i="9"/>
  <c r="I24" i="9"/>
  <c r="H24" i="9"/>
  <c r="G24" i="9"/>
  <c r="E24" i="9"/>
  <c r="D24" i="9"/>
  <c r="A24" i="9"/>
  <c r="J3" i="11"/>
  <c r="O23" i="9"/>
  <c r="N23" i="9"/>
  <c r="M23" i="9"/>
  <c r="L23" i="9"/>
  <c r="K23" i="9"/>
  <c r="J23" i="9"/>
  <c r="I23" i="9"/>
  <c r="H23" i="9"/>
  <c r="G23" i="9"/>
  <c r="E23" i="9"/>
  <c r="D23" i="9"/>
  <c r="A23" i="9"/>
  <c r="J6" i="11"/>
  <c r="O22" i="9"/>
  <c r="N22" i="9"/>
  <c r="M22" i="9"/>
  <c r="L22" i="9"/>
  <c r="K22" i="9"/>
  <c r="J22" i="9"/>
  <c r="I22" i="9"/>
  <c r="H22" i="9"/>
  <c r="G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5" i="11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D14" i="9"/>
  <c r="A14" i="9"/>
  <c r="A13" i="9"/>
  <c r="E13" i="9"/>
  <c r="G13" i="9"/>
  <c r="H13" i="9"/>
  <c r="I13" i="9"/>
  <c r="J13" i="9"/>
  <c r="K13" i="9"/>
  <c r="L13" i="9"/>
  <c r="M13" i="9"/>
  <c r="N13" i="9"/>
  <c r="O13" i="9"/>
  <c r="J7" i="11"/>
  <c r="D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D5" i="9"/>
  <c r="A5" i="9"/>
  <c r="J4" i="11"/>
  <c r="J2" i="11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A2" i="1"/>
  <c r="A3" i="1"/>
  <c r="A4" i="1"/>
  <c r="A5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5" i="1"/>
  <c r="A26" i="1"/>
  <c r="A27" i="1"/>
  <c r="A28" i="1"/>
  <c r="A29" i="1"/>
  <c r="A30" i="1"/>
  <c r="A31" i="1"/>
  <c r="A32" i="1"/>
  <c r="A33" i="1"/>
  <c r="A34" i="1"/>
  <c r="A35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I3" i="7"/>
  <c r="J3" i="7"/>
  <c r="D4" i="1"/>
  <c r="E4" i="1"/>
  <c r="F4" i="1"/>
  <c r="H4" i="1"/>
  <c r="I4" i="1"/>
  <c r="J4" i="1"/>
  <c r="D5" i="1"/>
  <c r="E5" i="1"/>
  <c r="F5" i="1"/>
  <c r="H5" i="1"/>
  <c r="I5" i="1"/>
  <c r="J5" i="1"/>
  <c r="D6" i="1"/>
  <c r="E6" i="1"/>
  <c r="F6" i="1"/>
  <c r="H6" i="1"/>
  <c r="I6" i="1"/>
  <c r="J6" i="1"/>
  <c r="D7" i="1"/>
  <c r="E7" i="1"/>
  <c r="F7" i="1"/>
  <c r="H7" i="1"/>
  <c r="I7" i="1"/>
  <c r="J7" i="1"/>
  <c r="D8" i="1"/>
  <c r="E8" i="1"/>
  <c r="F8" i="1"/>
  <c r="H8" i="1"/>
  <c r="I8" i="1"/>
  <c r="J8" i="1"/>
  <c r="D9" i="1"/>
  <c r="E9" i="1"/>
  <c r="F9" i="1"/>
  <c r="H9" i="1"/>
  <c r="I9" i="1"/>
  <c r="J9" i="1"/>
  <c r="A10" i="1"/>
  <c r="D10" i="1"/>
  <c r="E10" i="1"/>
  <c r="F10" i="1"/>
  <c r="H10" i="1"/>
  <c r="I10" i="1"/>
  <c r="J10" i="1"/>
  <c r="D11" i="1"/>
  <c r="E11" i="1"/>
  <c r="F11" i="1"/>
  <c r="H11" i="1"/>
  <c r="I11" i="1"/>
  <c r="J11" i="1"/>
  <c r="D12" i="1"/>
  <c r="E12" i="1"/>
  <c r="F12" i="1"/>
  <c r="H12" i="1"/>
  <c r="I12" i="1"/>
  <c r="J12" i="1"/>
  <c r="D13" i="1"/>
  <c r="E13" i="1"/>
  <c r="F13" i="1"/>
  <c r="H13" i="1"/>
  <c r="I13" i="1"/>
  <c r="J13" i="1"/>
  <c r="D14" i="1"/>
  <c r="E14" i="1"/>
  <c r="F14" i="1"/>
  <c r="H14" i="1"/>
  <c r="I14" i="1"/>
  <c r="J14" i="1"/>
  <c r="D15" i="1"/>
  <c r="E15" i="1"/>
  <c r="F15" i="1"/>
  <c r="H15" i="1"/>
  <c r="I15" i="1"/>
  <c r="J15" i="1"/>
  <c r="D16" i="1"/>
  <c r="E16" i="1"/>
  <c r="F16" i="1"/>
  <c r="H16" i="1"/>
  <c r="I16" i="1"/>
  <c r="J16" i="1"/>
  <c r="D17" i="1"/>
  <c r="E17" i="1"/>
  <c r="F17" i="1"/>
  <c r="H17" i="1"/>
  <c r="I17" i="1"/>
  <c r="J17" i="1"/>
  <c r="D18" i="1"/>
  <c r="E18" i="1"/>
  <c r="F18" i="1"/>
  <c r="H18" i="1"/>
  <c r="I18" i="1"/>
  <c r="J18" i="1"/>
  <c r="D19" i="1"/>
  <c r="E19" i="1"/>
  <c r="F19" i="1"/>
  <c r="H19" i="1"/>
  <c r="I19" i="1"/>
  <c r="J19" i="1"/>
  <c r="D20" i="1"/>
  <c r="E20" i="1"/>
  <c r="F20" i="1"/>
  <c r="H20" i="1"/>
  <c r="I20" i="1"/>
  <c r="J20" i="1"/>
  <c r="D21" i="1"/>
  <c r="E21" i="1"/>
  <c r="F21" i="1"/>
  <c r="H21" i="1"/>
  <c r="I21" i="1"/>
  <c r="J21" i="1"/>
  <c r="D22" i="1"/>
  <c r="E22" i="1"/>
  <c r="F22" i="1"/>
  <c r="H22" i="1"/>
  <c r="I22" i="1"/>
  <c r="J22" i="1"/>
  <c r="D23" i="1"/>
  <c r="E23" i="1"/>
  <c r="F23" i="1"/>
  <c r="H23" i="1"/>
  <c r="I23" i="1"/>
  <c r="J23" i="1"/>
  <c r="A24" i="1"/>
  <c r="D24" i="1"/>
  <c r="E24" i="1"/>
  <c r="F24" i="1"/>
  <c r="H24" i="1"/>
  <c r="I24" i="1"/>
  <c r="J24" i="1"/>
  <c r="D25" i="1"/>
  <c r="E25" i="1"/>
  <c r="F25" i="1"/>
  <c r="H25" i="1"/>
  <c r="I25" i="1"/>
  <c r="J25" i="1"/>
  <c r="D26" i="1"/>
  <c r="E26" i="1"/>
  <c r="F26" i="1"/>
  <c r="H26" i="1"/>
  <c r="I26" i="1"/>
  <c r="J26" i="1"/>
  <c r="D27" i="1"/>
  <c r="E27" i="1"/>
  <c r="F27" i="1"/>
  <c r="H27" i="1"/>
  <c r="I27" i="1"/>
  <c r="J27" i="1"/>
  <c r="D28" i="1"/>
  <c r="E28" i="1"/>
  <c r="F28" i="1"/>
  <c r="H28" i="1"/>
  <c r="I28" i="1"/>
  <c r="J28" i="1"/>
  <c r="D29" i="1"/>
  <c r="E29" i="1"/>
  <c r="F29" i="1"/>
  <c r="H29" i="1"/>
  <c r="I29" i="1"/>
  <c r="J29" i="1"/>
  <c r="D30" i="1"/>
  <c r="E30" i="1"/>
  <c r="F30" i="1"/>
  <c r="H30" i="1"/>
  <c r="I30" i="1"/>
  <c r="J30" i="1"/>
  <c r="D31" i="1"/>
  <c r="E31" i="1"/>
  <c r="F31" i="1"/>
  <c r="H31" i="1"/>
  <c r="I31" i="1"/>
  <c r="J31" i="1"/>
  <c r="D32" i="1"/>
  <c r="E32" i="1"/>
  <c r="F32" i="1"/>
  <c r="H32" i="1"/>
  <c r="I32" i="1"/>
  <c r="J32" i="1"/>
  <c r="D33" i="1"/>
  <c r="E33" i="1"/>
  <c r="F33" i="1"/>
  <c r="H33" i="1"/>
  <c r="I33" i="1"/>
  <c r="J33" i="1"/>
  <c r="D34" i="1"/>
  <c r="E34" i="1"/>
  <c r="F34" i="1"/>
  <c r="H34" i="1"/>
  <c r="I34" i="1"/>
  <c r="J34" i="1"/>
  <c r="D35" i="1"/>
  <c r="E35" i="1"/>
  <c r="F35" i="1"/>
  <c r="H35" i="1"/>
  <c r="I35" i="1"/>
  <c r="J35" i="1"/>
  <c r="A36" i="1"/>
  <c r="D36" i="1"/>
  <c r="E36" i="1"/>
  <c r="F36" i="1"/>
  <c r="H36" i="1"/>
  <c r="I36" i="1"/>
  <c r="J36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O2" i="9"/>
  <c r="N2" i="9"/>
  <c r="M2" i="9"/>
  <c r="L2" i="9"/>
  <c r="K2" i="9"/>
  <c r="J2" i="9"/>
  <c r="I2" i="9"/>
  <c r="H2" i="9"/>
  <c r="G2" i="9"/>
  <c r="D2" i="9"/>
  <c r="A2" i="9"/>
  <c r="J3" i="1"/>
  <c r="I3" i="1"/>
  <c r="D3" i="1"/>
  <c r="F3" i="1"/>
  <c r="E3" i="1"/>
  <c r="A2" i="7"/>
  <c r="H2" i="7"/>
  <c r="J2" i="7"/>
  <c r="I2" i="7"/>
  <c r="D2" i="7"/>
  <c r="F2" i="7"/>
  <c r="E2" i="7"/>
  <c r="J2" i="1"/>
  <c r="I2" i="1"/>
  <c r="D2" i="2"/>
  <c r="E2" i="2"/>
  <c r="H2" i="2"/>
  <c r="D2" i="1"/>
  <c r="E2" i="1"/>
  <c r="F2" i="1"/>
  <c r="AG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<sst xmlns="http://schemas.openxmlformats.org/spreadsheetml/2006/main" count="387" uniqueCount="181">
  <si>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</si>
  <si>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</si>
  <si>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</si>
  <si>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</si>
  <si>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</si>
  <si>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</si>
  <si>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</si>
  <si>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</si>
  <si>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</si>
  <si>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</si>
  <si>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</si>
  <si>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</si>
  <si>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</si>
  <si>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</si>
  <si>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</si>
  <si>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</si>
  <si>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</si>
  <si>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</si>
  <si>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</si>
  <si>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</si>
  <si>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</si>
  <si>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</si>
  <si>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</si>
  <si>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</si>
  <si>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</si>
  <si>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</si>
  <si>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</si>
  <si>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</si>
  <si>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</si>
  <si>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</si>
  <si>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</si>
  <si>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</si>
  <si>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</si>
  <si>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</si>
  <si>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</si>
  <si>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</si>
  <si>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</si>
  <si>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</si>
  <si>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</si>
  <si>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</si>
  <si>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</si>
  <si>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</si>
  <si>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</si>
  <si>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</si>
  <si>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</si>
  <si>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</si>
  <si>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</si>
  <si>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</si>
  <si>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</si>
  <si>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</si>
  <si>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</si>
  <si>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</si>
  <si>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</si>
  <si>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</si>
  <si>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</si>
  <si>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</si>
  <si>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</si>
  <si>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</si>
  <si>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</si>
  <si>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</si>
  <si>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</si>
  <si>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</si>
  <si>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</si>
  <si>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</si>
  <si>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</si>
  <si>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</si>
  <si>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</si>
  <si>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</si>
  <si>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</si>
  <si>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</si>
  <si>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</si>
  <si>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</si>
  <si>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</si>
  <si>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</si>
  <si>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</si>
  <si>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</si>
  <si>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</si>
  <si>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</si>
  <si>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LB藤井</t>
    <rPh sb="2" eb="4">
      <t>フジイ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</si>
  <si>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</si>
  <si>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</si>
  <si>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</si>
  <si>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</si>
  <si>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</si>
  <si>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</si>
  <si>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</si>
  <si>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</si>
  <si>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</si>
  <si>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</si>
  <si>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</si>
  <si>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</si>
  <si>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</si>
  <si>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</si>
  <si>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</si>
  <si>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</si>
  <si>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</si>
  <si>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</si>
  <si>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</si>
  <si>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</si>
  <si>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null</t>
    <phoneticPr fontId="3"/>
  </si>
  <si>
    <t>閃光空撃</t>
    <phoneticPr fontId="3"/>
  </si>
  <si>
    <t>攻撃力×1.5倍の攻撃</t>
    <phoneticPr fontId="3"/>
  </si>
  <si>
    <t>[effect:critical, val:1.5.0, animation:enemy_critical]</t>
    <phoneticPr fontId="3"/>
  </si>
  <si>
    <t>ドロップ3-4_上級_ホルス</t>
    <rPh sb="8" eb="10">
      <t>ジョウキュウ</t>
    </rPh>
    <phoneticPr fontId="3"/>
  </si>
  <si>
    <t>縦横無尽</t>
    <rPh sb="0" eb="4">
      <t>ジュウオウムジン</t>
    </rPh>
    <phoneticPr fontId="3"/>
  </si>
  <si>
    <t>落陽天身</t>
    <phoneticPr fontId="3"/>
  </si>
  <si>
    <t>次のターン強力な攻撃</t>
    <rPh sb="0" eb="1">
      <t>ツギ</t>
    </rPh>
    <rPh sb="5" eb="7">
      <t>キョウリョク</t>
    </rPh>
    <rPh sb="8" eb="10">
      <t>コウゲキ</t>
    </rPh>
    <phoneticPr fontId="3"/>
  </si>
  <si>
    <t>全体攻撃＋1度だけ攻撃頻度が3ターンに変化</t>
    <rPh sb="0" eb="4">
      <t>ゼンタイコウゲキ</t>
    </rPh>
    <rPh sb="6" eb="7">
      <t>ド</t>
    </rPh>
    <rPh sb="9" eb="13">
      <t>コウゲキヒンド</t>
    </rPh>
    <rPh sb="19" eb="21">
      <t>ヘンカ</t>
    </rPh>
    <phoneticPr fontId="3"/>
  </si>
  <si>
    <t>ドロップ3-4_上級_チカ</t>
  </si>
  <si>
    <t>ドロップ3-4_上級_チカ</t>
    <rPh sb="8" eb="10">
      <t>ジョウキュウ</t>
    </rPh>
    <phoneticPr fontId="3"/>
  </si>
  <si>
    <t>ドロップ3-4_上級_チカ1ゲージ目</t>
    <rPh sb="8" eb="10">
      <t>ジョウキュウ</t>
    </rPh>
    <rPh sb="17" eb="18">
      <t>メ</t>
    </rPh>
    <phoneticPr fontId="3"/>
  </si>
  <si>
    <t>ドロップ3-4_上級_チカ2ゲージ目</t>
  </si>
  <si>
    <t>ドロップ3-4_上級_チカ2ゲージ目</t>
    <rPh sb="8" eb="10">
      <t>ジョウキュウ</t>
    </rPh>
    <rPh sb="17" eb="18">
      <t>メ</t>
    </rPh>
    <phoneticPr fontId="3"/>
  </si>
  <si>
    <t>ドロップ3-4_上級_ホルス</t>
  </si>
  <si>
    <t>実験への協力、感謝する</t>
    <rPh sb="0" eb="2">
      <t>ジッケン</t>
    </rPh>
    <rPh sb="4" eb="6">
      <t>キョウリョク</t>
    </rPh>
    <rPh sb="7" eb="9">
      <t>カンシャ</t>
    </rPh>
    <phoneticPr fontId="3"/>
  </si>
  <si>
    <t>スキャターポイズン</t>
  </si>
  <si>
    <t>ネクロポイズン</t>
    <phoneticPr fontId="3"/>
  </si>
  <si>
    <t>少々刺激を強めるか…</t>
    <rPh sb="0" eb="2">
      <t>ショウショウ</t>
    </rPh>
    <rPh sb="2" eb="4">
      <t>シゲキ</t>
    </rPh>
    <rPh sb="5" eb="6">
      <t>ツヨ</t>
    </rPh>
    <phoneticPr fontId="3"/>
  </si>
  <si>
    <t>次の段階に移行しよう</t>
    <phoneticPr fontId="3"/>
  </si>
  <si>
    <t>デッドリーポイズン</t>
    <phoneticPr fontId="3"/>
  </si>
  <si>
    <t>暴れるな…データが狂う</t>
    <rPh sb="0" eb="1">
      <t>アバ</t>
    </rPh>
    <rPh sb="9" eb="10">
      <t>クル</t>
    </rPh>
    <phoneticPr fontId="3"/>
  </si>
  <si>
    <t>[effect:virus, turn:1, rate:1.0, val:0.99, animation:enemy_virus]</t>
    <phoneticPr fontId="3"/>
  </si>
  <si>
    <t>5ターン攻撃力が50%DOWN＋全体攻撃</t>
    <rPh sb="4" eb="7">
      <t>コウゲキリョク</t>
    </rPh>
    <rPh sb="16" eb="20">
      <t>ゼンタイコウゲキ</t>
    </rPh>
    <phoneticPr fontId="3"/>
  </si>
  <si>
    <t>ハート4個をお邪魔パネルに変換＋3回連続攻撃</t>
    <rPh sb="4" eb="5">
      <t>コ</t>
    </rPh>
    <rPh sb="7" eb="9">
      <t>ジャマ</t>
    </rPh>
    <rPh sb="13" eb="15">
      <t>ヘンカン</t>
    </rPh>
    <rPh sb="17" eb="18">
      <t>カイ</t>
    </rPh>
    <rPh sb="18" eb="20">
      <t>レンゾク</t>
    </rPh>
    <rPh sb="20" eb="22">
      <t>コウゲキ</t>
    </rPh>
    <phoneticPr fontId="3"/>
  </si>
  <si>
    <t>5ターン回復力が50%DOWN</t>
    <rPh sb="4" eb="7">
      <t>カイフクリョク</t>
    </rPh>
    <phoneticPr fontId="3"/>
  </si>
  <si>
    <t>LB藤井</t>
  </si>
  <si>
    <t>null</t>
    <phoneticPr fontId="3"/>
  </si>
  <si>
    <t>null</t>
    <phoneticPr fontId="3"/>
  </si>
  <si>
    <t>[effect:nothing]</t>
    <phoneticPr fontId="3"/>
  </si>
  <si>
    <t>怪しげな薬品を調合している！</t>
    <rPh sb="0" eb="1">
      <t>アヤ</t>
    </rPh>
    <rPh sb="4" eb="6">
      <t>ヤクヒン</t>
    </rPh>
    <rPh sb="7" eb="9">
      <t>チョウゴウ</t>
    </rPh>
    <phoneticPr fontId="3"/>
  </si>
  <si>
    <t>[effect:change_block, new_block:jammer, target:block_heart, count:4, val:0.1, animation:change_block],[effect:rush, count:3, val:0.4]</t>
    <phoneticPr fontId="3"/>
  </si>
  <si>
    <t>[effect:degrade_unit, target:unit_all, turn:5, status:attack, val:0.5, calc:mul],[effect:spread, val:0.4, animation:enemy_spread]</t>
    <phoneticPr fontId="3"/>
  </si>
  <si>
    <t>[effect:charge, status:attack, val:1.5, animation:enemy_charge]</t>
    <phoneticPr fontId="3"/>
  </si>
  <si>
    <t>[effect:spread, val:0.6, animation:enemy_spread],[effect:freq_turn, target:myself, turn:1, val:3, animation:enemy_freq_turn]</t>
    <phoneticPr fontId="3"/>
  </si>
  <si>
    <t>3ターンの間強力なダメージを受ける</t>
    <rPh sb="5" eb="6">
      <t>アイダ</t>
    </rPh>
    <rPh sb="6" eb="8">
      <t>キョウリョク</t>
    </rPh>
    <rPh sb="14" eb="15">
      <t>ウ</t>
    </rPh>
    <phoneticPr fontId="3"/>
  </si>
  <si>
    <t>5ターンの間ダメージを受ける</t>
    <rPh sb="5" eb="6">
      <t>アイダ</t>
    </rPh>
    <rPh sb="11" eb="12">
      <t>ウ</t>
    </rPh>
    <phoneticPr fontId="3"/>
  </si>
  <si>
    <t>[effect:virus, turn:5, rate:1.0, val:0.14, animation:enemy_virus]</t>
    <phoneticPr fontId="3"/>
  </si>
  <si>
    <t>[effect:virus, turn:3, rate:1.0, val:0.21, animation:enemy_virus]</t>
    <phoneticPr fontId="3"/>
  </si>
  <si>
    <t>1ターン後に致命的なダメージを受ける</t>
    <rPh sb="4" eb="5">
      <t>ゴ</t>
    </rPh>
    <rPh sb="6" eb="9">
      <t>チメイテキ</t>
    </rPh>
    <rPh sb="15" eb="16">
      <t>ウ</t>
    </rPh>
    <phoneticPr fontId="3"/>
  </si>
  <si>
    <t>ドロップ3-4_中級_チカ1ゲージ目</t>
    <rPh sb="8" eb="9">
      <t>ナカ</t>
    </rPh>
    <rPh sb="9" eb="10">
      <t>ジョウキュウ</t>
    </rPh>
    <rPh sb="17" eb="18">
      <t>メ</t>
    </rPh>
    <phoneticPr fontId="3"/>
  </si>
  <si>
    <t>3ターン回復力が50%DOWN</t>
    <rPh sb="4" eb="7">
      <t>カイフクリョク</t>
    </rPh>
    <phoneticPr fontId="3"/>
  </si>
  <si>
    <t>ドロップ3-4_中級_チカ</t>
    <rPh sb="8" eb="9">
      <t>ナカ</t>
    </rPh>
    <rPh sb="9" eb="10">
      <t>ジョウキュウ</t>
    </rPh>
    <phoneticPr fontId="3"/>
  </si>
  <si>
    <t>ドロップ3-4_中級_チカ2ゲージ目</t>
    <rPh sb="8" eb="9">
      <t>ナカ</t>
    </rPh>
    <rPh sb="9" eb="10">
      <t>ジョウキュウ</t>
    </rPh>
    <rPh sb="17" eb="18">
      <t>メ</t>
    </rPh>
    <phoneticPr fontId="3"/>
  </si>
  <si>
    <t>ドロップ3-4_中級_チカ2ゲージ目</t>
    <rPh sb="8" eb="9">
      <t>ナカ</t>
    </rPh>
    <phoneticPr fontId="3"/>
  </si>
  <si>
    <t>ドロップ3-4_初級_チカ1ゲージ目</t>
    <rPh sb="8" eb="9">
      <t>ハツ</t>
    </rPh>
    <rPh sb="9" eb="10">
      <t>ジョウキュウ</t>
    </rPh>
    <rPh sb="17" eb="18">
      <t>メ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</si>
  <si>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</si>
  <si>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</si>
  <si>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</si>
  <si>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</si>
  <si>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</si>
  <si>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</si>
  <si>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</si>
  <si>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</si>
  <si>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</si>
  <si>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</si>
  <si>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</si>
  <si>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</si>
  <si>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</si>
  <si>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</si>
  <si>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</si>
  <si>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</si>
  <si>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</si>
  <si>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</t>
    <phoneticPr fontId="3"/>
  </si>
  <si>
    <t>effect_param</t>
    <phoneticPr fontId="3"/>
  </si>
  <si>
    <t>enemy_skills_i18n_</t>
    <phoneticPr fontId="3"/>
  </si>
  <si>
    <t>.tmp</t>
    <phoneticPr fontId="3"/>
  </si>
  <si>
    <t>enemy_skills</t>
    <phoneticPr fontId="3"/>
  </si>
  <si>
    <t>language</t>
    <phoneticPr fontId="3"/>
  </si>
  <si>
    <t>enemy_skill_triggers_</t>
    <phoneticPr fontId="3"/>
  </si>
  <si>
    <t>.tmp</t>
    <phoneticPr fontId="3"/>
  </si>
  <si>
    <t>enemy_skill_triggers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</si>
  <si>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</si>
  <si>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</si>
  <si>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</si>
  <si>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</si>
  <si>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</si>
  <si>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ja</t>
    <phoneticPr fontId="3"/>
  </si>
  <si>
    <t>ja</t>
    <phoneticPr fontId="3"/>
  </si>
  <si>
    <t>ja</t>
    <phoneticPr fontId="3"/>
  </si>
  <si>
    <t>[effect:degrade_unit, target:unit_all, turn:5, status:heal, val:0.5, calc:mul, animation:degrade_unit_all_heal]</t>
    <phoneticPr fontId="3"/>
  </si>
  <si>
    <t>[effect:degrade_unit, target:unit_all, turn:3, status:heal, val:0.5, calc:mul, animation:degrade_unit_all_heal]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</si>
</sst>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</borders>
  <cellStyleXfs count="57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11" borderId="7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7" borderId="12" xfId="0" applyFont="1" applyFill="1" applyBorder="1" applyAlignment="1">
      <alignment vertical="center"/>
    </xf>
    <xf numFmtId="176" fontId="2" fillId="0" borderId="13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177" fontId="6" fillId="0" borderId="15" xfId="0" applyNumberFormat="1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10" fillId="7" borderId="18" xfId="0" applyFont="1" applyFill="1" applyBorder="1" applyAlignment="1">
      <alignment vertical="center"/>
    </xf>
    <xf numFmtId="176" fontId="2" fillId="0" borderId="19" xfId="0" applyNumberFormat="1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2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vertical="center"/>
    </xf>
    <xf numFmtId="177" fontId="6" fillId="0" borderId="21" xfId="0" applyNumberFormat="1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0" borderId="20" xfId="0" applyFont="1" applyFill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12" borderId="1" xfId="0" applyFont="1" applyFill="1" applyBorder="1" applyAlignment="1">
      <alignment horizontal="center" vertical="center"/>
    </xf>
    <xf numFmtId="0" fontId="4" fillId="13" borderId="13" xfId="0" applyFont="1" applyFill="1" applyBorder="1" applyAlignment="1">
      <alignment vertical="center"/>
    </xf>
    <xf numFmtId="0" fontId="4" fillId="13" borderId="3" xfId="0" applyFont="1" applyFill="1" applyBorder="1" applyAlignment="1">
      <alignment vertical="center"/>
    </xf>
    <xf numFmtId="0" fontId="14" fillId="14" borderId="7" xfId="0" applyFont="1" applyFill="1" applyBorder="1" applyAlignment="1">
      <alignment vertical="center"/>
    </xf>
    <xf numFmtId="14" fontId="14" fillId="0" borderId="7" xfId="0" applyNumberFormat="1" applyFont="1" applyFill="1" applyBorder="1" applyAlignment="1">
      <alignment vertical="center"/>
    </xf>
    <xf numFmtId="0" fontId="14" fillId="15" borderId="7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14" fontId="9" fillId="0" borderId="7" xfId="0" applyNumberFormat="1" applyFont="1" applyBorder="1" applyAlignment="1">
      <alignment vertical="center"/>
    </xf>
    <xf numFmtId="0" fontId="14" fillId="16" borderId="7" xfId="0" applyFont="1" applyFill="1" applyBorder="1" applyAlignment="1">
      <alignment vertical="center"/>
    </xf>
    <xf numFmtId="0" fontId="14" fillId="15" borderId="7" xfId="0" applyFont="1" applyFill="1" applyBorder="1" applyAlignment="1">
      <alignment horizontal="left" vertical="center"/>
    </xf>
    <xf numFmtId="0" fontId="14" fillId="15" borderId="7" xfId="0" applyFont="1" applyFill="1" applyBorder="1" applyAlignment="1">
      <alignment horizontal="left" vertical="center" wrapText="1"/>
    </xf>
    <xf numFmtId="14" fontId="14" fillId="15" borderId="7" xfId="0" applyNumberFormat="1" applyFont="1" applyFill="1" applyBorder="1" applyAlignment="1">
      <alignment horizontal="left" vertical="center"/>
    </xf>
    <xf numFmtId="0" fontId="9" fillId="15" borderId="7" xfId="0" applyFont="1" applyFill="1" applyBorder="1" applyAlignment="1">
      <alignment horizontal="left" vertical="center"/>
    </xf>
    <xf numFmtId="0" fontId="14" fillId="16" borderId="7" xfId="0" applyFont="1" applyFill="1" applyBorder="1" applyAlignment="1">
      <alignment horizontal="left" vertical="center"/>
    </xf>
    <xf numFmtId="0" fontId="14" fillId="16" borderId="7" xfId="0" applyFont="1" applyFill="1" applyBorder="1" applyAlignment="1">
      <alignment horizontal="left" vertical="center" wrapText="1"/>
    </xf>
    <xf numFmtId="14" fontId="14" fillId="16" borderId="7" xfId="0" applyNumberFormat="1" applyFont="1" applyFill="1" applyBorder="1" applyAlignment="1">
      <alignment horizontal="left" vertical="center"/>
    </xf>
    <xf numFmtId="0" fontId="9" fillId="17" borderId="10" xfId="0" applyFont="1" applyFill="1" applyBorder="1" applyAlignment="1">
      <alignment vertical="center"/>
    </xf>
    <xf numFmtId="0" fontId="9" fillId="17" borderId="10" xfId="0" applyFont="1" applyFill="1" applyBorder="1" applyAlignment="1">
      <alignment horizontal="left" vertical="center"/>
    </xf>
    <xf numFmtId="0" fontId="9" fillId="17" borderId="10" xfId="0" applyFont="1" applyFill="1" applyBorder="1" applyAlignment="1">
      <alignment horizontal="left" vertical="center" wrapText="1"/>
    </xf>
    <xf numFmtId="14" fontId="9" fillId="17" borderId="10" xfId="0" applyNumberFormat="1" applyFont="1" applyFill="1" applyBorder="1" applyAlignment="1">
      <alignment horizontal="left" vertical="center"/>
    </xf>
    <xf numFmtId="0" fontId="9" fillId="18" borderId="7" xfId="0" applyFont="1" applyFill="1" applyBorder="1" applyAlignment="1">
      <alignment vertical="center"/>
    </xf>
    <xf numFmtId="0" fontId="9" fillId="19" borderId="10" xfId="0" applyFont="1" applyFill="1" applyBorder="1" applyAlignment="1">
      <alignment vertical="center"/>
    </xf>
    <xf numFmtId="0" fontId="9" fillId="0" borderId="10" xfId="0" applyFont="1" applyBorder="1" applyAlignment="1">
      <alignment vertical="center"/>
    </xf>
    <xf numFmtId="14" fontId="9" fillId="0" borderId="10" xfId="0" applyNumberFormat="1" applyFont="1" applyBorder="1" applyAlignment="1">
      <alignment vertical="center"/>
    </xf>
    <xf numFmtId="0" fontId="9" fillId="18" borderId="10" xfId="0" applyFont="1" applyFill="1" applyBorder="1" applyAlignment="1">
      <alignment vertical="center"/>
    </xf>
    <xf numFmtId="0" fontId="11" fillId="20" borderId="7" xfId="0" applyFont="1" applyFill="1" applyBorder="1"/>
    <xf numFmtId="0" fontId="0" fillId="20" borderId="7" xfId="0" applyFill="1" applyBorder="1"/>
    <xf numFmtId="0" fontId="0" fillId="0" borderId="7" xfId="0" applyBorder="1"/>
    <xf numFmtId="0" fontId="0" fillId="6" borderId="7" xfId="0" applyFill="1" applyBorder="1"/>
    <xf numFmtId="0" fontId="24" fillId="21" borderId="7" xfId="0" applyFont="1" applyFill="1" applyBorder="1"/>
  </cellXfs>
  <cellStyles count="570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8"/>
  <sheetViews>
    <sheetView workbookViewId="0">
      <selection activeCell="G22" sqref="G22"/>
    </sheetView>
  </sheetViews>
  <sheetFormatPr baseColWidth="12" defaultRowHeight="15" x14ac:dyDescent="0.15"/>
  <cols>
    <col min="1" max="1" width="14.83203125" bestFit="1" customWidth="1"/>
    <col min="4" max="4" width="17.6640625" bestFit="1" customWidth="1"/>
    <col min="5" max="5" width="22.1640625" bestFit="1" customWidth="1"/>
  </cols>
  <sheetData>
    <row r="1" spans="1:28" x14ac:dyDescent="0.15">
      <c r="A1" s="107" t="s">
        <v>145</v>
      </c>
      <c r="B1" s="107" t="s">
        <v>146</v>
      </c>
      <c r="C1" s="107" t="s">
        <v>147</v>
      </c>
      <c r="D1" s="107" t="s">
        <v>148</v>
      </c>
      <c r="E1" s="107" t="s">
        <v>149</v>
      </c>
      <c r="F1" s="107" t="s">
        <v>150</v>
      </c>
      <c r="G1" s="107"/>
      <c r="H1" s="107"/>
      <c r="I1" s="107"/>
      <c r="J1" s="107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</row>
    <row r="2" spans="1:28" x14ac:dyDescent="0.15">
      <c r="A2" s="109" t="s">
        <v>151</v>
      </c>
      <c r="B2" s="109" t="str">
        <f ca="1">MID(
  CELL("filename",A1),
  FIND("event_",CELL("filename",A1))+6,
  FIND(".xlsm",CELL("filename",A1))-FIND("event_",CELL("filename",A1))-6
)</f>
        <v>drop_3_4</v>
      </c>
      <c r="C2" s="109" t="s">
        <v>152</v>
      </c>
      <c r="D2" s="108" t="str">
        <f ca="1">A2&amp;B2&amp;C2</f>
        <v>floors_drop_3_4.tmp</v>
      </c>
      <c r="E2" s="109" t="s">
        <v>153</v>
      </c>
      <c r="F2" s="110" t="s">
        <v>0</v>
      </c>
      <c r="G2" s="110" t="s">
        <v>1</v>
      </c>
      <c r="H2" s="110" t="s">
        <v>13</v>
      </c>
      <c r="I2" s="110" t="s">
        <v>14</v>
      </c>
      <c r="J2" s="110" t="s">
        <v>15</v>
      </c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</row>
    <row r="3" spans="1:28" x14ac:dyDescent="0.15">
      <c r="A3" s="109" t="s">
        <v>154</v>
      </c>
      <c r="B3" s="109" t="str">
        <f ca="1">MID(
  CELL("filename",A2),
  FIND("event_",CELL("filename",A2))+6,
  FIND(".xlsm",CELL("filename",A2))-FIND("event_",CELL("filename",A2))-6
)</f>
        <v>drop_3_4</v>
      </c>
      <c r="C3" s="109" t="s">
        <v>152</v>
      </c>
      <c r="D3" s="108" t="str">
        <f ca="1">A3&amp;B3&amp;C3</f>
        <v>enemy_habitats_drop_3_4.tmp</v>
      </c>
      <c r="E3" s="109" t="s">
        <v>155</v>
      </c>
      <c r="F3" s="110" t="s">
        <v>0</v>
      </c>
      <c r="G3" s="110" t="s">
        <v>1</v>
      </c>
      <c r="H3" s="110" t="s">
        <v>13</v>
      </c>
      <c r="I3" s="110" t="s">
        <v>2</v>
      </c>
      <c r="J3" s="110" t="s">
        <v>3</v>
      </c>
      <c r="K3" s="110" t="s">
        <v>47</v>
      </c>
      <c r="L3" s="110" t="s">
        <v>49</v>
      </c>
      <c r="M3" s="110" t="s">
        <v>51</v>
      </c>
      <c r="N3" s="110" t="s">
        <v>22</v>
      </c>
      <c r="O3" s="110" t="s">
        <v>5</v>
      </c>
      <c r="P3" s="110" t="s">
        <v>6</v>
      </c>
      <c r="Q3" s="110" t="s">
        <v>7</v>
      </c>
      <c r="R3" s="110" t="s">
        <v>8</v>
      </c>
      <c r="S3" s="110" t="s">
        <v>9</v>
      </c>
      <c r="T3" s="110" t="s">
        <v>10</v>
      </c>
      <c r="U3" s="110" t="s">
        <v>11</v>
      </c>
      <c r="V3" s="110" t="s">
        <v>12</v>
      </c>
      <c r="W3" s="110" t="s">
        <v>37</v>
      </c>
      <c r="X3" s="110" t="s">
        <v>39</v>
      </c>
      <c r="Y3" s="110" t="s">
        <v>41</v>
      </c>
      <c r="Z3" s="110" t="s">
        <v>43</v>
      </c>
      <c r="AA3" s="110" t="s">
        <v>45</v>
      </c>
      <c r="AB3" s="110" t="s">
        <v>54</v>
      </c>
    </row>
    <row r="4" spans="1:28" x14ac:dyDescent="0.15">
      <c r="A4" s="109" t="s">
        <v>156</v>
      </c>
      <c r="B4" s="109" t="str">
        <f ca="1">MID(
  CELL("filename",A3),
  FIND("event_",CELL("filename",A3))+6,
  FIND(".xlsm",CELL("filename",A3))-FIND("event_",CELL("filename",A3))-6
)</f>
        <v>drop_3_4</v>
      </c>
      <c r="C4" s="109" t="s">
        <v>152</v>
      </c>
      <c r="D4" s="108" t="str">
        <f ca="1">A4&amp;B4&amp;C4</f>
        <v>enemy_habitat_S_drop_3_4.tmp</v>
      </c>
      <c r="E4" s="109" t="s">
        <v>157</v>
      </c>
      <c r="F4" s="110" t="s">
        <v>0</v>
      </c>
      <c r="G4" s="110" t="s">
        <v>1</v>
      </c>
      <c r="H4" s="110" t="s">
        <v>13</v>
      </c>
      <c r="I4" s="110" t="s">
        <v>54</v>
      </c>
      <c r="J4" s="110" t="s">
        <v>55</v>
      </c>
      <c r="K4" s="110" t="s">
        <v>56</v>
      </c>
      <c r="L4" s="110" t="s">
        <v>57</v>
      </c>
      <c r="M4" s="110" t="s">
        <v>58</v>
      </c>
      <c r="N4" s="110" t="s">
        <v>4</v>
      </c>
      <c r="O4" s="110" t="s">
        <v>48</v>
      </c>
      <c r="P4" s="110" t="s">
        <v>50</v>
      </c>
      <c r="Q4" s="110" t="s">
        <v>52</v>
      </c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x14ac:dyDescent="0.15">
      <c r="A5" s="109" t="s">
        <v>158</v>
      </c>
      <c r="B5" s="109">
        <v>20012</v>
      </c>
      <c r="C5" s="109" t="s">
        <v>152</v>
      </c>
      <c r="D5" s="108" t="str">
        <f>A5&amp;B5&amp;C5</f>
        <v>enemy_skill_sets_20012.tmp</v>
      </c>
      <c r="E5" s="109" t="s">
        <v>159</v>
      </c>
      <c r="F5" s="111" t="s">
        <v>22</v>
      </c>
      <c r="G5" s="111" t="s">
        <v>98</v>
      </c>
      <c r="H5" s="111" t="s">
        <v>93</v>
      </c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</row>
    <row r="6" spans="1:28" x14ac:dyDescent="0.15">
      <c r="A6" s="109" t="s">
        <v>160</v>
      </c>
      <c r="B6" s="109">
        <v>20012</v>
      </c>
      <c r="C6" s="109" t="s">
        <v>161</v>
      </c>
      <c r="D6" s="108" t="str">
        <f t="shared" ref="D6:D8" si="0">A6&amp;B6&amp;C6</f>
        <v>enemy_skills_tmp_20012.tmp</v>
      </c>
      <c r="E6" s="109" t="s">
        <v>162</v>
      </c>
      <c r="F6" s="110" t="s">
        <v>79</v>
      </c>
      <c r="G6" s="110" t="s">
        <v>163</v>
      </c>
      <c r="H6" s="110" t="s">
        <v>81</v>
      </c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</row>
    <row r="7" spans="1:28" x14ac:dyDescent="0.15">
      <c r="A7" s="109" t="s">
        <v>164</v>
      </c>
      <c r="B7" s="109">
        <v>20012</v>
      </c>
      <c r="C7" s="109" t="s">
        <v>165</v>
      </c>
      <c r="D7" s="108" t="str">
        <f>A7&amp;B7&amp;C7</f>
        <v>enemy_skills_i18n_20012.tmp</v>
      </c>
      <c r="E7" s="109" t="s">
        <v>166</v>
      </c>
      <c r="F7" s="110" t="s">
        <v>79</v>
      </c>
      <c r="G7" s="110" t="s">
        <v>167</v>
      </c>
      <c r="H7" s="110" t="s">
        <v>91</v>
      </c>
      <c r="I7" s="110" t="s">
        <v>92</v>
      </c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</row>
    <row r="8" spans="1:28" x14ac:dyDescent="0.15">
      <c r="A8" s="109" t="s">
        <v>168</v>
      </c>
      <c r="B8" s="109">
        <v>20012</v>
      </c>
      <c r="C8" s="109" t="s">
        <v>169</v>
      </c>
      <c r="D8" s="108" t="str">
        <f t="shared" si="0"/>
        <v>enemy_skill_triggers_20012.tmp</v>
      </c>
      <c r="E8" s="109" t="s">
        <v>170</v>
      </c>
      <c r="F8" s="110" t="s">
        <v>93</v>
      </c>
      <c r="G8" s="110" t="s">
        <v>94</v>
      </c>
      <c r="H8" s="110" t="s">
        <v>95</v>
      </c>
      <c r="I8" s="110" t="s">
        <v>96</v>
      </c>
      <c r="J8" s="110" t="s">
        <v>70</v>
      </c>
      <c r="K8" s="110" t="s">
        <v>97</v>
      </c>
      <c r="L8" s="110" t="s">
        <v>171</v>
      </c>
      <c r="M8" s="110" t="s">
        <v>172</v>
      </c>
      <c r="N8" s="110" t="s">
        <v>173</v>
      </c>
      <c r="O8" s="110" t="s">
        <v>66</v>
      </c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L18" sqref="L18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20012_1-1</v>
      </c>
      <c r="B2" s="16" t="str">
        <f>IF(COUNTIF(enemy_habitats!$H:$H,A2),"OK","NG")</f>
        <v>OK</v>
      </c>
      <c r="C2" s="7">
        <v>20012</v>
      </c>
      <c r="D2" s="11" t="str">
        <f ca="1">VLOOKUP($C2,OFFSET([2]quests!$A$1,0,0,COUNTA([2]quests!$A:$A),MATCH(D$1,[2]quests!$1:$1,0)-MATCH($C$1,[2]quests!$1:$1,0)+1),MATCH(D$1,[2]quests!$1:$1,0)-MATCH($C$1,[2]quests!$1:$1,0)+1,FALSE)</f>
        <v>罪と劇薬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ドロップイベント3</v>
      </c>
      <c r="F2" s="22">
        <v>1</v>
      </c>
      <c r="G2" s="24" t="str">
        <f>C2&amp;"_"&amp;F2</f>
        <v>20012_1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【初級】罪と劇薬</v>
      </c>
      <c r="I2" s="22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10" si="0">G3&amp;"-"&amp;I3</f>
        <v>20012_1-2</v>
      </c>
      <c r="B3" s="16" t="str">
        <f>IF(COUNTIF(enemy_habitats!$H:$H,A3),"OK","NG")</f>
        <v>OK</v>
      </c>
      <c r="C3" s="7">
        <v>20012</v>
      </c>
      <c r="D3" s="11" t="str">
        <f ca="1">VLOOKUP($C3,OFFSET([2]quests!$A$1,0,0,COUNTA([2]quests!$A:$A),MATCH(D$1,[2]quests!$1:$1,0)-MATCH($C$1,[2]quests!$1:$1,0)+1),MATCH(D$1,[2]quests!$1:$1,0)-MATCH($C$1,[2]quests!$1:$1,0)+1,FALSE)</f>
        <v>罪と劇薬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ドロップイベント3</v>
      </c>
      <c r="F3" s="22">
        <v>1</v>
      </c>
      <c r="G3" s="24" t="str">
        <f t="shared" ref="G3:G10" si="1">C3&amp;"_"&amp;F3</f>
        <v>20012_1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【初級】罪と劇薬</v>
      </c>
      <c r="I3" s="22">
        <v>2</v>
      </c>
      <c r="J3" s="12">
        <v>50</v>
      </c>
      <c r="K3" s="12">
        <v>50</v>
      </c>
    </row>
    <row r="4" spans="1:11" ht="21" customHeight="1" x14ac:dyDescent="0.15">
      <c r="A4" s="16" t="str">
        <f t="shared" si="0"/>
        <v>20012_1-3</v>
      </c>
      <c r="B4" s="16" t="str">
        <f>IF(COUNTIF(enemy_habitats!$H:$H,A4),"OK","NG")</f>
        <v>OK</v>
      </c>
      <c r="C4" s="7">
        <v>20012</v>
      </c>
      <c r="D4" s="11" t="str">
        <f ca="1">VLOOKUP($C4,OFFSET([2]quests!$A$1,0,0,COUNTA([2]quests!$A:$A),MATCH(D$1,[2]quests!$1:$1,0)-MATCH($C$1,[2]quests!$1:$1,0)+1),MATCH(D$1,[2]quests!$1:$1,0)-MATCH($C$1,[2]quests!$1:$1,0)+1,FALSE)</f>
        <v>罪と劇薬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ドロップイベント3</v>
      </c>
      <c r="F4" s="22">
        <v>1</v>
      </c>
      <c r="G4" s="24" t="str">
        <f t="shared" si="1"/>
        <v>20012_1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【初級】罪と劇薬</v>
      </c>
      <c r="I4" s="22">
        <v>3</v>
      </c>
      <c r="J4" s="12">
        <v>20</v>
      </c>
      <c r="K4" s="12">
        <v>20</v>
      </c>
    </row>
    <row r="5" spans="1:11" ht="21" customHeight="1" x14ac:dyDescent="0.15">
      <c r="A5" s="16" t="str">
        <f t="shared" si="0"/>
        <v>20012_2-1</v>
      </c>
      <c r="B5" s="16" t="str">
        <f>IF(COUNTIF(enemy_habitats!$H:$H,A5),"OK","NG")</f>
        <v>OK</v>
      </c>
      <c r="C5" s="7">
        <v>20012</v>
      </c>
      <c r="D5" s="11" t="str">
        <f ca="1">VLOOKUP($C5,OFFSET([2]quests!$A$1,0,0,COUNTA([2]quests!$A:$A),MATCH(D$1,[2]quests!$1:$1,0)-MATCH($C$1,[2]quests!$1:$1,0)+1),MATCH(D$1,[2]quests!$1:$1,0)-MATCH($C$1,[2]quests!$1:$1,0)+1,FALSE)</f>
        <v>罪と劇薬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ドロップイベント3</v>
      </c>
      <c r="F5" s="22">
        <v>2</v>
      </c>
      <c r="G5" s="24" t="str">
        <f t="shared" si="1"/>
        <v>20012_2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【中級】罪と劇薬</v>
      </c>
      <c r="I5" s="22">
        <v>1</v>
      </c>
      <c r="J5" s="12">
        <v>35</v>
      </c>
      <c r="K5" s="12">
        <v>35</v>
      </c>
    </row>
    <row r="6" spans="1:11" ht="21" customHeight="1" x14ac:dyDescent="0.15">
      <c r="A6" s="16" t="str">
        <f t="shared" si="0"/>
        <v>20012_2-2</v>
      </c>
      <c r="B6" s="16" t="str">
        <f>IF(COUNTIF(enemy_habitats!$H:$H,A6),"OK","NG")</f>
        <v>OK</v>
      </c>
      <c r="C6" s="7">
        <v>20012</v>
      </c>
      <c r="D6" s="11" t="str">
        <f ca="1">VLOOKUP($C6,OFFSET([2]quests!$A$1,0,0,COUNTA([2]quests!$A:$A),MATCH(D$1,[2]quests!$1:$1,0)-MATCH($C$1,[2]quests!$1:$1,0)+1),MATCH(D$1,[2]quests!$1:$1,0)-MATCH($C$1,[2]quests!$1:$1,0)+1,FALSE)</f>
        <v>罪と劇薬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ドロップイベント3</v>
      </c>
      <c r="F6" s="22">
        <v>2</v>
      </c>
      <c r="G6" s="24" t="str">
        <f t="shared" si="1"/>
        <v>20012_2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【中級】罪と劇薬</v>
      </c>
      <c r="I6" s="22">
        <v>2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20012_2-3</v>
      </c>
      <c r="B7" s="16" t="str">
        <f>IF(COUNTIF(enemy_habitats!$H:$H,A7),"OK","NG")</f>
        <v>OK</v>
      </c>
      <c r="C7" s="7">
        <v>20012</v>
      </c>
      <c r="D7" s="11" t="str">
        <f ca="1">VLOOKUP($C7,OFFSET([2]quests!$A$1,0,0,COUNTA([2]quests!$A:$A),MATCH(D$1,[2]quests!$1:$1,0)-MATCH($C$1,[2]quests!$1:$1,0)+1),MATCH(D$1,[2]quests!$1:$1,0)-MATCH($C$1,[2]quests!$1:$1,0)+1,FALSE)</f>
        <v>罪と劇薬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ドロップイベント3</v>
      </c>
      <c r="F7" s="22">
        <v>2</v>
      </c>
      <c r="G7" s="24" t="str">
        <f t="shared" si="1"/>
        <v>20012_2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【中級】罪と劇薬</v>
      </c>
      <c r="I7" s="22">
        <v>3</v>
      </c>
      <c r="J7" s="12">
        <v>20</v>
      </c>
      <c r="K7" s="12">
        <v>20</v>
      </c>
    </row>
    <row r="8" spans="1:11" ht="21" customHeight="1" x14ac:dyDescent="0.15">
      <c r="A8" s="16" t="str">
        <f t="shared" si="0"/>
        <v>20012_3-1</v>
      </c>
      <c r="B8" s="16" t="str">
        <f>IF(COUNTIF(enemy_habitats!$H:$H,A8),"OK","NG")</f>
        <v>OK</v>
      </c>
      <c r="C8" s="7">
        <v>20012</v>
      </c>
      <c r="D8" s="11" t="str">
        <f ca="1">VLOOKUP($C8,OFFSET([2]quests!$A$1,0,0,COUNTA([2]quests!$A:$A),MATCH(D$1,[2]quests!$1:$1,0)-MATCH($C$1,[2]quests!$1:$1,0)+1),MATCH(D$1,[2]quests!$1:$1,0)-MATCH($C$1,[2]quests!$1:$1,0)+1,FALSE)</f>
        <v>罪と劇薬</v>
      </c>
      <c r="E8" s="19" t="str">
        <f ca="1">VLOOKUP($C8,OFFSET([2]quests!$A$1,0,0,COUNTA([2]quests!$A:$A),MATCH(E$1,[2]quests!$1:$1,0)-MATCH($C$1,[2]quests!$1:$1,0)+1),MATCH(E$1,[2]quests!$1:$1,0)-MATCH($C$1,[2]quests!$1:$1,0)+1,FALSE)</f>
        <v>ドロップイベント3</v>
      </c>
      <c r="F8" s="22">
        <v>3</v>
      </c>
      <c r="G8" s="24" t="str">
        <f t="shared" si="1"/>
        <v>20012_3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【上級】罪と劇薬</v>
      </c>
      <c r="I8" s="22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20012_3-2</v>
      </c>
      <c r="B9" s="16" t="str">
        <f>IF(COUNTIF(enemy_habitats!$H:$H,A9),"OK","NG")</f>
        <v>OK</v>
      </c>
      <c r="C9" s="7">
        <v>20012</v>
      </c>
      <c r="D9" s="11" t="str">
        <f ca="1">VLOOKUP($C9,OFFSET([2]quests!$A$1,0,0,COUNTA([2]quests!$A:$A),MATCH(D$1,[2]quests!$1:$1,0)-MATCH($C$1,[2]quests!$1:$1,0)+1),MATCH(D$1,[2]quests!$1:$1,0)-MATCH($C$1,[2]quests!$1:$1,0)+1,FALSE)</f>
        <v>罪と劇薬</v>
      </c>
      <c r="E9" s="19" t="str">
        <f ca="1">VLOOKUP($C9,OFFSET([2]quests!$A$1,0,0,COUNTA([2]quests!$A:$A),MATCH(E$1,[2]quests!$1:$1,0)-MATCH($C$1,[2]quests!$1:$1,0)+1),MATCH(E$1,[2]quests!$1:$1,0)-MATCH($C$1,[2]quests!$1:$1,0)+1,FALSE)</f>
        <v>ドロップイベント3</v>
      </c>
      <c r="F9" s="22">
        <v>3</v>
      </c>
      <c r="G9" s="24" t="str">
        <f t="shared" si="1"/>
        <v>20012_3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【上級】罪と劇薬</v>
      </c>
      <c r="I9" s="22">
        <v>2</v>
      </c>
      <c r="J9" s="12">
        <v>20</v>
      </c>
      <c r="K9" s="12">
        <v>20</v>
      </c>
    </row>
    <row r="10" spans="1:11" ht="21" customHeight="1" x14ac:dyDescent="0.15">
      <c r="A10" s="16" t="str">
        <f t="shared" si="0"/>
        <v>20012_3-3</v>
      </c>
      <c r="B10" s="16" t="str">
        <f>IF(COUNTIF(enemy_habitats!$H:$H,A10),"OK","NG")</f>
        <v>OK</v>
      </c>
      <c r="C10" s="7">
        <v>20012</v>
      </c>
      <c r="D10" s="11" t="str">
        <f ca="1">VLOOKUP($C10,OFFSET([2]quests!$A$1,0,0,COUNTA([2]quests!$A:$A),MATCH(D$1,[2]quests!$1:$1,0)-MATCH($C$1,[2]quests!$1:$1,0)+1),MATCH(D$1,[2]quests!$1:$1,0)-MATCH($C$1,[2]quests!$1:$1,0)+1,FALSE)</f>
        <v>罪と劇薬</v>
      </c>
      <c r="E10" s="19" t="str">
        <f ca="1">VLOOKUP($C10,OFFSET([2]quests!$A$1,0,0,COUNTA([2]quests!$A:$A),MATCH(E$1,[2]quests!$1:$1,0)-MATCH($C$1,[2]quests!$1:$1,0)+1),MATCH(E$1,[2]quests!$1:$1,0)-MATCH($C$1,[2]quests!$1:$1,0)+1,FALSE)</f>
        <v>ドロップイベント3</v>
      </c>
      <c r="F10" s="22">
        <v>3</v>
      </c>
      <c r="G10" s="24" t="str">
        <f t="shared" si="1"/>
        <v>20012_3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【上級】罪と劇薬</v>
      </c>
      <c r="I10" s="22">
        <v>3</v>
      </c>
      <c r="J10" s="12">
        <v>30</v>
      </c>
      <c r="K10" s="1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36"/>
  <sheetViews>
    <sheetView showGridLines="0" tabSelected="1" zoomScale="85" zoomScaleNormal="85" zoomScalePageLayoutView="85" workbookViewId="0">
      <pane xSplit="17" ySplit="1" topLeftCell="AG16" activePane="bottomRight" state="frozen"/>
      <selection pane="topRight" activeCell="N1" sqref="N1"/>
      <selection pane="bottomLeft" activeCell="A2" sqref="A2"/>
      <selection pane="bottomRight" activeCell="L39" sqref="L39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bestFit="1" customWidth="1" outlineLevel="1"/>
    <col min="14" max="14" width="8.6640625" style="3" bestFit="1" customWidth="1" outlineLevel="1"/>
    <col min="15" max="15" width="12" style="3" bestFit="1" customWidth="1" outlineLevel="1"/>
    <col min="16" max="16" width="21" style="3" bestFit="1" customWidth="1" outlineLevel="1"/>
    <col min="17" max="17" width="8" style="3" bestFit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bestFit="1" customWidth="1" outlineLevel="1"/>
    <col min="23" max="23" width="10" style="3" bestFit="1" customWidth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36" ca="1" si="0">B2&amp;"_"&amp;C2&amp;"-"&amp;G2&amp;"/"&amp;L2&amp;"&lt;lv"&amp;R2&amp;"&gt;s"&amp;AA2</f>
        <v>20012_1-1/11&lt;lv18&gt;s3</v>
      </c>
      <c r="B2" s="23">
        <v>20012</v>
      </c>
      <c r="C2" s="22">
        <v>1</v>
      </c>
      <c r="D2" s="2" t="str">
        <f>B2&amp;"_"&amp;C2</f>
        <v>20012_1</v>
      </c>
      <c r="E2" s="4" t="str">
        <f ca="1">VLOOKUP($B2,OFFSET([2]quests!$A$1,0,0,COUNTA([2]quests!$A:$A),MATCH(E$1,[2]quests!$1:$1,0)-MATCH($B$1,[2]quests!$1:$1,0)+1),MATCH(E$1,[2]quests!$1:$1,0)-MATCH($B$1,[2]quests!$1:$1,0)+1,FALSE)</f>
        <v>罪と劇薬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【初級】罪と劇薬</v>
      </c>
      <c r="G2" s="22">
        <v>1</v>
      </c>
      <c r="H2" s="15" t="str">
        <f>B2&amp;"_"&amp;C2&amp;"-"&amp;G2</f>
        <v>20012_1-1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9" t="s">
        <v>53</v>
      </c>
      <c r="L2" s="21">
        <v>11</v>
      </c>
      <c r="M2" s="17" t="str">
        <f ca="1">VLOOKUP(L2,[3]enemies!$A:$B,2,FALSE)</f>
        <v>マグリット</v>
      </c>
      <c r="N2" s="19" t="str">
        <f ca="1">VLOOKUP(L2,[3]enemies!$A:$D,4,FALSE)</f>
        <v>green</v>
      </c>
      <c r="O2" s="19" t="str">
        <f>VLOOKUP(L2,[4]characters!$A:$J,10,FALSE)</f>
        <v>Drop1W</v>
      </c>
      <c r="P2" s="18" t="str">
        <f>VLOOKUP(L2,[4]characters!$A:$M,13,FALSE)</f>
        <v>animal</v>
      </c>
      <c r="Q2" s="4">
        <f ca="1">VLOOKUP(L2,[3]enemies!$A:$X,24,FALSE)</f>
        <v>15</v>
      </c>
      <c r="R2" s="5">
        <v>18</v>
      </c>
      <c r="S2" s="26">
        <v>1.2</v>
      </c>
      <c r="T2" s="26">
        <v>1.2</v>
      </c>
      <c r="U2" s="5">
        <v>0</v>
      </c>
      <c r="V2" s="4">
        <f ca="1">VLOOKUP(L2,[3]enemies!$A:$AB,28,FALSE)</f>
        <v>0</v>
      </c>
      <c r="W2" s="4" t="str">
        <f ca="1">IFERROR(VLOOKUP(V2,[5]enemy_skill_sets!$B:$E,4,FALSE),VLOOKUP(V2,enemy_skill_sets!B:E,4,FALSE))</f>
        <v>なし</v>
      </c>
      <c r="X2" s="6">
        <v>0</v>
      </c>
      <c r="Y2" s="6">
        <v>100</v>
      </c>
      <c r="Z2" s="6">
        <v>0</v>
      </c>
      <c r="AA2" s="4">
        <f ca="1">VLOOKUP(L2,[3]enemies!$A:$V,22,FALSE)</f>
        <v>3</v>
      </c>
      <c r="AB2" s="25">
        <f t="shared" ref="AB2:AB35" si="1">L2</f>
        <v>11</v>
      </c>
      <c r="AC2" s="4" t="str">
        <f ca="1">VLOOKUP(AB2,[3]enemies!$A:$B,2,FALSE)</f>
        <v>マグリット</v>
      </c>
      <c r="AD2" s="4">
        <f ca="1">VLOOKUP(AB2,[3]enemies!$A:$E,3,FALSE)</f>
        <v>1</v>
      </c>
      <c r="AE2" s="4" t="str">
        <f>VLOOKUP(AB2,[4]characters!$A:$J,10,FALSE)</f>
        <v>Drop1W</v>
      </c>
      <c r="AF2" s="7">
        <v>1</v>
      </c>
      <c r="AG2" s="25">
        <f ca="1">AD2</f>
        <v>1</v>
      </c>
      <c r="AH2" s="8">
        <v>25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ca="1" si="0"/>
        <v>20012_1-1/23&lt;lv18&gt;s4</v>
      </c>
      <c r="B3" s="23">
        <v>20012</v>
      </c>
      <c r="C3" s="22">
        <v>1</v>
      </c>
      <c r="D3" s="2" t="str">
        <f>B3&amp;"_"&amp;C3</f>
        <v>20012_1</v>
      </c>
      <c r="E3" s="4" t="str">
        <f ca="1">VLOOKUP($B3,OFFSET([2]quests!$A$1,0,0,COUNTA([2]quests!$A:$A),MATCH(E$1,[2]quests!$1:$1,0)-MATCH($B$1,[2]quests!$1:$1,0)+1),MATCH(E$1,[2]quests!$1:$1,0)-MATCH($B$1,[2]quests!$1:$1,0)+1,FALSE)</f>
        <v>罪と劇薬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【初級】罪と劇薬</v>
      </c>
      <c r="G3" s="22">
        <v>1</v>
      </c>
      <c r="H3" s="15" t="str">
        <f>B3&amp;"_"&amp;C3&amp;"-"&amp;G3</f>
        <v>20012_1-1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9" t="s">
        <v>53</v>
      </c>
      <c r="L3" s="21">
        <v>23</v>
      </c>
      <c r="M3" s="17" t="str">
        <f ca="1">VLOOKUP(L3,[3]enemies!$A:$B,2,FALSE)</f>
        <v>ミール</v>
      </c>
      <c r="N3" s="19" t="str">
        <f ca="1">VLOOKUP(L3,[3]enemies!$A:$D,4,FALSE)</f>
        <v>green</v>
      </c>
      <c r="O3" s="19" t="str">
        <f>VLOOKUP(L3,[4]characters!$A:$J,10,FALSE)</f>
        <v>Drop1N</v>
      </c>
      <c r="P3" s="18" t="str">
        <f>VLOOKUP(L3,[4]characters!$A:$M,13,FALSE)</f>
        <v>animal</v>
      </c>
      <c r="Q3" s="4">
        <f ca="1">VLOOKUP(L3,[3]enemies!$A:$X,24,FALSE)</f>
        <v>15</v>
      </c>
      <c r="R3" s="5">
        <v>18</v>
      </c>
      <c r="S3" s="26">
        <v>1.2</v>
      </c>
      <c r="T3" s="26">
        <v>1.2</v>
      </c>
      <c r="U3" s="5">
        <v>0</v>
      </c>
      <c r="V3" s="4">
        <f ca="1">VLOOKUP(L3,[3]enemies!$A:$AB,28,FALSE)</f>
        <v>0</v>
      </c>
      <c r="W3" s="4" t="str">
        <f ca="1">IFERROR(VLOOKUP(V3,[5]enemy_skill_sets!$B:$E,4,FALSE),VLOOKUP(V3,enemy_skill_sets!B:E,4,FALSE))</f>
        <v>なし</v>
      </c>
      <c r="X3" s="6">
        <v>0</v>
      </c>
      <c r="Y3" s="6">
        <v>100</v>
      </c>
      <c r="Z3" s="6">
        <v>0</v>
      </c>
      <c r="AA3" s="4">
        <f ca="1">VLOOKUP(L3,[3]enemies!$A:$V,22,FALSE)</f>
        <v>4</v>
      </c>
      <c r="AB3" s="25">
        <f t="shared" si="1"/>
        <v>23</v>
      </c>
      <c r="AC3" s="4" t="str">
        <f ca="1">VLOOKUP(AB3,[3]enemies!$A:$B,2,FALSE)</f>
        <v>ミール</v>
      </c>
      <c r="AD3" s="4">
        <f ca="1">VLOOKUP(AB3,[3]enemies!$A:$E,3,FALSE)</f>
        <v>1</v>
      </c>
      <c r="AE3" s="4" t="str">
        <f>VLOOKUP(AB3,[4]characters!$A:$J,10,FALSE)</f>
        <v>Drop1N</v>
      </c>
      <c r="AF3" s="7">
        <v>1</v>
      </c>
      <c r="AG3" s="25">
        <f ca="1">AD3</f>
        <v>1</v>
      </c>
      <c r="AH3" s="8">
        <v>25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ca="1" si="0"/>
        <v>20012_1-1/27&lt;lv18&gt;s1</v>
      </c>
      <c r="B4" s="23">
        <v>20012</v>
      </c>
      <c r="C4" s="22">
        <v>1</v>
      </c>
      <c r="D4" s="2" t="str">
        <f t="shared" ref="D4:D36" si="2">B4&amp;"_"&amp;C4</f>
        <v>20012_1</v>
      </c>
      <c r="E4" s="4" t="str">
        <f ca="1">VLOOKUP($B4,OFFSET([2]quests!$A$1,0,0,COUNTA([2]quests!$A:$A),MATCH(E$1,[2]quests!$1:$1,0)-MATCH($B$1,[2]quests!$1:$1,0)+1),MATCH(E$1,[2]quests!$1:$1,0)-MATCH($B$1,[2]quests!$1:$1,0)+1,FALSE)</f>
        <v>罪と劇薬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【初級】罪と劇薬</v>
      </c>
      <c r="G4" s="22">
        <v>1</v>
      </c>
      <c r="H4" s="15" t="str">
        <f t="shared" ref="H4:H36" si="3">B4&amp;"_"&amp;C4&amp;"-"&amp;G4</f>
        <v>20012_1-1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9" t="s">
        <v>53</v>
      </c>
      <c r="L4" s="21">
        <v>27</v>
      </c>
      <c r="M4" s="17" t="str">
        <f ca="1">VLOOKUP(L4,[3]enemies!$A:$B,2,FALSE)</f>
        <v>パトライン</v>
      </c>
      <c r="N4" s="19" t="str">
        <f ca="1">VLOOKUP(L4,[3]enemies!$A:$D,4,FALSE)</f>
        <v>green</v>
      </c>
      <c r="O4" s="19" t="str">
        <f>VLOOKUP(L4,[4]characters!$A:$J,10,FALSE)</f>
        <v>Drop1N</v>
      </c>
      <c r="P4" s="18" t="str">
        <f>VLOOKUP(L4,[4]characters!$A:$M,13,FALSE)</f>
        <v>machine</v>
      </c>
      <c r="Q4" s="4">
        <f ca="1">VLOOKUP(L4,[3]enemies!$A:$X,24,FALSE)</f>
        <v>15</v>
      </c>
      <c r="R4" s="5">
        <v>18</v>
      </c>
      <c r="S4" s="26">
        <v>1.2</v>
      </c>
      <c r="T4" s="26">
        <v>1.2</v>
      </c>
      <c r="U4" s="5">
        <v>0</v>
      </c>
      <c r="V4" s="4">
        <f ca="1">VLOOKUP(L4,[3]enemies!$A:$AB,28,FALSE)</f>
        <v>0</v>
      </c>
      <c r="W4" s="4" t="str">
        <f ca="1">IFERROR(VLOOKUP(V4,[5]enemy_skill_sets!$B:$E,4,FALSE),VLOOKUP(V4,enemy_skill_sets!B:E,4,FALSE))</f>
        <v>なし</v>
      </c>
      <c r="X4" s="6">
        <v>0</v>
      </c>
      <c r="Y4" s="6">
        <v>100</v>
      </c>
      <c r="Z4" s="6">
        <v>0</v>
      </c>
      <c r="AA4" s="4">
        <f ca="1">VLOOKUP(L4,[3]enemies!$A:$V,22,FALSE)</f>
        <v>1</v>
      </c>
      <c r="AB4" s="25">
        <f t="shared" si="1"/>
        <v>27</v>
      </c>
      <c r="AC4" s="4" t="str">
        <f ca="1">VLOOKUP(AB4,[3]enemies!$A:$B,2,FALSE)</f>
        <v>パトライン</v>
      </c>
      <c r="AD4" s="4">
        <f ca="1">VLOOKUP(AB4,[3]enemies!$A:$E,3,FALSE)</f>
        <v>1</v>
      </c>
      <c r="AE4" s="4" t="str">
        <f>VLOOKUP(AB4,[4]characters!$A:$J,10,FALSE)</f>
        <v>Drop1N</v>
      </c>
      <c r="AF4" s="7">
        <v>1</v>
      </c>
      <c r="AG4" s="25">
        <f t="shared" ref="AG4:AG36" ca="1" si="4">AD4</f>
        <v>1</v>
      </c>
      <c r="AH4" s="8">
        <v>25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ca="1" si="0"/>
        <v>20012_1-1/35&lt;lv18&gt;s4</v>
      </c>
      <c r="B5" s="23">
        <v>20012</v>
      </c>
      <c r="C5" s="22">
        <v>1</v>
      </c>
      <c r="D5" s="2" t="str">
        <f t="shared" si="2"/>
        <v>20012_1</v>
      </c>
      <c r="E5" s="4" t="str">
        <f ca="1">VLOOKUP($B5,OFFSET([2]quests!$A$1,0,0,COUNTA([2]quests!$A:$A),MATCH(E$1,[2]quests!$1:$1,0)-MATCH($B$1,[2]quests!$1:$1,0)+1),MATCH(E$1,[2]quests!$1:$1,0)-MATCH($B$1,[2]quests!$1:$1,0)+1,FALSE)</f>
        <v>罪と劇薬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【初級】罪と劇薬</v>
      </c>
      <c r="G5" s="22">
        <v>1</v>
      </c>
      <c r="H5" s="15" t="str">
        <f t="shared" si="3"/>
        <v>20012_1-1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9" t="s">
        <v>53</v>
      </c>
      <c r="L5" s="21">
        <v>35</v>
      </c>
      <c r="M5" s="17" t="str">
        <f ca="1">VLOOKUP(L5,[3]enemies!$A:$B,2,FALSE)</f>
        <v>F2</v>
      </c>
      <c r="N5" s="19" t="str">
        <f ca="1">VLOOKUP(L5,[3]enemies!$A:$D,4,FALSE)</f>
        <v>green</v>
      </c>
      <c r="O5" s="19" t="str">
        <f>VLOOKUP(L5,[4]characters!$A:$J,10,FALSE)</f>
        <v>Drop1S</v>
      </c>
      <c r="P5" s="18" t="str">
        <f>VLOOKUP(L5,[4]characters!$A:$M,13,FALSE)</f>
        <v>machine</v>
      </c>
      <c r="Q5" s="4">
        <f ca="1">VLOOKUP(L5,[3]enemies!$A:$X,24,FALSE)</f>
        <v>15</v>
      </c>
      <c r="R5" s="5">
        <v>18</v>
      </c>
      <c r="S5" s="26">
        <v>1.2</v>
      </c>
      <c r="T5" s="26">
        <v>1.2</v>
      </c>
      <c r="U5" s="5">
        <v>0</v>
      </c>
      <c r="V5" s="4">
        <f ca="1">VLOOKUP(L5,[3]enemies!$A:$AB,28,FALSE)</f>
        <v>35</v>
      </c>
      <c r="W5" s="4" t="str">
        <f ca="1">IFERROR(VLOOKUP(V5,[5]enemy_skill_sets!$B:$E,4,FALSE),VLOOKUP(V5,enemy_skill_sets!B:E,4,FALSE))</f>
        <v>じっとこちらを見ている</v>
      </c>
      <c r="X5" s="6">
        <v>0</v>
      </c>
      <c r="Y5" s="6">
        <v>100</v>
      </c>
      <c r="Z5" s="6">
        <v>0</v>
      </c>
      <c r="AA5" s="4">
        <f ca="1">VLOOKUP(L5,[3]enemies!$A:$V,22,FALSE)</f>
        <v>4</v>
      </c>
      <c r="AB5" s="25">
        <f t="shared" si="1"/>
        <v>35</v>
      </c>
      <c r="AC5" s="4" t="str">
        <f ca="1">VLOOKUP(AB5,[3]enemies!$A:$B,2,FALSE)</f>
        <v>F2</v>
      </c>
      <c r="AD5" s="4">
        <f ca="1">VLOOKUP(AB5,[3]enemies!$A:$E,3,FALSE)</f>
        <v>2</v>
      </c>
      <c r="AE5" s="4" t="str">
        <f>VLOOKUP(AB5,[4]characters!$A:$J,10,FALSE)</f>
        <v>Drop1S</v>
      </c>
      <c r="AF5" s="7">
        <v>1</v>
      </c>
      <c r="AG5" s="25">
        <f t="shared" ca="1" si="4"/>
        <v>2</v>
      </c>
      <c r="AH5" s="8">
        <v>25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ca="1" si="0"/>
        <v>20012_1-2/12&lt;lv18&gt;s3</v>
      </c>
      <c r="B6" s="23">
        <v>20012</v>
      </c>
      <c r="C6" s="22">
        <v>1</v>
      </c>
      <c r="D6" s="2" t="str">
        <f t="shared" si="2"/>
        <v>20012_1</v>
      </c>
      <c r="E6" s="4" t="str">
        <f ca="1">VLOOKUP($B6,OFFSET([2]quests!$A$1,0,0,COUNTA([2]quests!$A:$A),MATCH(E$1,[2]quests!$1:$1,0)-MATCH($B$1,[2]quests!$1:$1,0)+1),MATCH(E$1,[2]quests!$1:$1,0)-MATCH($B$1,[2]quests!$1:$1,0)+1,FALSE)</f>
        <v>罪と劇薬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【初級】罪と劇薬</v>
      </c>
      <c r="G6" s="82">
        <v>2</v>
      </c>
      <c r="H6" s="15" t="str">
        <f t="shared" si="3"/>
        <v>20012_1-2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9" t="s">
        <v>53</v>
      </c>
      <c r="L6" s="21">
        <v>12</v>
      </c>
      <c r="M6" s="17" t="str">
        <f ca="1">VLOOKUP(L6,[3]enemies!$A:$B,2,FALSE)</f>
        <v>癒しのグラフィティ マグリット</v>
      </c>
      <c r="N6" s="19" t="str">
        <f ca="1">VLOOKUP(L6,[3]enemies!$A:$D,4,FALSE)</f>
        <v>green</v>
      </c>
      <c r="O6" s="19" t="str">
        <f>VLOOKUP(L6,[4]characters!$A:$J,10,FALSE)</f>
        <v>Drop1W</v>
      </c>
      <c r="P6" s="18" t="str">
        <f>VLOOKUP(L6,[4]characters!$A:$M,13,FALSE)</f>
        <v>animal</v>
      </c>
      <c r="Q6" s="4">
        <f ca="1">VLOOKUP(L6,[3]enemies!$A:$X,24,FALSE)</f>
        <v>15</v>
      </c>
      <c r="R6" s="5">
        <v>18</v>
      </c>
      <c r="S6" s="26">
        <v>1.3</v>
      </c>
      <c r="T6" s="26">
        <v>1.3</v>
      </c>
      <c r="U6" s="5">
        <v>0</v>
      </c>
      <c r="V6" s="4">
        <f ca="1">VLOOKUP(L6,[3]enemies!$A:$AB,28,FALSE)</f>
        <v>0</v>
      </c>
      <c r="W6" s="4" t="str">
        <f ca="1">IFERROR(VLOOKUP(V6,[5]enemy_skill_sets!$B:$E,4,FALSE),VLOOKUP(V6,enemy_skill_sets!B:E,4,FALSE))</f>
        <v>なし</v>
      </c>
      <c r="X6" s="6">
        <v>0</v>
      </c>
      <c r="Y6" s="6">
        <v>100</v>
      </c>
      <c r="Z6" s="6">
        <v>0</v>
      </c>
      <c r="AA6" s="4">
        <f ca="1">VLOOKUP(L6,[3]enemies!$A:$V,22,FALSE)</f>
        <v>3</v>
      </c>
      <c r="AB6" s="25">
        <f t="shared" si="1"/>
        <v>12</v>
      </c>
      <c r="AC6" s="4" t="str">
        <f ca="1">VLOOKUP(AB6,[3]enemies!$A:$B,2,FALSE)</f>
        <v>癒しのグラフィティ マグリット</v>
      </c>
      <c r="AD6" s="4">
        <f ca="1">VLOOKUP(AB6,[3]enemies!$A:$E,3,FALSE)</f>
        <v>2</v>
      </c>
      <c r="AE6" s="4" t="str">
        <f>VLOOKUP(AB6,[4]characters!$A:$J,10,FALSE)</f>
        <v>Drop1W</v>
      </c>
      <c r="AF6" s="7">
        <v>1</v>
      </c>
      <c r="AG6" s="25">
        <f t="shared" ca="1" si="4"/>
        <v>2</v>
      </c>
      <c r="AH6" s="8">
        <v>25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 x14ac:dyDescent="0.15">
      <c r="A7" s="16" t="str">
        <f t="shared" ca="1" si="0"/>
        <v>20012_1-2/24&lt;lv18&gt;s4</v>
      </c>
      <c r="B7" s="23">
        <v>20012</v>
      </c>
      <c r="C7" s="22">
        <v>1</v>
      </c>
      <c r="D7" s="2" t="str">
        <f t="shared" si="2"/>
        <v>20012_1</v>
      </c>
      <c r="E7" s="4" t="str">
        <f ca="1">VLOOKUP($B7,OFFSET([2]quests!$A$1,0,0,COUNTA([2]quests!$A:$A),MATCH(E$1,[2]quests!$1:$1,0)-MATCH($B$1,[2]quests!$1:$1,0)+1),MATCH(E$1,[2]quests!$1:$1,0)-MATCH($B$1,[2]quests!$1:$1,0)+1,FALSE)</f>
        <v>罪と劇薬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【初級】罪と劇薬</v>
      </c>
      <c r="G7" s="82">
        <v>2</v>
      </c>
      <c r="H7" s="15" t="str">
        <f t="shared" si="3"/>
        <v>20012_1-2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9" t="s">
        <v>53</v>
      </c>
      <c r="L7" s="21">
        <v>24</v>
      </c>
      <c r="M7" s="17" t="str">
        <f ca="1">VLOOKUP(L7,[3]enemies!$A:$B,2,FALSE)</f>
        <v>天翔のミール</v>
      </c>
      <c r="N7" s="19" t="str">
        <f ca="1">VLOOKUP(L7,[3]enemies!$A:$D,4,FALSE)</f>
        <v>green</v>
      </c>
      <c r="O7" s="19" t="str">
        <f>VLOOKUP(L7,[4]characters!$A:$J,10,FALSE)</f>
        <v>Drop1N</v>
      </c>
      <c r="P7" s="18" t="str">
        <f>VLOOKUP(L7,[4]characters!$A:$M,13,FALSE)</f>
        <v>animal</v>
      </c>
      <c r="Q7" s="4">
        <f ca="1">VLOOKUP(L7,[3]enemies!$A:$X,24,FALSE)</f>
        <v>15</v>
      </c>
      <c r="R7" s="5">
        <v>18</v>
      </c>
      <c r="S7" s="26">
        <v>1.3</v>
      </c>
      <c r="T7" s="26">
        <v>1.3</v>
      </c>
      <c r="U7" s="5">
        <v>0</v>
      </c>
      <c r="V7" s="4">
        <f ca="1">VLOOKUP(L7,[3]enemies!$A:$AB,28,FALSE)</f>
        <v>0</v>
      </c>
      <c r="W7" s="4" t="str">
        <f ca="1">IFERROR(VLOOKUP(V7,[5]enemy_skill_sets!$B:$E,4,FALSE),VLOOKUP(V7,enemy_skill_sets!B:E,4,FALSE))</f>
        <v>なし</v>
      </c>
      <c r="X7" s="6">
        <v>0</v>
      </c>
      <c r="Y7" s="6">
        <v>100</v>
      </c>
      <c r="Z7" s="6">
        <v>0</v>
      </c>
      <c r="AA7" s="4">
        <f ca="1">VLOOKUP(L7,[3]enemies!$A:$V,22,FALSE)</f>
        <v>4</v>
      </c>
      <c r="AB7" s="25">
        <f t="shared" si="1"/>
        <v>24</v>
      </c>
      <c r="AC7" s="4" t="str">
        <f ca="1">VLOOKUP(AB7,[3]enemies!$A:$B,2,FALSE)</f>
        <v>天翔のミール</v>
      </c>
      <c r="AD7" s="4">
        <f ca="1">VLOOKUP(AB7,[3]enemies!$A:$E,3,FALSE)</f>
        <v>2</v>
      </c>
      <c r="AE7" s="4" t="str">
        <f>VLOOKUP(AB7,[4]characters!$A:$J,10,FALSE)</f>
        <v>Drop1N</v>
      </c>
      <c r="AF7" s="7">
        <v>1</v>
      </c>
      <c r="AG7" s="25">
        <f t="shared" ca="1" si="4"/>
        <v>2</v>
      </c>
      <c r="AH7" s="8">
        <v>25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 x14ac:dyDescent="0.15">
      <c r="A8" s="16" t="str">
        <f t="shared" ca="1" si="0"/>
        <v>20012_1-2/28&lt;lv18&gt;s1</v>
      </c>
      <c r="B8" s="23">
        <v>20012</v>
      </c>
      <c r="C8" s="22">
        <v>1</v>
      </c>
      <c r="D8" s="2" t="str">
        <f t="shared" si="2"/>
        <v>20012_1</v>
      </c>
      <c r="E8" s="4" t="str">
        <f ca="1">VLOOKUP($B8,OFFSET([2]quests!$A$1,0,0,COUNTA([2]quests!$A:$A),MATCH(E$1,[2]quests!$1:$1,0)-MATCH($B$1,[2]quests!$1:$1,0)+1),MATCH(E$1,[2]quests!$1:$1,0)-MATCH($B$1,[2]quests!$1:$1,0)+1,FALSE)</f>
        <v>罪と劇薬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【初級】罪と劇薬</v>
      </c>
      <c r="G8" s="82">
        <v>2</v>
      </c>
      <c r="H8" s="15" t="str">
        <f t="shared" si="3"/>
        <v>20012_1-2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9" t="s">
        <v>53</v>
      </c>
      <c r="L8" s="21">
        <v>28</v>
      </c>
      <c r="M8" s="17" t="str">
        <f ca="1">VLOOKUP(L8,[3]enemies!$A:$B,2,FALSE)</f>
        <v>現場急行 パトラインカスタム</v>
      </c>
      <c r="N8" s="19" t="str">
        <f ca="1">VLOOKUP(L8,[3]enemies!$A:$D,4,FALSE)</f>
        <v>green</v>
      </c>
      <c r="O8" s="19" t="str">
        <f>VLOOKUP(L8,[4]characters!$A:$J,10,FALSE)</f>
        <v>Drop1N</v>
      </c>
      <c r="P8" s="18" t="str">
        <f>VLOOKUP(L8,[4]characters!$A:$M,13,FALSE)</f>
        <v>machine</v>
      </c>
      <c r="Q8" s="4">
        <f ca="1">VLOOKUP(L8,[3]enemies!$A:$X,24,FALSE)</f>
        <v>15</v>
      </c>
      <c r="R8" s="5">
        <v>18</v>
      </c>
      <c r="S8" s="26">
        <v>1.3</v>
      </c>
      <c r="T8" s="26">
        <v>1.3</v>
      </c>
      <c r="U8" s="5">
        <v>0</v>
      </c>
      <c r="V8" s="4">
        <f ca="1">VLOOKUP(L8,[3]enemies!$A:$AB,28,FALSE)</f>
        <v>28</v>
      </c>
      <c r="W8" s="4" t="str">
        <f ca="1">IFERROR(VLOOKUP(V8,[5]enemy_skill_sets!$B:$E,4,FALSE),VLOOKUP(V8,enemy_skill_sets!B:E,4,FALSE))</f>
        <v>回復</v>
      </c>
      <c r="X8" s="6">
        <v>0</v>
      </c>
      <c r="Y8" s="6">
        <v>100</v>
      </c>
      <c r="Z8" s="6">
        <v>0</v>
      </c>
      <c r="AA8" s="4">
        <f ca="1">VLOOKUP(L8,[3]enemies!$A:$V,22,FALSE)</f>
        <v>1</v>
      </c>
      <c r="AB8" s="25">
        <f t="shared" si="1"/>
        <v>28</v>
      </c>
      <c r="AC8" s="4" t="str">
        <f ca="1">VLOOKUP(AB8,[3]enemies!$A:$B,2,FALSE)</f>
        <v>現場急行 パトラインカスタム</v>
      </c>
      <c r="AD8" s="4">
        <f ca="1">VLOOKUP(AB8,[3]enemies!$A:$E,3,FALSE)</f>
        <v>2</v>
      </c>
      <c r="AE8" s="4" t="str">
        <f>VLOOKUP(AB8,[4]characters!$A:$J,10,FALSE)</f>
        <v>Drop1N</v>
      </c>
      <c r="AF8" s="7">
        <v>1</v>
      </c>
      <c r="AG8" s="25">
        <f t="shared" ca="1" si="4"/>
        <v>2</v>
      </c>
      <c r="AH8" s="8">
        <v>25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ca="1" si="0"/>
        <v>20012_1-2/36&lt;lv18&gt;s6</v>
      </c>
      <c r="B9" s="23">
        <v>20012</v>
      </c>
      <c r="C9" s="22">
        <v>1</v>
      </c>
      <c r="D9" s="2" t="str">
        <f t="shared" si="2"/>
        <v>20012_1</v>
      </c>
      <c r="E9" s="4" t="str">
        <f ca="1">VLOOKUP($B9,OFFSET([2]quests!$A$1,0,0,COUNTA([2]quests!$A:$A),MATCH(E$1,[2]quests!$1:$1,0)-MATCH($B$1,[2]quests!$1:$1,0)+1),MATCH(E$1,[2]quests!$1:$1,0)-MATCH($B$1,[2]quests!$1:$1,0)+1,FALSE)</f>
        <v>罪と劇薬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【初級】罪と劇薬</v>
      </c>
      <c r="G9" s="82">
        <v>2</v>
      </c>
      <c r="H9" s="15" t="str">
        <f t="shared" si="3"/>
        <v>20012_1-2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9" t="s">
        <v>53</v>
      </c>
      <c r="L9" s="21">
        <v>36</v>
      </c>
      <c r="M9" s="17" t="str">
        <f ca="1">VLOOKUP(L9,[3]enemies!$A:$B,2,FALSE)</f>
        <v>オフィス追尾型移動地雷F3</v>
      </c>
      <c r="N9" s="19" t="str">
        <f ca="1">VLOOKUP(L9,[3]enemies!$A:$D,4,FALSE)</f>
        <v>green</v>
      </c>
      <c r="O9" s="19" t="str">
        <f>VLOOKUP(L9,[4]characters!$A:$J,10,FALSE)</f>
        <v>Drop1S</v>
      </c>
      <c r="P9" s="18" t="str">
        <f>VLOOKUP(L9,[4]characters!$A:$M,13,FALSE)</f>
        <v>machine</v>
      </c>
      <c r="Q9" s="4">
        <f ca="1">VLOOKUP(L9,[3]enemies!$A:$X,24,FALSE)</f>
        <v>20</v>
      </c>
      <c r="R9" s="5">
        <v>18</v>
      </c>
      <c r="S9" s="26">
        <v>1.2</v>
      </c>
      <c r="T9" s="26">
        <v>0.5</v>
      </c>
      <c r="U9" s="5">
        <v>0</v>
      </c>
      <c r="V9" s="4">
        <f ca="1">VLOOKUP(L9,[3]enemies!$A:$AB,28,FALSE)</f>
        <v>36</v>
      </c>
      <c r="W9" s="4" t="str">
        <f ca="1">IFERROR(VLOOKUP(V9,[5]enemy_skill_sets!$B:$E,4,FALSE),VLOOKUP(V9,enemy_skill_sets!B:E,4,FALSE))</f>
        <v>何やら様子がおかしい！</v>
      </c>
      <c r="X9" s="6">
        <v>0</v>
      </c>
      <c r="Y9" s="6">
        <v>100</v>
      </c>
      <c r="Z9" s="6">
        <v>0</v>
      </c>
      <c r="AA9" s="4">
        <f ca="1">VLOOKUP(L9,[3]enemies!$A:$V,22,FALSE)</f>
        <v>6</v>
      </c>
      <c r="AB9" s="25">
        <f t="shared" si="1"/>
        <v>36</v>
      </c>
      <c r="AC9" s="4" t="str">
        <f ca="1">VLOOKUP(AB9,[3]enemies!$A:$B,2,FALSE)</f>
        <v>オフィス追尾型移動地雷F3</v>
      </c>
      <c r="AD9" s="4">
        <f ca="1">VLOOKUP(AB9,[3]enemies!$A:$E,3,FALSE)</f>
        <v>3</v>
      </c>
      <c r="AE9" s="4" t="str">
        <f>VLOOKUP(AB9,[4]characters!$A:$J,10,FALSE)</f>
        <v>Drop1S</v>
      </c>
      <c r="AF9" s="7">
        <v>1</v>
      </c>
      <c r="AG9" s="25">
        <f t="shared" ca="1" si="4"/>
        <v>3</v>
      </c>
      <c r="AH9" s="8">
        <v>25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s="67" customFormat="1" ht="21" customHeight="1" thickBot="1" x14ac:dyDescent="0.2">
      <c r="A10" s="54" t="str">
        <f t="shared" si="0"/>
        <v>20012_1-3/300&lt;lv30&gt;s2</v>
      </c>
      <c r="B10" s="55">
        <v>20012</v>
      </c>
      <c r="C10" s="56">
        <v>1</v>
      </c>
      <c r="D10" s="57" t="str">
        <f t="shared" si="2"/>
        <v>20012_1</v>
      </c>
      <c r="E10" s="58" t="str">
        <f ca="1">VLOOKUP($B10,OFFSET([2]quests!$A$1,0,0,COUNTA([2]quests!$A:$A),MATCH(E$1,[2]quests!$1:$1,0)-MATCH($B$1,[2]quests!$1:$1,0)+1),MATCH(E$1,[2]quests!$1:$1,0)-MATCH($B$1,[2]quests!$1:$1,0)+1,FALSE)</f>
        <v>罪と劇薬</v>
      </c>
      <c r="F10" s="58" t="str">
        <f ca="1">VLOOKUP($D10,OFFSET([2]stages!$A$1,0,0,COUNTA([2]stages!$A:$A),MATCH(F$1,[2]stages!$2:$2,0)-MATCH($D$1,[2]stages!$2:$2,0)+1),MATCH(F$1,[2]stages!$2:$2,0)-MATCH($D$1,[2]stages!$2:$2,0)+1,FALSE)</f>
        <v>【初級】罪と劇薬</v>
      </c>
      <c r="G10" s="56">
        <v>3</v>
      </c>
      <c r="H10" s="57" t="str">
        <f t="shared" si="3"/>
        <v>20012_1-3</v>
      </c>
      <c r="I10" s="58">
        <f ca="1">VLOOKUP($H10,OFFSET(floors!$A$1,0,0,COUNTA(floors!$A:$A),MATCH(I$1,floors!$1:$1,0)-MATCH($H$1,floors!$1:$1,0)+1),MATCH(I$1,floors!$1:$1,0)-MATCH($H$1,floors!$1:$1,0)+1,FALSE)</f>
        <v>20</v>
      </c>
      <c r="J10" s="58">
        <f ca="1">VLOOKUP($H10,OFFSET(floors!$A$1,0,0,COUNTA(floors!$A:$A),MATCH(J$1,floors!$1:$1,0)-MATCH($H$1,floors!$1:$1,0)+1),MATCH(J$1,floors!$1:$1,0)-MATCH($H$1,floors!$1:$1,0)+1,FALSE)</f>
        <v>20</v>
      </c>
      <c r="K10" s="59" t="s">
        <v>53</v>
      </c>
      <c r="L10" s="60">
        <v>300</v>
      </c>
      <c r="M10" s="17" t="str">
        <f ca="1">VLOOKUP(L10,[3]enemies!$A:$B,2,FALSE)</f>
        <v>毒殺のチカ</v>
      </c>
      <c r="N10" s="19" t="str">
        <f ca="1">VLOOKUP(L10,[3]enemies!$A:$D,4,FALSE)</f>
        <v>green</v>
      </c>
      <c r="O10" s="19" t="str">
        <f>VLOOKUP(L10,[4]characters!$A:$J,10,FALSE)</f>
        <v>Drop2W</v>
      </c>
      <c r="P10" s="18" t="str">
        <f>VLOOKUP(L10,[4]characters!$A:$M,13,FALSE)</f>
        <v>human</v>
      </c>
      <c r="Q10" s="4">
        <f ca="1">VLOOKUP(L10,[3]enemies!$A:$X,24,FALSE)</f>
        <v>20</v>
      </c>
      <c r="R10" s="61">
        <v>30</v>
      </c>
      <c r="S10" s="62">
        <v>3.6</v>
      </c>
      <c r="T10" s="62">
        <v>1</v>
      </c>
      <c r="U10" s="61">
        <v>0</v>
      </c>
      <c r="V10" s="83">
        <v>20012006</v>
      </c>
      <c r="W10" s="4" t="str">
        <f>IFERROR(VLOOKUP(V10,[5]enemy_skill_sets!$B:$E,4,FALSE),VLOOKUP(V10,enemy_skill_sets!B:E,4,FALSE))</f>
        <v>実験への協力、感謝する</v>
      </c>
      <c r="X10" s="63">
        <v>1</v>
      </c>
      <c r="Y10" s="63">
        <v>100</v>
      </c>
      <c r="Z10" s="63">
        <v>1</v>
      </c>
      <c r="AA10" s="83">
        <v>2</v>
      </c>
      <c r="AB10" s="64">
        <f t="shared" si="1"/>
        <v>300</v>
      </c>
      <c r="AC10" s="4" t="str">
        <f ca="1">VLOOKUP(AB10,[3]enemies!$A:$B,2,FALSE)</f>
        <v>毒殺のチカ</v>
      </c>
      <c r="AD10" s="4">
        <f ca="1">VLOOKUP(AB10,[3]enemies!$A:$E,3,FALSE)</f>
        <v>3</v>
      </c>
      <c r="AE10" s="4" t="str">
        <f>VLOOKUP(AB10,[4]characters!$A:$J,10,FALSE)</f>
        <v>Drop2W</v>
      </c>
      <c r="AF10" s="65">
        <v>1</v>
      </c>
      <c r="AG10" s="64">
        <f t="shared" ca="1" si="4"/>
        <v>3</v>
      </c>
      <c r="AH10" s="66">
        <v>20</v>
      </c>
      <c r="AI10" s="65">
        <v>0</v>
      </c>
      <c r="AJ10" s="65">
        <v>0</v>
      </c>
      <c r="AK10" s="65">
        <v>0</v>
      </c>
      <c r="AL10" s="65">
        <v>0</v>
      </c>
      <c r="AM10" s="65">
        <v>1</v>
      </c>
    </row>
    <row r="11" spans="1:39" s="81" customFormat="1" ht="21" customHeight="1" x14ac:dyDescent="0.15">
      <c r="A11" s="68" t="str">
        <f t="shared" ca="1" si="0"/>
        <v>20012_2-1/11&lt;lv26&gt;s3</v>
      </c>
      <c r="B11" s="69">
        <v>20012</v>
      </c>
      <c r="C11" s="70">
        <v>2</v>
      </c>
      <c r="D11" s="71" t="str">
        <f t="shared" si="2"/>
        <v>20012_2</v>
      </c>
      <c r="E11" s="72" t="str">
        <f ca="1">VLOOKUP($B11,OFFSET([2]quests!$A$1,0,0,COUNTA([2]quests!$A:$A),MATCH(E$1,[2]quests!$1:$1,0)-MATCH($B$1,[2]quests!$1:$1,0)+1),MATCH(E$1,[2]quests!$1:$1,0)-MATCH($B$1,[2]quests!$1:$1,0)+1,FALSE)</f>
        <v>罪と劇薬</v>
      </c>
      <c r="F11" s="72" t="str">
        <f ca="1">VLOOKUP($D11,OFFSET([2]stages!$A$1,0,0,COUNTA([2]stages!$A:$A),MATCH(F$1,[2]stages!$2:$2,0)-MATCH($D$1,[2]stages!$2:$2,0)+1),MATCH(F$1,[2]stages!$2:$2,0)-MATCH($D$1,[2]stages!$2:$2,0)+1,FALSE)</f>
        <v>【中級】罪と劇薬</v>
      </c>
      <c r="G11" s="70">
        <v>1</v>
      </c>
      <c r="H11" s="71" t="str">
        <f t="shared" si="3"/>
        <v>20012_2-1</v>
      </c>
      <c r="I11" s="72">
        <f ca="1">VLOOKUP($H11,OFFSET(floors!$A$1,0,0,COUNTA(floors!$A:$A),MATCH(I$1,floors!$1:$1,0)-MATCH($H$1,floors!$1:$1,0)+1),MATCH(I$1,floors!$1:$1,0)-MATCH($H$1,floors!$1:$1,0)+1,FALSE)</f>
        <v>35</v>
      </c>
      <c r="J11" s="72">
        <f ca="1">VLOOKUP($H11,OFFSET(floors!$A$1,0,0,COUNTA(floors!$A:$A),MATCH(J$1,floors!$1:$1,0)-MATCH($H$1,floors!$1:$1,0)+1),MATCH(J$1,floors!$1:$1,0)-MATCH($H$1,floors!$1:$1,0)+1,FALSE)</f>
        <v>35</v>
      </c>
      <c r="K11" s="73" t="s">
        <v>99</v>
      </c>
      <c r="L11" s="74">
        <v>11</v>
      </c>
      <c r="M11" s="17" t="str">
        <f ca="1">VLOOKUP(L11,[3]enemies!$A:$B,2,FALSE)</f>
        <v>マグリット</v>
      </c>
      <c r="N11" s="19" t="str">
        <f ca="1">VLOOKUP(L11,[3]enemies!$A:$D,4,FALSE)</f>
        <v>green</v>
      </c>
      <c r="O11" s="19" t="str">
        <f>VLOOKUP(L11,[4]characters!$A:$J,10,FALSE)</f>
        <v>Drop1W</v>
      </c>
      <c r="P11" s="18" t="str">
        <f>VLOOKUP(L11,[4]characters!$A:$M,13,FALSE)</f>
        <v>animal</v>
      </c>
      <c r="Q11" s="4">
        <f ca="1">VLOOKUP(L11,[3]enemies!$A:$X,24,FALSE)</f>
        <v>15</v>
      </c>
      <c r="R11" s="75">
        <v>26</v>
      </c>
      <c r="S11" s="76">
        <v>1.4</v>
      </c>
      <c r="T11" s="76">
        <v>1.4</v>
      </c>
      <c r="U11" s="75">
        <v>0</v>
      </c>
      <c r="V11" s="4">
        <f ca="1">VLOOKUP(L11,[3]enemies!$A:$AB,28,FALSE)</f>
        <v>0</v>
      </c>
      <c r="W11" s="4" t="str">
        <f ca="1">IFERROR(VLOOKUP(V11,[5]enemy_skill_sets!$B:$E,4,FALSE),VLOOKUP(V11,enemy_skill_sets!B:E,4,FALSE))</f>
        <v>なし</v>
      </c>
      <c r="X11" s="77">
        <v>0</v>
      </c>
      <c r="Y11" s="77">
        <v>100</v>
      </c>
      <c r="Z11" s="77">
        <v>0</v>
      </c>
      <c r="AA11" s="4">
        <f ca="1">VLOOKUP(L11,[3]enemies!$A:$V,22,FALSE)</f>
        <v>3</v>
      </c>
      <c r="AB11" s="78">
        <f t="shared" si="1"/>
        <v>11</v>
      </c>
      <c r="AC11" s="4" t="str">
        <f ca="1">VLOOKUP(AB11,[3]enemies!$A:$B,2,FALSE)</f>
        <v>マグリット</v>
      </c>
      <c r="AD11" s="4">
        <f ca="1">VLOOKUP(AB11,[3]enemies!$A:$E,3,FALSE)</f>
        <v>1</v>
      </c>
      <c r="AE11" s="4" t="str">
        <f>VLOOKUP(AB11,[4]characters!$A:$J,10,FALSE)</f>
        <v>Drop1W</v>
      </c>
      <c r="AF11" s="79">
        <v>3</v>
      </c>
      <c r="AG11" s="78">
        <f t="shared" ca="1" si="4"/>
        <v>1</v>
      </c>
      <c r="AH11" s="80">
        <v>0</v>
      </c>
      <c r="AI11" s="79">
        <v>0</v>
      </c>
      <c r="AJ11" s="79">
        <v>0</v>
      </c>
      <c r="AK11" s="79">
        <v>0</v>
      </c>
      <c r="AL11" s="79">
        <v>0</v>
      </c>
      <c r="AM11" s="79">
        <v>1</v>
      </c>
    </row>
    <row r="12" spans="1:39" ht="21" customHeight="1" x14ac:dyDescent="0.15">
      <c r="A12" s="16" t="str">
        <f t="shared" ca="1" si="0"/>
        <v>20012_2-1/23&lt;lv26&gt;s4</v>
      </c>
      <c r="B12" s="23">
        <v>20012</v>
      </c>
      <c r="C12" s="22">
        <v>2</v>
      </c>
      <c r="D12" s="2" t="str">
        <f t="shared" si="2"/>
        <v>20012_2</v>
      </c>
      <c r="E12" s="4" t="str">
        <f ca="1">VLOOKUP($B12,OFFSET([2]quests!$A$1,0,0,COUNTA([2]quests!$A:$A),MATCH(E$1,[2]quests!$1:$1,0)-MATCH($B$1,[2]quests!$1:$1,0)+1),MATCH(E$1,[2]quests!$1:$1,0)-MATCH($B$1,[2]quests!$1:$1,0)+1,FALSE)</f>
        <v>罪と劇薬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【中級】罪と劇薬</v>
      </c>
      <c r="G12" s="22">
        <v>1</v>
      </c>
      <c r="H12" s="15" t="str">
        <f t="shared" si="3"/>
        <v>20012_2-1</v>
      </c>
      <c r="I12" s="4">
        <f ca="1">VLOOKUP($H12,OFFSET(floors!$A$1,0,0,COUNTA(floors!$A:$A),MATCH(I$1,floors!$1:$1,0)-MATCH($H$1,floors!$1:$1,0)+1),MATCH(I$1,floors!$1:$1,0)-MATCH($H$1,floors!$1:$1,0)+1,FALSE)</f>
        <v>35</v>
      </c>
      <c r="J12" s="4">
        <f ca="1">VLOOKUP($H12,OFFSET(floors!$A$1,0,0,COUNTA(floors!$A:$A),MATCH(J$1,floors!$1:$1,0)-MATCH($H$1,floors!$1:$1,0)+1),MATCH(J$1,floors!$1:$1,0)-MATCH($H$1,floors!$1:$1,0)+1,FALSE)</f>
        <v>35</v>
      </c>
      <c r="K12" s="39" t="s">
        <v>53</v>
      </c>
      <c r="L12" s="21">
        <v>23</v>
      </c>
      <c r="M12" s="17" t="str">
        <f ca="1">VLOOKUP(L12,[3]enemies!$A:$B,2,FALSE)</f>
        <v>ミール</v>
      </c>
      <c r="N12" s="19" t="str">
        <f ca="1">VLOOKUP(L12,[3]enemies!$A:$D,4,FALSE)</f>
        <v>green</v>
      </c>
      <c r="O12" s="19" t="str">
        <f>VLOOKUP(L12,[4]characters!$A:$J,10,FALSE)</f>
        <v>Drop1N</v>
      </c>
      <c r="P12" s="18" t="str">
        <f>VLOOKUP(L12,[4]characters!$A:$M,13,FALSE)</f>
        <v>animal</v>
      </c>
      <c r="Q12" s="4">
        <f ca="1">VLOOKUP(L12,[3]enemies!$A:$X,24,FALSE)</f>
        <v>15</v>
      </c>
      <c r="R12" s="5">
        <v>26</v>
      </c>
      <c r="S12" s="26">
        <v>1.4</v>
      </c>
      <c r="T12" s="26">
        <v>1.4</v>
      </c>
      <c r="U12" s="5">
        <v>0</v>
      </c>
      <c r="V12" s="4">
        <f ca="1">VLOOKUP(L12,[3]enemies!$A:$AB,28,FALSE)</f>
        <v>0</v>
      </c>
      <c r="W12" s="4" t="str">
        <f ca="1">IFERROR(VLOOKUP(V12,[5]enemy_skill_sets!$B:$E,4,FALSE),VLOOKUP(V12,enemy_skill_sets!B:E,4,FALSE))</f>
        <v>なし</v>
      </c>
      <c r="X12" s="6">
        <v>0</v>
      </c>
      <c r="Y12" s="6">
        <v>100</v>
      </c>
      <c r="Z12" s="6">
        <v>0</v>
      </c>
      <c r="AA12" s="4">
        <f ca="1">VLOOKUP(L12,[3]enemies!$A:$V,22,FALSE)</f>
        <v>4</v>
      </c>
      <c r="AB12" s="25">
        <f t="shared" si="1"/>
        <v>23</v>
      </c>
      <c r="AC12" s="4" t="str">
        <f ca="1">VLOOKUP(AB12,[3]enemies!$A:$B,2,FALSE)</f>
        <v>ミール</v>
      </c>
      <c r="AD12" s="4">
        <f ca="1">VLOOKUP(AB12,[3]enemies!$A:$E,3,FALSE)</f>
        <v>1</v>
      </c>
      <c r="AE12" s="4" t="str">
        <f>VLOOKUP(AB12,[4]characters!$A:$J,10,FALSE)</f>
        <v>Drop1N</v>
      </c>
      <c r="AF12" s="7">
        <v>3</v>
      </c>
      <c r="AG12" s="25">
        <f t="shared" ca="1" si="4"/>
        <v>1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 x14ac:dyDescent="0.15">
      <c r="A13" s="16" t="str">
        <f t="shared" ca="1" si="0"/>
        <v>20012_2-1/27&lt;lv26&gt;s1</v>
      </c>
      <c r="B13" s="23">
        <v>20012</v>
      </c>
      <c r="C13" s="22">
        <v>2</v>
      </c>
      <c r="D13" s="2" t="str">
        <f t="shared" si="2"/>
        <v>20012_2</v>
      </c>
      <c r="E13" s="4" t="str">
        <f ca="1">VLOOKUP($B13,OFFSET([2]quests!$A$1,0,0,COUNTA([2]quests!$A:$A),MATCH(E$1,[2]quests!$1:$1,0)-MATCH($B$1,[2]quests!$1:$1,0)+1),MATCH(E$1,[2]quests!$1:$1,0)-MATCH($B$1,[2]quests!$1:$1,0)+1,FALSE)</f>
        <v>罪と劇薬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【中級】罪と劇薬</v>
      </c>
      <c r="G13" s="22">
        <v>1</v>
      </c>
      <c r="H13" s="15" t="str">
        <f t="shared" si="3"/>
        <v>20012_2-1</v>
      </c>
      <c r="I13" s="4">
        <f ca="1">VLOOKUP($H13,OFFSET(floors!$A$1,0,0,COUNTA(floors!$A:$A),MATCH(I$1,floors!$1:$1,0)-MATCH($H$1,floors!$1:$1,0)+1),MATCH(I$1,floors!$1:$1,0)-MATCH($H$1,floors!$1:$1,0)+1,FALSE)</f>
        <v>35</v>
      </c>
      <c r="J13" s="4">
        <f ca="1">VLOOKUP($H13,OFFSET(floors!$A$1,0,0,COUNTA(floors!$A:$A),MATCH(J$1,floors!$1:$1,0)-MATCH($H$1,floors!$1:$1,0)+1),MATCH(J$1,floors!$1:$1,0)-MATCH($H$1,floors!$1:$1,0)+1,FALSE)</f>
        <v>35</v>
      </c>
      <c r="K13" s="39" t="s">
        <v>53</v>
      </c>
      <c r="L13" s="21">
        <v>27</v>
      </c>
      <c r="M13" s="17" t="str">
        <f ca="1">VLOOKUP(L13,[3]enemies!$A:$B,2,FALSE)</f>
        <v>パトライン</v>
      </c>
      <c r="N13" s="19" t="str">
        <f ca="1">VLOOKUP(L13,[3]enemies!$A:$D,4,FALSE)</f>
        <v>green</v>
      </c>
      <c r="O13" s="19" t="str">
        <f>VLOOKUP(L13,[4]characters!$A:$J,10,FALSE)</f>
        <v>Drop1N</v>
      </c>
      <c r="P13" s="18" t="str">
        <f>VLOOKUP(L13,[4]characters!$A:$M,13,FALSE)</f>
        <v>machine</v>
      </c>
      <c r="Q13" s="4">
        <f ca="1">VLOOKUP(L13,[3]enemies!$A:$X,24,FALSE)</f>
        <v>15</v>
      </c>
      <c r="R13" s="5">
        <v>26</v>
      </c>
      <c r="S13" s="26">
        <v>1.4</v>
      </c>
      <c r="T13" s="26">
        <v>1.4</v>
      </c>
      <c r="U13" s="5">
        <v>0</v>
      </c>
      <c r="V13" s="4">
        <f ca="1">VLOOKUP(L13,[3]enemies!$A:$AB,28,FALSE)</f>
        <v>0</v>
      </c>
      <c r="W13" s="4" t="str">
        <f ca="1">IFERROR(VLOOKUP(V13,[5]enemy_skill_sets!$B:$E,4,FALSE),VLOOKUP(V13,enemy_skill_sets!B:E,4,FALSE))</f>
        <v>なし</v>
      </c>
      <c r="X13" s="6">
        <v>0</v>
      </c>
      <c r="Y13" s="6">
        <v>100</v>
      </c>
      <c r="Z13" s="6">
        <v>0</v>
      </c>
      <c r="AA13" s="4">
        <f ca="1">VLOOKUP(L13,[3]enemies!$A:$V,22,FALSE)</f>
        <v>1</v>
      </c>
      <c r="AB13" s="25">
        <f t="shared" si="1"/>
        <v>27</v>
      </c>
      <c r="AC13" s="4" t="str">
        <f ca="1">VLOOKUP(AB13,[3]enemies!$A:$B,2,FALSE)</f>
        <v>パトライン</v>
      </c>
      <c r="AD13" s="4">
        <f ca="1">VLOOKUP(AB13,[3]enemies!$A:$E,3,FALSE)</f>
        <v>1</v>
      </c>
      <c r="AE13" s="4" t="str">
        <f>VLOOKUP(AB13,[4]characters!$A:$J,10,FALSE)</f>
        <v>Drop1N</v>
      </c>
      <c r="AF13" s="7">
        <v>3</v>
      </c>
      <c r="AG13" s="25">
        <f t="shared" ca="1" si="4"/>
        <v>1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 x14ac:dyDescent="0.15">
      <c r="A14" s="16" t="str">
        <f t="shared" ca="1" si="0"/>
        <v>20012_2-1/35&lt;lv26&gt;s4</v>
      </c>
      <c r="B14" s="23">
        <v>20012</v>
      </c>
      <c r="C14" s="22">
        <v>2</v>
      </c>
      <c r="D14" s="2" t="str">
        <f t="shared" si="2"/>
        <v>20012_2</v>
      </c>
      <c r="E14" s="4" t="str">
        <f ca="1">VLOOKUP($B14,OFFSET([2]quests!$A$1,0,0,COUNTA([2]quests!$A:$A),MATCH(E$1,[2]quests!$1:$1,0)-MATCH($B$1,[2]quests!$1:$1,0)+1),MATCH(E$1,[2]quests!$1:$1,0)-MATCH($B$1,[2]quests!$1:$1,0)+1,FALSE)</f>
        <v>罪と劇薬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【中級】罪と劇薬</v>
      </c>
      <c r="G14" s="22">
        <v>1</v>
      </c>
      <c r="H14" s="15" t="str">
        <f t="shared" si="3"/>
        <v>20012_2-1</v>
      </c>
      <c r="I14" s="4">
        <f ca="1">VLOOKUP($H14,OFFSET(floors!$A$1,0,0,COUNTA(floors!$A:$A),MATCH(I$1,floors!$1:$1,0)-MATCH($H$1,floors!$1:$1,0)+1),MATCH(I$1,floors!$1:$1,0)-MATCH($H$1,floors!$1:$1,0)+1,FALSE)</f>
        <v>35</v>
      </c>
      <c r="J14" s="4">
        <f ca="1">VLOOKUP($H14,OFFSET(floors!$A$1,0,0,COUNTA(floors!$A:$A),MATCH(J$1,floors!$1:$1,0)-MATCH($H$1,floors!$1:$1,0)+1),MATCH(J$1,floors!$1:$1,0)-MATCH($H$1,floors!$1:$1,0)+1,FALSE)</f>
        <v>35</v>
      </c>
      <c r="K14" s="39" t="s">
        <v>53</v>
      </c>
      <c r="L14" s="21">
        <v>35</v>
      </c>
      <c r="M14" s="17" t="str">
        <f ca="1">VLOOKUP(L14,[3]enemies!$A:$B,2,FALSE)</f>
        <v>F2</v>
      </c>
      <c r="N14" s="19" t="str">
        <f ca="1">VLOOKUP(L14,[3]enemies!$A:$D,4,FALSE)</f>
        <v>green</v>
      </c>
      <c r="O14" s="19" t="str">
        <f>VLOOKUP(L14,[4]characters!$A:$J,10,FALSE)</f>
        <v>Drop1S</v>
      </c>
      <c r="P14" s="18" t="str">
        <f>VLOOKUP(L14,[4]characters!$A:$M,13,FALSE)</f>
        <v>machine</v>
      </c>
      <c r="Q14" s="4">
        <f ca="1">VLOOKUP(L14,[3]enemies!$A:$X,24,FALSE)</f>
        <v>15</v>
      </c>
      <c r="R14" s="5">
        <v>26</v>
      </c>
      <c r="S14" s="26">
        <v>1.3</v>
      </c>
      <c r="T14" s="26">
        <v>0.5</v>
      </c>
      <c r="U14" s="5">
        <v>0</v>
      </c>
      <c r="V14" s="4">
        <f ca="1">VLOOKUP(L14,[3]enemies!$A:$AB,28,FALSE)</f>
        <v>35</v>
      </c>
      <c r="W14" s="4" t="str">
        <f ca="1">IFERROR(VLOOKUP(V14,[5]enemy_skill_sets!$B:$E,4,FALSE),VLOOKUP(V14,enemy_skill_sets!B:E,4,FALSE))</f>
        <v>じっとこちらを見ている</v>
      </c>
      <c r="X14" s="6">
        <v>0</v>
      </c>
      <c r="Y14" s="6">
        <v>100</v>
      </c>
      <c r="Z14" s="6">
        <v>0</v>
      </c>
      <c r="AA14" s="4">
        <f ca="1">VLOOKUP(L14,[3]enemies!$A:$V,22,FALSE)</f>
        <v>4</v>
      </c>
      <c r="AB14" s="25">
        <f t="shared" si="1"/>
        <v>35</v>
      </c>
      <c r="AC14" s="4" t="str">
        <f ca="1">VLOOKUP(AB14,[3]enemies!$A:$B,2,FALSE)</f>
        <v>F2</v>
      </c>
      <c r="AD14" s="4">
        <f ca="1">VLOOKUP(AB14,[3]enemies!$A:$E,3,FALSE)</f>
        <v>2</v>
      </c>
      <c r="AE14" s="4" t="str">
        <f>VLOOKUP(AB14,[4]characters!$A:$J,10,FALSE)</f>
        <v>Drop1S</v>
      </c>
      <c r="AF14" s="7">
        <v>3</v>
      </c>
      <c r="AG14" s="25">
        <f t="shared" ca="1" si="4"/>
        <v>2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 x14ac:dyDescent="0.15">
      <c r="A15" s="16" t="str">
        <f t="shared" ca="1" si="0"/>
        <v>20012_2-1/338&lt;lv7&gt;s3</v>
      </c>
      <c r="B15" s="23">
        <v>20012</v>
      </c>
      <c r="C15" s="22">
        <v>2</v>
      </c>
      <c r="D15" s="2" t="str">
        <f t="shared" si="2"/>
        <v>20012_2</v>
      </c>
      <c r="E15" s="4" t="str">
        <f ca="1">VLOOKUP($B15,OFFSET([2]quests!$A$1,0,0,COUNTA([2]quests!$A:$A),MATCH(E$1,[2]quests!$1:$1,0)-MATCH($B$1,[2]quests!$1:$1,0)+1),MATCH(E$1,[2]quests!$1:$1,0)-MATCH($B$1,[2]quests!$1:$1,0)+1,FALSE)</f>
        <v>罪と劇薬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【中級】罪と劇薬</v>
      </c>
      <c r="G15" s="22">
        <v>1</v>
      </c>
      <c r="H15" s="15" t="str">
        <f t="shared" si="3"/>
        <v>20012_2-1</v>
      </c>
      <c r="I15" s="4">
        <f ca="1">VLOOKUP($H15,OFFSET(floors!$A$1,0,0,COUNTA(floors!$A:$A),MATCH(I$1,floors!$1:$1,0)-MATCH($H$1,floors!$1:$1,0)+1),MATCH(I$1,floors!$1:$1,0)-MATCH($H$1,floors!$1:$1,0)+1,FALSE)</f>
        <v>35</v>
      </c>
      <c r="J15" s="4">
        <f ca="1">VLOOKUP($H15,OFFSET(floors!$A$1,0,0,COUNTA(floors!$A:$A),MATCH(J$1,floors!$1:$1,0)-MATCH($H$1,floors!$1:$1,0)+1),MATCH(J$1,floors!$1:$1,0)-MATCH($H$1,floors!$1:$1,0)+1,FALSE)</f>
        <v>35</v>
      </c>
      <c r="K15" s="39" t="s">
        <v>53</v>
      </c>
      <c r="L15" s="21">
        <v>338</v>
      </c>
      <c r="M15" s="17" t="str">
        <f ca="1">VLOOKUP(L15,[3]enemies!$A:$B,2,FALSE)</f>
        <v>森のメタルダック</v>
      </c>
      <c r="N15" s="19" t="str">
        <f ca="1">VLOOKUP(L15,[3]enemies!$A:$D,4,FALSE)</f>
        <v>green</v>
      </c>
      <c r="O15" s="19" t="str">
        <f>VLOOKUP(L15,[4]characters!$A:$J,10,FALSE)</f>
        <v>Material</v>
      </c>
      <c r="P15" s="18" t="str">
        <f>VLOOKUP(L15,[4]characters!$A:$M,13,FALSE)</f>
        <v>unknown</v>
      </c>
      <c r="Q15" s="4">
        <f ca="1">VLOOKUP(L15,[3]enemies!$A:$X,24,FALSE)</f>
        <v>20</v>
      </c>
      <c r="R15" s="5">
        <v>7</v>
      </c>
      <c r="S15" s="26">
        <v>0.3</v>
      </c>
      <c r="T15" s="26">
        <v>1</v>
      </c>
      <c r="U15" s="5">
        <v>0</v>
      </c>
      <c r="V15" s="4">
        <f ca="1">VLOOKUP(L15,[3]enemies!$A:$AB,28,FALSE)</f>
        <v>0</v>
      </c>
      <c r="W15" s="4" t="str">
        <f ca="1">IFERROR(VLOOKUP(V15,[5]enemy_skill_sets!$B:$E,4,FALSE),VLOOKUP(V15,enemy_skill_sets!B:E,4,FALSE))</f>
        <v>なし</v>
      </c>
      <c r="X15" s="6">
        <v>1</v>
      </c>
      <c r="Y15" s="6">
        <v>100</v>
      </c>
      <c r="Z15" s="6">
        <v>1</v>
      </c>
      <c r="AA15" s="4">
        <f ca="1">VLOOKUP(L15,[3]enemies!$A:$V,22,FALSE)</f>
        <v>3</v>
      </c>
      <c r="AB15" s="25">
        <f t="shared" si="1"/>
        <v>338</v>
      </c>
      <c r="AC15" s="4" t="str">
        <f ca="1">VLOOKUP(AB15,[3]enemies!$A:$B,2,FALSE)</f>
        <v>森のメタルダック</v>
      </c>
      <c r="AD15" s="4">
        <f ca="1">VLOOKUP(AB15,[3]enemies!$A:$E,3,FALSE)</f>
        <v>5</v>
      </c>
      <c r="AE15" s="4" t="str">
        <f>VLOOKUP(AB15,[4]characters!$A:$J,10,FALSE)</f>
        <v>Material</v>
      </c>
      <c r="AF15" s="7">
        <v>1</v>
      </c>
      <c r="AG15" s="25">
        <f t="shared" ca="1" si="4"/>
        <v>5</v>
      </c>
      <c r="AH15" s="8">
        <v>25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 x14ac:dyDescent="0.15">
      <c r="A16" s="16" t="str">
        <f t="shared" ca="1" si="0"/>
        <v>20012_2-2/12&lt;lv26&gt;s3</v>
      </c>
      <c r="B16" s="23">
        <v>20012</v>
      </c>
      <c r="C16" s="22">
        <v>2</v>
      </c>
      <c r="D16" s="2" t="str">
        <f t="shared" si="2"/>
        <v>20012_2</v>
      </c>
      <c r="E16" s="4" t="str">
        <f ca="1">VLOOKUP($B16,OFFSET([2]quests!$A$1,0,0,COUNTA([2]quests!$A:$A),MATCH(E$1,[2]quests!$1:$1,0)-MATCH($B$1,[2]quests!$1:$1,0)+1),MATCH(E$1,[2]quests!$1:$1,0)-MATCH($B$1,[2]quests!$1:$1,0)+1,FALSE)</f>
        <v>罪と劇薬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【中級】罪と劇薬</v>
      </c>
      <c r="G16" s="82">
        <v>2</v>
      </c>
      <c r="H16" s="15" t="str">
        <f t="shared" si="3"/>
        <v>20012_2-2</v>
      </c>
      <c r="I16" s="4">
        <f ca="1">VLOOKUP($H16,OFFSET(floors!$A$1,0,0,COUNTA(floors!$A:$A),MATCH(I$1,floors!$1:$1,0)-MATCH($H$1,floors!$1:$1,0)+1),MATCH(I$1,floors!$1:$1,0)-MATCH($H$1,floors!$1:$1,0)+1,FALSE)</f>
        <v>50</v>
      </c>
      <c r="J16" s="4">
        <f ca="1">VLOOKUP($H16,OFFSET(floors!$A$1,0,0,COUNTA(floors!$A:$A),MATCH(J$1,floors!$1:$1,0)-MATCH($H$1,floors!$1:$1,0)+1),MATCH(J$1,floors!$1:$1,0)-MATCH($H$1,floors!$1:$1,0)+1,FALSE)</f>
        <v>50</v>
      </c>
      <c r="K16" s="39" t="s">
        <v>53</v>
      </c>
      <c r="L16" s="21">
        <v>12</v>
      </c>
      <c r="M16" s="17" t="str">
        <f ca="1">VLOOKUP(L16,[3]enemies!$A:$B,2,FALSE)</f>
        <v>癒しのグラフィティ マグリット</v>
      </c>
      <c r="N16" s="19" t="str">
        <f ca="1">VLOOKUP(L16,[3]enemies!$A:$D,4,FALSE)</f>
        <v>green</v>
      </c>
      <c r="O16" s="19" t="str">
        <f>VLOOKUP(L16,[4]characters!$A:$J,10,FALSE)</f>
        <v>Drop1W</v>
      </c>
      <c r="P16" s="18" t="str">
        <f>VLOOKUP(L16,[4]characters!$A:$M,13,FALSE)</f>
        <v>animal</v>
      </c>
      <c r="Q16" s="4">
        <f ca="1">VLOOKUP(L16,[3]enemies!$A:$X,24,FALSE)</f>
        <v>15</v>
      </c>
      <c r="R16" s="5">
        <v>26</v>
      </c>
      <c r="S16" s="26">
        <v>1.5</v>
      </c>
      <c r="T16" s="26">
        <v>1.4</v>
      </c>
      <c r="U16" s="5">
        <v>0</v>
      </c>
      <c r="V16" s="4">
        <f ca="1">VLOOKUP(L16,[3]enemies!$A:$AB,28,FALSE)</f>
        <v>0</v>
      </c>
      <c r="W16" s="4" t="str">
        <f ca="1">IFERROR(VLOOKUP(V16,[5]enemy_skill_sets!$B:$E,4,FALSE),VLOOKUP(V16,enemy_skill_sets!B:E,4,FALSE))</f>
        <v>なし</v>
      </c>
      <c r="X16" s="6">
        <v>0</v>
      </c>
      <c r="Y16" s="6">
        <v>100</v>
      </c>
      <c r="Z16" s="6">
        <v>0</v>
      </c>
      <c r="AA16" s="4">
        <f ca="1">VLOOKUP(L16,[3]enemies!$A:$V,22,FALSE)</f>
        <v>3</v>
      </c>
      <c r="AB16" s="25">
        <f t="shared" si="1"/>
        <v>12</v>
      </c>
      <c r="AC16" s="4" t="str">
        <f ca="1">VLOOKUP(AB16,[3]enemies!$A:$B,2,FALSE)</f>
        <v>癒しのグラフィティ マグリット</v>
      </c>
      <c r="AD16" s="4">
        <f ca="1">VLOOKUP(AB16,[3]enemies!$A:$E,3,FALSE)</f>
        <v>2</v>
      </c>
      <c r="AE16" s="4" t="str">
        <f>VLOOKUP(AB16,[4]characters!$A:$J,10,FALSE)</f>
        <v>Drop1W</v>
      </c>
      <c r="AF16" s="7">
        <v>3</v>
      </c>
      <c r="AG16" s="25">
        <f t="shared" ca="1" si="4"/>
        <v>2</v>
      </c>
      <c r="AH16" s="8">
        <v>25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 x14ac:dyDescent="0.15">
      <c r="A17" s="16" t="str">
        <f t="shared" ca="1" si="0"/>
        <v>20012_2-2/24&lt;lv26&gt;s4</v>
      </c>
      <c r="B17" s="23">
        <v>20012</v>
      </c>
      <c r="C17" s="22">
        <v>2</v>
      </c>
      <c r="D17" s="2" t="str">
        <f t="shared" si="2"/>
        <v>20012_2</v>
      </c>
      <c r="E17" s="4" t="str">
        <f ca="1">VLOOKUP($B17,OFFSET([2]quests!$A$1,0,0,COUNTA([2]quests!$A:$A),MATCH(E$1,[2]quests!$1:$1,0)-MATCH($B$1,[2]quests!$1:$1,0)+1),MATCH(E$1,[2]quests!$1:$1,0)-MATCH($B$1,[2]quests!$1:$1,0)+1,FALSE)</f>
        <v>罪と劇薬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【中級】罪と劇薬</v>
      </c>
      <c r="G17" s="82">
        <v>2</v>
      </c>
      <c r="H17" s="15" t="str">
        <f t="shared" si="3"/>
        <v>20012_2-2</v>
      </c>
      <c r="I17" s="4">
        <f ca="1">VLOOKUP($H17,OFFSET(floors!$A$1,0,0,COUNTA(floors!$A:$A),MATCH(I$1,floors!$1:$1,0)-MATCH($H$1,floors!$1:$1,0)+1),MATCH(I$1,floors!$1:$1,0)-MATCH($H$1,floors!$1:$1,0)+1,FALSE)</f>
        <v>50</v>
      </c>
      <c r="J17" s="4">
        <f ca="1">VLOOKUP($H17,OFFSET(floors!$A$1,0,0,COUNTA(floors!$A:$A),MATCH(J$1,floors!$1:$1,0)-MATCH($H$1,floors!$1:$1,0)+1),MATCH(J$1,floors!$1:$1,0)-MATCH($H$1,floors!$1:$1,0)+1,FALSE)</f>
        <v>50</v>
      </c>
      <c r="K17" s="39" t="s">
        <v>53</v>
      </c>
      <c r="L17" s="21">
        <v>24</v>
      </c>
      <c r="M17" s="17" t="str">
        <f ca="1">VLOOKUP(L17,[3]enemies!$A:$B,2,FALSE)</f>
        <v>天翔のミール</v>
      </c>
      <c r="N17" s="19" t="str">
        <f ca="1">VLOOKUP(L17,[3]enemies!$A:$D,4,FALSE)</f>
        <v>green</v>
      </c>
      <c r="O17" s="19" t="str">
        <f>VLOOKUP(L17,[4]characters!$A:$J,10,FALSE)</f>
        <v>Drop1N</v>
      </c>
      <c r="P17" s="18" t="str">
        <f>VLOOKUP(L17,[4]characters!$A:$M,13,FALSE)</f>
        <v>animal</v>
      </c>
      <c r="Q17" s="4">
        <f ca="1">VLOOKUP(L17,[3]enemies!$A:$X,24,FALSE)</f>
        <v>15</v>
      </c>
      <c r="R17" s="5">
        <v>26</v>
      </c>
      <c r="S17" s="26">
        <v>1.5</v>
      </c>
      <c r="T17" s="26">
        <v>1.4</v>
      </c>
      <c r="U17" s="5">
        <v>0</v>
      </c>
      <c r="V17" s="4">
        <f ca="1">VLOOKUP(L17,[3]enemies!$A:$AB,28,FALSE)</f>
        <v>0</v>
      </c>
      <c r="W17" s="4" t="str">
        <f ca="1">IFERROR(VLOOKUP(V17,[5]enemy_skill_sets!$B:$E,4,FALSE),VLOOKUP(V17,enemy_skill_sets!B:E,4,FALSE))</f>
        <v>なし</v>
      </c>
      <c r="X17" s="6">
        <v>0</v>
      </c>
      <c r="Y17" s="6">
        <v>100</v>
      </c>
      <c r="Z17" s="6">
        <v>0</v>
      </c>
      <c r="AA17" s="4">
        <f ca="1">VLOOKUP(L17,[3]enemies!$A:$V,22,FALSE)</f>
        <v>4</v>
      </c>
      <c r="AB17" s="25">
        <f t="shared" si="1"/>
        <v>24</v>
      </c>
      <c r="AC17" s="4" t="str">
        <f ca="1">VLOOKUP(AB17,[3]enemies!$A:$B,2,FALSE)</f>
        <v>天翔のミール</v>
      </c>
      <c r="AD17" s="4">
        <f ca="1">VLOOKUP(AB17,[3]enemies!$A:$E,3,FALSE)</f>
        <v>2</v>
      </c>
      <c r="AE17" s="4" t="str">
        <f>VLOOKUP(AB17,[4]characters!$A:$J,10,FALSE)</f>
        <v>Drop1N</v>
      </c>
      <c r="AF17" s="7">
        <v>3</v>
      </c>
      <c r="AG17" s="25">
        <f t="shared" ca="1" si="4"/>
        <v>2</v>
      </c>
      <c r="AH17" s="8">
        <v>25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 x14ac:dyDescent="0.15">
      <c r="A18" s="16" t="str">
        <f t="shared" ca="1" si="0"/>
        <v>20012_2-2/28&lt;lv26&gt;s1</v>
      </c>
      <c r="B18" s="23">
        <v>20012</v>
      </c>
      <c r="C18" s="22">
        <v>2</v>
      </c>
      <c r="D18" s="2" t="str">
        <f t="shared" si="2"/>
        <v>20012_2</v>
      </c>
      <c r="E18" s="4" t="str">
        <f ca="1">VLOOKUP($B18,OFFSET([2]quests!$A$1,0,0,COUNTA([2]quests!$A:$A),MATCH(E$1,[2]quests!$1:$1,0)-MATCH($B$1,[2]quests!$1:$1,0)+1),MATCH(E$1,[2]quests!$1:$1,0)-MATCH($B$1,[2]quests!$1:$1,0)+1,FALSE)</f>
        <v>罪と劇薬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【中級】罪と劇薬</v>
      </c>
      <c r="G18" s="82">
        <v>2</v>
      </c>
      <c r="H18" s="15" t="str">
        <f t="shared" si="3"/>
        <v>20012_2-2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9" t="s">
        <v>53</v>
      </c>
      <c r="L18" s="21">
        <v>28</v>
      </c>
      <c r="M18" s="17" t="str">
        <f ca="1">VLOOKUP(L18,[3]enemies!$A:$B,2,FALSE)</f>
        <v>現場急行 パトラインカスタム</v>
      </c>
      <c r="N18" s="19" t="str">
        <f ca="1">VLOOKUP(L18,[3]enemies!$A:$D,4,FALSE)</f>
        <v>green</v>
      </c>
      <c r="O18" s="19" t="str">
        <f>VLOOKUP(L18,[4]characters!$A:$J,10,FALSE)</f>
        <v>Drop1N</v>
      </c>
      <c r="P18" s="18" t="str">
        <f>VLOOKUP(L18,[4]characters!$A:$M,13,FALSE)</f>
        <v>machine</v>
      </c>
      <c r="Q18" s="4">
        <f ca="1">VLOOKUP(L18,[3]enemies!$A:$X,24,FALSE)</f>
        <v>15</v>
      </c>
      <c r="R18" s="5">
        <v>26</v>
      </c>
      <c r="S18" s="26">
        <v>1.5</v>
      </c>
      <c r="T18" s="26">
        <v>1.4</v>
      </c>
      <c r="U18" s="5">
        <v>0</v>
      </c>
      <c r="V18" s="4">
        <f ca="1">VLOOKUP(L18,[3]enemies!$A:$AB,28,FALSE)</f>
        <v>28</v>
      </c>
      <c r="W18" s="4" t="str">
        <f ca="1">IFERROR(VLOOKUP(V18,[5]enemy_skill_sets!$B:$E,4,FALSE),VLOOKUP(V18,enemy_skill_sets!B:E,4,FALSE))</f>
        <v>回復</v>
      </c>
      <c r="X18" s="6">
        <v>0</v>
      </c>
      <c r="Y18" s="6">
        <v>100</v>
      </c>
      <c r="Z18" s="6">
        <v>0</v>
      </c>
      <c r="AA18" s="4">
        <f ca="1">VLOOKUP(L18,[3]enemies!$A:$V,22,FALSE)</f>
        <v>1</v>
      </c>
      <c r="AB18" s="25">
        <f t="shared" si="1"/>
        <v>28</v>
      </c>
      <c r="AC18" s="4" t="str">
        <f ca="1">VLOOKUP(AB18,[3]enemies!$A:$B,2,FALSE)</f>
        <v>現場急行 パトラインカスタム</v>
      </c>
      <c r="AD18" s="4">
        <f ca="1">VLOOKUP(AB18,[3]enemies!$A:$E,3,FALSE)</f>
        <v>2</v>
      </c>
      <c r="AE18" s="4" t="str">
        <f>VLOOKUP(AB18,[4]characters!$A:$J,10,FALSE)</f>
        <v>Drop1N</v>
      </c>
      <c r="AF18" s="7">
        <v>3</v>
      </c>
      <c r="AG18" s="25">
        <f t="shared" ca="1" si="4"/>
        <v>2</v>
      </c>
      <c r="AH18" s="8">
        <v>25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 x14ac:dyDescent="0.15">
      <c r="A19" s="16" t="str">
        <f t="shared" ca="1" si="0"/>
        <v>20012_2-2/36&lt;lv26&gt;s6</v>
      </c>
      <c r="B19" s="23">
        <v>20012</v>
      </c>
      <c r="C19" s="22">
        <v>2</v>
      </c>
      <c r="D19" s="2" t="str">
        <f t="shared" si="2"/>
        <v>20012_2</v>
      </c>
      <c r="E19" s="4" t="str">
        <f ca="1">VLOOKUP($B19,OFFSET([2]quests!$A$1,0,0,COUNTA([2]quests!$A:$A),MATCH(E$1,[2]quests!$1:$1,0)-MATCH($B$1,[2]quests!$1:$1,0)+1),MATCH(E$1,[2]quests!$1:$1,0)-MATCH($B$1,[2]quests!$1:$1,0)+1,FALSE)</f>
        <v>罪と劇薬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【中級】罪と劇薬</v>
      </c>
      <c r="G19" s="82">
        <v>2</v>
      </c>
      <c r="H19" s="15" t="str">
        <f t="shared" si="3"/>
        <v>20012_2-2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9" t="s">
        <v>53</v>
      </c>
      <c r="L19" s="21">
        <v>36</v>
      </c>
      <c r="M19" s="17" t="str">
        <f ca="1">VLOOKUP(L19,[3]enemies!$A:$B,2,FALSE)</f>
        <v>オフィス追尾型移動地雷F3</v>
      </c>
      <c r="N19" s="19" t="str">
        <f ca="1">VLOOKUP(L19,[3]enemies!$A:$D,4,FALSE)</f>
        <v>green</v>
      </c>
      <c r="O19" s="19" t="str">
        <f>VLOOKUP(L19,[4]characters!$A:$J,10,FALSE)</f>
        <v>Drop1S</v>
      </c>
      <c r="P19" s="18" t="str">
        <f>VLOOKUP(L19,[4]characters!$A:$M,13,FALSE)</f>
        <v>machine</v>
      </c>
      <c r="Q19" s="4">
        <f ca="1">VLOOKUP(L19,[3]enemies!$A:$X,24,FALSE)</f>
        <v>20</v>
      </c>
      <c r="R19" s="5">
        <v>26</v>
      </c>
      <c r="S19" s="26">
        <v>1.3</v>
      </c>
      <c r="T19" s="26">
        <v>0.5</v>
      </c>
      <c r="U19" s="5">
        <v>0</v>
      </c>
      <c r="V19" s="4">
        <f ca="1">VLOOKUP(L19,[3]enemies!$A:$AB,28,FALSE)</f>
        <v>36</v>
      </c>
      <c r="W19" s="4" t="str">
        <f ca="1">IFERROR(VLOOKUP(V19,[5]enemy_skill_sets!$B:$E,4,FALSE),VLOOKUP(V19,enemy_skill_sets!B:E,4,FALSE))</f>
        <v>何やら様子がおかしい！</v>
      </c>
      <c r="X19" s="6">
        <v>0</v>
      </c>
      <c r="Y19" s="6">
        <v>100</v>
      </c>
      <c r="Z19" s="6">
        <v>0</v>
      </c>
      <c r="AA19" s="4">
        <f ca="1">VLOOKUP(L19,[3]enemies!$A:$V,22,FALSE)</f>
        <v>6</v>
      </c>
      <c r="AB19" s="25">
        <f t="shared" si="1"/>
        <v>36</v>
      </c>
      <c r="AC19" s="4" t="str">
        <f ca="1">VLOOKUP(AB19,[3]enemies!$A:$B,2,FALSE)</f>
        <v>オフィス追尾型移動地雷F3</v>
      </c>
      <c r="AD19" s="4">
        <f ca="1">VLOOKUP(AB19,[3]enemies!$A:$E,3,FALSE)</f>
        <v>3</v>
      </c>
      <c r="AE19" s="4" t="str">
        <f>VLOOKUP(AB19,[4]characters!$A:$J,10,FALSE)</f>
        <v>Drop1S</v>
      </c>
      <c r="AF19" s="7">
        <v>3</v>
      </c>
      <c r="AG19" s="25">
        <f t="shared" ca="1" si="4"/>
        <v>3</v>
      </c>
      <c r="AH19" s="8">
        <v>25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 x14ac:dyDescent="0.15">
      <c r="A20" s="16" t="str">
        <f t="shared" ca="1" si="0"/>
        <v>20012_2-2/13&lt;lv26&gt;s2</v>
      </c>
      <c r="B20" s="23">
        <v>20012</v>
      </c>
      <c r="C20" s="22">
        <v>2</v>
      </c>
      <c r="D20" s="2" t="str">
        <f t="shared" si="2"/>
        <v>20012_2</v>
      </c>
      <c r="E20" s="4" t="str">
        <f ca="1">VLOOKUP($B20,OFFSET([2]quests!$A$1,0,0,COUNTA([2]quests!$A:$A),MATCH(E$1,[2]quests!$1:$1,0)-MATCH($B$1,[2]quests!$1:$1,0)+1),MATCH(E$1,[2]quests!$1:$1,0)-MATCH($B$1,[2]quests!$1:$1,0)+1,FALSE)</f>
        <v>罪と劇薬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【中級】罪と劇薬</v>
      </c>
      <c r="G20" s="82">
        <v>2</v>
      </c>
      <c r="H20" s="15" t="str">
        <f t="shared" si="3"/>
        <v>20012_2-2</v>
      </c>
      <c r="I20" s="4">
        <f ca="1">VLOOKUP($H20,OFFSET(floors!$A$1,0,0,COUNTA(floors!$A:$A),MATCH(I$1,floors!$1:$1,0)-MATCH($H$1,floors!$1:$1,0)+1),MATCH(I$1,floors!$1:$1,0)-MATCH($H$1,floors!$1:$1,0)+1,FALSE)</f>
        <v>50</v>
      </c>
      <c r="J20" s="4">
        <f ca="1">VLOOKUP($H20,OFFSET(floors!$A$1,0,0,COUNTA(floors!$A:$A),MATCH(J$1,floors!$1:$1,0)-MATCH($H$1,floors!$1:$1,0)+1),MATCH(J$1,floors!$1:$1,0)-MATCH($H$1,floors!$1:$1,0)+1,FALSE)</f>
        <v>50</v>
      </c>
      <c r="K20" s="39" t="s">
        <v>53</v>
      </c>
      <c r="L20" s="21">
        <v>13</v>
      </c>
      <c r="M20" s="17" t="str">
        <f ca="1">VLOOKUP(L20,[3]enemies!$A:$B,2,FALSE)</f>
        <v>ミミ</v>
      </c>
      <c r="N20" s="19" t="str">
        <f ca="1">VLOOKUP(L20,[3]enemies!$A:$D,4,FALSE)</f>
        <v>yellow</v>
      </c>
      <c r="O20" s="19" t="str">
        <f>VLOOKUP(L20,[4]characters!$A:$J,10,FALSE)</f>
        <v>Drop1W</v>
      </c>
      <c r="P20" s="18" t="str">
        <f>VLOOKUP(L20,[4]characters!$A:$M,13,FALSE)</f>
        <v>animal</v>
      </c>
      <c r="Q20" s="4">
        <f ca="1">VLOOKUP(L20,[3]enemies!$A:$X,24,FALSE)</f>
        <v>15</v>
      </c>
      <c r="R20" s="5">
        <v>26</v>
      </c>
      <c r="S20" s="26">
        <v>1.5</v>
      </c>
      <c r="T20" s="26">
        <v>1.4</v>
      </c>
      <c r="U20" s="5">
        <v>0</v>
      </c>
      <c r="V20" s="4">
        <f ca="1">VLOOKUP(L20,[3]enemies!$A:$AB,28,FALSE)</f>
        <v>0</v>
      </c>
      <c r="W20" s="4" t="str">
        <f ca="1">IFERROR(VLOOKUP(V20,[5]enemy_skill_sets!$B:$E,4,FALSE),VLOOKUP(V20,enemy_skill_sets!B:E,4,FALSE))</f>
        <v>なし</v>
      </c>
      <c r="X20" s="6">
        <v>0</v>
      </c>
      <c r="Y20" s="6">
        <v>100</v>
      </c>
      <c r="Z20" s="6">
        <v>0</v>
      </c>
      <c r="AA20" s="4">
        <f ca="1">VLOOKUP(L20,[3]enemies!$A:$V,22,FALSE)</f>
        <v>2</v>
      </c>
      <c r="AB20" s="25">
        <f t="shared" si="1"/>
        <v>13</v>
      </c>
      <c r="AC20" s="4" t="str">
        <f ca="1">VLOOKUP(AB20,[3]enemies!$A:$B,2,FALSE)</f>
        <v>ミミ</v>
      </c>
      <c r="AD20" s="4">
        <f ca="1">VLOOKUP(AB20,[3]enemies!$A:$E,3,FALSE)</f>
        <v>1</v>
      </c>
      <c r="AE20" s="4" t="str">
        <f>VLOOKUP(AB20,[4]characters!$A:$J,10,FALSE)</f>
        <v>Drop1W</v>
      </c>
      <c r="AF20" s="7">
        <v>3</v>
      </c>
      <c r="AG20" s="25">
        <f t="shared" ca="1" si="4"/>
        <v>1</v>
      </c>
      <c r="AH20" s="8">
        <v>25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 x14ac:dyDescent="0.15">
      <c r="A21" s="16" t="str">
        <f t="shared" ca="1" si="0"/>
        <v>20012_2-2/19&lt;lv26&gt;s3</v>
      </c>
      <c r="B21" s="23">
        <v>20012</v>
      </c>
      <c r="C21" s="22">
        <v>2</v>
      </c>
      <c r="D21" s="2" t="str">
        <f t="shared" si="2"/>
        <v>20012_2</v>
      </c>
      <c r="E21" s="4" t="str">
        <f ca="1">VLOOKUP($B21,OFFSET([2]quests!$A$1,0,0,COUNTA([2]quests!$A:$A),MATCH(E$1,[2]quests!$1:$1,0)-MATCH($B$1,[2]quests!$1:$1,0)+1),MATCH(E$1,[2]quests!$1:$1,0)-MATCH($B$1,[2]quests!$1:$1,0)+1,FALSE)</f>
        <v>罪と劇薬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【中級】罪と劇薬</v>
      </c>
      <c r="G21" s="82">
        <v>2</v>
      </c>
      <c r="H21" s="15" t="str">
        <f t="shared" si="3"/>
        <v>20012_2-2</v>
      </c>
      <c r="I21" s="4">
        <f ca="1">VLOOKUP($H21,OFFSET(floors!$A$1,0,0,COUNTA(floors!$A:$A),MATCH(I$1,floors!$1:$1,0)-MATCH($H$1,floors!$1:$1,0)+1),MATCH(I$1,floors!$1:$1,0)-MATCH($H$1,floors!$1:$1,0)+1,FALSE)</f>
        <v>50</v>
      </c>
      <c r="J21" s="4">
        <f ca="1">VLOOKUP($H21,OFFSET(floors!$A$1,0,0,COUNTA(floors!$A:$A),MATCH(J$1,floors!$1:$1,0)-MATCH($H$1,floors!$1:$1,0)+1),MATCH(J$1,floors!$1:$1,0)-MATCH($H$1,floors!$1:$1,0)+1,FALSE)</f>
        <v>50</v>
      </c>
      <c r="K21" s="39" t="s">
        <v>53</v>
      </c>
      <c r="L21" s="21">
        <v>19</v>
      </c>
      <c r="M21" s="17" t="str">
        <f ca="1">VLOOKUP(L21,[3]enemies!$A:$B,2,FALSE)</f>
        <v>ティンク</v>
      </c>
      <c r="N21" s="19" t="str">
        <f ca="1">VLOOKUP(L21,[3]enemies!$A:$D,4,FALSE)</f>
        <v>yellow</v>
      </c>
      <c r="O21" s="19" t="str">
        <f>VLOOKUP(L21,[4]characters!$A:$J,10,FALSE)</f>
        <v>Drop1W</v>
      </c>
      <c r="P21" s="18" t="str">
        <f>VLOOKUP(L21,[4]characters!$A:$M,13,FALSE)</f>
        <v>human</v>
      </c>
      <c r="Q21" s="4">
        <f ca="1">VLOOKUP(L21,[3]enemies!$A:$X,24,FALSE)</f>
        <v>15</v>
      </c>
      <c r="R21" s="5">
        <v>26</v>
      </c>
      <c r="S21" s="26">
        <v>1.5</v>
      </c>
      <c r="T21" s="26">
        <v>1.4</v>
      </c>
      <c r="U21" s="5">
        <v>0</v>
      </c>
      <c r="V21" s="4">
        <f ca="1">VLOOKUP(L21,[3]enemies!$A:$AB,28,FALSE)</f>
        <v>0</v>
      </c>
      <c r="W21" s="4" t="str">
        <f ca="1">IFERROR(VLOOKUP(V21,[5]enemy_skill_sets!$B:$E,4,FALSE),VLOOKUP(V21,enemy_skill_sets!B:E,4,FALSE))</f>
        <v>なし</v>
      </c>
      <c r="X21" s="6">
        <v>0</v>
      </c>
      <c r="Y21" s="6">
        <v>100</v>
      </c>
      <c r="Z21" s="6">
        <v>0</v>
      </c>
      <c r="AA21" s="4">
        <f ca="1">VLOOKUP(L21,[3]enemies!$A:$V,22,FALSE)</f>
        <v>3</v>
      </c>
      <c r="AB21" s="25">
        <f t="shared" si="1"/>
        <v>19</v>
      </c>
      <c r="AC21" s="4" t="str">
        <f ca="1">VLOOKUP(AB21,[3]enemies!$A:$B,2,FALSE)</f>
        <v>ティンク</v>
      </c>
      <c r="AD21" s="4">
        <f ca="1">VLOOKUP(AB21,[3]enemies!$A:$E,3,FALSE)</f>
        <v>1</v>
      </c>
      <c r="AE21" s="4" t="str">
        <f>VLOOKUP(AB21,[4]characters!$A:$J,10,FALSE)</f>
        <v>Drop1W</v>
      </c>
      <c r="AF21" s="7">
        <v>3</v>
      </c>
      <c r="AG21" s="25">
        <f t="shared" ca="1" si="4"/>
        <v>1</v>
      </c>
      <c r="AH21" s="8">
        <v>25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  <row r="22" spans="1:39" ht="21" customHeight="1" x14ac:dyDescent="0.15">
      <c r="A22" s="16" t="str">
        <f t="shared" ca="1" si="0"/>
        <v>20012_2-2/31&lt;lv26&gt;s2</v>
      </c>
      <c r="B22" s="23">
        <v>20012</v>
      </c>
      <c r="C22" s="22">
        <v>2</v>
      </c>
      <c r="D22" s="2" t="str">
        <f t="shared" si="2"/>
        <v>20012_2</v>
      </c>
      <c r="E22" s="4" t="str">
        <f ca="1">VLOOKUP($B22,OFFSET([2]quests!$A$1,0,0,COUNTA([2]quests!$A:$A),MATCH(E$1,[2]quests!$1:$1,0)-MATCH($B$1,[2]quests!$1:$1,0)+1),MATCH(E$1,[2]quests!$1:$1,0)-MATCH($B$1,[2]quests!$1:$1,0)+1,FALSE)</f>
        <v>罪と劇薬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【中級】罪と劇薬</v>
      </c>
      <c r="G22" s="82">
        <v>2</v>
      </c>
      <c r="H22" s="15" t="str">
        <f t="shared" si="3"/>
        <v>20012_2-2</v>
      </c>
      <c r="I22" s="4">
        <f ca="1">VLOOKUP($H22,OFFSET(floors!$A$1,0,0,COUNTA(floors!$A:$A),MATCH(I$1,floors!$1:$1,0)-MATCH($H$1,floors!$1:$1,0)+1),MATCH(I$1,floors!$1:$1,0)-MATCH($H$1,floors!$1:$1,0)+1,FALSE)</f>
        <v>50</v>
      </c>
      <c r="J22" s="4">
        <f ca="1">VLOOKUP($H22,OFFSET(floors!$A$1,0,0,COUNTA(floors!$A:$A),MATCH(J$1,floors!$1:$1,0)-MATCH($H$1,floors!$1:$1,0)+1),MATCH(J$1,floors!$1:$1,0)-MATCH($H$1,floors!$1:$1,0)+1,FALSE)</f>
        <v>50</v>
      </c>
      <c r="K22" s="39" t="s">
        <v>53</v>
      </c>
      <c r="L22" s="21">
        <v>31</v>
      </c>
      <c r="M22" s="17" t="str">
        <f ca="1">VLOOKUP(L22,[3]enemies!$A:$B,2,FALSE)</f>
        <v>マービー</v>
      </c>
      <c r="N22" s="19" t="str">
        <f ca="1">VLOOKUP(L22,[3]enemies!$A:$D,4,FALSE)</f>
        <v>yellow</v>
      </c>
      <c r="O22" s="19" t="str">
        <f>VLOOKUP(L22,[4]characters!$A:$J,10,FALSE)</f>
        <v>Drop1N</v>
      </c>
      <c r="P22" s="18" t="str">
        <f>VLOOKUP(L22,[4]characters!$A:$M,13,FALSE)</f>
        <v>machine</v>
      </c>
      <c r="Q22" s="4">
        <f ca="1">VLOOKUP(L22,[3]enemies!$A:$X,24,FALSE)</f>
        <v>15</v>
      </c>
      <c r="R22" s="5">
        <v>26</v>
      </c>
      <c r="S22" s="26">
        <v>1.5</v>
      </c>
      <c r="T22" s="26">
        <v>1.4</v>
      </c>
      <c r="U22" s="5">
        <v>0</v>
      </c>
      <c r="V22" s="4">
        <f ca="1">VLOOKUP(L22,[3]enemies!$A:$AB,28,FALSE)</f>
        <v>0</v>
      </c>
      <c r="W22" s="4" t="str">
        <f ca="1">IFERROR(VLOOKUP(V22,[5]enemy_skill_sets!$B:$E,4,FALSE),VLOOKUP(V22,enemy_skill_sets!B:E,4,FALSE))</f>
        <v>なし</v>
      </c>
      <c r="X22" s="6">
        <v>0</v>
      </c>
      <c r="Y22" s="6">
        <v>100</v>
      </c>
      <c r="Z22" s="6">
        <v>0</v>
      </c>
      <c r="AA22" s="4">
        <f ca="1">VLOOKUP(L22,[3]enemies!$A:$V,22,FALSE)</f>
        <v>2</v>
      </c>
      <c r="AB22" s="25">
        <f t="shared" si="1"/>
        <v>31</v>
      </c>
      <c r="AC22" s="4" t="str">
        <f ca="1">VLOOKUP(AB22,[3]enemies!$A:$B,2,FALSE)</f>
        <v>マービー</v>
      </c>
      <c r="AD22" s="4">
        <f ca="1">VLOOKUP(AB22,[3]enemies!$A:$E,3,FALSE)</f>
        <v>1</v>
      </c>
      <c r="AE22" s="4" t="str">
        <f>VLOOKUP(AB22,[4]characters!$A:$J,10,FALSE)</f>
        <v>Drop1N</v>
      </c>
      <c r="AF22" s="7">
        <v>3</v>
      </c>
      <c r="AG22" s="25">
        <f t="shared" ca="1" si="4"/>
        <v>1</v>
      </c>
      <c r="AH22" s="8">
        <v>25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</row>
    <row r="23" spans="1:39" ht="21" customHeight="1" x14ac:dyDescent="0.15">
      <c r="A23" s="16" t="str">
        <f t="shared" ca="1" si="0"/>
        <v>20012_2-2/39&lt;lv26&gt;s3</v>
      </c>
      <c r="B23" s="23">
        <v>20012</v>
      </c>
      <c r="C23" s="22">
        <v>2</v>
      </c>
      <c r="D23" s="2" t="str">
        <f t="shared" si="2"/>
        <v>20012_2</v>
      </c>
      <c r="E23" s="4" t="str">
        <f ca="1">VLOOKUP($B23,OFFSET([2]quests!$A$1,0,0,COUNTA([2]quests!$A:$A),MATCH(E$1,[2]quests!$1:$1,0)-MATCH($B$1,[2]quests!$1:$1,0)+1),MATCH(E$1,[2]quests!$1:$1,0)-MATCH($B$1,[2]quests!$1:$1,0)+1,FALSE)</f>
        <v>罪と劇薬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【中級】罪と劇薬</v>
      </c>
      <c r="G23" s="82">
        <v>2</v>
      </c>
      <c r="H23" s="15" t="str">
        <f t="shared" si="3"/>
        <v>20012_2-2</v>
      </c>
      <c r="I23" s="4">
        <f ca="1">VLOOKUP($H23,OFFSET(floors!$A$1,0,0,COUNTA(floors!$A:$A),MATCH(I$1,floors!$1:$1,0)-MATCH($H$1,floors!$1:$1,0)+1),MATCH(I$1,floors!$1:$1,0)-MATCH($H$1,floors!$1:$1,0)+1,FALSE)</f>
        <v>50</v>
      </c>
      <c r="J23" s="4">
        <f ca="1">VLOOKUP($H23,OFFSET(floors!$A$1,0,0,COUNTA(floors!$A:$A),MATCH(J$1,floors!$1:$1,0)-MATCH($H$1,floors!$1:$1,0)+1),MATCH(J$1,floors!$1:$1,0)-MATCH($H$1,floors!$1:$1,0)+1,FALSE)</f>
        <v>50</v>
      </c>
      <c r="K23" s="39" t="s">
        <v>53</v>
      </c>
      <c r="L23" s="21">
        <v>39</v>
      </c>
      <c r="M23" s="17" t="str">
        <f ca="1">VLOOKUP(L23,[3]enemies!$A:$B,2,FALSE)</f>
        <v>マーロン</v>
      </c>
      <c r="N23" s="19" t="str">
        <f ca="1">VLOOKUP(L23,[3]enemies!$A:$D,4,FALSE)</f>
        <v>yellow</v>
      </c>
      <c r="O23" s="19" t="str">
        <f>VLOOKUP(L23,[4]characters!$A:$J,10,FALSE)</f>
        <v>Drop1S</v>
      </c>
      <c r="P23" s="18" t="str">
        <f>VLOOKUP(L23,[4]characters!$A:$M,13,FALSE)</f>
        <v>human</v>
      </c>
      <c r="Q23" s="4">
        <f ca="1">VLOOKUP(L23,[3]enemies!$A:$X,24,FALSE)</f>
        <v>15</v>
      </c>
      <c r="R23" s="5">
        <v>26</v>
      </c>
      <c r="S23" s="26">
        <v>1.5</v>
      </c>
      <c r="T23" s="26">
        <v>1.4</v>
      </c>
      <c r="U23" s="5">
        <v>0</v>
      </c>
      <c r="V23" s="4">
        <f ca="1">VLOOKUP(L23,[3]enemies!$A:$AB,28,FALSE)</f>
        <v>39</v>
      </c>
      <c r="W23" s="4" t="str">
        <f ca="1">IFERROR(VLOOKUP(V23,[5]enemy_skill_sets!$B:$E,4,FALSE),VLOOKUP(V23,enemy_skill_sets!B:E,4,FALSE))</f>
        <v>3ターンスキルが使えない！</v>
      </c>
      <c r="X23" s="6">
        <v>0</v>
      </c>
      <c r="Y23" s="6">
        <v>100</v>
      </c>
      <c r="Z23" s="6">
        <v>0</v>
      </c>
      <c r="AA23" s="4">
        <f ca="1">VLOOKUP(L23,[3]enemies!$A:$V,22,FALSE)</f>
        <v>3</v>
      </c>
      <c r="AB23" s="25">
        <f t="shared" si="1"/>
        <v>39</v>
      </c>
      <c r="AC23" s="4" t="str">
        <f ca="1">VLOOKUP(AB23,[3]enemies!$A:$B,2,FALSE)</f>
        <v>マーロン</v>
      </c>
      <c r="AD23" s="4">
        <f ca="1">VLOOKUP(AB23,[3]enemies!$A:$E,3,FALSE)</f>
        <v>2</v>
      </c>
      <c r="AE23" s="4" t="str">
        <f>VLOOKUP(AB23,[4]characters!$A:$J,10,FALSE)</f>
        <v>Drop1S</v>
      </c>
      <c r="AF23" s="7">
        <v>3</v>
      </c>
      <c r="AG23" s="25">
        <f t="shared" ca="1" si="4"/>
        <v>2</v>
      </c>
      <c r="AH23" s="8">
        <v>25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</row>
    <row r="24" spans="1:39" s="67" customFormat="1" ht="21" customHeight="1" thickBot="1" x14ac:dyDescent="0.2">
      <c r="A24" s="54" t="str">
        <f t="shared" si="0"/>
        <v>20012_2-3/300&lt;lv40&gt;s2</v>
      </c>
      <c r="B24" s="55">
        <v>20012</v>
      </c>
      <c r="C24" s="56">
        <v>2</v>
      </c>
      <c r="D24" s="57" t="str">
        <f t="shared" si="2"/>
        <v>20012_2</v>
      </c>
      <c r="E24" s="58" t="str">
        <f ca="1">VLOOKUP($B24,OFFSET([2]quests!$A$1,0,0,COUNTA([2]quests!$A:$A),MATCH(E$1,[2]quests!$1:$1,0)-MATCH($B$1,[2]quests!$1:$1,0)+1),MATCH(E$1,[2]quests!$1:$1,0)-MATCH($B$1,[2]quests!$1:$1,0)+1,FALSE)</f>
        <v>罪と劇薬</v>
      </c>
      <c r="F24" s="58" t="str">
        <f ca="1">VLOOKUP($D24,OFFSET([2]stages!$A$1,0,0,COUNTA([2]stages!$A:$A),MATCH(F$1,[2]stages!$2:$2,0)-MATCH($D$1,[2]stages!$2:$2,0)+1),MATCH(F$1,[2]stages!$2:$2,0)-MATCH($D$1,[2]stages!$2:$2,0)+1,FALSE)</f>
        <v>【中級】罪と劇薬</v>
      </c>
      <c r="G24" s="56">
        <v>3</v>
      </c>
      <c r="H24" s="57" t="str">
        <f t="shared" si="3"/>
        <v>20012_2-3</v>
      </c>
      <c r="I24" s="58">
        <f ca="1">VLOOKUP($H24,OFFSET(floors!$A$1,0,0,COUNTA(floors!$A:$A),MATCH(I$1,floors!$1:$1,0)-MATCH($H$1,floors!$1:$1,0)+1),MATCH(I$1,floors!$1:$1,0)-MATCH($H$1,floors!$1:$1,0)+1,FALSE)</f>
        <v>20</v>
      </c>
      <c r="J24" s="58">
        <f ca="1">VLOOKUP($H24,OFFSET(floors!$A$1,0,0,COUNTA(floors!$A:$A),MATCH(J$1,floors!$1:$1,0)-MATCH($H$1,floors!$1:$1,0)+1),MATCH(J$1,floors!$1:$1,0)-MATCH($H$1,floors!$1:$1,0)+1,FALSE)</f>
        <v>20</v>
      </c>
      <c r="K24" s="59">
        <v>1</v>
      </c>
      <c r="L24" s="60">
        <v>300</v>
      </c>
      <c r="M24" s="17" t="str">
        <f ca="1">VLOOKUP(L24,[3]enemies!$A:$B,2,FALSE)</f>
        <v>毒殺のチカ</v>
      </c>
      <c r="N24" s="19" t="str">
        <f ca="1">VLOOKUP(L24,[3]enemies!$A:$D,4,FALSE)</f>
        <v>green</v>
      </c>
      <c r="O24" s="19" t="str">
        <f>VLOOKUP(L24,[4]characters!$A:$J,10,FALSE)</f>
        <v>Drop2W</v>
      </c>
      <c r="P24" s="18" t="str">
        <f>VLOOKUP(L24,[4]characters!$A:$M,13,FALSE)</f>
        <v>human</v>
      </c>
      <c r="Q24" s="4">
        <f ca="1">VLOOKUP(L24,[3]enemies!$A:$X,24,FALSE)</f>
        <v>20</v>
      </c>
      <c r="R24" s="61">
        <v>40</v>
      </c>
      <c r="S24" s="62">
        <v>2.2000000000000002</v>
      </c>
      <c r="T24" s="62">
        <v>1</v>
      </c>
      <c r="U24" s="61">
        <v>0</v>
      </c>
      <c r="V24" s="83">
        <v>20012004</v>
      </c>
      <c r="W24" s="4" t="str">
        <f>IFERROR(VLOOKUP(V24,[5]enemy_skill_sets!$B:$E,4,FALSE),VLOOKUP(V24,enemy_skill_sets!B:E,4,FALSE))</f>
        <v>実験への協力、感謝する</v>
      </c>
      <c r="X24" s="63">
        <v>1</v>
      </c>
      <c r="Y24" s="63">
        <v>100</v>
      </c>
      <c r="Z24" s="63">
        <v>1</v>
      </c>
      <c r="AA24" s="83">
        <v>2</v>
      </c>
      <c r="AB24" s="64">
        <f t="shared" si="1"/>
        <v>300</v>
      </c>
      <c r="AC24" s="4" t="str">
        <f ca="1">VLOOKUP(AB24,[3]enemies!$A:$B,2,FALSE)</f>
        <v>毒殺のチカ</v>
      </c>
      <c r="AD24" s="4">
        <f ca="1">VLOOKUP(AB24,[3]enemies!$A:$E,3,FALSE)</f>
        <v>3</v>
      </c>
      <c r="AE24" s="4" t="str">
        <f>VLOOKUP(AB24,[4]characters!$A:$J,10,FALSE)</f>
        <v>Drop2W</v>
      </c>
      <c r="AF24" s="65">
        <v>1</v>
      </c>
      <c r="AG24" s="64">
        <f t="shared" ca="1" si="4"/>
        <v>3</v>
      </c>
      <c r="AH24" s="66">
        <v>50</v>
      </c>
      <c r="AI24" s="65">
        <v>0</v>
      </c>
      <c r="AJ24" s="65">
        <v>0</v>
      </c>
      <c r="AK24" s="65">
        <v>0</v>
      </c>
      <c r="AL24" s="65">
        <v>0</v>
      </c>
      <c r="AM24" s="65">
        <v>1</v>
      </c>
    </row>
    <row r="25" spans="1:39" s="81" customFormat="1" ht="21" customHeight="1" x14ac:dyDescent="0.15">
      <c r="A25" s="68" t="str">
        <f t="shared" ca="1" si="0"/>
        <v>20012_3-1/36&lt;lv35&gt;s6</v>
      </c>
      <c r="B25" s="69">
        <v>20012</v>
      </c>
      <c r="C25" s="70">
        <v>3</v>
      </c>
      <c r="D25" s="71" t="str">
        <f t="shared" si="2"/>
        <v>20012_3</v>
      </c>
      <c r="E25" s="72" t="str">
        <f ca="1">VLOOKUP($B25,OFFSET([2]quests!$A$1,0,0,COUNTA([2]quests!$A:$A),MATCH(E$1,[2]quests!$1:$1,0)-MATCH($B$1,[2]quests!$1:$1,0)+1),MATCH(E$1,[2]quests!$1:$1,0)-MATCH($B$1,[2]quests!$1:$1,0)+1,FALSE)</f>
        <v>罪と劇薬</v>
      </c>
      <c r="F25" s="72" t="str">
        <f ca="1">VLOOKUP($D25,OFFSET([2]stages!$A$1,0,0,COUNTA([2]stages!$A:$A),MATCH(F$1,[2]stages!$2:$2,0)-MATCH($D$1,[2]stages!$2:$2,0)+1),MATCH(F$1,[2]stages!$2:$2,0)-MATCH($D$1,[2]stages!$2:$2,0)+1,FALSE)</f>
        <v>【上級】罪と劇薬</v>
      </c>
      <c r="G25" s="70">
        <v>1</v>
      </c>
      <c r="H25" s="71" t="str">
        <f t="shared" si="3"/>
        <v>20012_3-1</v>
      </c>
      <c r="I25" s="72">
        <f ca="1">VLOOKUP($H25,OFFSET(floors!$A$1,0,0,COUNTA(floors!$A:$A),MATCH(I$1,floors!$1:$1,0)-MATCH($H$1,floors!$1:$1,0)+1),MATCH(I$1,floors!$1:$1,0)-MATCH($H$1,floors!$1:$1,0)+1,FALSE)</f>
        <v>60</v>
      </c>
      <c r="J25" s="72">
        <f ca="1">VLOOKUP($H25,OFFSET(floors!$A$1,0,0,COUNTA(floors!$A:$A),MATCH(J$1,floors!$1:$1,0)-MATCH($H$1,floors!$1:$1,0)+1),MATCH(J$1,floors!$1:$1,0)-MATCH($H$1,floors!$1:$1,0)+1,FALSE)</f>
        <v>60</v>
      </c>
      <c r="K25" s="73" t="s">
        <v>99</v>
      </c>
      <c r="L25" s="74">
        <v>36</v>
      </c>
      <c r="M25" s="17" t="str">
        <f ca="1">VLOOKUP(L25,[3]enemies!$A:$B,2,FALSE)</f>
        <v>オフィス追尾型移動地雷F3</v>
      </c>
      <c r="N25" s="19" t="str">
        <f ca="1">VLOOKUP(L25,[3]enemies!$A:$D,4,FALSE)</f>
        <v>green</v>
      </c>
      <c r="O25" s="19" t="str">
        <f>VLOOKUP(L25,[4]characters!$A:$J,10,FALSE)</f>
        <v>Drop1S</v>
      </c>
      <c r="P25" s="18" t="str">
        <f>VLOOKUP(L25,[4]characters!$A:$M,13,FALSE)</f>
        <v>machine</v>
      </c>
      <c r="Q25" s="4">
        <f ca="1">VLOOKUP(L25,[3]enemies!$A:$X,24,FALSE)</f>
        <v>20</v>
      </c>
      <c r="R25" s="75">
        <v>35</v>
      </c>
      <c r="S25" s="76">
        <v>1.3</v>
      </c>
      <c r="T25" s="76">
        <v>0.5</v>
      </c>
      <c r="U25" s="75">
        <v>0</v>
      </c>
      <c r="V25" s="4">
        <f ca="1">VLOOKUP(L25,[3]enemies!$A:$AB,28,FALSE)</f>
        <v>36</v>
      </c>
      <c r="W25" s="4" t="str">
        <f ca="1">IFERROR(VLOOKUP(V25,[5]enemy_skill_sets!$B:$E,4,FALSE),VLOOKUP(V25,enemy_skill_sets!B:E,4,FALSE))</f>
        <v>何やら様子がおかしい！</v>
      </c>
      <c r="X25" s="77">
        <v>0</v>
      </c>
      <c r="Y25" s="77">
        <v>100</v>
      </c>
      <c r="Z25" s="77">
        <v>0</v>
      </c>
      <c r="AA25" s="4">
        <f ca="1">VLOOKUP(L25,[3]enemies!$A:$V,22,FALSE)</f>
        <v>6</v>
      </c>
      <c r="AB25" s="78">
        <f t="shared" si="1"/>
        <v>36</v>
      </c>
      <c r="AC25" s="4" t="str">
        <f ca="1">VLOOKUP(AB25,[3]enemies!$A:$B,2,FALSE)</f>
        <v>オフィス追尾型移動地雷F3</v>
      </c>
      <c r="AD25" s="4">
        <f ca="1">VLOOKUP(AB25,[3]enemies!$A:$E,3,FALSE)</f>
        <v>3</v>
      </c>
      <c r="AE25" s="4" t="str">
        <f>VLOOKUP(AB25,[4]characters!$A:$J,10,FALSE)</f>
        <v>Drop1S</v>
      </c>
      <c r="AF25" s="79">
        <v>3</v>
      </c>
      <c r="AG25" s="78">
        <f t="shared" ca="1" si="4"/>
        <v>3</v>
      </c>
      <c r="AH25" s="80">
        <v>0</v>
      </c>
      <c r="AI25" s="79">
        <v>0</v>
      </c>
      <c r="AJ25" s="79">
        <v>0</v>
      </c>
      <c r="AK25" s="79">
        <v>0</v>
      </c>
      <c r="AL25" s="79">
        <v>0</v>
      </c>
      <c r="AM25" s="79">
        <v>1</v>
      </c>
    </row>
    <row r="26" spans="1:39" ht="21" customHeight="1" x14ac:dyDescent="0.15">
      <c r="A26" s="16" t="str">
        <f t="shared" ca="1" si="0"/>
        <v>20012_3-1/43&lt;lv35&gt;s2</v>
      </c>
      <c r="B26" s="23">
        <v>20012</v>
      </c>
      <c r="C26" s="22">
        <v>3</v>
      </c>
      <c r="D26" s="2" t="str">
        <f t="shared" si="2"/>
        <v>20012_3</v>
      </c>
      <c r="E26" s="4" t="str">
        <f ca="1">VLOOKUP($B26,OFFSET([2]quests!$A$1,0,0,COUNTA([2]quests!$A:$A),MATCH(E$1,[2]quests!$1:$1,0)-MATCH($B$1,[2]quests!$1:$1,0)+1),MATCH(E$1,[2]quests!$1:$1,0)-MATCH($B$1,[2]quests!$1:$1,0)+1,FALSE)</f>
        <v>罪と劇薬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【上級】罪と劇薬</v>
      </c>
      <c r="G26" s="22">
        <v>1</v>
      </c>
      <c r="H26" s="15" t="str">
        <f t="shared" si="3"/>
        <v>20012_3-1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9" t="s">
        <v>53</v>
      </c>
      <c r="L26" s="21">
        <v>43</v>
      </c>
      <c r="M26" s="17" t="str">
        <f ca="1">VLOOKUP(L26,[3]enemies!$A:$B,2,FALSE)</f>
        <v>ムゥ</v>
      </c>
      <c r="N26" s="19" t="str">
        <f ca="1">VLOOKUP(L26,[3]enemies!$A:$D,4,FALSE)</f>
        <v>green</v>
      </c>
      <c r="O26" s="19" t="str">
        <f>VLOOKUP(L26,[4]characters!$A:$J,10,FALSE)</f>
        <v>Drop1N</v>
      </c>
      <c r="P26" s="18" t="str">
        <f>VLOOKUP(L26,[4]characters!$A:$M,13,FALSE)</f>
        <v>dragon</v>
      </c>
      <c r="Q26" s="4">
        <f ca="1">VLOOKUP(L26,[3]enemies!$A:$X,24,FALSE)</f>
        <v>15</v>
      </c>
      <c r="R26" s="5">
        <v>35</v>
      </c>
      <c r="S26" s="26">
        <v>1.6</v>
      </c>
      <c r="T26" s="26">
        <v>1.6</v>
      </c>
      <c r="U26" s="5">
        <v>0</v>
      </c>
      <c r="V26" s="4">
        <f ca="1">VLOOKUP(L26,[3]enemies!$A:$AB,28,FALSE)</f>
        <v>0</v>
      </c>
      <c r="W26" s="4" t="str">
        <f ca="1">IFERROR(VLOOKUP(V26,[5]enemy_skill_sets!$B:$E,4,FALSE),VLOOKUP(V26,enemy_skill_sets!B:E,4,FALSE))</f>
        <v>なし</v>
      </c>
      <c r="X26" s="6">
        <v>0</v>
      </c>
      <c r="Y26" s="6">
        <v>100</v>
      </c>
      <c r="Z26" s="6">
        <v>0</v>
      </c>
      <c r="AA26" s="4">
        <f ca="1">VLOOKUP(L26,[3]enemies!$A:$V,22,FALSE)</f>
        <v>2</v>
      </c>
      <c r="AB26" s="25">
        <f t="shared" si="1"/>
        <v>43</v>
      </c>
      <c r="AC26" s="4" t="str">
        <f ca="1">VLOOKUP(AB26,[3]enemies!$A:$B,2,FALSE)</f>
        <v>ムゥ</v>
      </c>
      <c r="AD26" s="4">
        <f ca="1">VLOOKUP(AB26,[3]enemies!$A:$E,3,FALSE)</f>
        <v>2</v>
      </c>
      <c r="AE26" s="4" t="str">
        <f>VLOOKUP(AB26,[4]characters!$A:$J,10,FALSE)</f>
        <v>Drop1N</v>
      </c>
      <c r="AF26" s="7">
        <v>3</v>
      </c>
      <c r="AG26" s="25">
        <f t="shared" ca="1" si="4"/>
        <v>2</v>
      </c>
      <c r="AH26" s="8">
        <v>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</row>
    <row r="27" spans="1:39" ht="21" customHeight="1" x14ac:dyDescent="0.15">
      <c r="A27" s="16" t="str">
        <f t="shared" ca="1" si="0"/>
        <v>20012_3-1/40&lt;lv35&gt;s3</v>
      </c>
      <c r="B27" s="23">
        <v>20012</v>
      </c>
      <c r="C27" s="22">
        <v>3</v>
      </c>
      <c r="D27" s="2" t="str">
        <f t="shared" si="2"/>
        <v>20012_3</v>
      </c>
      <c r="E27" s="4" t="str">
        <f ca="1">VLOOKUP($B27,OFFSET([2]quests!$A$1,0,0,COUNTA([2]quests!$A:$A),MATCH(E$1,[2]quests!$1:$1,0)-MATCH($B$1,[2]quests!$1:$1,0)+1),MATCH(E$1,[2]quests!$1:$1,0)-MATCH($B$1,[2]quests!$1:$1,0)+1,FALSE)</f>
        <v>罪と劇薬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【上級】罪と劇薬</v>
      </c>
      <c r="G27" s="22">
        <v>1</v>
      </c>
      <c r="H27" s="15" t="str">
        <f t="shared" si="3"/>
        <v>20012_3-1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9" t="s">
        <v>53</v>
      </c>
      <c r="L27" s="21">
        <v>40</v>
      </c>
      <c r="M27" s="17" t="str">
        <f ca="1">VLOOKUP(L27,[3]enemies!$A:$B,2,FALSE)</f>
        <v>デジタルマジシャン マーロン</v>
      </c>
      <c r="N27" s="19" t="str">
        <f ca="1">VLOOKUP(L27,[3]enemies!$A:$D,4,FALSE)</f>
        <v>yellow</v>
      </c>
      <c r="O27" s="19" t="str">
        <f>VLOOKUP(L27,[4]characters!$A:$J,10,FALSE)</f>
        <v>Drop1S</v>
      </c>
      <c r="P27" s="18" t="str">
        <f>VLOOKUP(L27,[4]characters!$A:$M,13,FALSE)</f>
        <v>human</v>
      </c>
      <c r="Q27" s="4">
        <f ca="1">VLOOKUP(L27,[3]enemies!$A:$X,24,FALSE)</f>
        <v>20</v>
      </c>
      <c r="R27" s="5">
        <v>35</v>
      </c>
      <c r="S27" s="26">
        <v>1.5</v>
      </c>
      <c r="T27" s="26">
        <v>1.6</v>
      </c>
      <c r="U27" s="5">
        <v>0</v>
      </c>
      <c r="V27" s="4">
        <f ca="1">VLOOKUP(L27,[3]enemies!$A:$AB,28,FALSE)</f>
        <v>40</v>
      </c>
      <c r="W27" s="4" t="str">
        <f ca="1">IFERROR(VLOOKUP(V27,[5]enemy_skill_sets!$B:$E,4,FALSE),VLOOKUP(V27,enemy_skill_sets!B:E,4,FALSE))</f>
        <v>3ターンスキルが使えない！</v>
      </c>
      <c r="X27" s="6">
        <v>0</v>
      </c>
      <c r="Y27" s="6">
        <v>100</v>
      </c>
      <c r="Z27" s="6">
        <v>0</v>
      </c>
      <c r="AA27" s="4">
        <f ca="1">VLOOKUP(L27,[3]enemies!$A:$V,22,FALSE)</f>
        <v>3</v>
      </c>
      <c r="AB27" s="25">
        <f t="shared" si="1"/>
        <v>40</v>
      </c>
      <c r="AC27" s="4" t="str">
        <f ca="1">VLOOKUP(AB27,[3]enemies!$A:$B,2,FALSE)</f>
        <v>デジタルマジシャン マーロン</v>
      </c>
      <c r="AD27" s="4">
        <f ca="1">VLOOKUP(AB27,[3]enemies!$A:$E,3,FALSE)</f>
        <v>3</v>
      </c>
      <c r="AE27" s="4" t="str">
        <f>VLOOKUP(AB27,[4]characters!$A:$J,10,FALSE)</f>
        <v>Drop1S</v>
      </c>
      <c r="AF27" s="7">
        <v>3</v>
      </c>
      <c r="AG27" s="25">
        <f t="shared" ca="1" si="4"/>
        <v>3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</row>
    <row r="28" spans="1:39" ht="21" customHeight="1" x14ac:dyDescent="0.15">
      <c r="A28" s="16" t="str">
        <f t="shared" ca="1" si="0"/>
        <v>20012_3-1/47&lt;lv35&gt;s1</v>
      </c>
      <c r="B28" s="23">
        <v>20012</v>
      </c>
      <c r="C28" s="22">
        <v>3</v>
      </c>
      <c r="D28" s="2" t="str">
        <f t="shared" si="2"/>
        <v>20012_3</v>
      </c>
      <c r="E28" s="4" t="str">
        <f ca="1">VLOOKUP($B28,OFFSET([2]quests!$A$1,0,0,COUNTA([2]quests!$A:$A),MATCH(E$1,[2]quests!$1:$1,0)-MATCH($B$1,[2]quests!$1:$1,0)+1),MATCH(E$1,[2]quests!$1:$1,0)-MATCH($B$1,[2]quests!$1:$1,0)+1,FALSE)</f>
        <v>罪と劇薬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【上級】罪と劇薬</v>
      </c>
      <c r="G28" s="22">
        <v>1</v>
      </c>
      <c r="H28" s="15" t="str">
        <f t="shared" si="3"/>
        <v>20012_3-1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9" t="s">
        <v>53</v>
      </c>
      <c r="L28" s="21">
        <v>47</v>
      </c>
      <c r="M28" s="17" t="str">
        <f ca="1">VLOOKUP(L28,[3]enemies!$A:$B,2,FALSE)</f>
        <v>ヒロ</v>
      </c>
      <c r="N28" s="19" t="str">
        <f ca="1">VLOOKUP(L28,[3]enemies!$A:$D,4,FALSE)</f>
        <v>yellow</v>
      </c>
      <c r="O28" s="19" t="str">
        <f>VLOOKUP(L28,[4]characters!$A:$J,10,FALSE)</f>
        <v>Drop1N</v>
      </c>
      <c r="P28" s="18" t="str">
        <f>VLOOKUP(L28,[4]characters!$A:$M,13,FALSE)</f>
        <v>animal</v>
      </c>
      <c r="Q28" s="4">
        <f ca="1">VLOOKUP(L28,[3]enemies!$A:$X,24,FALSE)</f>
        <v>15</v>
      </c>
      <c r="R28" s="5">
        <v>35</v>
      </c>
      <c r="S28" s="26">
        <v>1.6</v>
      </c>
      <c r="T28" s="26">
        <v>1.6</v>
      </c>
      <c r="U28" s="5">
        <v>0</v>
      </c>
      <c r="V28" s="4">
        <f ca="1">VLOOKUP(L28,[3]enemies!$A:$AB,28,FALSE)</f>
        <v>0</v>
      </c>
      <c r="W28" s="4" t="str">
        <f ca="1">IFERROR(VLOOKUP(V28,[5]enemy_skill_sets!$B:$E,4,FALSE),VLOOKUP(V28,enemy_skill_sets!B:E,4,FALSE))</f>
        <v>なし</v>
      </c>
      <c r="X28" s="6">
        <v>0</v>
      </c>
      <c r="Y28" s="6">
        <v>100</v>
      </c>
      <c r="Z28" s="6">
        <v>0</v>
      </c>
      <c r="AA28" s="4">
        <f ca="1">VLOOKUP(L28,[3]enemies!$A:$V,22,FALSE)</f>
        <v>1</v>
      </c>
      <c r="AB28" s="25">
        <f t="shared" si="1"/>
        <v>47</v>
      </c>
      <c r="AC28" s="4" t="str">
        <f ca="1">VLOOKUP(AB28,[3]enemies!$A:$B,2,FALSE)</f>
        <v>ヒロ</v>
      </c>
      <c r="AD28" s="4">
        <f ca="1">VLOOKUP(AB28,[3]enemies!$A:$E,3,FALSE)</f>
        <v>2</v>
      </c>
      <c r="AE28" s="4" t="str">
        <f>VLOOKUP(AB28,[4]characters!$A:$J,10,FALSE)</f>
        <v>Drop1N</v>
      </c>
      <c r="AF28" s="7">
        <v>3</v>
      </c>
      <c r="AG28" s="25">
        <f t="shared" ca="1" si="4"/>
        <v>2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</row>
    <row r="29" spans="1:39" ht="21" customHeight="1" x14ac:dyDescent="0.15">
      <c r="A29" s="16" t="str">
        <f t="shared" ca="1" si="0"/>
        <v>20012_3-1/34&lt;lv35&gt;s2</v>
      </c>
      <c r="B29" s="23">
        <v>20012</v>
      </c>
      <c r="C29" s="22">
        <v>3</v>
      </c>
      <c r="D29" s="2" t="str">
        <f t="shared" si="2"/>
        <v>20012_3</v>
      </c>
      <c r="E29" s="4" t="str">
        <f ca="1">VLOOKUP($B29,OFFSET([2]quests!$A$1,0,0,COUNTA([2]quests!$A:$A),MATCH(E$1,[2]quests!$1:$1,0)-MATCH($B$1,[2]quests!$1:$1,0)+1),MATCH(E$1,[2]quests!$1:$1,0)-MATCH($B$1,[2]quests!$1:$1,0)+1,FALSE)</f>
        <v>罪と劇薬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【上級】罪と劇薬</v>
      </c>
      <c r="G29" s="22">
        <v>1</v>
      </c>
      <c r="H29" s="15" t="str">
        <f t="shared" si="3"/>
        <v>20012_3-1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9" t="s">
        <v>53</v>
      </c>
      <c r="L29" s="21">
        <v>34</v>
      </c>
      <c r="M29" s="17" t="str">
        <f ca="1">VLOOKUP(L29,[3]enemies!$A:$B,2,FALSE)</f>
        <v>斉天大聖 ゴクウ</v>
      </c>
      <c r="N29" s="19" t="str">
        <f ca="1">VLOOKUP(L29,[3]enemies!$A:$D,4,FALSE)</f>
        <v>red</v>
      </c>
      <c r="O29" s="19" t="str">
        <f>VLOOKUP(L29,[4]characters!$A:$J,10,FALSE)</f>
        <v>Drop1S</v>
      </c>
      <c r="P29" s="18" t="str">
        <f>VLOOKUP(L29,[4]characters!$A:$M,13,FALSE)</f>
        <v>animal</v>
      </c>
      <c r="Q29" s="4">
        <f ca="1">VLOOKUP(L29,[3]enemies!$A:$X,24,FALSE)</f>
        <v>20</v>
      </c>
      <c r="R29" s="5">
        <v>35</v>
      </c>
      <c r="S29" s="26">
        <v>1.5</v>
      </c>
      <c r="T29" s="26">
        <v>1.6</v>
      </c>
      <c r="U29" s="5">
        <v>0</v>
      </c>
      <c r="V29" s="4">
        <f ca="1">VLOOKUP(L29,[3]enemies!$A:$AB,28,FALSE)</f>
        <v>34</v>
      </c>
      <c r="W29" s="4" t="str">
        <f ca="1">IFERROR(VLOOKUP(V29,[5]enemy_skill_sets!$B:$E,4,FALSE),VLOOKUP(V29,enemy_skill_sets!B:E,4,FALSE))</f>
        <v>次のターン強力な攻撃</v>
      </c>
      <c r="X29" s="6">
        <v>0</v>
      </c>
      <c r="Y29" s="6">
        <v>100</v>
      </c>
      <c r="Z29" s="6">
        <v>0</v>
      </c>
      <c r="AA29" s="4">
        <f ca="1">VLOOKUP(L29,[3]enemies!$A:$V,22,FALSE)</f>
        <v>2</v>
      </c>
      <c r="AB29" s="25">
        <f t="shared" si="1"/>
        <v>34</v>
      </c>
      <c r="AC29" s="4" t="str">
        <f ca="1">VLOOKUP(AB29,[3]enemies!$A:$B,2,FALSE)</f>
        <v>斉天大聖 ゴクウ</v>
      </c>
      <c r="AD29" s="4">
        <f ca="1">VLOOKUP(AB29,[3]enemies!$A:$E,3,FALSE)</f>
        <v>3</v>
      </c>
      <c r="AE29" s="4" t="str">
        <f>VLOOKUP(AB29,[4]characters!$A:$J,10,FALSE)</f>
        <v>Drop1S</v>
      </c>
      <c r="AF29" s="7">
        <v>3</v>
      </c>
      <c r="AG29" s="25">
        <f t="shared" ca="1" si="4"/>
        <v>3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</row>
    <row r="30" spans="1:39" ht="21" customHeight="1" x14ac:dyDescent="0.15">
      <c r="A30" s="16" t="str">
        <f t="shared" ca="1" si="0"/>
        <v>20012_3-1/41&lt;lv35&gt;s1</v>
      </c>
      <c r="B30" s="23">
        <v>20012</v>
      </c>
      <c r="C30" s="22">
        <v>3</v>
      </c>
      <c r="D30" s="2" t="str">
        <f t="shared" si="2"/>
        <v>20012_3</v>
      </c>
      <c r="E30" s="4" t="str">
        <f ca="1">VLOOKUP($B30,OFFSET([2]quests!$A$1,0,0,COUNTA([2]quests!$A:$A),MATCH(E$1,[2]quests!$1:$1,0)-MATCH($B$1,[2]quests!$1:$1,0)+1),MATCH(E$1,[2]quests!$1:$1,0)-MATCH($B$1,[2]quests!$1:$1,0)+1,FALSE)</f>
        <v>罪と劇薬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【上級】罪と劇薬</v>
      </c>
      <c r="G30" s="22">
        <v>1</v>
      </c>
      <c r="H30" s="15" t="str">
        <f t="shared" si="3"/>
        <v>20012_3-1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9" t="s">
        <v>53</v>
      </c>
      <c r="L30" s="21">
        <v>41</v>
      </c>
      <c r="M30" s="17" t="str">
        <f ca="1">VLOOKUP(L30,[3]enemies!$A:$B,2,FALSE)</f>
        <v>ヒュウガ</v>
      </c>
      <c r="N30" s="19" t="str">
        <f ca="1">VLOOKUP(L30,[3]enemies!$A:$D,4,FALSE)</f>
        <v>red</v>
      </c>
      <c r="O30" s="19" t="str">
        <f>VLOOKUP(L30,[4]characters!$A:$J,10,FALSE)</f>
        <v>Drop1N</v>
      </c>
      <c r="P30" s="18" t="str">
        <f>VLOOKUP(L30,[4]characters!$A:$M,13,FALSE)</f>
        <v>dragon</v>
      </c>
      <c r="Q30" s="4">
        <f ca="1">VLOOKUP(L30,[3]enemies!$A:$X,24,FALSE)</f>
        <v>15</v>
      </c>
      <c r="R30" s="5">
        <v>35</v>
      </c>
      <c r="S30" s="26">
        <v>1.6</v>
      </c>
      <c r="T30" s="26">
        <v>1.6</v>
      </c>
      <c r="U30" s="5">
        <v>0</v>
      </c>
      <c r="V30" s="4">
        <f ca="1">VLOOKUP(L30,[3]enemies!$A:$AB,28,FALSE)</f>
        <v>0</v>
      </c>
      <c r="W30" s="4" t="str">
        <f ca="1">IFERROR(VLOOKUP(V30,[5]enemy_skill_sets!$B:$E,4,FALSE),VLOOKUP(V30,enemy_skill_sets!B:E,4,FALSE))</f>
        <v>なし</v>
      </c>
      <c r="X30" s="6">
        <v>0</v>
      </c>
      <c r="Y30" s="6">
        <v>100</v>
      </c>
      <c r="Z30" s="6">
        <v>0</v>
      </c>
      <c r="AA30" s="4">
        <f ca="1">VLOOKUP(L30,[3]enemies!$A:$V,22,FALSE)</f>
        <v>1</v>
      </c>
      <c r="AB30" s="25">
        <f t="shared" si="1"/>
        <v>41</v>
      </c>
      <c r="AC30" s="4" t="str">
        <f ca="1">VLOOKUP(AB30,[3]enemies!$A:$B,2,FALSE)</f>
        <v>ヒュウガ</v>
      </c>
      <c r="AD30" s="4">
        <f ca="1">VLOOKUP(AB30,[3]enemies!$A:$E,3,FALSE)</f>
        <v>2</v>
      </c>
      <c r="AE30" s="4" t="str">
        <f>VLOOKUP(AB30,[4]characters!$A:$J,10,FALSE)</f>
        <v>Drop1N</v>
      </c>
      <c r="AF30" s="7">
        <v>3</v>
      </c>
      <c r="AG30" s="25">
        <f t="shared" ca="1" si="4"/>
        <v>2</v>
      </c>
      <c r="AH30" s="8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</row>
    <row r="31" spans="1:39" ht="21" customHeight="1" x14ac:dyDescent="0.15">
      <c r="A31" s="16" t="str">
        <f t="shared" ca="1" si="0"/>
        <v>20012_3-1/38&lt;lv35&gt;s3</v>
      </c>
      <c r="B31" s="23">
        <v>20012</v>
      </c>
      <c r="C31" s="22">
        <v>3</v>
      </c>
      <c r="D31" s="2" t="str">
        <f t="shared" si="2"/>
        <v>20012_3</v>
      </c>
      <c r="E31" s="4" t="str">
        <f ca="1">VLOOKUP($B31,OFFSET([2]quests!$A$1,0,0,COUNTA([2]quests!$A:$A),MATCH(E$1,[2]quests!$1:$1,0)-MATCH($B$1,[2]quests!$1:$1,0)+1),MATCH(E$1,[2]quests!$1:$1,0)-MATCH($B$1,[2]quests!$1:$1,0)+1,FALSE)</f>
        <v>罪と劇薬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【上級】罪と劇薬</v>
      </c>
      <c r="G31" s="22">
        <v>1</v>
      </c>
      <c r="H31" s="15" t="str">
        <f t="shared" si="3"/>
        <v>20012_3-1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9" t="s">
        <v>53</v>
      </c>
      <c r="L31" s="21">
        <v>38</v>
      </c>
      <c r="M31" s="17" t="str">
        <f ca="1">VLOOKUP(L31,[3]enemies!$A:$B,2,FALSE)</f>
        <v>通話対応型 ガイル</v>
      </c>
      <c r="N31" s="19" t="str">
        <f ca="1">VLOOKUP(L31,[3]enemies!$A:$D,4,FALSE)</f>
        <v>blue</v>
      </c>
      <c r="O31" s="19" t="str">
        <f>VLOOKUP(L31,[4]characters!$A:$J,10,FALSE)</f>
        <v>Drop1S</v>
      </c>
      <c r="P31" s="18" t="str">
        <f>VLOOKUP(L31,[4]characters!$A:$M,13,FALSE)</f>
        <v>animal</v>
      </c>
      <c r="Q31" s="4">
        <f ca="1">VLOOKUP(L31,[3]enemies!$A:$X,24,FALSE)</f>
        <v>20</v>
      </c>
      <c r="R31" s="5">
        <v>35</v>
      </c>
      <c r="S31" s="26">
        <v>1.5</v>
      </c>
      <c r="T31" s="26">
        <v>1.6</v>
      </c>
      <c r="U31" s="5">
        <v>0</v>
      </c>
      <c r="V31" s="4">
        <f ca="1">VLOOKUP(L31,[3]enemies!$A:$AB,28,FALSE)</f>
        <v>38</v>
      </c>
      <c r="W31" s="4" t="str">
        <f ca="1">IFERROR(VLOOKUP(V31,[5]enemy_skill_sets!$B:$E,4,FALSE),VLOOKUP(V31,enemy_skill_sets!B:E,4,FALSE))</f>
        <v>じっとこちらを見ている</v>
      </c>
      <c r="X31" s="6">
        <v>0</v>
      </c>
      <c r="Y31" s="6">
        <v>100</v>
      </c>
      <c r="Z31" s="6">
        <v>0</v>
      </c>
      <c r="AA31" s="4">
        <f ca="1">VLOOKUP(L31,[3]enemies!$A:$V,22,FALSE)</f>
        <v>3</v>
      </c>
      <c r="AB31" s="25">
        <f t="shared" si="1"/>
        <v>38</v>
      </c>
      <c r="AC31" s="4" t="str">
        <f ca="1">VLOOKUP(AB31,[3]enemies!$A:$B,2,FALSE)</f>
        <v>通話対応型 ガイル</v>
      </c>
      <c r="AD31" s="4">
        <f ca="1">VLOOKUP(AB31,[3]enemies!$A:$E,3,FALSE)</f>
        <v>3</v>
      </c>
      <c r="AE31" s="4" t="str">
        <f>VLOOKUP(AB31,[4]characters!$A:$J,10,FALSE)</f>
        <v>Drop1S</v>
      </c>
      <c r="AF31" s="7">
        <v>3</v>
      </c>
      <c r="AG31" s="25">
        <f t="shared" ca="1" si="4"/>
        <v>3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</row>
    <row r="32" spans="1:39" ht="21" customHeight="1" x14ac:dyDescent="0.15">
      <c r="A32" s="16" t="str">
        <f t="shared" ca="1" si="0"/>
        <v>20012_3-1/45&lt;lv35&gt;s3</v>
      </c>
      <c r="B32" s="23">
        <v>20012</v>
      </c>
      <c r="C32" s="22">
        <v>3</v>
      </c>
      <c r="D32" s="2" t="str">
        <f t="shared" si="2"/>
        <v>20012_3</v>
      </c>
      <c r="E32" s="4" t="str">
        <f ca="1">VLOOKUP($B32,OFFSET([2]quests!$A$1,0,0,COUNTA([2]quests!$A:$A),MATCH(E$1,[2]quests!$1:$1,0)-MATCH($B$1,[2]quests!$1:$1,0)+1),MATCH(E$1,[2]quests!$1:$1,0)-MATCH($B$1,[2]quests!$1:$1,0)+1,FALSE)</f>
        <v>罪と劇薬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【上級】罪と劇薬</v>
      </c>
      <c r="G32" s="22">
        <v>1</v>
      </c>
      <c r="H32" s="15" t="str">
        <f t="shared" si="3"/>
        <v>20012_3-1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9" t="s">
        <v>53</v>
      </c>
      <c r="L32" s="21">
        <v>45</v>
      </c>
      <c r="M32" s="17" t="str">
        <f ca="1">VLOOKUP(L32,[3]enemies!$A:$B,2,FALSE)</f>
        <v>ショウイン</v>
      </c>
      <c r="N32" s="19" t="str">
        <f ca="1">VLOOKUP(L32,[3]enemies!$A:$D,4,FALSE)</f>
        <v>blue</v>
      </c>
      <c r="O32" s="19" t="str">
        <f>VLOOKUP(L32,[4]characters!$A:$J,10,FALSE)</f>
        <v>Drop1N</v>
      </c>
      <c r="P32" s="18" t="str">
        <f>VLOOKUP(L32,[4]characters!$A:$M,13,FALSE)</f>
        <v>animal</v>
      </c>
      <c r="Q32" s="4">
        <f ca="1">VLOOKUP(L32,[3]enemies!$A:$X,24,FALSE)</f>
        <v>15</v>
      </c>
      <c r="R32" s="5">
        <v>35</v>
      </c>
      <c r="S32" s="26">
        <v>1.6</v>
      </c>
      <c r="T32" s="26">
        <v>1.6</v>
      </c>
      <c r="U32" s="5">
        <v>0</v>
      </c>
      <c r="V32" s="4">
        <f ca="1">VLOOKUP(L32,[3]enemies!$A:$AB,28,FALSE)</f>
        <v>0</v>
      </c>
      <c r="W32" s="4" t="str">
        <f ca="1">IFERROR(VLOOKUP(V32,[5]enemy_skill_sets!$B:$E,4,FALSE),VLOOKUP(V32,enemy_skill_sets!B:E,4,FALSE))</f>
        <v>なし</v>
      </c>
      <c r="X32" s="6">
        <v>0</v>
      </c>
      <c r="Y32" s="6">
        <v>100</v>
      </c>
      <c r="Z32" s="6">
        <v>0</v>
      </c>
      <c r="AA32" s="4">
        <f ca="1">VLOOKUP(L32,[3]enemies!$A:$V,22,FALSE)</f>
        <v>3</v>
      </c>
      <c r="AB32" s="25">
        <f t="shared" si="1"/>
        <v>45</v>
      </c>
      <c r="AC32" s="4" t="str">
        <f ca="1">VLOOKUP(AB32,[3]enemies!$A:$B,2,FALSE)</f>
        <v>ショウイン</v>
      </c>
      <c r="AD32" s="4">
        <f ca="1">VLOOKUP(AB32,[3]enemies!$A:$E,3,FALSE)</f>
        <v>2</v>
      </c>
      <c r="AE32" s="4" t="str">
        <f>VLOOKUP(AB32,[4]characters!$A:$J,10,FALSE)</f>
        <v>Drop1N</v>
      </c>
      <c r="AF32" s="7">
        <v>3</v>
      </c>
      <c r="AG32" s="25">
        <f t="shared" ca="1" si="4"/>
        <v>2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</row>
    <row r="33" spans="1:39" ht="21" customHeight="1" x14ac:dyDescent="0.15">
      <c r="A33" s="16" t="str">
        <f t="shared" ca="1" si="0"/>
        <v>20012_3-1/338&lt;lv10&gt;s3</v>
      </c>
      <c r="B33" s="23">
        <v>20012</v>
      </c>
      <c r="C33" s="22">
        <v>3</v>
      </c>
      <c r="D33" s="2" t="str">
        <f t="shared" si="2"/>
        <v>20012_3</v>
      </c>
      <c r="E33" s="4" t="str">
        <f ca="1">VLOOKUP($B33,OFFSET([2]quests!$A$1,0,0,COUNTA([2]quests!$A:$A),MATCH(E$1,[2]quests!$1:$1,0)-MATCH($B$1,[2]quests!$1:$1,0)+1),MATCH(E$1,[2]quests!$1:$1,0)-MATCH($B$1,[2]quests!$1:$1,0)+1,FALSE)</f>
        <v>罪と劇薬</v>
      </c>
      <c r="F33" s="4" t="str">
        <f ca="1">VLOOKUP($D33,OFFSET([2]stages!$A$1,0,0,COUNTA([2]stages!$A:$A),MATCH(F$1,[2]stages!$2:$2,0)-MATCH($D$1,[2]stages!$2:$2,0)+1),MATCH(F$1,[2]stages!$2:$2,0)-MATCH($D$1,[2]stages!$2:$2,0)+1,FALSE)</f>
        <v>【上級】罪と劇薬</v>
      </c>
      <c r="G33" s="22">
        <v>1</v>
      </c>
      <c r="H33" s="15" t="str">
        <f t="shared" si="3"/>
        <v>20012_3-1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9" t="s">
        <v>53</v>
      </c>
      <c r="L33" s="21">
        <v>338</v>
      </c>
      <c r="M33" s="17" t="str">
        <f ca="1">VLOOKUP(L33,[3]enemies!$A:$B,2,FALSE)</f>
        <v>森のメタルダック</v>
      </c>
      <c r="N33" s="19" t="str">
        <f ca="1">VLOOKUP(L33,[3]enemies!$A:$D,4,FALSE)</f>
        <v>green</v>
      </c>
      <c r="O33" s="19" t="str">
        <f>VLOOKUP(L33,[4]characters!$A:$J,10,FALSE)</f>
        <v>Material</v>
      </c>
      <c r="P33" s="18" t="str">
        <f>VLOOKUP(L33,[4]characters!$A:$M,13,FALSE)</f>
        <v>unknown</v>
      </c>
      <c r="Q33" s="4">
        <f ca="1">VLOOKUP(L33,[3]enemies!$A:$X,24,FALSE)</f>
        <v>20</v>
      </c>
      <c r="R33" s="5">
        <v>10</v>
      </c>
      <c r="S33" s="26">
        <v>0.3</v>
      </c>
      <c r="T33" s="26">
        <v>1</v>
      </c>
      <c r="U33" s="5">
        <v>0</v>
      </c>
      <c r="V33" s="4">
        <f ca="1">VLOOKUP(L33,[3]enemies!$A:$AB,28,FALSE)</f>
        <v>0</v>
      </c>
      <c r="W33" s="4" t="str">
        <f ca="1">IFERROR(VLOOKUP(V33,[5]enemy_skill_sets!$B:$E,4,FALSE),VLOOKUP(V33,enemy_skill_sets!B:E,4,FALSE))</f>
        <v>なし</v>
      </c>
      <c r="X33" s="6">
        <v>1</v>
      </c>
      <c r="Y33" s="6">
        <v>100</v>
      </c>
      <c r="Z33" s="6">
        <v>1</v>
      </c>
      <c r="AA33" s="4">
        <f ca="1">VLOOKUP(L33,[3]enemies!$A:$V,22,FALSE)</f>
        <v>3</v>
      </c>
      <c r="AB33" s="25">
        <f t="shared" si="1"/>
        <v>338</v>
      </c>
      <c r="AC33" s="4" t="str">
        <f ca="1">VLOOKUP(AB33,[3]enemies!$A:$B,2,FALSE)</f>
        <v>森のメタルダック</v>
      </c>
      <c r="AD33" s="4">
        <f ca="1">VLOOKUP(AB33,[3]enemies!$A:$E,3,FALSE)</f>
        <v>5</v>
      </c>
      <c r="AE33" s="4" t="str">
        <f>VLOOKUP(AB33,[4]characters!$A:$J,10,FALSE)</f>
        <v>Material</v>
      </c>
      <c r="AF33" s="7">
        <v>1</v>
      </c>
      <c r="AG33" s="25">
        <f t="shared" ca="1" si="4"/>
        <v>5</v>
      </c>
      <c r="AH33" s="8">
        <v>40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</row>
    <row r="34" spans="1:39" ht="21" customHeight="1" x14ac:dyDescent="0.15">
      <c r="A34" s="16" t="str">
        <f t="shared" ca="1" si="0"/>
        <v>20012_3-1/122&lt;lv10&gt;s3</v>
      </c>
      <c r="B34" s="23">
        <v>20012</v>
      </c>
      <c r="C34" s="22">
        <v>3</v>
      </c>
      <c r="D34" s="2" t="str">
        <f t="shared" si="2"/>
        <v>20012_3</v>
      </c>
      <c r="E34" s="4" t="str">
        <f ca="1">VLOOKUP($B34,OFFSET([2]quests!$A$1,0,0,COUNTA([2]quests!$A:$A),MATCH(E$1,[2]quests!$1:$1,0)-MATCH($B$1,[2]quests!$1:$1,0)+1),MATCH(E$1,[2]quests!$1:$1,0)-MATCH($B$1,[2]quests!$1:$1,0)+1,FALSE)</f>
        <v>罪と劇薬</v>
      </c>
      <c r="F34" s="4" t="str">
        <f ca="1">VLOOKUP($D34,OFFSET([2]stages!$A$1,0,0,COUNTA([2]stages!$A:$A),MATCH(F$1,[2]stages!$2:$2,0)-MATCH($D$1,[2]stages!$2:$2,0)+1),MATCH(F$1,[2]stages!$2:$2,0)-MATCH($D$1,[2]stages!$2:$2,0)+1,FALSE)</f>
        <v>【上級】罪と劇薬</v>
      </c>
      <c r="G34" s="22">
        <v>1</v>
      </c>
      <c r="H34" s="15" t="str">
        <f t="shared" si="3"/>
        <v>20012_3-1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9" t="s">
        <v>53</v>
      </c>
      <c r="L34" s="21">
        <v>122</v>
      </c>
      <c r="M34" s="17" t="str">
        <f ca="1">VLOOKUP(L34,[3]enemies!$A:$B,2,FALSE)</f>
        <v>生命の果実</v>
      </c>
      <c r="N34" s="19" t="str">
        <f ca="1">VLOOKUP(L34,[3]enemies!$A:$D,4,FALSE)</f>
        <v>green</v>
      </c>
      <c r="O34" s="19" t="str">
        <f>VLOOKUP(L34,[4]characters!$A:$J,10,FALSE)</f>
        <v>Material</v>
      </c>
      <c r="P34" s="18" t="str">
        <f>VLOOKUP(L34,[4]characters!$A:$M,13,FALSE)</f>
        <v>unknown</v>
      </c>
      <c r="Q34" s="4">
        <f ca="1">VLOOKUP(L34,[3]enemies!$A:$X,24,FALSE)</f>
        <v>20</v>
      </c>
      <c r="R34" s="5">
        <v>10</v>
      </c>
      <c r="S34" s="26">
        <v>1</v>
      </c>
      <c r="T34" s="26">
        <v>1</v>
      </c>
      <c r="U34" s="5">
        <v>0</v>
      </c>
      <c r="V34" s="4">
        <f ca="1">VLOOKUP(L34,[3]enemies!$A:$AB,28,FALSE)</f>
        <v>0</v>
      </c>
      <c r="W34" s="4" t="str">
        <f ca="1">IFERROR(VLOOKUP(V34,[5]enemy_skill_sets!$B:$E,4,FALSE),VLOOKUP(V34,enemy_skill_sets!B:E,4,FALSE))</f>
        <v>なし</v>
      </c>
      <c r="X34" s="6">
        <v>0</v>
      </c>
      <c r="Y34" s="6">
        <v>100</v>
      </c>
      <c r="Z34" s="6">
        <v>0</v>
      </c>
      <c r="AA34" s="4">
        <f ca="1">VLOOKUP(L34,[3]enemies!$A:$V,22,FALSE)</f>
        <v>3</v>
      </c>
      <c r="AB34" s="25">
        <f t="shared" si="1"/>
        <v>122</v>
      </c>
      <c r="AC34" s="4" t="str">
        <f ca="1">VLOOKUP(AB34,[3]enemies!$A:$B,2,FALSE)</f>
        <v>生命の果実</v>
      </c>
      <c r="AD34" s="4">
        <f ca="1">VLOOKUP(AB34,[3]enemies!$A:$E,3,FALSE)</f>
        <v>3</v>
      </c>
      <c r="AE34" s="4" t="str">
        <f>VLOOKUP(AB34,[4]characters!$A:$J,10,FALSE)</f>
        <v>Material</v>
      </c>
      <c r="AF34" s="7">
        <v>1</v>
      </c>
      <c r="AG34" s="25">
        <f t="shared" ca="1" si="4"/>
        <v>3</v>
      </c>
      <c r="AH34" s="8">
        <v>40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</row>
    <row r="35" spans="1:39" ht="21" customHeight="1" x14ac:dyDescent="0.15">
      <c r="A35" s="16" t="str">
        <f t="shared" si="0"/>
        <v>20012_3-2/187&lt;lv40&gt;s2</v>
      </c>
      <c r="B35" s="23">
        <v>20012</v>
      </c>
      <c r="C35" s="22">
        <v>3</v>
      </c>
      <c r="D35" s="2" t="str">
        <f t="shared" si="2"/>
        <v>20012_3</v>
      </c>
      <c r="E35" s="4" t="str">
        <f ca="1">VLOOKUP($B35,OFFSET([2]quests!$A$1,0,0,COUNTA([2]quests!$A:$A),MATCH(E$1,[2]quests!$1:$1,0)-MATCH($B$1,[2]quests!$1:$1,0)+1),MATCH(E$1,[2]quests!$1:$1,0)-MATCH($B$1,[2]quests!$1:$1,0)+1,FALSE)</f>
        <v>罪と劇薬</v>
      </c>
      <c r="F35" s="4" t="str">
        <f ca="1">VLOOKUP($D35,OFFSET([2]stages!$A$1,0,0,COUNTA([2]stages!$A:$A),MATCH(F$1,[2]stages!$2:$2,0)-MATCH($D$1,[2]stages!$2:$2,0)+1),MATCH(F$1,[2]stages!$2:$2,0)-MATCH($D$1,[2]stages!$2:$2,0)+1,FALSE)</f>
        <v>【上級】罪と劇薬</v>
      </c>
      <c r="G35" s="82">
        <v>2</v>
      </c>
      <c r="H35" s="15" t="str">
        <f t="shared" si="3"/>
        <v>20012_3-2</v>
      </c>
      <c r="I35" s="4">
        <f ca="1">VLOOKUP($H35,OFFSET(floors!$A$1,0,0,COUNTA(floors!$A:$A),MATCH(I$1,floors!$1:$1,0)-MATCH($H$1,floors!$1:$1,0)+1),MATCH(I$1,floors!$1:$1,0)-MATCH($H$1,floors!$1:$1,0)+1,FALSE)</f>
        <v>20</v>
      </c>
      <c r="J35" s="4">
        <f ca="1">VLOOKUP($H35,OFFSET(floors!$A$1,0,0,COUNTA(floors!$A:$A),MATCH(J$1,floors!$1:$1,0)-MATCH($H$1,floors!$1:$1,0)+1),MATCH(J$1,floors!$1:$1,0)-MATCH($H$1,floors!$1:$1,0)+1,FALSE)</f>
        <v>20</v>
      </c>
      <c r="K35" s="39" t="s">
        <v>53</v>
      </c>
      <c r="L35" s="21">
        <v>187</v>
      </c>
      <c r="M35" s="17" t="str">
        <f ca="1">VLOOKUP(L35,[3]enemies!$A:$B,2,FALSE)</f>
        <v>ホルス</v>
      </c>
      <c r="N35" s="19" t="str">
        <f ca="1">VLOOKUP(L35,[3]enemies!$A:$D,4,FALSE)</f>
        <v>yellow</v>
      </c>
      <c r="O35" s="19" t="str">
        <f>VLOOKUP(L35,[4]characters!$A:$J,10,FALSE)</f>
        <v>PremiumN</v>
      </c>
      <c r="P35" s="18" t="str">
        <f>VLOOKUP(L35,[4]characters!$A:$M,13,FALSE)</f>
        <v>animal</v>
      </c>
      <c r="Q35" s="4">
        <f ca="1">VLOOKUP(L35,[3]enemies!$A:$X,24,FALSE)</f>
        <v>20</v>
      </c>
      <c r="R35" s="5">
        <v>40</v>
      </c>
      <c r="S35" s="26">
        <v>3</v>
      </c>
      <c r="T35" s="26">
        <v>1.1000000000000001</v>
      </c>
      <c r="U35" s="5">
        <v>0</v>
      </c>
      <c r="V35" s="84">
        <v>20012001</v>
      </c>
      <c r="W35" s="4" t="str">
        <f>IFERROR(VLOOKUP(V35,[5]enemy_skill_sets!$B:$E,4,FALSE),VLOOKUP(V35,enemy_skill_sets!B:E,4,FALSE))</f>
        <v>落陽天身</v>
      </c>
      <c r="X35" s="6">
        <v>1</v>
      </c>
      <c r="Y35" s="6">
        <v>100</v>
      </c>
      <c r="Z35" s="6">
        <v>1</v>
      </c>
      <c r="AA35" s="84">
        <v>2</v>
      </c>
      <c r="AB35" s="25">
        <f t="shared" si="1"/>
        <v>187</v>
      </c>
      <c r="AC35" s="4" t="str">
        <f ca="1">VLOOKUP(AB35,[3]enemies!$A:$B,2,FALSE)</f>
        <v>ホルス</v>
      </c>
      <c r="AD35" s="4">
        <f ca="1">VLOOKUP(AB35,[3]enemies!$A:$E,3,FALSE)</f>
        <v>3</v>
      </c>
      <c r="AE35" s="4" t="str">
        <f>VLOOKUP(AB35,[4]characters!$A:$J,10,FALSE)</f>
        <v>PremiumN</v>
      </c>
      <c r="AF35" s="7">
        <v>1</v>
      </c>
      <c r="AG35" s="25">
        <f t="shared" ca="1" si="4"/>
        <v>3</v>
      </c>
      <c r="AH35" s="8">
        <v>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</row>
    <row r="36" spans="1:39" ht="21" customHeight="1" x14ac:dyDescent="0.15">
      <c r="A36" s="16" t="str">
        <f t="shared" si="0"/>
        <v>20012_3-3/301&lt;lv50&gt;s2</v>
      </c>
      <c r="B36" s="23">
        <v>20012</v>
      </c>
      <c r="C36" s="22">
        <v>3</v>
      </c>
      <c r="D36" s="2" t="str">
        <f t="shared" si="2"/>
        <v>20012_3</v>
      </c>
      <c r="E36" s="4" t="str">
        <f ca="1">VLOOKUP($B36,OFFSET([2]quests!$A$1,0,0,COUNTA([2]quests!$A:$A),MATCH(E$1,[2]quests!$1:$1,0)-MATCH($B$1,[2]quests!$1:$1,0)+1),MATCH(E$1,[2]quests!$1:$1,0)-MATCH($B$1,[2]quests!$1:$1,0)+1,FALSE)</f>
        <v>罪と劇薬</v>
      </c>
      <c r="F36" s="4" t="str">
        <f ca="1">VLOOKUP($D36,OFFSET([2]stages!$A$1,0,0,COUNTA([2]stages!$A:$A),MATCH(F$1,[2]stages!$2:$2,0)-MATCH($D$1,[2]stages!$2:$2,0)+1),MATCH(F$1,[2]stages!$2:$2,0)-MATCH($D$1,[2]stages!$2:$2,0)+1,FALSE)</f>
        <v>【上級】罪と劇薬</v>
      </c>
      <c r="G36" s="22">
        <v>3</v>
      </c>
      <c r="H36" s="15" t="str">
        <f t="shared" si="3"/>
        <v>20012_3-3</v>
      </c>
      <c r="I36" s="4">
        <f ca="1">VLOOKUP($H36,OFFSET(floors!$A$1,0,0,COUNTA(floors!$A:$A),MATCH(I$1,floors!$1:$1,0)-MATCH($H$1,floors!$1:$1,0)+1),MATCH(I$1,floors!$1:$1,0)-MATCH($H$1,floors!$1:$1,0)+1,FALSE)</f>
        <v>30</v>
      </c>
      <c r="J36" s="4">
        <f ca="1">VLOOKUP($H36,OFFSET(floors!$A$1,0,0,COUNTA(floors!$A:$A),MATCH(J$1,floors!$1:$1,0)-MATCH($H$1,floors!$1:$1,0)+1),MATCH(J$1,floors!$1:$1,0)-MATCH($H$1,floors!$1:$1,0)+1,FALSE)</f>
        <v>30</v>
      </c>
      <c r="K36" s="39">
        <v>2</v>
      </c>
      <c r="L36" s="21">
        <v>301</v>
      </c>
      <c r="M36" s="17" t="str">
        <f ca="1">VLOOKUP(L36,[3]enemies!$A:$B,2,FALSE)</f>
        <v>宿痾の葬送 チカ</v>
      </c>
      <c r="N36" s="19" t="str">
        <f ca="1">VLOOKUP(L36,[3]enemies!$A:$D,4,FALSE)</f>
        <v>green</v>
      </c>
      <c r="O36" s="19" t="str">
        <f>VLOOKUP(L36,[4]characters!$A:$J,10,FALSE)</f>
        <v>Drop2W</v>
      </c>
      <c r="P36" s="18" t="str">
        <f>VLOOKUP(L36,[4]characters!$A:$M,13,FALSE)</f>
        <v>human</v>
      </c>
      <c r="Q36" s="4">
        <f ca="1">VLOOKUP(L36,[3]enemies!$A:$X,24,FALSE)</f>
        <v>30</v>
      </c>
      <c r="R36" s="5">
        <v>50</v>
      </c>
      <c r="S36" s="26">
        <v>2.2000000000000002</v>
      </c>
      <c r="T36" s="26">
        <v>1</v>
      </c>
      <c r="U36" s="5">
        <v>0</v>
      </c>
      <c r="V36" s="84">
        <v>20012002</v>
      </c>
      <c r="W36" s="4" t="str">
        <f>IFERROR(VLOOKUP(V36,[5]enemy_skill_sets!$B:$E,4,FALSE),VLOOKUP(V36,enemy_skill_sets!B:E,4,FALSE))</f>
        <v>実験への協力、感謝する</v>
      </c>
      <c r="X36" s="6">
        <v>1</v>
      </c>
      <c r="Y36" s="6">
        <v>100</v>
      </c>
      <c r="Z36" s="6">
        <v>1</v>
      </c>
      <c r="AA36" s="84">
        <v>2</v>
      </c>
      <c r="AB36" s="88">
        <v>300</v>
      </c>
      <c r="AC36" s="4" t="str">
        <f ca="1">VLOOKUP(AB36,[3]enemies!$A:$B,2,FALSE)</f>
        <v>毒殺のチカ</v>
      </c>
      <c r="AD36" s="4">
        <f ca="1">VLOOKUP(AB36,[3]enemies!$A:$E,3,FALSE)</f>
        <v>3</v>
      </c>
      <c r="AE36" s="4" t="str">
        <f>VLOOKUP(AB36,[4]characters!$A:$J,10,FALSE)</f>
        <v>Drop2W</v>
      </c>
      <c r="AF36" s="7">
        <v>1</v>
      </c>
      <c r="AG36" s="25">
        <f t="shared" ca="1" si="4"/>
        <v>3</v>
      </c>
      <c r="AH36" s="8">
        <v>100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Q20" sqref="Q20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bestFit="1" customWidth="1" outlineLevel="1"/>
    <col min="15" max="15" width="8.6640625" style="3" bestFit="1" customWidth="1" outlineLevel="1"/>
    <col min="16" max="16" width="12" style="3" bestFit="1" customWidth="1" outlineLevel="1"/>
    <col min="17" max="17" width="21" style="3" bestFit="1" customWidth="1" outlineLevel="1"/>
    <col min="18" max="18" width="8" style="3" bestFit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 outlineLevel="1"/>
    <col min="24" max="24" width="10" style="3" bestFit="1" customWidth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29" t="s">
        <v>4</v>
      </c>
      <c r="X1" s="30" t="s">
        <v>31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20012_2-3/300&lt;lv40&gt;sq1st2</v>
      </c>
      <c r="B2" s="23">
        <v>20012</v>
      </c>
      <c r="C2" s="22">
        <v>2</v>
      </c>
      <c r="D2" s="2" t="str">
        <f>B2&amp;"_"&amp;C2</f>
        <v>20012_2</v>
      </c>
      <c r="E2" s="4" t="str">
        <f ca="1">VLOOKUP($B2,OFFSET([2]quests!$A$1,0,0,COUNTA([2]quests!$A:$A),MATCH(E$1,[2]quests!$1:$1,0)-MATCH($B$1,[2]quests!$1:$1,0)+1),MATCH(E$1,[2]quests!$1:$1,0)-MATCH($B$1,[2]quests!$1:$1,0)+1,FALSE)</f>
        <v>罪と劇薬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【中級】罪と劇薬</v>
      </c>
      <c r="G2" s="22">
        <v>3</v>
      </c>
      <c r="H2" s="15" t="str">
        <f>B2&amp;"_"&amp;C2&amp;"-"&amp;G2</f>
        <v>20012_2-3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9">
        <v>1</v>
      </c>
      <c r="L2" s="39">
        <v>2</v>
      </c>
      <c r="M2" s="21">
        <v>300</v>
      </c>
      <c r="N2" s="17" t="str">
        <f ca="1">VLOOKUP(M2,[3]enemies!$A:$B,2,FALSE)</f>
        <v>毒殺のチカ</v>
      </c>
      <c r="O2" s="19" t="str">
        <f ca="1">VLOOKUP(M2,[3]enemies!$A:$D,4,FALSE)</f>
        <v>green</v>
      </c>
      <c r="P2" s="19" t="str">
        <f>VLOOKUP(M2,[4]characters!$A:$J,10,FALSE)</f>
        <v>Drop2W</v>
      </c>
      <c r="Q2" s="18" t="str">
        <f>VLOOKUP(M2,[4]characters!$A:$M,13,FALSE)</f>
        <v>human</v>
      </c>
      <c r="R2" s="4">
        <f ca="1">VLOOKUP(M2,[3]enemies!$A:$X,24,FALSE)</f>
        <v>20</v>
      </c>
      <c r="S2" s="5">
        <v>40</v>
      </c>
      <c r="T2" s="26">
        <v>2.8</v>
      </c>
      <c r="U2" s="26">
        <v>1</v>
      </c>
      <c r="V2" s="5">
        <v>0</v>
      </c>
      <c r="W2" s="84">
        <v>20012005</v>
      </c>
      <c r="X2" s="4" t="str">
        <f>IFERROR(VLOOKUP(W2,[5]enemy_skill_sets!$B:$E,4,FALSE),VLOOKUP(W2,enemy_skill_sets!C:F,3,FALSE))</f>
        <v>次の段階に移行しよう</v>
      </c>
      <c r="Y2" s="84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20012_3-3/301&lt;lv50&gt;sq2st2</v>
      </c>
      <c r="B3" s="23">
        <v>20012</v>
      </c>
      <c r="C3" s="22">
        <v>3</v>
      </c>
      <c r="D3" s="2" t="str">
        <f>B3&amp;"_"&amp;C3</f>
        <v>20012_3</v>
      </c>
      <c r="E3" s="4" t="str">
        <f ca="1">VLOOKUP($B3,OFFSET([2]quests!$A$1,0,0,COUNTA([2]quests!$A:$A),MATCH(E$1,[2]quests!$1:$1,0)-MATCH($B$1,[2]quests!$1:$1,0)+1),MATCH(E$1,[2]quests!$1:$1,0)-MATCH($B$1,[2]quests!$1:$1,0)+1,FALSE)</f>
        <v>罪と劇薬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【上級】罪と劇薬</v>
      </c>
      <c r="G3" s="22">
        <v>3</v>
      </c>
      <c r="H3" s="15" t="str">
        <f>B3&amp;"_"&amp;C3&amp;"-"&amp;G3</f>
        <v>20012_3-3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9">
        <v>2</v>
      </c>
      <c r="L3" s="39">
        <v>2</v>
      </c>
      <c r="M3" s="21">
        <v>301</v>
      </c>
      <c r="N3" s="17" t="str">
        <f ca="1">VLOOKUP(M3,[3]enemies!$A:$B,2,FALSE)</f>
        <v>宿痾の葬送 チカ</v>
      </c>
      <c r="O3" s="19" t="str">
        <f ca="1">VLOOKUP(M3,[3]enemies!$A:$D,4,FALSE)</f>
        <v>green</v>
      </c>
      <c r="P3" s="19" t="str">
        <f>VLOOKUP(M3,[4]characters!$A:$J,10,FALSE)</f>
        <v>Drop2W</v>
      </c>
      <c r="Q3" s="18" t="str">
        <f>VLOOKUP(M3,[4]characters!$A:$M,13,FALSE)</f>
        <v>human</v>
      </c>
      <c r="R3" s="4">
        <f ca="1">VLOOKUP(M3,[3]enemies!$A:$X,24,FALSE)</f>
        <v>30</v>
      </c>
      <c r="S3" s="5">
        <v>50</v>
      </c>
      <c r="T3" s="26">
        <v>3</v>
      </c>
      <c r="U3" s="26">
        <v>1</v>
      </c>
      <c r="V3" s="5">
        <v>0</v>
      </c>
      <c r="W3" s="84">
        <v>20012003</v>
      </c>
      <c r="X3" s="4" t="str">
        <f>IFERROR(VLOOKUP(W3,[5]enemy_skill_sets!$B:$E,4,FALSE),VLOOKUP(W3,enemy_skill_sets!C:F,3,FALSE))</f>
        <v>閃光空撃</v>
      </c>
      <c r="Y3" s="84"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5"/>
  <sheetViews>
    <sheetView showGridLines="0" zoomScale="85" zoomScaleNormal="85" zoomScalePageLayoutView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G26" sqref="G26"/>
    </sheetView>
  </sheetViews>
  <sheetFormatPr baseColWidth="12" defaultColWidth="12.83203125" defaultRowHeight="21" customHeight="1" outlineLevelCol="1" x14ac:dyDescent="0.15"/>
  <cols>
    <col min="1" max="1" width="11.33203125" style="40" bestFit="1" customWidth="1"/>
    <col min="2" max="2" width="13.33203125" style="50" customWidth="1"/>
    <col min="3" max="3" width="10.83203125" style="50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 x14ac:dyDescent="0.15">
      <c r="A1" s="40" t="s">
        <v>59</v>
      </c>
      <c r="B1" s="41" t="s">
        <v>60</v>
      </c>
      <c r="C1" s="41" t="s">
        <v>61</v>
      </c>
      <c r="D1" s="42" t="s">
        <v>62</v>
      </c>
      <c r="E1" s="42" t="s">
        <v>63</v>
      </c>
      <c r="F1" s="43" t="s">
        <v>64</v>
      </c>
      <c r="G1" s="44" t="s">
        <v>65</v>
      </c>
      <c r="H1" s="44" t="s">
        <v>67</v>
      </c>
      <c r="I1" s="44" t="s">
        <v>68</v>
      </c>
      <c r="J1" s="44" t="s">
        <v>69</v>
      </c>
      <c r="K1" s="45" t="s">
        <v>70</v>
      </c>
      <c r="L1" s="45" t="s">
        <v>71</v>
      </c>
      <c r="M1" s="44" t="s">
        <v>72</v>
      </c>
      <c r="N1" s="44" t="s">
        <v>73</v>
      </c>
      <c r="O1" s="44" t="s">
        <v>74</v>
      </c>
      <c r="P1" s="42" t="s">
        <v>75</v>
      </c>
      <c r="Q1" s="42" t="s">
        <v>76</v>
      </c>
      <c r="R1" s="42" t="s">
        <v>77</v>
      </c>
    </row>
    <row r="2" spans="1:18" ht="21" customHeight="1" x14ac:dyDescent="0.15">
      <c r="A2" s="40" t="str">
        <f t="shared" ref="A2" si="0">B2&amp;"_"&amp;C2</f>
        <v>20012001_20012001</v>
      </c>
      <c r="B2" s="87">
        <v>20012001</v>
      </c>
      <c r="C2" s="85">
        <v>20012001</v>
      </c>
      <c r="D2" s="47" t="str">
        <f>VLOOKUP(C2,enemy_skills!A:F,4,FALSE)</f>
        <v>ja</v>
      </c>
      <c r="E2" s="47" t="str">
        <f>VLOOKUP(C2,enemy_skills!A:F,5,FALSE)</f>
        <v>落陽天身</v>
      </c>
      <c r="F2" s="48">
        <v>20012002</v>
      </c>
      <c r="G2" s="49">
        <f>VLOOKUP($F2,enemy_skill_triggers!$A:$J,2,FALSE)</f>
        <v>0</v>
      </c>
      <c r="H2" s="49" t="str">
        <f>VLOOKUP($F2,enemy_skill_triggers!$A:$J,3,FALSE)</f>
        <v>null</v>
      </c>
      <c r="I2" s="49">
        <f>VLOOKUP($F2,enemy_skill_triggers!$A:$J,4,FALSE)</f>
        <v>100</v>
      </c>
      <c r="J2" s="49">
        <f>VLOOKUP($F2,enemy_skill_triggers!$A:$J,5,FALSE)</f>
        <v>50</v>
      </c>
      <c r="K2" s="49" t="str">
        <f>VLOOKUP($F2,enemy_skill_triggers!$A:$J,6,FALSE)</f>
        <v>null</v>
      </c>
      <c r="L2" s="49">
        <f>VLOOKUP($F2,enemy_skill_triggers!$A:$J,7,FALSE)</f>
        <v>1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100</v>
      </c>
      <c r="P2" s="48" t="s">
        <v>78</v>
      </c>
      <c r="Q2" s="86">
        <v>42292</v>
      </c>
      <c r="R2" s="87" t="s">
        <v>103</v>
      </c>
    </row>
    <row r="3" spans="1:18" ht="21" customHeight="1" x14ac:dyDescent="0.15">
      <c r="A3" s="40" t="str">
        <f t="shared" ref="A3:A5" si="1">B3&amp;"_"&amp;C3</f>
        <v>20012001_20012002</v>
      </c>
      <c r="B3" s="87">
        <v>20012001</v>
      </c>
      <c r="C3" s="85">
        <v>20012002</v>
      </c>
      <c r="D3" s="47" t="str">
        <f>VLOOKUP(C3,enemy_skills!A:F,4,FALSE)</f>
        <v>ja</v>
      </c>
      <c r="E3" s="47" t="str">
        <f>VLOOKUP(C3,enemy_skills!A:F,5,FALSE)</f>
        <v>縦横無尽</v>
      </c>
      <c r="F3" s="48">
        <v>20012003</v>
      </c>
      <c r="G3" s="49">
        <f>VLOOKUP($F3,enemy_skill_triggers!$A:$J,2,FALSE)</f>
        <v>0</v>
      </c>
      <c r="H3" s="49" t="str">
        <f>VLOOKUP($F3,enemy_skill_triggers!$A:$J,3,FALSE)</f>
        <v>null</v>
      </c>
      <c r="I3" s="49">
        <f>VLOOKUP($F3,enemy_skill_triggers!$A:$J,4,FALSE)</f>
        <v>60</v>
      </c>
      <c r="J3" s="49">
        <f>VLOOKUP($F3,enemy_skill_triggers!$A:$J,5,FALSE)</f>
        <v>50</v>
      </c>
      <c r="K3" s="49" t="str">
        <f>VLOOKUP($F3,enemy_skill_triggers!$A:$J,6,FALSE)</f>
        <v>null</v>
      </c>
      <c r="L3" s="49">
        <f>VLOOKUP($F3,enemy_skill_triggers!$A:$J,7,FALSE)</f>
        <v>2</v>
      </c>
      <c r="M3" s="49" t="str">
        <f>VLOOKUP($F3,enemy_skill_triggers!$A:$J,8,FALSE)</f>
        <v>null</v>
      </c>
      <c r="N3" s="49" t="str">
        <f>VLOOKUP($F3,enemy_skill_triggers!$A:$J,9,FALSE)</f>
        <v>null</v>
      </c>
      <c r="O3" s="49">
        <f>VLOOKUP($F3,enemy_skill_triggers!$A:$J,10,FALSE)</f>
        <v>60</v>
      </c>
      <c r="P3" s="48" t="s">
        <v>78</v>
      </c>
      <c r="Q3" s="86">
        <v>42292</v>
      </c>
      <c r="R3" s="87" t="s">
        <v>103</v>
      </c>
    </row>
    <row r="4" spans="1:18" ht="21" customHeight="1" x14ac:dyDescent="0.15">
      <c r="A4" s="40" t="str">
        <f t="shared" si="1"/>
        <v>20012001_20012003</v>
      </c>
      <c r="B4" s="87">
        <v>20012001</v>
      </c>
      <c r="C4" s="85">
        <v>20012003</v>
      </c>
      <c r="D4" s="47" t="str">
        <f>VLOOKUP(C4,enemy_skills!A:F,4,FALSE)</f>
        <v>ja</v>
      </c>
      <c r="E4" s="47" t="str">
        <f>VLOOKUP(C4,enemy_skills!A:F,5,FALSE)</f>
        <v>閃光空撃</v>
      </c>
      <c r="F4" s="48">
        <v>20012001</v>
      </c>
      <c r="G4" s="49">
        <f>VLOOKUP($F4,enemy_skill_triggers!$A:$J,2,FALSE)</f>
        <v>0</v>
      </c>
      <c r="H4" s="49" t="str">
        <f>VLOOKUP($F4,enemy_skill_triggers!$A:$J,3,FALSE)</f>
        <v>null</v>
      </c>
      <c r="I4" s="49">
        <f>VLOOKUP($F4,enemy_skill_triggers!$A:$J,4,FALSE)</f>
        <v>75</v>
      </c>
      <c r="J4" s="49" t="str">
        <f>VLOOKUP($F4,enemy_skill_triggers!$A:$J,5,FALSE)</f>
        <v>null</v>
      </c>
      <c r="K4" s="49" t="str">
        <f>VLOOKUP($F4,enemy_skill_triggers!$A:$J,6,FALSE)</f>
        <v>null</v>
      </c>
      <c r="L4" s="49" t="str">
        <f>VLOOKUP($F4,enemy_skill_triggers!$A:$J,7,FALSE)</f>
        <v>null</v>
      </c>
      <c r="M4" s="49" t="str">
        <f>VLOOKUP($F4,enemy_skill_triggers!$A:$J,8,FALSE)</f>
        <v>null</v>
      </c>
      <c r="N4" s="49" t="str">
        <f>VLOOKUP($F4,enemy_skill_triggers!$A:$J,9,FALSE)</f>
        <v>null</v>
      </c>
      <c r="O4" s="49">
        <f>VLOOKUP($F4,enemy_skill_triggers!$A:$J,10,FALSE)</f>
        <v>75</v>
      </c>
      <c r="P4" s="48" t="s">
        <v>78</v>
      </c>
      <c r="Q4" s="86">
        <v>42292</v>
      </c>
      <c r="R4" s="87" t="s">
        <v>103</v>
      </c>
    </row>
    <row r="5" spans="1:18" ht="21" customHeight="1" x14ac:dyDescent="0.15">
      <c r="A5" s="40" t="str">
        <f t="shared" si="1"/>
        <v>20012002_20012004</v>
      </c>
      <c r="B5" s="90">
        <v>20012002</v>
      </c>
      <c r="C5" s="85">
        <v>20012004</v>
      </c>
      <c r="D5" s="47" t="str">
        <f>VLOOKUP(C5,enemy_skills!A:F,4,FALSE)</f>
        <v>ja</v>
      </c>
      <c r="E5" s="47" t="str">
        <f>VLOOKUP(C5,enemy_skills!A:F,5,FALSE)</f>
        <v>実験への協力、感謝する</v>
      </c>
      <c r="F5" s="48">
        <v>20012005</v>
      </c>
      <c r="G5" s="49">
        <f>VLOOKUP($F5,enemy_skill_triggers!$A:$J,2,FALSE)</f>
        <v>1</v>
      </c>
      <c r="H5" s="49" t="str">
        <f>VLOOKUP($F5,enemy_skill_triggers!$A:$J,3,FALSE)</f>
        <v>null</v>
      </c>
      <c r="I5" s="49">
        <f>VLOOKUP($F5,enemy_skill_triggers!$A:$J,4,FALSE)</f>
        <v>100</v>
      </c>
      <c r="J5" s="49" t="str">
        <f>VLOOKUP($F5,enemy_skill_triggers!$A:$J,5,FALSE)</f>
        <v>null</v>
      </c>
      <c r="K5" s="49" t="str">
        <f>VLOOKUP($F5,enemy_skill_triggers!$A:$J,6,FALSE)</f>
        <v>null</v>
      </c>
      <c r="L5" s="49">
        <f>VLOOKUP($F5,enemy_skill_triggers!$A:$J,7,FALSE)</f>
        <v>1</v>
      </c>
      <c r="M5" s="49" t="str">
        <f>VLOOKUP($F5,enemy_skill_triggers!$A:$J,8,FALSE)</f>
        <v>null</v>
      </c>
      <c r="N5" s="49" t="str">
        <f>VLOOKUP($F5,enemy_skill_triggers!$A:$J,9,FALSE)</f>
        <v>null</v>
      </c>
      <c r="O5" s="49">
        <f>VLOOKUP($F5,enemy_skill_triggers!$A:$J,10,FALSE)</f>
        <v>100</v>
      </c>
      <c r="P5" s="48" t="s">
        <v>78</v>
      </c>
      <c r="Q5" s="86">
        <v>42293</v>
      </c>
      <c r="R5" s="90" t="s">
        <v>110</v>
      </c>
    </row>
    <row r="6" spans="1:18" ht="21" customHeight="1" x14ac:dyDescent="0.15">
      <c r="A6" s="40" t="str">
        <f t="shared" ref="A6:A8" si="2">B6&amp;"_"&amp;C6</f>
        <v>20012002_20012006</v>
      </c>
      <c r="B6" s="90">
        <v>20012002</v>
      </c>
      <c r="C6" s="85">
        <v>20012006</v>
      </c>
      <c r="D6" s="47" t="str">
        <f>VLOOKUP(C6,enemy_skills!A:F,4,FALSE)</f>
        <v>ja</v>
      </c>
      <c r="E6" s="47" t="str">
        <f>VLOOKUP(C6,enemy_skills!A:F,5,FALSE)</f>
        <v>少々刺激を強めるか…</v>
      </c>
      <c r="F6" s="48">
        <v>20012002</v>
      </c>
      <c r="G6" s="49">
        <f>VLOOKUP($F6,enemy_skill_triggers!$A:$J,2,FALSE)</f>
        <v>0</v>
      </c>
      <c r="H6" s="49" t="str">
        <f>VLOOKUP($F6,enemy_skill_triggers!$A:$J,3,FALSE)</f>
        <v>null</v>
      </c>
      <c r="I6" s="49">
        <f>VLOOKUP($F6,enemy_skill_triggers!$A:$J,4,FALSE)</f>
        <v>100</v>
      </c>
      <c r="J6" s="49">
        <f>VLOOKUP($F6,enemy_skill_triggers!$A:$J,5,FALSE)</f>
        <v>50</v>
      </c>
      <c r="K6" s="49" t="str">
        <f>VLOOKUP($F6,enemy_skill_triggers!$A:$J,6,FALSE)</f>
        <v>null</v>
      </c>
      <c r="L6" s="49">
        <f>VLOOKUP($F6,enemy_skill_triggers!$A:$J,7,FALSE)</f>
        <v>1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100</v>
      </c>
      <c r="P6" s="48" t="s">
        <v>78</v>
      </c>
      <c r="Q6" s="86">
        <v>42293</v>
      </c>
      <c r="R6" s="90" t="s">
        <v>110</v>
      </c>
    </row>
    <row r="7" spans="1:18" ht="21" customHeight="1" x14ac:dyDescent="0.15">
      <c r="A7" s="40" t="str">
        <f t="shared" si="2"/>
        <v>20012002_20012009</v>
      </c>
      <c r="B7" s="90">
        <v>20012002</v>
      </c>
      <c r="C7" s="85">
        <v>20012009</v>
      </c>
      <c r="D7" s="47" t="str">
        <f>VLOOKUP(C7,enemy_skills!A:F,4,FALSE)</f>
        <v>ja</v>
      </c>
      <c r="E7" s="47" t="str">
        <f>VLOOKUP(C7,enemy_skills!A:F,5,FALSE)</f>
        <v>ネクロポイズン</v>
      </c>
      <c r="F7" s="48">
        <v>20012007</v>
      </c>
      <c r="G7" s="49">
        <f>VLOOKUP($F7,enemy_skill_triggers!$A:$J,2,FALSE)</f>
        <v>0</v>
      </c>
      <c r="H7" s="49" t="str">
        <f>VLOOKUP($F7,enemy_skill_triggers!$A:$J,3,FALSE)</f>
        <v>null</v>
      </c>
      <c r="I7" s="49">
        <f>VLOOKUP($F7,enemy_skill_triggers!$A:$J,4,FALSE)</f>
        <v>50</v>
      </c>
      <c r="J7" s="49" t="str">
        <f>VLOOKUP($F7,enemy_skill_triggers!$A:$J,5,FALSE)</f>
        <v>null</v>
      </c>
      <c r="K7" s="49" t="str">
        <f>VLOOKUP($F7,enemy_skill_triggers!$A:$J,6,FALSE)</f>
        <v>null</v>
      </c>
      <c r="L7" s="49" t="str">
        <f>VLOOKUP($F7,enemy_skill_triggers!$A:$J,7,FALSE)</f>
        <v>null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50</v>
      </c>
      <c r="P7" s="48" t="s">
        <v>78</v>
      </c>
      <c r="Q7" s="89">
        <v>42293</v>
      </c>
      <c r="R7" s="90" t="s">
        <v>110</v>
      </c>
    </row>
    <row r="8" spans="1:18" ht="21" customHeight="1" x14ac:dyDescent="0.15">
      <c r="A8" s="40" t="str">
        <f t="shared" si="2"/>
        <v>20012002_20012010</v>
      </c>
      <c r="B8" s="90">
        <v>20012002</v>
      </c>
      <c r="C8" s="85">
        <v>20012010</v>
      </c>
      <c r="D8" s="47" t="str">
        <f>VLOOKUP(C8,enemy_skills!A:F,4,FALSE)</f>
        <v>ja</v>
      </c>
      <c r="E8" s="47" t="str">
        <f>VLOOKUP(C8,enemy_skills!A:F,5,FALSE)</f>
        <v>スキャターポイズン</v>
      </c>
      <c r="F8" s="48">
        <v>20012008</v>
      </c>
      <c r="G8" s="49">
        <f>VLOOKUP($F8,enemy_skill_triggers!$A:$J,2,FALSE)</f>
        <v>0</v>
      </c>
      <c r="H8" s="49" t="str">
        <f>VLOOKUP($F8,enemy_skill_triggers!$A:$J,3,FALSE)</f>
        <v>null</v>
      </c>
      <c r="I8" s="49">
        <f>VLOOKUP($F8,enemy_skill_triggers!$A:$J,4,FALSE)</f>
        <v>95</v>
      </c>
      <c r="J8" s="49" t="str">
        <f>VLOOKUP($F8,enemy_skill_triggers!$A:$J,5,FALSE)</f>
        <v>null</v>
      </c>
      <c r="K8" s="49" t="str">
        <f>VLOOKUP($F8,enemy_skill_triggers!$A:$J,6,FALSE)</f>
        <v>null</v>
      </c>
      <c r="L8" s="49" t="str">
        <f>VLOOKUP($F8,enemy_skill_triggers!$A:$J,7,FALSE)</f>
        <v>null</v>
      </c>
      <c r="M8" s="49" t="str">
        <f>VLOOKUP($F8,enemy_skill_triggers!$A:$J,8,FALSE)</f>
        <v>null</v>
      </c>
      <c r="N8" s="49" t="str">
        <f>VLOOKUP($F8,enemy_skill_triggers!$A:$J,9,FALSE)</f>
        <v>null</v>
      </c>
      <c r="O8" s="49">
        <f>VLOOKUP($F8,enemy_skill_triggers!$A:$J,10,FALSE)</f>
        <v>95</v>
      </c>
      <c r="P8" s="48" t="s">
        <v>78</v>
      </c>
      <c r="Q8" s="86">
        <v>42293</v>
      </c>
      <c r="R8" s="90" t="s">
        <v>110</v>
      </c>
    </row>
    <row r="9" spans="1:18" ht="21" customHeight="1" x14ac:dyDescent="0.15">
      <c r="A9" s="40" t="str">
        <f t="shared" ref="A9:A10" si="3">B9&amp;"_"&amp;C9</f>
        <v>20012003_20012005</v>
      </c>
      <c r="B9" s="87">
        <v>20012003</v>
      </c>
      <c r="C9" s="85">
        <v>20012005</v>
      </c>
      <c r="D9" s="47" t="str">
        <f>VLOOKUP(C9,enemy_skills!A:F,4,FALSE)</f>
        <v>ja</v>
      </c>
      <c r="E9" s="47" t="str">
        <f>VLOOKUP(C9,enemy_skills!A:F,5,FALSE)</f>
        <v>次の段階に移行しよう</v>
      </c>
      <c r="F9" s="48">
        <v>20012005</v>
      </c>
      <c r="G9" s="49">
        <f>VLOOKUP($F9,enemy_skill_triggers!$A:$J,2,FALSE)</f>
        <v>1</v>
      </c>
      <c r="H9" s="49" t="str">
        <f>VLOOKUP($F9,enemy_skill_triggers!$A:$J,3,FALSE)</f>
        <v>null</v>
      </c>
      <c r="I9" s="49">
        <f>VLOOKUP($F9,enemy_skill_triggers!$A:$J,4,FALSE)</f>
        <v>100</v>
      </c>
      <c r="J9" s="49" t="str">
        <f>VLOOKUP($F9,enemy_skill_triggers!$A:$J,5,FALSE)</f>
        <v>null</v>
      </c>
      <c r="K9" s="49" t="str">
        <f>VLOOKUP($F9,enemy_skill_triggers!$A:$J,6,FALSE)</f>
        <v>null</v>
      </c>
      <c r="L9" s="49">
        <f>VLOOKUP($F9,enemy_skill_triggers!$A:$J,7,FALSE)</f>
        <v>1</v>
      </c>
      <c r="M9" s="49" t="str">
        <f>VLOOKUP($F9,enemy_skill_triggers!$A:$J,8,FALSE)</f>
        <v>null</v>
      </c>
      <c r="N9" s="49" t="str">
        <f>VLOOKUP($F9,enemy_skill_triggers!$A:$J,9,FALSE)</f>
        <v>null</v>
      </c>
      <c r="O9" s="49">
        <f>VLOOKUP($F9,enemy_skill_triggers!$A:$J,10,FALSE)</f>
        <v>100</v>
      </c>
      <c r="P9" s="48" t="s">
        <v>78</v>
      </c>
      <c r="Q9" s="86">
        <v>42293</v>
      </c>
      <c r="R9" s="87" t="s">
        <v>112</v>
      </c>
    </row>
    <row r="10" spans="1:18" ht="21" customHeight="1" x14ac:dyDescent="0.15">
      <c r="A10" s="40" t="str">
        <f t="shared" si="3"/>
        <v>20012003_20012007</v>
      </c>
      <c r="B10" s="87">
        <v>20012003</v>
      </c>
      <c r="C10" s="85">
        <v>20012007</v>
      </c>
      <c r="D10" s="47" t="str">
        <f>VLOOKUP(C10,enemy_skills!A:F,4,FALSE)</f>
        <v>ja</v>
      </c>
      <c r="E10" s="47" t="str">
        <f>VLOOKUP(C10,enemy_skills!A:F,5,FALSE)</f>
        <v>暴れるな…データが狂う</v>
      </c>
      <c r="F10" s="48">
        <v>20012004</v>
      </c>
      <c r="G10" s="49">
        <f>VLOOKUP($F10,enemy_skill_triggers!$A:$J,2,FALSE)</f>
        <v>0</v>
      </c>
      <c r="H10" s="49" t="str">
        <f>VLOOKUP($F10,enemy_skill_triggers!$A:$J,3,FALSE)</f>
        <v>null</v>
      </c>
      <c r="I10" s="49">
        <f>VLOOKUP($F10,enemy_skill_triggers!$A:$J,4,FALSE)</f>
        <v>100</v>
      </c>
      <c r="J10" s="49">
        <f>VLOOKUP($F10,enemy_skill_triggers!$A:$J,5,FALSE)</f>
        <v>50</v>
      </c>
      <c r="K10" s="49" t="str">
        <f>VLOOKUP($F10,enemy_skill_triggers!$A:$J,6,FALSE)</f>
        <v>null</v>
      </c>
      <c r="L10" s="49">
        <f>VLOOKUP($F10,enemy_skill_triggers!$A:$J,7,FALSE)</f>
        <v>1</v>
      </c>
      <c r="M10" s="49" t="str">
        <f>VLOOKUP($F10,enemy_skill_triggers!$A:$J,8,FALSE)</f>
        <v>null</v>
      </c>
      <c r="N10" s="49" t="str">
        <f>VLOOKUP($F10,enemy_skill_triggers!$A:$J,9,FALSE)</f>
        <v>null</v>
      </c>
      <c r="O10" s="49">
        <f>VLOOKUP($F10,enemy_skill_triggers!$A:$J,10,FALSE)</f>
        <v>100</v>
      </c>
      <c r="P10" s="48" t="s">
        <v>78</v>
      </c>
      <c r="Q10" s="89">
        <v>42293</v>
      </c>
      <c r="R10" s="87" t="s">
        <v>112</v>
      </c>
    </row>
    <row r="11" spans="1:18" ht="21" customHeight="1" x14ac:dyDescent="0.15">
      <c r="A11" s="40" t="str">
        <f t="shared" ref="A11" si="4">B11&amp;"_"&amp;C11</f>
        <v>20012003_20012008</v>
      </c>
      <c r="B11" s="87">
        <v>20012003</v>
      </c>
      <c r="C11" s="85">
        <v>20012008</v>
      </c>
      <c r="D11" s="47" t="str">
        <f>VLOOKUP(C11,enemy_skills!A:F,4,FALSE)</f>
        <v>ja</v>
      </c>
      <c r="E11" s="47" t="str">
        <f>VLOOKUP(C11,enemy_skills!A:F,5,FALSE)</f>
        <v>デッドリーポイズン</v>
      </c>
      <c r="F11" s="48">
        <v>20012006</v>
      </c>
      <c r="G11" s="49">
        <f>VLOOKUP($F11,enemy_skill_triggers!$A:$J,2,FALSE)</f>
        <v>0</v>
      </c>
      <c r="H11" s="49" t="str">
        <f>VLOOKUP($F11,enemy_skill_triggers!$A:$J,3,FALSE)</f>
        <v>null</v>
      </c>
      <c r="I11" s="49">
        <f>VLOOKUP($F11,enemy_skill_triggers!$A:$J,4,FALSE)</f>
        <v>90</v>
      </c>
      <c r="J11" s="49" t="str">
        <f>VLOOKUP($F11,enemy_skill_triggers!$A:$J,5,FALSE)</f>
        <v>null</v>
      </c>
      <c r="K11" s="49" t="str">
        <f>VLOOKUP($F11,enemy_skill_triggers!$A:$J,6,FALSE)</f>
        <v>null</v>
      </c>
      <c r="L11" s="49">
        <f>VLOOKUP($F11,enemy_skill_triggers!$A:$J,7,FALSE)</f>
        <v>1</v>
      </c>
      <c r="M11" s="49" t="str">
        <f>VLOOKUP($F11,enemy_skill_triggers!$A:$J,8,FALSE)</f>
        <v>null</v>
      </c>
      <c r="N11" s="49" t="str">
        <f>VLOOKUP($F11,enemy_skill_triggers!$A:$J,9,FALSE)</f>
        <v>null</v>
      </c>
      <c r="O11" s="49">
        <f>VLOOKUP($F11,enemy_skill_triggers!$A:$J,10,FALSE)</f>
        <v>90</v>
      </c>
      <c r="P11" s="48" t="s">
        <v>78</v>
      </c>
      <c r="Q11" s="89">
        <v>42293</v>
      </c>
      <c r="R11" s="87" t="s">
        <v>112</v>
      </c>
    </row>
    <row r="12" spans="1:18" ht="21" customHeight="1" x14ac:dyDescent="0.15">
      <c r="A12" s="40" t="str">
        <f t="shared" ref="A12:A19" si="5">B12&amp;"_"&amp;C12</f>
        <v>20012003_20012009</v>
      </c>
      <c r="B12" s="87">
        <v>20012003</v>
      </c>
      <c r="C12" s="85">
        <v>20012009</v>
      </c>
      <c r="D12" s="47" t="str">
        <f>VLOOKUP(C12,enemy_skills!A:F,4,FALSE)</f>
        <v>ja</v>
      </c>
      <c r="E12" s="47" t="str">
        <f>VLOOKUP(C12,enemy_skills!A:F,5,FALSE)</f>
        <v>ネクロポイズン</v>
      </c>
      <c r="F12" s="48">
        <v>20012007</v>
      </c>
      <c r="G12" s="49">
        <f>VLOOKUP($F12,enemy_skill_triggers!$A:$J,2,FALSE)</f>
        <v>0</v>
      </c>
      <c r="H12" s="49" t="str">
        <f>VLOOKUP($F12,enemy_skill_triggers!$A:$J,3,FALSE)</f>
        <v>null</v>
      </c>
      <c r="I12" s="49">
        <f>VLOOKUP($F12,enemy_skill_triggers!$A:$J,4,FALSE)</f>
        <v>50</v>
      </c>
      <c r="J12" s="49" t="str">
        <f>VLOOKUP($F12,enemy_skill_triggers!$A:$J,5,FALSE)</f>
        <v>null</v>
      </c>
      <c r="K12" s="49" t="str">
        <f>VLOOKUP($F12,enemy_skill_triggers!$A:$J,6,FALSE)</f>
        <v>null</v>
      </c>
      <c r="L12" s="49" t="str">
        <f>VLOOKUP($F12,enemy_skill_triggers!$A:$J,7,FALSE)</f>
        <v>null</v>
      </c>
      <c r="M12" s="49" t="str">
        <f>VLOOKUP($F12,enemy_skill_triggers!$A:$J,8,FALSE)</f>
        <v>null</v>
      </c>
      <c r="N12" s="49" t="str">
        <f>VLOOKUP($F12,enemy_skill_triggers!$A:$J,9,FALSE)</f>
        <v>null</v>
      </c>
      <c r="O12" s="49">
        <f>VLOOKUP($F12,enemy_skill_triggers!$A:$J,10,FALSE)</f>
        <v>50</v>
      </c>
      <c r="P12" s="48" t="s">
        <v>78</v>
      </c>
      <c r="Q12" s="89">
        <v>42293</v>
      </c>
      <c r="R12" s="87" t="s">
        <v>112</v>
      </c>
    </row>
    <row r="13" spans="1:18" ht="21" customHeight="1" x14ac:dyDescent="0.15">
      <c r="A13" s="40" t="str">
        <f t="shared" si="5"/>
        <v>20012003_20012010</v>
      </c>
      <c r="B13" s="102">
        <v>20012003</v>
      </c>
      <c r="C13" s="103">
        <v>20012010</v>
      </c>
      <c r="D13" s="47" t="str">
        <f>VLOOKUP(C13,enemy_skills!A:F,4,FALSE)</f>
        <v>ja</v>
      </c>
      <c r="E13" s="47" t="str">
        <f>VLOOKUP(C13,enemy_skills!A:F,5,FALSE)</f>
        <v>スキャターポイズン</v>
      </c>
      <c r="F13" s="104">
        <v>20012008</v>
      </c>
      <c r="G13" s="49">
        <f>VLOOKUP($F13,enemy_skill_triggers!$A:$J,2,FALSE)</f>
        <v>0</v>
      </c>
      <c r="H13" s="49" t="str">
        <f>VLOOKUP($F13,enemy_skill_triggers!$A:$J,3,FALSE)</f>
        <v>null</v>
      </c>
      <c r="I13" s="49">
        <f>VLOOKUP($F13,enemy_skill_triggers!$A:$J,4,FALSE)</f>
        <v>95</v>
      </c>
      <c r="J13" s="49" t="str">
        <f>VLOOKUP($F13,enemy_skill_triggers!$A:$J,5,FALSE)</f>
        <v>null</v>
      </c>
      <c r="K13" s="49" t="str">
        <f>VLOOKUP($F13,enemy_skill_triggers!$A:$J,6,FALSE)</f>
        <v>null</v>
      </c>
      <c r="L13" s="49" t="str">
        <f>VLOOKUP($F13,enemy_skill_triggers!$A:$J,7,FALSE)</f>
        <v>null</v>
      </c>
      <c r="M13" s="49" t="str">
        <f>VLOOKUP($F13,enemy_skill_triggers!$A:$J,8,FALSE)</f>
        <v>null</v>
      </c>
      <c r="N13" s="49" t="str">
        <f>VLOOKUP($F13,enemy_skill_triggers!$A:$J,9,FALSE)</f>
        <v>null</v>
      </c>
      <c r="O13" s="49">
        <f>VLOOKUP($F13,enemy_skill_triggers!$A:$J,10,FALSE)</f>
        <v>95</v>
      </c>
      <c r="P13" s="104" t="s">
        <v>125</v>
      </c>
      <c r="Q13" s="105">
        <v>42293</v>
      </c>
      <c r="R13" s="106" t="s">
        <v>111</v>
      </c>
    </row>
    <row r="14" spans="1:18" ht="21" customHeight="1" x14ac:dyDescent="0.15">
      <c r="A14" s="40" t="str">
        <f t="shared" si="5"/>
        <v>20012004_20012004</v>
      </c>
      <c r="B14" s="90">
        <v>20012004</v>
      </c>
      <c r="C14" s="85">
        <v>20012004</v>
      </c>
      <c r="D14" s="47" t="str">
        <f>VLOOKUP(C14,enemy_skills!A:F,4,FALSE)</f>
        <v>ja</v>
      </c>
      <c r="E14" s="47" t="str">
        <f>VLOOKUP(C14,enemy_skills!A:F,5,FALSE)</f>
        <v>実験への協力、感謝する</v>
      </c>
      <c r="F14" s="48">
        <v>20012005</v>
      </c>
      <c r="G14" s="49">
        <f>VLOOKUP($F14,enemy_skill_triggers!$A:$J,2,FALSE)</f>
        <v>1</v>
      </c>
      <c r="H14" s="49" t="str">
        <f>VLOOKUP($F14,enemy_skill_triggers!$A:$J,3,FALSE)</f>
        <v>null</v>
      </c>
      <c r="I14" s="49">
        <f>VLOOKUP($F14,enemy_skill_triggers!$A:$J,4,FALSE)</f>
        <v>100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>
        <f>VLOOKUP($F14,enemy_skill_triggers!$A:$J,7,FALSE)</f>
        <v>1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100</v>
      </c>
      <c r="P14" s="48" t="s">
        <v>78</v>
      </c>
      <c r="Q14" s="86">
        <v>42293</v>
      </c>
      <c r="R14" s="90" t="s">
        <v>139</v>
      </c>
    </row>
    <row r="15" spans="1:18" ht="21" customHeight="1" x14ac:dyDescent="0.15">
      <c r="A15" s="40" t="str">
        <f t="shared" si="5"/>
        <v>20012004_20012006</v>
      </c>
      <c r="B15" s="90">
        <v>20012004</v>
      </c>
      <c r="C15" s="85">
        <v>20012006</v>
      </c>
      <c r="D15" s="47" t="str">
        <f>VLOOKUP(C15,enemy_skills!A:F,4,FALSE)</f>
        <v>ja</v>
      </c>
      <c r="E15" s="47" t="str">
        <f>VLOOKUP(C15,enemy_skills!A:F,5,FALSE)</f>
        <v>少々刺激を強めるか…</v>
      </c>
      <c r="F15" s="48">
        <v>20012002</v>
      </c>
      <c r="G15" s="49">
        <f>VLOOKUP($F15,enemy_skill_triggers!$A:$J,2,FALSE)</f>
        <v>0</v>
      </c>
      <c r="H15" s="49" t="str">
        <f>VLOOKUP($F15,enemy_skill_triggers!$A:$J,3,FALSE)</f>
        <v>null</v>
      </c>
      <c r="I15" s="49">
        <f>VLOOKUP($F15,enemy_skill_triggers!$A:$J,4,FALSE)</f>
        <v>100</v>
      </c>
      <c r="J15" s="49">
        <f>VLOOKUP($F15,enemy_skill_triggers!$A:$J,5,FALSE)</f>
        <v>50</v>
      </c>
      <c r="K15" s="49" t="str">
        <f>VLOOKUP($F15,enemy_skill_triggers!$A:$J,6,FALSE)</f>
        <v>null</v>
      </c>
      <c r="L15" s="49">
        <f>VLOOKUP($F15,enemy_skill_triggers!$A:$J,7,FALSE)</f>
        <v>1</v>
      </c>
      <c r="M15" s="49" t="str">
        <f>VLOOKUP($F15,enemy_skill_triggers!$A:$J,8,FALSE)</f>
        <v>null</v>
      </c>
      <c r="N15" s="49" t="str">
        <f>VLOOKUP($F15,enemy_skill_triggers!$A:$J,9,FALSE)</f>
        <v>null</v>
      </c>
      <c r="O15" s="49">
        <f>VLOOKUP($F15,enemy_skill_triggers!$A:$J,10,FALSE)</f>
        <v>100</v>
      </c>
      <c r="P15" s="48" t="s">
        <v>78</v>
      </c>
      <c r="Q15" s="86">
        <v>42293</v>
      </c>
      <c r="R15" s="90" t="s">
        <v>139</v>
      </c>
    </row>
    <row r="16" spans="1:18" ht="21" customHeight="1" x14ac:dyDescent="0.15">
      <c r="A16" s="40" t="str">
        <f t="shared" si="5"/>
        <v>20012004_20012009</v>
      </c>
      <c r="B16" s="90">
        <v>20012004</v>
      </c>
      <c r="C16" s="85">
        <v>20012009</v>
      </c>
      <c r="D16" s="47" t="str">
        <f>VLOOKUP(C16,enemy_skills!A:F,4,FALSE)</f>
        <v>ja</v>
      </c>
      <c r="E16" s="47" t="str">
        <f>VLOOKUP(C16,enemy_skills!A:F,5,FALSE)</f>
        <v>ネクロポイズン</v>
      </c>
      <c r="F16" s="48">
        <v>20012007</v>
      </c>
      <c r="G16" s="49">
        <f>VLOOKUP($F16,enemy_skill_triggers!$A:$J,2,FALSE)</f>
        <v>0</v>
      </c>
      <c r="H16" s="49" t="str">
        <f>VLOOKUP($F16,enemy_skill_triggers!$A:$J,3,FALSE)</f>
        <v>null</v>
      </c>
      <c r="I16" s="49">
        <f>VLOOKUP($F16,enemy_skill_triggers!$A:$J,4,FALSE)</f>
        <v>50</v>
      </c>
      <c r="J16" s="49" t="str">
        <f>VLOOKUP($F16,enemy_skill_triggers!$A:$J,5,FALSE)</f>
        <v>null</v>
      </c>
      <c r="K16" s="49" t="str">
        <f>VLOOKUP($F16,enemy_skill_triggers!$A:$J,6,FALSE)</f>
        <v>null</v>
      </c>
      <c r="L16" s="49" t="str">
        <f>VLOOKUP($F16,enemy_skill_triggers!$A:$J,7,FALSE)</f>
        <v>null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50</v>
      </c>
      <c r="P16" s="48" t="s">
        <v>78</v>
      </c>
      <c r="Q16" s="89">
        <v>42293</v>
      </c>
      <c r="R16" s="90" t="s">
        <v>139</v>
      </c>
    </row>
    <row r="17" spans="1:18" ht="21" customHeight="1" x14ac:dyDescent="0.15">
      <c r="A17" s="40" t="str">
        <f t="shared" si="5"/>
        <v>20012004_20012010</v>
      </c>
      <c r="B17" s="90">
        <v>20012004</v>
      </c>
      <c r="C17" s="85">
        <v>20012010</v>
      </c>
      <c r="D17" s="47" t="str">
        <f>VLOOKUP(C17,enemy_skills!A:F,4,FALSE)</f>
        <v>ja</v>
      </c>
      <c r="E17" s="47" t="str">
        <f>VLOOKUP(C17,enemy_skills!A:F,5,FALSE)</f>
        <v>スキャターポイズン</v>
      </c>
      <c r="F17" s="48">
        <v>20012008</v>
      </c>
      <c r="G17" s="49">
        <f>VLOOKUP($F17,enemy_skill_triggers!$A:$J,2,FALSE)</f>
        <v>0</v>
      </c>
      <c r="H17" s="49" t="str">
        <f>VLOOKUP($F17,enemy_skill_triggers!$A:$J,3,FALSE)</f>
        <v>null</v>
      </c>
      <c r="I17" s="49">
        <f>VLOOKUP($F17,enemy_skill_triggers!$A:$J,4,FALSE)</f>
        <v>95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 t="str">
        <f>VLOOKUP($F17,enemy_skill_triggers!$A:$J,7,FALSE)</f>
        <v>null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95</v>
      </c>
      <c r="P17" s="48" t="s">
        <v>78</v>
      </c>
      <c r="Q17" s="86">
        <v>42293</v>
      </c>
      <c r="R17" s="90" t="s">
        <v>139</v>
      </c>
    </row>
    <row r="18" spans="1:18" ht="21" customHeight="1" x14ac:dyDescent="0.15">
      <c r="A18" s="40" t="str">
        <f t="shared" si="5"/>
        <v>20012005_20012011</v>
      </c>
      <c r="B18" s="87">
        <v>20012005</v>
      </c>
      <c r="C18" s="85">
        <v>20012011</v>
      </c>
      <c r="D18" s="47" t="str">
        <f>VLOOKUP(C18,enemy_skills!A:F,4,FALSE)</f>
        <v>ja</v>
      </c>
      <c r="E18" s="47" t="str">
        <f>VLOOKUP(C18,enemy_skills!A:F,5,FALSE)</f>
        <v>次の段階に移行しよう</v>
      </c>
      <c r="F18" s="48">
        <v>20012005</v>
      </c>
      <c r="G18" s="49">
        <f>VLOOKUP($F18,enemy_skill_triggers!$A:$J,2,FALSE)</f>
        <v>1</v>
      </c>
      <c r="H18" s="49" t="str">
        <f>VLOOKUP($F18,enemy_skill_triggers!$A:$J,3,FALSE)</f>
        <v>null</v>
      </c>
      <c r="I18" s="49">
        <f>VLOOKUP($F18,enemy_skill_triggers!$A:$J,4,FALSE)</f>
        <v>100</v>
      </c>
      <c r="J18" s="49" t="str">
        <f>VLOOKUP($F18,enemy_skill_triggers!$A:$J,5,FALSE)</f>
        <v>null</v>
      </c>
      <c r="K18" s="49" t="str">
        <f>VLOOKUP($F18,enemy_skill_triggers!$A:$J,6,FALSE)</f>
        <v>null</v>
      </c>
      <c r="L18" s="49">
        <f>VLOOKUP($F18,enemy_skill_triggers!$A:$J,7,FALSE)</f>
        <v>1</v>
      </c>
      <c r="M18" s="49" t="str">
        <f>VLOOKUP($F18,enemy_skill_triggers!$A:$J,8,FALSE)</f>
        <v>null</v>
      </c>
      <c r="N18" s="49" t="str">
        <f>VLOOKUP($F18,enemy_skill_triggers!$A:$J,9,FALSE)</f>
        <v>null</v>
      </c>
      <c r="O18" s="49">
        <f>VLOOKUP($F18,enemy_skill_triggers!$A:$J,10,FALSE)</f>
        <v>100</v>
      </c>
      <c r="P18" s="48" t="s">
        <v>78</v>
      </c>
      <c r="Q18" s="86">
        <v>42293</v>
      </c>
      <c r="R18" s="87" t="s">
        <v>142</v>
      </c>
    </row>
    <row r="19" spans="1:18" ht="21" customHeight="1" x14ac:dyDescent="0.15">
      <c r="A19" s="40" t="str">
        <f t="shared" si="5"/>
        <v>20012005_20012007</v>
      </c>
      <c r="B19" s="87">
        <v>20012005</v>
      </c>
      <c r="C19" s="85">
        <v>20012007</v>
      </c>
      <c r="D19" s="47" t="str">
        <f>VLOOKUP(C19,enemy_skills!A:F,4,FALSE)</f>
        <v>ja</v>
      </c>
      <c r="E19" s="47" t="str">
        <f>VLOOKUP(C19,enemy_skills!A:F,5,FALSE)</f>
        <v>暴れるな…データが狂う</v>
      </c>
      <c r="F19" s="48">
        <v>20012004</v>
      </c>
      <c r="G19" s="49">
        <f>VLOOKUP($F19,enemy_skill_triggers!$A:$J,2,FALSE)</f>
        <v>0</v>
      </c>
      <c r="H19" s="49" t="str">
        <f>VLOOKUP($F19,enemy_skill_triggers!$A:$J,3,FALSE)</f>
        <v>null</v>
      </c>
      <c r="I19" s="49">
        <f>VLOOKUP($F19,enemy_skill_triggers!$A:$J,4,FALSE)</f>
        <v>100</v>
      </c>
      <c r="J19" s="49">
        <f>VLOOKUP($F19,enemy_skill_triggers!$A:$J,5,FALSE)</f>
        <v>50</v>
      </c>
      <c r="K19" s="49" t="str">
        <f>VLOOKUP($F19,enemy_skill_triggers!$A:$J,6,FALSE)</f>
        <v>null</v>
      </c>
      <c r="L19" s="49">
        <f>VLOOKUP($F19,enemy_skill_triggers!$A:$J,7,FALSE)</f>
        <v>1</v>
      </c>
      <c r="M19" s="49" t="str">
        <f>VLOOKUP($F19,enemy_skill_triggers!$A:$J,8,FALSE)</f>
        <v>null</v>
      </c>
      <c r="N19" s="49" t="str">
        <f>VLOOKUP($F19,enemy_skill_triggers!$A:$J,9,FALSE)</f>
        <v>null</v>
      </c>
      <c r="O19" s="49">
        <f>VLOOKUP($F19,enemy_skill_triggers!$A:$J,10,FALSE)</f>
        <v>100</v>
      </c>
      <c r="P19" s="48" t="s">
        <v>78</v>
      </c>
      <c r="Q19" s="89">
        <v>42293</v>
      </c>
      <c r="R19" s="87" t="s">
        <v>142</v>
      </c>
    </row>
    <row r="20" spans="1:18" ht="21" customHeight="1" x14ac:dyDescent="0.15">
      <c r="A20" s="40" t="str">
        <f t="shared" ref="A20:A25" si="6">B20&amp;"_"&amp;C20</f>
        <v>20012005_20012009</v>
      </c>
      <c r="B20" s="87">
        <v>20012005</v>
      </c>
      <c r="C20" s="85">
        <v>20012009</v>
      </c>
      <c r="D20" s="47" t="str">
        <f>VLOOKUP(C20,enemy_skills!A:F,4,FALSE)</f>
        <v>ja</v>
      </c>
      <c r="E20" s="47" t="str">
        <f>VLOOKUP(C20,enemy_skills!A:F,5,FALSE)</f>
        <v>ネクロポイズン</v>
      </c>
      <c r="F20" s="48">
        <v>20012007</v>
      </c>
      <c r="G20" s="49">
        <f>VLOOKUP($F20,enemy_skill_triggers!$A:$J,2,FALSE)</f>
        <v>0</v>
      </c>
      <c r="H20" s="49" t="str">
        <f>VLOOKUP($F20,enemy_skill_triggers!$A:$J,3,FALSE)</f>
        <v>null</v>
      </c>
      <c r="I20" s="49">
        <f>VLOOKUP($F20,enemy_skill_triggers!$A:$J,4,FALSE)</f>
        <v>50</v>
      </c>
      <c r="J20" s="49" t="str">
        <f>VLOOKUP($F20,enemy_skill_triggers!$A:$J,5,FALSE)</f>
        <v>null</v>
      </c>
      <c r="K20" s="49" t="str">
        <f>VLOOKUP($F20,enemy_skill_triggers!$A:$J,6,FALSE)</f>
        <v>null</v>
      </c>
      <c r="L20" s="49" t="str">
        <f>VLOOKUP($F20,enemy_skill_triggers!$A:$J,7,FALSE)</f>
        <v>null</v>
      </c>
      <c r="M20" s="49" t="str">
        <f>VLOOKUP($F20,enemy_skill_triggers!$A:$J,8,FALSE)</f>
        <v>null</v>
      </c>
      <c r="N20" s="49" t="str">
        <f>VLOOKUP($F20,enemy_skill_triggers!$A:$J,9,FALSE)</f>
        <v>null</v>
      </c>
      <c r="O20" s="49">
        <f>VLOOKUP($F20,enemy_skill_triggers!$A:$J,10,FALSE)</f>
        <v>50</v>
      </c>
      <c r="P20" s="48" t="s">
        <v>78</v>
      </c>
      <c r="Q20" s="89">
        <v>42293</v>
      </c>
      <c r="R20" s="87" t="s">
        <v>142</v>
      </c>
    </row>
    <row r="21" spans="1:18" ht="21" customHeight="1" x14ac:dyDescent="0.15">
      <c r="A21" s="40" t="str">
        <f t="shared" si="6"/>
        <v>20012005_20012010</v>
      </c>
      <c r="B21" s="102">
        <v>20012005</v>
      </c>
      <c r="C21" s="103">
        <v>20012010</v>
      </c>
      <c r="D21" s="47" t="str">
        <f>VLOOKUP(C21,enemy_skills!A:F,4,FALSE)</f>
        <v>ja</v>
      </c>
      <c r="E21" s="47" t="str">
        <f>VLOOKUP(C21,enemy_skills!A:F,5,FALSE)</f>
        <v>スキャターポイズン</v>
      </c>
      <c r="F21" s="104">
        <v>20012008</v>
      </c>
      <c r="G21" s="49">
        <f>VLOOKUP($F21,enemy_skill_triggers!$A:$J,2,FALSE)</f>
        <v>0</v>
      </c>
      <c r="H21" s="49" t="str">
        <f>VLOOKUP($F21,enemy_skill_triggers!$A:$J,3,FALSE)</f>
        <v>null</v>
      </c>
      <c r="I21" s="49">
        <f>VLOOKUP($F21,enemy_skill_triggers!$A:$J,4,FALSE)</f>
        <v>95</v>
      </c>
      <c r="J21" s="49" t="str">
        <f>VLOOKUP($F21,enemy_skill_triggers!$A:$J,5,FALSE)</f>
        <v>null</v>
      </c>
      <c r="K21" s="49" t="str">
        <f>VLOOKUP($F21,enemy_skill_triggers!$A:$J,6,FALSE)</f>
        <v>null</v>
      </c>
      <c r="L21" s="49" t="str">
        <f>VLOOKUP($F21,enemy_skill_triggers!$A:$J,7,FALSE)</f>
        <v>null</v>
      </c>
      <c r="M21" s="49" t="str">
        <f>VLOOKUP($F21,enemy_skill_triggers!$A:$J,8,FALSE)</f>
        <v>null</v>
      </c>
      <c r="N21" s="49" t="str">
        <f>VLOOKUP($F21,enemy_skill_triggers!$A:$J,9,FALSE)</f>
        <v>null</v>
      </c>
      <c r="O21" s="49">
        <f>VLOOKUP($F21,enemy_skill_triggers!$A:$J,10,FALSE)</f>
        <v>95</v>
      </c>
      <c r="P21" s="104" t="s">
        <v>125</v>
      </c>
      <c r="Q21" s="105">
        <v>42293</v>
      </c>
      <c r="R21" s="106" t="s">
        <v>143</v>
      </c>
    </row>
    <row r="22" spans="1:18" ht="21" customHeight="1" x14ac:dyDescent="0.15">
      <c r="A22" s="40" t="str">
        <f t="shared" si="6"/>
        <v>20012006_20012004</v>
      </c>
      <c r="B22" s="90">
        <v>20012006</v>
      </c>
      <c r="C22" s="85">
        <v>20012004</v>
      </c>
      <c r="D22" s="47" t="str">
        <f>VLOOKUP(C22,enemy_skills!A:F,4,FALSE)</f>
        <v>ja</v>
      </c>
      <c r="E22" s="47" t="str">
        <f>VLOOKUP(C22,enemy_skills!A:F,5,FALSE)</f>
        <v>実験への協力、感謝する</v>
      </c>
      <c r="F22" s="48">
        <v>20012005</v>
      </c>
      <c r="G22" s="49">
        <f>VLOOKUP($F22,enemy_skill_triggers!$A:$J,2,FALSE)</f>
        <v>1</v>
      </c>
      <c r="H22" s="49" t="str">
        <f>VLOOKUP($F22,enemy_skill_triggers!$A:$J,3,FALSE)</f>
        <v>null</v>
      </c>
      <c r="I22" s="49">
        <f>VLOOKUP($F22,enemy_skill_triggers!$A:$J,4,FALSE)</f>
        <v>100</v>
      </c>
      <c r="J22" s="49" t="str">
        <f>VLOOKUP($F22,enemy_skill_triggers!$A:$J,5,FALSE)</f>
        <v>null</v>
      </c>
      <c r="K22" s="49" t="str">
        <f>VLOOKUP($F22,enemy_skill_triggers!$A:$J,6,FALSE)</f>
        <v>null</v>
      </c>
      <c r="L22" s="49">
        <f>VLOOKUP($F22,enemy_skill_triggers!$A:$J,7,FALSE)</f>
        <v>1</v>
      </c>
      <c r="M22" s="49" t="str">
        <f>VLOOKUP($F22,enemy_skill_triggers!$A:$J,8,FALSE)</f>
        <v>null</v>
      </c>
      <c r="N22" s="49" t="str">
        <f>VLOOKUP($F22,enemy_skill_triggers!$A:$J,9,FALSE)</f>
        <v>null</v>
      </c>
      <c r="O22" s="49">
        <f>VLOOKUP($F22,enemy_skill_triggers!$A:$J,10,FALSE)</f>
        <v>100</v>
      </c>
      <c r="P22" s="48" t="s">
        <v>78</v>
      </c>
      <c r="Q22" s="86">
        <v>42293</v>
      </c>
      <c r="R22" s="90" t="s">
        <v>144</v>
      </c>
    </row>
    <row r="23" spans="1:18" ht="21" customHeight="1" x14ac:dyDescent="0.15">
      <c r="A23" s="40" t="str">
        <f t="shared" si="6"/>
        <v>20012006_20012006</v>
      </c>
      <c r="B23" s="90">
        <v>20012006</v>
      </c>
      <c r="C23" s="85">
        <v>20012006</v>
      </c>
      <c r="D23" s="47" t="str">
        <f>VLOOKUP(C23,enemy_skills!A:F,4,FALSE)</f>
        <v>ja</v>
      </c>
      <c r="E23" s="47" t="str">
        <f>VLOOKUP(C23,enemy_skills!A:F,5,FALSE)</f>
        <v>少々刺激を強めるか…</v>
      </c>
      <c r="F23" s="48">
        <v>20012002</v>
      </c>
      <c r="G23" s="49">
        <f>VLOOKUP($F23,enemy_skill_triggers!$A:$J,2,FALSE)</f>
        <v>0</v>
      </c>
      <c r="H23" s="49" t="str">
        <f>VLOOKUP($F23,enemy_skill_triggers!$A:$J,3,FALSE)</f>
        <v>null</v>
      </c>
      <c r="I23" s="49">
        <f>VLOOKUP($F23,enemy_skill_triggers!$A:$J,4,FALSE)</f>
        <v>100</v>
      </c>
      <c r="J23" s="49">
        <f>VLOOKUP($F23,enemy_skill_triggers!$A:$J,5,FALSE)</f>
        <v>50</v>
      </c>
      <c r="K23" s="49" t="str">
        <f>VLOOKUP($F23,enemy_skill_triggers!$A:$J,6,FALSE)</f>
        <v>null</v>
      </c>
      <c r="L23" s="49">
        <f>VLOOKUP($F23,enemy_skill_triggers!$A:$J,7,FALSE)</f>
        <v>1</v>
      </c>
      <c r="M23" s="49" t="str">
        <f>VLOOKUP($F23,enemy_skill_triggers!$A:$J,8,FALSE)</f>
        <v>null</v>
      </c>
      <c r="N23" s="49" t="str">
        <f>VLOOKUP($F23,enemy_skill_triggers!$A:$J,9,FALSE)</f>
        <v>null</v>
      </c>
      <c r="O23" s="49">
        <f>VLOOKUP($F23,enemy_skill_triggers!$A:$J,10,FALSE)</f>
        <v>100</v>
      </c>
      <c r="P23" s="48" t="s">
        <v>78</v>
      </c>
      <c r="Q23" s="86">
        <v>42293</v>
      </c>
      <c r="R23" s="90" t="s">
        <v>144</v>
      </c>
    </row>
    <row r="24" spans="1:18" ht="21" customHeight="1" x14ac:dyDescent="0.15">
      <c r="A24" s="40" t="str">
        <f t="shared" si="6"/>
        <v>20012006_20012009</v>
      </c>
      <c r="B24" s="90">
        <v>20012006</v>
      </c>
      <c r="C24" s="85">
        <v>20012009</v>
      </c>
      <c r="D24" s="47" t="str">
        <f>VLOOKUP(C24,enemy_skills!A:F,4,FALSE)</f>
        <v>ja</v>
      </c>
      <c r="E24" s="47" t="str">
        <f>VLOOKUP(C24,enemy_skills!A:F,5,FALSE)</f>
        <v>ネクロポイズン</v>
      </c>
      <c r="F24" s="48">
        <v>20012007</v>
      </c>
      <c r="G24" s="49">
        <f>VLOOKUP($F24,enemy_skill_triggers!$A:$J,2,FALSE)</f>
        <v>0</v>
      </c>
      <c r="H24" s="49" t="str">
        <f>VLOOKUP($F24,enemy_skill_triggers!$A:$J,3,FALSE)</f>
        <v>null</v>
      </c>
      <c r="I24" s="49">
        <f>VLOOKUP($F24,enemy_skill_triggers!$A:$J,4,FALSE)</f>
        <v>50</v>
      </c>
      <c r="J24" s="49" t="str">
        <f>VLOOKUP($F24,enemy_skill_triggers!$A:$J,5,FALSE)</f>
        <v>null</v>
      </c>
      <c r="K24" s="49" t="str">
        <f>VLOOKUP($F24,enemy_skill_triggers!$A:$J,6,FALSE)</f>
        <v>null</v>
      </c>
      <c r="L24" s="49" t="str">
        <f>VLOOKUP($F24,enemy_skill_triggers!$A:$J,7,FALSE)</f>
        <v>null</v>
      </c>
      <c r="M24" s="49" t="str">
        <f>VLOOKUP($F24,enemy_skill_triggers!$A:$J,8,FALSE)</f>
        <v>null</v>
      </c>
      <c r="N24" s="49" t="str">
        <f>VLOOKUP($F24,enemy_skill_triggers!$A:$J,9,FALSE)</f>
        <v>null</v>
      </c>
      <c r="O24" s="49">
        <f>VLOOKUP($F24,enemy_skill_triggers!$A:$J,10,FALSE)</f>
        <v>50</v>
      </c>
      <c r="P24" s="48" t="s">
        <v>78</v>
      </c>
      <c r="Q24" s="89">
        <v>42293</v>
      </c>
      <c r="R24" s="90" t="s">
        <v>144</v>
      </c>
    </row>
    <row r="25" spans="1:18" ht="21" customHeight="1" x14ac:dyDescent="0.15">
      <c r="A25" s="40" t="str">
        <f t="shared" si="6"/>
        <v>20012006_20012010</v>
      </c>
      <c r="B25" s="90">
        <v>20012006</v>
      </c>
      <c r="C25" s="85">
        <v>20012010</v>
      </c>
      <c r="D25" s="47" t="str">
        <f>VLOOKUP(C25,enemy_skills!A:F,4,FALSE)</f>
        <v>ja</v>
      </c>
      <c r="E25" s="47" t="str">
        <f>VLOOKUP(C25,enemy_skills!A:F,5,FALSE)</f>
        <v>スキャターポイズン</v>
      </c>
      <c r="F25" s="48">
        <v>20012008</v>
      </c>
      <c r="G25" s="49">
        <f>VLOOKUP($F25,enemy_skill_triggers!$A:$J,2,FALSE)</f>
        <v>0</v>
      </c>
      <c r="H25" s="49" t="str">
        <f>VLOOKUP($F25,enemy_skill_triggers!$A:$J,3,FALSE)</f>
        <v>null</v>
      </c>
      <c r="I25" s="49">
        <f>VLOOKUP($F25,enemy_skill_triggers!$A:$J,4,FALSE)</f>
        <v>95</v>
      </c>
      <c r="J25" s="49" t="str">
        <f>VLOOKUP($F25,enemy_skill_triggers!$A:$J,5,FALSE)</f>
        <v>null</v>
      </c>
      <c r="K25" s="49" t="str">
        <f>VLOOKUP($F25,enemy_skill_triggers!$A:$J,6,FALSE)</f>
        <v>null</v>
      </c>
      <c r="L25" s="49" t="str">
        <f>VLOOKUP($F25,enemy_skill_triggers!$A:$J,7,FALSE)</f>
        <v>null</v>
      </c>
      <c r="M25" s="49" t="str">
        <f>VLOOKUP($F25,enemy_skill_triggers!$A:$J,8,FALSE)</f>
        <v>null</v>
      </c>
      <c r="N25" s="49" t="str">
        <f>VLOOKUP($F25,enemy_skill_triggers!$A:$J,9,FALSE)</f>
        <v>null</v>
      </c>
      <c r="O25" s="49">
        <f>VLOOKUP($F25,enemy_skill_triggers!$A:$J,10,FALSE)</f>
        <v>95</v>
      </c>
      <c r="P25" s="48" t="s">
        <v>78</v>
      </c>
      <c r="Q25" s="86">
        <v>42293</v>
      </c>
      <c r="R25" s="90" t="s">
        <v>144</v>
      </c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2"/>
  <sheetViews>
    <sheetView showGridLines="0" zoomScale="85" zoomScaleNormal="85" zoomScalePageLayoutView="85" workbookViewId="0">
      <pane ySplit="1" topLeftCell="A2" activePane="bottomLeft" state="frozenSplit"/>
      <selection activeCell="D17" sqref="D17"/>
      <selection pane="bottomLeft" activeCell="B22" sqref="B22"/>
    </sheetView>
  </sheetViews>
  <sheetFormatPr baseColWidth="12" defaultColWidth="12.83203125" defaultRowHeight="21" customHeight="1" x14ac:dyDescent="0.15"/>
  <cols>
    <col min="1" max="1" width="12.83203125" style="50"/>
    <col min="2" max="2" width="67.1640625" style="50" customWidth="1"/>
    <col min="3" max="4" width="12.83203125" style="50"/>
    <col min="5" max="5" width="23.6640625" style="50" bestFit="1" customWidth="1"/>
    <col min="6" max="6" width="44.1640625" style="50" bestFit="1" customWidth="1"/>
    <col min="7" max="8" width="12.83203125" style="50"/>
    <col min="9" max="9" width="44.5" style="50" customWidth="1"/>
    <col min="10" max="16384" width="12.83203125" style="50"/>
  </cols>
  <sheetData>
    <row r="1" spans="1:9" ht="21" customHeight="1" x14ac:dyDescent="0.15">
      <c r="A1" s="41" t="s">
        <v>79</v>
      </c>
      <c r="B1" s="41" t="s">
        <v>80</v>
      </c>
      <c r="C1" s="41" t="s">
        <v>81</v>
      </c>
      <c r="D1" s="41" t="s">
        <v>174</v>
      </c>
      <c r="E1" s="51" t="s">
        <v>82</v>
      </c>
      <c r="F1" s="51" t="s">
        <v>83</v>
      </c>
      <c r="G1" s="42" t="s">
        <v>75</v>
      </c>
      <c r="H1" s="42" t="s">
        <v>76</v>
      </c>
      <c r="I1" s="42" t="s">
        <v>77</v>
      </c>
    </row>
    <row r="2" spans="1:9" ht="21" customHeight="1" x14ac:dyDescent="0.15">
      <c r="A2" s="87">
        <v>20012001</v>
      </c>
      <c r="B2" s="87" t="s">
        <v>132</v>
      </c>
      <c r="C2" s="91">
        <v>3</v>
      </c>
      <c r="D2" s="91" t="s">
        <v>175</v>
      </c>
      <c r="E2" s="92" t="s">
        <v>105</v>
      </c>
      <c r="F2" s="92" t="s">
        <v>106</v>
      </c>
      <c r="G2" s="91" t="s">
        <v>78</v>
      </c>
      <c r="H2" s="93">
        <v>42292</v>
      </c>
      <c r="I2" s="91" t="s">
        <v>103</v>
      </c>
    </row>
    <row r="3" spans="1:9" ht="21" customHeight="1" x14ac:dyDescent="0.15">
      <c r="A3" s="87">
        <v>20012002</v>
      </c>
      <c r="B3" s="87" t="s">
        <v>133</v>
      </c>
      <c r="C3" s="91">
        <v>3</v>
      </c>
      <c r="D3" s="91" t="s">
        <v>176</v>
      </c>
      <c r="E3" s="92" t="s">
        <v>104</v>
      </c>
      <c r="F3" s="92" t="s">
        <v>107</v>
      </c>
      <c r="G3" s="91" t="s">
        <v>78</v>
      </c>
      <c r="H3" s="93">
        <v>42292</v>
      </c>
      <c r="I3" s="91" t="s">
        <v>103</v>
      </c>
    </row>
    <row r="4" spans="1:9" ht="21" customHeight="1" x14ac:dyDescent="0.15">
      <c r="A4" s="87">
        <v>20012003</v>
      </c>
      <c r="B4" s="87" t="s">
        <v>102</v>
      </c>
      <c r="C4" s="91">
        <v>3</v>
      </c>
      <c r="D4" s="91" t="s">
        <v>177</v>
      </c>
      <c r="E4" s="92" t="s">
        <v>100</v>
      </c>
      <c r="F4" s="92" t="s">
        <v>101</v>
      </c>
      <c r="G4" s="91" t="s">
        <v>78</v>
      </c>
      <c r="H4" s="93">
        <v>42292</v>
      </c>
      <c r="I4" s="94" t="s">
        <v>113</v>
      </c>
    </row>
    <row r="5" spans="1:9" ht="21" customHeight="1" x14ac:dyDescent="0.15">
      <c r="A5" s="90">
        <v>20012004</v>
      </c>
      <c r="B5" s="90" t="s">
        <v>128</v>
      </c>
      <c r="C5" s="95">
        <v>3</v>
      </c>
      <c r="D5" s="95" t="s">
        <v>178</v>
      </c>
      <c r="E5" s="96" t="s">
        <v>114</v>
      </c>
      <c r="F5" s="96" t="s">
        <v>129</v>
      </c>
      <c r="G5" s="95" t="s">
        <v>78</v>
      </c>
      <c r="H5" s="97">
        <v>42293</v>
      </c>
      <c r="I5" s="95" t="s">
        <v>109</v>
      </c>
    </row>
    <row r="6" spans="1:9" ht="21" customHeight="1" x14ac:dyDescent="0.15">
      <c r="A6" s="90">
        <v>20012005</v>
      </c>
      <c r="B6" s="90" t="s">
        <v>179</v>
      </c>
      <c r="C6" s="95">
        <v>3</v>
      </c>
      <c r="D6" s="95" t="s">
        <v>178</v>
      </c>
      <c r="E6" s="96" t="s">
        <v>118</v>
      </c>
      <c r="F6" s="96" t="s">
        <v>124</v>
      </c>
      <c r="G6" s="95" t="s">
        <v>78</v>
      </c>
      <c r="H6" s="97">
        <v>42293</v>
      </c>
      <c r="I6" s="95" t="s">
        <v>109</v>
      </c>
    </row>
    <row r="7" spans="1:9" ht="21" customHeight="1" x14ac:dyDescent="0.15">
      <c r="A7" s="90">
        <v>20012006</v>
      </c>
      <c r="B7" s="90" t="s">
        <v>130</v>
      </c>
      <c r="C7" s="95">
        <v>3</v>
      </c>
      <c r="D7" s="95" t="s">
        <v>178</v>
      </c>
      <c r="E7" s="96" t="s">
        <v>117</v>
      </c>
      <c r="F7" s="96" t="s">
        <v>123</v>
      </c>
      <c r="G7" s="95" t="s">
        <v>78</v>
      </c>
      <c r="H7" s="97">
        <v>42293</v>
      </c>
      <c r="I7" s="95" t="s">
        <v>109</v>
      </c>
    </row>
    <row r="8" spans="1:9" ht="21" customHeight="1" x14ac:dyDescent="0.15">
      <c r="A8" s="90">
        <v>20012007</v>
      </c>
      <c r="B8" s="90" t="s">
        <v>131</v>
      </c>
      <c r="C8" s="95">
        <v>3</v>
      </c>
      <c r="D8" s="95" t="s">
        <v>178</v>
      </c>
      <c r="E8" s="96" t="s">
        <v>120</v>
      </c>
      <c r="F8" s="96" t="s">
        <v>122</v>
      </c>
      <c r="G8" s="95" t="s">
        <v>78</v>
      </c>
      <c r="H8" s="97">
        <v>42293</v>
      </c>
      <c r="I8" s="95" t="s">
        <v>109</v>
      </c>
    </row>
    <row r="9" spans="1:9" ht="21" customHeight="1" x14ac:dyDescent="0.15">
      <c r="A9" s="90">
        <v>20012008</v>
      </c>
      <c r="B9" s="90" t="s">
        <v>121</v>
      </c>
      <c r="C9" s="95">
        <v>3</v>
      </c>
      <c r="D9" s="95" t="s">
        <v>178</v>
      </c>
      <c r="E9" s="96" t="s">
        <v>119</v>
      </c>
      <c r="F9" s="96" t="s">
        <v>138</v>
      </c>
      <c r="G9" s="95" t="s">
        <v>78</v>
      </c>
      <c r="H9" s="97">
        <v>42293</v>
      </c>
      <c r="I9" s="95" t="s">
        <v>109</v>
      </c>
    </row>
    <row r="10" spans="1:9" ht="21" customHeight="1" x14ac:dyDescent="0.15">
      <c r="A10" s="90">
        <v>20012009</v>
      </c>
      <c r="B10" s="90" t="s">
        <v>137</v>
      </c>
      <c r="C10" s="95">
        <v>3</v>
      </c>
      <c r="D10" s="95" t="s">
        <v>178</v>
      </c>
      <c r="E10" s="96" t="s">
        <v>116</v>
      </c>
      <c r="F10" s="96" t="s">
        <v>134</v>
      </c>
      <c r="G10" s="95" t="s">
        <v>78</v>
      </c>
      <c r="H10" s="97">
        <v>42293</v>
      </c>
      <c r="I10" s="95" t="s">
        <v>109</v>
      </c>
    </row>
    <row r="11" spans="1:9" ht="21" customHeight="1" x14ac:dyDescent="0.15">
      <c r="A11" s="90">
        <v>20012010</v>
      </c>
      <c r="B11" s="98" t="s">
        <v>136</v>
      </c>
      <c r="C11" s="95">
        <v>3</v>
      </c>
      <c r="D11" s="95" t="s">
        <v>178</v>
      </c>
      <c r="E11" s="100" t="s">
        <v>115</v>
      </c>
      <c r="F11" s="100" t="s">
        <v>135</v>
      </c>
      <c r="G11" s="99" t="s">
        <v>125</v>
      </c>
      <c r="H11" s="101">
        <v>42293</v>
      </c>
      <c r="I11" s="99" t="s">
        <v>108</v>
      </c>
    </row>
    <row r="12" spans="1:9" ht="21" customHeight="1" x14ac:dyDescent="0.15">
      <c r="A12" s="90">
        <v>20012011</v>
      </c>
      <c r="B12" s="90" t="s">
        <v>180</v>
      </c>
      <c r="C12" s="95">
        <v>3</v>
      </c>
      <c r="D12" s="95" t="s">
        <v>178</v>
      </c>
      <c r="E12" s="96" t="s">
        <v>118</v>
      </c>
      <c r="F12" s="96" t="s">
        <v>140</v>
      </c>
      <c r="G12" s="95" t="s">
        <v>78</v>
      </c>
      <c r="H12" s="97">
        <v>42293</v>
      </c>
      <c r="I12" s="95" t="s">
        <v>141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"/>
  <sheetViews>
    <sheetView showGridLines="0" workbookViewId="0">
      <pane ySplit="1" topLeftCell="A2" activePane="bottomLeft" state="frozenSplit"/>
      <selection activeCell="H205" sqref="H205"/>
      <selection pane="bottomLeft" activeCell="H27" sqref="H27"/>
    </sheetView>
  </sheetViews>
  <sheetFormatPr baseColWidth="12" defaultColWidth="12.83203125" defaultRowHeight="21" customHeight="1" x14ac:dyDescent="0.15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 x14ac:dyDescent="0.15">
      <c r="A1" s="43" t="s">
        <v>84</v>
      </c>
      <c r="B1" s="43" t="s">
        <v>85</v>
      </c>
      <c r="C1" s="43" t="s">
        <v>86</v>
      </c>
      <c r="D1" s="43" t="s">
        <v>87</v>
      </c>
      <c r="E1" s="43" t="s">
        <v>69</v>
      </c>
      <c r="F1" s="52" t="s">
        <v>70</v>
      </c>
      <c r="G1" s="52" t="s">
        <v>71</v>
      </c>
      <c r="H1" s="43" t="s">
        <v>72</v>
      </c>
      <c r="I1" s="43" t="s">
        <v>73</v>
      </c>
      <c r="J1" s="43" t="s">
        <v>74</v>
      </c>
      <c r="K1" s="53" t="s">
        <v>88</v>
      </c>
    </row>
    <row r="2" spans="1:11" ht="21" customHeight="1" x14ac:dyDescent="0.15">
      <c r="A2" s="48">
        <v>20012001</v>
      </c>
      <c r="B2" s="48">
        <v>0</v>
      </c>
      <c r="C2" s="48" t="s">
        <v>89</v>
      </c>
      <c r="D2" s="48">
        <v>75</v>
      </c>
      <c r="E2" s="48" t="s">
        <v>99</v>
      </c>
      <c r="F2" s="48" t="s">
        <v>90</v>
      </c>
      <c r="G2" s="48" t="s">
        <v>99</v>
      </c>
      <c r="H2" s="48" t="s">
        <v>90</v>
      </c>
      <c r="I2" s="48" t="s">
        <v>90</v>
      </c>
      <c r="J2" s="49">
        <f t="shared" ref="J2" si="0">D2</f>
        <v>75</v>
      </c>
    </row>
    <row r="3" spans="1:11" ht="21" customHeight="1" x14ac:dyDescent="0.15">
      <c r="A3" s="48">
        <v>20012002</v>
      </c>
      <c r="B3" s="48">
        <v>0</v>
      </c>
      <c r="C3" s="48" t="s">
        <v>89</v>
      </c>
      <c r="D3" s="48">
        <v>100</v>
      </c>
      <c r="E3" s="48">
        <v>50</v>
      </c>
      <c r="F3" s="48" t="s">
        <v>90</v>
      </c>
      <c r="G3" s="48">
        <v>1</v>
      </c>
      <c r="H3" s="48" t="s">
        <v>90</v>
      </c>
      <c r="I3" s="48" t="s">
        <v>90</v>
      </c>
      <c r="J3" s="49">
        <f t="shared" ref="J3:J4" si="1">D3</f>
        <v>100</v>
      </c>
    </row>
    <row r="4" spans="1:11" ht="21" customHeight="1" x14ac:dyDescent="0.15">
      <c r="A4" s="48">
        <v>20012003</v>
      </c>
      <c r="B4" s="48">
        <v>0</v>
      </c>
      <c r="C4" s="48" t="s">
        <v>89</v>
      </c>
      <c r="D4" s="48">
        <v>60</v>
      </c>
      <c r="E4" s="48">
        <v>50</v>
      </c>
      <c r="F4" s="48" t="s">
        <v>90</v>
      </c>
      <c r="G4" s="48">
        <v>2</v>
      </c>
      <c r="H4" s="48" t="s">
        <v>90</v>
      </c>
      <c r="I4" s="48" t="s">
        <v>90</v>
      </c>
      <c r="J4" s="49">
        <f t="shared" si="1"/>
        <v>60</v>
      </c>
    </row>
    <row r="5" spans="1:11" ht="21" customHeight="1" x14ac:dyDescent="0.15">
      <c r="A5" s="48">
        <v>20012004</v>
      </c>
      <c r="B5" s="48">
        <v>0</v>
      </c>
      <c r="C5" s="48" t="s">
        <v>89</v>
      </c>
      <c r="D5" s="48">
        <v>100</v>
      </c>
      <c r="E5" s="48">
        <v>50</v>
      </c>
      <c r="F5" s="48" t="s">
        <v>90</v>
      </c>
      <c r="G5" s="48">
        <v>1</v>
      </c>
      <c r="H5" s="48" t="s">
        <v>90</v>
      </c>
      <c r="I5" s="48" t="s">
        <v>90</v>
      </c>
      <c r="J5" s="49">
        <f t="shared" ref="J5" si="2">D5</f>
        <v>100</v>
      </c>
    </row>
    <row r="6" spans="1:11" ht="21" customHeight="1" x14ac:dyDescent="0.15">
      <c r="A6" s="48">
        <v>20012005</v>
      </c>
      <c r="B6" s="48">
        <v>1</v>
      </c>
      <c r="C6" s="48" t="s">
        <v>89</v>
      </c>
      <c r="D6" s="48">
        <v>100</v>
      </c>
      <c r="E6" s="48" t="s">
        <v>126</v>
      </c>
      <c r="F6" s="48" t="s">
        <v>90</v>
      </c>
      <c r="G6" s="48">
        <v>1</v>
      </c>
      <c r="H6" s="48" t="s">
        <v>90</v>
      </c>
      <c r="I6" s="48" t="s">
        <v>90</v>
      </c>
      <c r="J6" s="49">
        <f t="shared" ref="J6:J7" si="3">D6</f>
        <v>100</v>
      </c>
    </row>
    <row r="7" spans="1:11" ht="21" customHeight="1" x14ac:dyDescent="0.15">
      <c r="A7" s="48">
        <v>20012006</v>
      </c>
      <c r="B7" s="48">
        <v>0</v>
      </c>
      <c r="C7" s="48" t="s">
        <v>89</v>
      </c>
      <c r="D7" s="48">
        <v>90</v>
      </c>
      <c r="E7" s="48" t="s">
        <v>99</v>
      </c>
      <c r="F7" s="48" t="s">
        <v>90</v>
      </c>
      <c r="G7" s="48">
        <v>1</v>
      </c>
      <c r="H7" s="48" t="s">
        <v>90</v>
      </c>
      <c r="I7" s="48" t="s">
        <v>90</v>
      </c>
      <c r="J7" s="49">
        <f t="shared" si="3"/>
        <v>90</v>
      </c>
    </row>
    <row r="8" spans="1:11" ht="21" customHeight="1" x14ac:dyDescent="0.15">
      <c r="A8" s="48">
        <v>20012007</v>
      </c>
      <c r="B8" s="48">
        <v>0</v>
      </c>
      <c r="C8" s="48" t="s">
        <v>89</v>
      </c>
      <c r="D8" s="48">
        <v>50</v>
      </c>
      <c r="E8" s="48" t="s">
        <v>99</v>
      </c>
      <c r="F8" s="48" t="s">
        <v>90</v>
      </c>
      <c r="G8" s="48" t="s">
        <v>127</v>
      </c>
      <c r="H8" s="48" t="s">
        <v>90</v>
      </c>
      <c r="I8" s="48" t="s">
        <v>90</v>
      </c>
      <c r="J8" s="49">
        <f t="shared" ref="J8" si="4">D8</f>
        <v>50</v>
      </c>
    </row>
    <row r="9" spans="1:11" ht="21" customHeight="1" x14ac:dyDescent="0.15">
      <c r="A9" s="48">
        <v>20012008</v>
      </c>
      <c r="B9" s="48">
        <v>0</v>
      </c>
      <c r="C9" s="48" t="s">
        <v>89</v>
      </c>
      <c r="D9" s="48">
        <v>95</v>
      </c>
      <c r="E9" s="48" t="s">
        <v>99</v>
      </c>
      <c r="F9" s="48" t="s">
        <v>90</v>
      </c>
      <c r="G9" s="48" t="s">
        <v>127</v>
      </c>
      <c r="H9" s="48" t="s">
        <v>90</v>
      </c>
      <c r="I9" s="48" t="s">
        <v>90</v>
      </c>
      <c r="J9" s="49">
        <f t="shared" ref="J9" si="5">D9</f>
        <v>95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2017-03-08T02:55:18Z</dcterms:modified>
</cp:coreProperties>
</file>