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6009" sheetId="114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tables_6009!$A$1:$V$4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114" l="1"/>
  <c r="C2" i="103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<sst xmlns="http://schemas.openxmlformats.org/spreadsheetml/2006/main" count="218" uniqueCount="160">
  <si>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</si>
  <si>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</si>
  <si>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</si>
  <si>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</si>
  <si>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</si>
  <si>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</si>
  <si>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</si>
  <si>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</si>
  <si>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</si>
  <si>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</si>
  <si>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</si>
  <si>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</si>
  <si>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</si>
  <si>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</si>
  <si>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</si>
  <si>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</si>
  <si>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</si>
  <si>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</si>
  <si>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</si>
  <si>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</si>
  <si>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</si>
  <si>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</si>
  <si>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</si>
  <si>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</si>
  <si>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</si>
  <si>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</si>
  <si>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</si>
  <si>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</si>
  <si>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</si>
  <si>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</si>
  <si>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</si>
  <si>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</si>
  <si>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</si>
  <si>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</si>
  <si>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</si>
  <si>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</si>
  <si>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</si>
  <si>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</si>
  <si>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</si>
  <si>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</si>
  <si>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</si>
  <si>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</si>
  <si>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</si>
  <si>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</si>
  <si>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</si>
  <si>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</si>
  <si>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</si>
  <si>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</si>
  <si>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</si>
  <si>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</si>
  <si>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</si>
  <si>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</si>
  <si>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</si>
  <si>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</si>
  <si>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</si>
  <si>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hogehoge</t>
    <phoneticPr fontId="16"/>
  </si>
  <si>
    <t>性別</t>
    <rPh sb="0" eb="2">
      <t>セイベツ</t>
    </rPh>
    <phoneticPr fontId="16"/>
  </si>
  <si>
    <t>ピックアップ確率</t>
    <rPh sb="6" eb="8">
      <t>カクリツ</t>
    </rPh>
    <phoneticPr fontId="16"/>
  </si>
  <si>
    <t>確率</t>
    <rPh sb="0" eb="2">
      <t>カクリツ</t>
    </rPh>
    <phoneticPr fontId="16"/>
  </si>
  <si>
    <t>名前</t>
    <rPh sb="0" eb="2">
      <t>ナマエ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</si>
  <si>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</si>
  <si>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</si>
  <si>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</si>
  <si>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</si>
  <si>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</si>
  <si>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</si>
  <si>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</si>
  <si>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</si>
  <si>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</si>
  <si>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</si>
  <si>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</si>
  <si>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</si>
  <si>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</si>
  <si>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</si>
  <si>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</si>
  <si>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</si>
  <si>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</si>
  <si>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color2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</si>
  <si>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</si>
  <si>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</si>
  <si>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</si>
  <si>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</si>
  <si>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</si>
  <si>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</si>
  <si>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</si>
  <si>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</si>
  <si>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</si>
  <si>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</si>
  <si>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</si>
  <si>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</si>
  <si>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</si>
  <si>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</si>
  <si>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</si>
  <si>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</si>
  <si>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</si>
  <si>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</si>
  <si>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</si>
  <si>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</si>
  <si>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</si>
  <si>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</si>
  <si>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</si>
  <si>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</si>
  <si>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</si>
  <si>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</si>
  <si>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</si>
  <si>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</si>
  <si>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</si>
  <si>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</si>
  <si>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</si>
  <si>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</si>
  <si>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</si>
  <si>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</si>
  <si>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</si>
  <si>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</si>
  <si>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</si>
  <si>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</si>
  <si>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</si>
  <si>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</si>
  <si>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</si>
  <si>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</si>
  <si>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</si>
  <si>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</si>
  <si>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</si>
  <si>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</si>
  <si>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</si>
  <si>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</si>
  <si>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</si>
  <si>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</si>
  <si>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</si>
  <si>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</si>
  <si>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</si>
  <si>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</si>
  <si>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</si>
  <si>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</si>
  <si>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</si>
  <si>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</si>
  <si>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</si>
  <si>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</si>
  <si>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</si>
  <si>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</si>
  <si>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</si>
  <si>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</si>
  <si>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</si>
  <si>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</si>
  <si>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</si>
  <si>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</si>
  <si>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</si>
  <si>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</si>
  <si>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</si>
  <si>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</si>
  <si>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</si>
  <si>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</si>
  <si>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</si>
  <si>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</si>
  <si>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</si>
  <si>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</si>
  <si>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</si>
  <si>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</si>
  <si>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old</t>
    <phoneticPr fontId="16"/>
  </si>
  <si>
    <t>tables_6009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</si>
</sst>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51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3" xfId="0" applyFont="1" applyFill="1" applyBorder="1" applyAlignment="1">
      <alignment horizontal="right"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27" borderId="1" xfId="0" applyFont="1" applyFill="1" applyBorder="1" applyAlignment="1">
      <alignment horizontal="left" vertical="center"/>
    </xf>
    <xf numFmtId="0" fontId="21" fillId="24" borderId="1" xfId="2" applyFont="1" applyFill="1" applyBorder="1" applyAlignment="1">
      <alignment horizontal="left" vertical="center"/>
    </xf>
    <xf numFmtId="0" fontId="20" fillId="24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3" customWidth="1"/>
    <col min="2" max="16384" width="13" style="43"/>
  </cols>
  <sheetData>
    <row r="1" spans="1:13" x14ac:dyDescent="0.15">
      <c r="A1" s="43" t="s">
        <v>79</v>
      </c>
      <c r="B1" s="43" t="s">
        <v>80</v>
      </c>
    </row>
    <row r="2" spans="1:13" x14ac:dyDescent="0.15">
      <c r="A2" s="43" t="s">
        <v>81</v>
      </c>
      <c r="B2" s="43" t="s">
        <v>82</v>
      </c>
      <c r="C2" s="43" t="s">
        <v>83</v>
      </c>
      <c r="D2" s="43" t="s">
        <v>84</v>
      </c>
      <c r="E2" s="43" t="s">
        <v>85</v>
      </c>
      <c r="F2" s="43" t="s">
        <v>86</v>
      </c>
      <c r="G2" s="43" t="s">
        <v>87</v>
      </c>
      <c r="H2" s="43" t="s">
        <v>88</v>
      </c>
    </row>
    <row r="3" spans="1:13" x14ac:dyDescent="0.15">
      <c r="A3" s="43">
        <v>3</v>
      </c>
      <c r="B3" s="44" t="s">
        <v>89</v>
      </c>
      <c r="C3" s="44" t="s">
        <v>90</v>
      </c>
      <c r="D3" s="43">
        <v>0</v>
      </c>
      <c r="E3" s="44" t="s">
        <v>91</v>
      </c>
      <c r="F3" s="43">
        <v>0</v>
      </c>
      <c r="G3" s="43">
        <v>0</v>
      </c>
      <c r="H3" s="45">
        <v>0.5</v>
      </c>
    </row>
    <row r="4" spans="1:13" x14ac:dyDescent="0.15">
      <c r="A4" s="43">
        <v>4</v>
      </c>
      <c r="B4" s="44" t="s">
        <v>92</v>
      </c>
      <c r="C4" s="44" t="s">
        <v>93</v>
      </c>
      <c r="D4" s="44" t="s">
        <v>94</v>
      </c>
      <c r="E4" s="44" t="s">
        <v>95</v>
      </c>
      <c r="F4" s="44" t="s">
        <v>96</v>
      </c>
      <c r="G4" s="43">
        <v>0</v>
      </c>
      <c r="H4" s="45">
        <v>0.45</v>
      </c>
    </row>
    <row r="5" spans="1:13" x14ac:dyDescent="0.15">
      <c r="A5" s="43">
        <v>5</v>
      </c>
      <c r="B5" s="46">
        <v>0</v>
      </c>
      <c r="C5" s="44" t="s">
        <v>97</v>
      </c>
      <c r="D5" s="44" t="s">
        <v>98</v>
      </c>
      <c r="E5" s="44" t="s">
        <v>99</v>
      </c>
      <c r="F5" s="44" t="s">
        <v>100</v>
      </c>
      <c r="G5" s="44" t="s">
        <v>101</v>
      </c>
      <c r="H5" s="45">
        <v>0.05</v>
      </c>
    </row>
    <row r="6" spans="1:13" x14ac:dyDescent="0.15">
      <c r="B6" s="45" t="s">
        <v>102</v>
      </c>
      <c r="C6" s="45" t="s">
        <v>102</v>
      </c>
      <c r="D6" s="45" t="s">
        <v>103</v>
      </c>
      <c r="E6" s="45" t="s">
        <v>102</v>
      </c>
      <c r="F6" s="45" t="s">
        <v>102</v>
      </c>
      <c r="G6" s="47" t="s">
        <v>104</v>
      </c>
      <c r="H6" s="45">
        <v>1</v>
      </c>
    </row>
    <row r="7" spans="1:13" x14ac:dyDescent="0.15">
      <c r="B7" s="45"/>
      <c r="C7" s="45"/>
      <c r="D7" s="45"/>
      <c r="E7" s="45"/>
      <c r="F7" s="45"/>
      <c r="G7" s="47"/>
      <c r="H7" s="45"/>
    </row>
    <row r="8" spans="1:13" x14ac:dyDescent="0.15">
      <c r="A8" s="43" t="s">
        <v>105</v>
      </c>
      <c r="B8" s="45"/>
      <c r="C8" s="45"/>
      <c r="D8" s="45"/>
      <c r="E8" s="45"/>
      <c r="F8" s="45"/>
      <c r="G8" s="47"/>
      <c r="H8" s="45"/>
    </row>
    <row r="9" spans="1:13" x14ac:dyDescent="0.15">
      <c r="A9" s="43" t="s">
        <v>106</v>
      </c>
      <c r="B9" s="45"/>
      <c r="C9" s="45"/>
      <c r="D9" s="45"/>
      <c r="E9" s="45"/>
      <c r="F9" s="45"/>
      <c r="G9" s="47"/>
      <c r="H9" s="45"/>
    </row>
    <row r="10" spans="1:13" x14ac:dyDescent="0.15">
      <c r="A10" s="43" t="s">
        <v>107</v>
      </c>
      <c r="B10" s="45"/>
      <c r="C10" s="45"/>
      <c r="D10" s="45"/>
      <c r="E10" s="45"/>
      <c r="F10" s="45"/>
      <c r="G10" s="47"/>
      <c r="H10" s="45"/>
    </row>
    <row r="11" spans="1:13" x14ac:dyDescent="0.15">
      <c r="A11" s="43" t="s">
        <v>108</v>
      </c>
      <c r="B11" s="45"/>
      <c r="C11" s="45"/>
      <c r="D11" s="45"/>
      <c r="E11" s="45"/>
      <c r="F11" s="45"/>
      <c r="G11" s="47"/>
      <c r="H11" s="45"/>
    </row>
    <row r="12" spans="1:13" x14ac:dyDescent="0.15">
      <c r="A12" s="43" t="s">
        <v>101</v>
      </c>
      <c r="B12" s="45" t="s">
        <v>109</v>
      </c>
      <c r="C12" s="45" t="s">
        <v>110</v>
      </c>
      <c r="D12" s="45"/>
      <c r="E12" s="45"/>
      <c r="F12" s="45"/>
      <c r="G12" s="47"/>
      <c r="H12" s="45"/>
    </row>
    <row r="13" spans="1:13" x14ac:dyDescent="0.15">
      <c r="A13" s="43" t="s">
        <v>111</v>
      </c>
      <c r="B13" s="43" t="s">
        <v>112</v>
      </c>
      <c r="C13" s="43" t="s">
        <v>113</v>
      </c>
    </row>
    <row r="14" spans="1:13" x14ac:dyDescent="0.15">
      <c r="A14" s="43" t="s">
        <v>114</v>
      </c>
      <c r="B14" s="43" t="s">
        <v>109</v>
      </c>
      <c r="C14" s="46" t="s">
        <v>115</v>
      </c>
      <c r="E14" s="46"/>
      <c r="F14" s="46"/>
      <c r="M14" s="45"/>
    </row>
    <row r="15" spans="1:13" x14ac:dyDescent="0.15">
      <c r="A15" s="43" t="s">
        <v>91</v>
      </c>
      <c r="B15" s="45" t="s">
        <v>109</v>
      </c>
      <c r="C15" s="45" t="s">
        <v>116</v>
      </c>
      <c r="H15" s="48"/>
      <c r="M15" s="45"/>
    </row>
    <row r="16" spans="1:13" x14ac:dyDescent="0.15">
      <c r="A16" s="43" t="s">
        <v>95</v>
      </c>
      <c r="B16" s="45" t="s">
        <v>109</v>
      </c>
      <c r="C16" s="45" t="s">
        <v>117</v>
      </c>
      <c r="M16" s="45"/>
    </row>
    <row r="17" spans="1:13" x14ac:dyDescent="0.15">
      <c r="A17" s="43" t="s">
        <v>118</v>
      </c>
      <c r="B17" s="45" t="s">
        <v>109</v>
      </c>
      <c r="C17" s="45" t="s">
        <v>119</v>
      </c>
      <c r="M17" s="45"/>
    </row>
    <row r="18" spans="1:13" x14ac:dyDescent="0.15">
      <c r="B18" s="45"/>
      <c r="C18" s="45"/>
    </row>
    <row r="19" spans="1:13" x14ac:dyDescent="0.15">
      <c r="A19" s="43" t="s">
        <v>120</v>
      </c>
    </row>
    <row r="20" spans="1:13" x14ac:dyDescent="0.15">
      <c r="A20" s="43" t="s">
        <v>121</v>
      </c>
      <c r="B20" s="45"/>
      <c r="C20" s="45"/>
    </row>
    <row r="21" spans="1:13" x14ac:dyDescent="0.15">
      <c r="A21" s="43" t="s">
        <v>122</v>
      </c>
      <c r="B21" s="45" t="s">
        <v>123</v>
      </c>
      <c r="C21" s="45" t="s">
        <v>124</v>
      </c>
      <c r="D21" s="43" t="s">
        <v>125</v>
      </c>
    </row>
    <row r="22" spans="1:13" x14ac:dyDescent="0.15">
      <c r="A22" s="43" t="s">
        <v>126</v>
      </c>
      <c r="B22" s="45" t="s">
        <v>109</v>
      </c>
      <c r="C22" s="45" t="s">
        <v>127</v>
      </c>
      <c r="D22" s="43" t="s">
        <v>128</v>
      </c>
    </row>
    <row r="23" spans="1:13" x14ac:dyDescent="0.15">
      <c r="A23" s="43" t="s">
        <v>129</v>
      </c>
      <c r="B23" s="45" t="s">
        <v>109</v>
      </c>
      <c r="C23" s="43" t="s">
        <v>130</v>
      </c>
      <c r="D23" s="43" t="s">
        <v>131</v>
      </c>
    </row>
    <row r="24" spans="1:13" x14ac:dyDescent="0.15">
      <c r="A24" s="43" t="s">
        <v>132</v>
      </c>
      <c r="B24" s="45" t="s">
        <v>109</v>
      </c>
      <c r="C24" s="45" t="s">
        <v>133</v>
      </c>
      <c r="D24" s="43" t="s">
        <v>134</v>
      </c>
    </row>
    <row r="25" spans="1:13" x14ac:dyDescent="0.15">
      <c r="A25" s="43" t="s">
        <v>135</v>
      </c>
      <c r="B25" s="45" t="s">
        <v>109</v>
      </c>
      <c r="C25" s="45" t="s">
        <v>136</v>
      </c>
      <c r="D25" s="43" t="s">
        <v>137</v>
      </c>
    </row>
    <row r="26" spans="1:13" x14ac:dyDescent="0.15">
      <c r="A26" s="43" t="s">
        <v>138</v>
      </c>
      <c r="B26" s="45" t="s">
        <v>109</v>
      </c>
      <c r="C26" s="45" t="s">
        <v>139</v>
      </c>
      <c r="D26" s="43" t="s">
        <v>140</v>
      </c>
    </row>
    <row r="27" spans="1:13" x14ac:dyDescent="0.15">
      <c r="A27" s="43" t="s">
        <v>141</v>
      </c>
      <c r="B27" s="45" t="s">
        <v>109</v>
      </c>
      <c r="C27" s="45" t="s">
        <v>103</v>
      </c>
      <c r="D27" s="43" t="s">
        <v>142</v>
      </c>
      <c r="E27" s="43" t="s">
        <v>143</v>
      </c>
    </row>
    <row r="28" spans="1:13" x14ac:dyDescent="0.15">
      <c r="A28" s="43" t="s">
        <v>90</v>
      </c>
      <c r="B28" s="45" t="s">
        <v>109</v>
      </c>
      <c r="C28" s="45" t="s">
        <v>144</v>
      </c>
      <c r="E28" s="43" t="s">
        <v>145</v>
      </c>
    </row>
    <row r="29" spans="1:13" x14ac:dyDescent="0.15">
      <c r="A29" s="43" t="s">
        <v>93</v>
      </c>
      <c r="B29" s="45" t="s">
        <v>109</v>
      </c>
      <c r="C29" s="45" t="s">
        <v>146</v>
      </c>
    </row>
    <row r="30" spans="1:13" x14ac:dyDescent="0.15">
      <c r="B30" s="45"/>
    </row>
    <row r="31" spans="1:13" x14ac:dyDescent="0.15">
      <c r="A31" s="43" t="s">
        <v>147</v>
      </c>
    </row>
    <row r="32" spans="1:13" x14ac:dyDescent="0.15">
      <c r="A32" s="43" t="s">
        <v>148</v>
      </c>
      <c r="B32" s="45" t="s">
        <v>109</v>
      </c>
      <c r="C32" s="45" t="s">
        <v>149</v>
      </c>
    </row>
    <row r="33" spans="1:3" x14ac:dyDescent="0.15">
      <c r="A33" s="43" t="s">
        <v>93</v>
      </c>
      <c r="B33" s="45" t="s">
        <v>109</v>
      </c>
      <c r="C33" s="45" t="s">
        <v>150</v>
      </c>
    </row>
    <row r="34" spans="1:3" x14ac:dyDescent="0.15">
      <c r="A34" s="43" t="s">
        <v>90</v>
      </c>
      <c r="B34" s="45" t="s">
        <v>109</v>
      </c>
      <c r="C34" s="45" t="s">
        <v>151</v>
      </c>
    </row>
    <row r="35" spans="1:3" x14ac:dyDescent="0.15">
      <c r="A35" s="43" t="s">
        <v>89</v>
      </c>
      <c r="B35" s="45" t="s">
        <v>109</v>
      </c>
      <c r="C35" s="45" t="s">
        <v>152</v>
      </c>
    </row>
    <row r="36" spans="1:3" x14ac:dyDescent="0.15">
      <c r="A36" s="43" t="s">
        <v>92</v>
      </c>
      <c r="B36" s="45" t="s">
        <v>109</v>
      </c>
      <c r="C36" s="45" t="s">
        <v>153</v>
      </c>
    </row>
    <row r="37" spans="1:3" x14ac:dyDescent="0.15">
      <c r="A37" s="43" t="s">
        <v>98</v>
      </c>
      <c r="B37" s="45" t="s">
        <v>109</v>
      </c>
      <c r="C37" s="45" t="s">
        <v>154</v>
      </c>
    </row>
    <row r="38" spans="1:3" x14ac:dyDescent="0.15">
      <c r="A38" s="43" t="s">
        <v>94</v>
      </c>
      <c r="B38" s="45" t="s">
        <v>109</v>
      </c>
      <c r="C38" s="45" t="s">
        <v>155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workbookViewId="0">
      <selection activeCell="F3" sqref="F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9" t="s">
        <v>158</v>
      </c>
      <c r="B2" s="42" t="s">
        <v>78</v>
      </c>
      <c r="C2" s="37" t="str">
        <f>RIGHT(F2,4)</f>
        <v>6009</v>
      </c>
      <c r="D2" s="17" t="s">
        <v>46</v>
      </c>
      <c r="E2" s="15" t="str">
        <f t="shared" ref="E2:E5" si="0">B2&amp;C2&amp;D2</f>
        <v>gacha_select_tables_6009.tmp</v>
      </c>
      <c r="F2" s="50" t="s">
        <v>159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29" t="s">
        <v>54</v>
      </c>
      <c r="B3" s="25" t="s">
        <v>51</v>
      </c>
      <c r="C3" s="30" t="s">
        <v>55</v>
      </c>
      <c r="D3" s="17" t="s">
        <v>47</v>
      </c>
      <c r="E3" s="15" t="str">
        <f t="shared" si="0"/>
        <v>gacha_bonus_tables_hogehoge.tmp</v>
      </c>
      <c r="F3" s="17" t="s">
        <v>48</v>
      </c>
      <c r="G3" s="19" t="s">
        <v>11</v>
      </c>
      <c r="H3" s="21" t="s">
        <v>14</v>
      </c>
      <c r="I3" s="19" t="s">
        <v>12</v>
      </c>
      <c r="J3" s="18"/>
      <c r="K3" s="18"/>
      <c r="L3" s="18"/>
      <c r="M3" s="18"/>
      <c r="N3" s="18"/>
      <c r="O3" s="18"/>
    </row>
    <row r="4" spans="1:21" x14ac:dyDescent="0.15">
      <c r="A4" s="29" t="s">
        <v>54</v>
      </c>
      <c r="B4" s="17" t="s">
        <v>49</v>
      </c>
      <c r="C4" s="30" t="s">
        <v>55</v>
      </c>
      <c r="D4" s="17" t="s">
        <v>47</v>
      </c>
      <c r="E4" s="15" t="str">
        <f t="shared" si="0"/>
        <v>gifts_tmp_hogehoge.tmp</v>
      </c>
      <c r="F4" s="17" t="s">
        <v>48</v>
      </c>
      <c r="G4" s="21" t="s">
        <v>22</v>
      </c>
      <c r="H4" s="22" t="s">
        <v>30</v>
      </c>
      <c r="I4" s="21" t="s">
        <v>23</v>
      </c>
      <c r="J4" s="21" t="s">
        <v>24</v>
      </c>
      <c r="K4" s="21" t="s">
        <v>24</v>
      </c>
      <c r="L4" s="21" t="s">
        <v>25</v>
      </c>
      <c r="M4" s="21" t="s">
        <v>25</v>
      </c>
      <c r="N4" s="21" t="s">
        <v>25</v>
      </c>
      <c r="O4" s="38" t="s">
        <v>7</v>
      </c>
      <c r="P4" s="38" t="s">
        <v>9</v>
      </c>
      <c r="Q4" s="38" t="s">
        <v>6</v>
      </c>
      <c r="R4" s="38" t="s">
        <v>66</v>
      </c>
      <c r="S4" s="38" t="s">
        <v>8</v>
      </c>
      <c r="T4" s="38" t="s">
        <v>67</v>
      </c>
      <c r="U4" s="38" t="s">
        <v>5</v>
      </c>
    </row>
    <row r="5" spans="1:21" x14ac:dyDescent="0.15">
      <c r="A5" s="29" t="s">
        <v>54</v>
      </c>
      <c r="B5" s="17" t="s">
        <v>50</v>
      </c>
      <c r="C5" s="30" t="s">
        <v>55</v>
      </c>
      <c r="D5" s="17" t="s">
        <v>47</v>
      </c>
      <c r="E5" s="15" t="str">
        <f t="shared" si="0"/>
        <v>gifts_i18n_hogehoge.tmp</v>
      </c>
      <c r="F5" s="17" t="s">
        <v>48</v>
      </c>
      <c r="G5" s="21" t="s">
        <v>13</v>
      </c>
      <c r="H5" s="23" t="s">
        <v>26</v>
      </c>
      <c r="I5" s="23" t="s">
        <v>27</v>
      </c>
      <c r="J5" s="23" t="s">
        <v>28</v>
      </c>
      <c r="K5" s="23" t="s">
        <v>29</v>
      </c>
      <c r="L5" s="24"/>
      <c r="M5" s="21"/>
      <c r="N5" s="21"/>
      <c r="O5" s="17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 activeCell="E35" sqref="E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156</v>
      </c>
      <c r="F1" s="3" t="s">
        <v>157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6009</v>
      </c>
      <c r="B2" s="6">
        <v>1164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ガンバンテイン</v>
      </c>
      <c r="I2" s="7" t="str">
        <f>VLOOKUP(B2,[1]characters!$A:$J,10,FALSE)</f>
        <v>DropWizSSS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heal</v>
      </c>
      <c r="M2" s="7" t="str">
        <f>VLOOKUP(B2,[1]characters!$A:$M,13,FALSE)</f>
        <v>weapon</v>
      </c>
      <c r="N2" s="7" t="str">
        <f>VLOOKUP(B2,[1]characters!$A:$G,7,FALSE)</f>
        <v>不明</v>
      </c>
      <c r="O2" s="34">
        <v>10</v>
      </c>
      <c r="P2" s="35">
        <f>O2/SUM(O:O)</f>
        <v>0.33333333333333331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20</v>
      </c>
    </row>
    <row r="3" spans="1:22" ht="21" customHeight="1" x14ac:dyDescent="0.15">
      <c r="A3" s="2">
        <v>6009</v>
      </c>
      <c r="B3" s="6">
        <v>1166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降魔宝杖</v>
      </c>
      <c r="I3" s="7" t="str">
        <f>VLOOKUP(B3,[1]characters!$A:$J,10,FALSE)</f>
        <v>DropWizSSS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weapon</v>
      </c>
      <c r="N3" s="7" t="str">
        <f>VLOOKUP(B3,[1]characters!$A:$G,7,FALSE)</f>
        <v>不明</v>
      </c>
      <c r="O3" s="34">
        <v>10</v>
      </c>
      <c r="P3" s="35">
        <f>O3/SUM(O:O)</f>
        <v>0.33333333333333331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20</v>
      </c>
    </row>
    <row r="4" spans="1:22" ht="21" customHeight="1" x14ac:dyDescent="0.15">
      <c r="A4" s="2">
        <v>6009</v>
      </c>
      <c r="B4" s="6">
        <v>1168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カドゥケウス</v>
      </c>
      <c r="I4" s="7" t="str">
        <f>VLOOKUP(B4,[1]characters!$A:$J,10,FALSE)</f>
        <v>DropWizSSS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technical</v>
      </c>
      <c r="M4" s="7" t="str">
        <f>VLOOKUP(B4,[1]characters!$A:$M,13,FALSE)</f>
        <v>weapon</v>
      </c>
      <c r="N4" s="7" t="str">
        <f>VLOOKUP(B4,[1]characters!$A:$G,7,FALSE)</f>
        <v>不明</v>
      </c>
      <c r="O4" s="34">
        <v>10</v>
      </c>
      <c r="P4" s="35">
        <f>O4/SUM(O:O)</f>
        <v>0.33333333333333331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20</v>
      </c>
    </row>
  </sheetData>
  <autoFilter ref="A1:V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tables_6009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2016-11-21T03:24:20Z</dcterms:modified>
</cp:coreProperties>
</file>